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 defaultThemeVersion="124226"/>
  <bookViews>
    <workbookView xWindow="4155" yWindow="510" windowWidth="20730" windowHeight="11760" tabRatio="913" activeTab="30"/>
  </bookViews>
  <sheets>
    <sheet name="01" sheetId="2" r:id="rId3"/>
    <sheet name="02" sheetId="3" r:id="rId4"/>
    <sheet name="03" sheetId="8" r:id="rId5"/>
    <sheet name="04" sheetId="9" r:id="rId6"/>
    <sheet name="05" sheetId="10" r:id="rId7"/>
    <sheet name="06" sheetId="11" r:id="rId8"/>
    <sheet name="07" sheetId="12" r:id="rId9"/>
    <sheet name="08" sheetId="13" r:id="rId10"/>
    <sheet name="09" sheetId="14" r:id="rId11"/>
    <sheet name="10" sheetId="15" r:id="rId12"/>
    <sheet name="11" sheetId="16" r:id="rId13"/>
    <sheet name="12" sheetId="17" r:id="rId14"/>
    <sheet name="13" sheetId="18" r:id="rId15"/>
    <sheet name="14" sheetId="19" r:id="rId16"/>
    <sheet name="15" sheetId="20" r:id="rId17"/>
    <sheet name="16" sheetId="21" r:id="rId18"/>
    <sheet name="17" sheetId="22" r:id="rId19"/>
    <sheet name="18" sheetId="23" r:id="rId20"/>
    <sheet name="19" sheetId="24" r:id="rId21"/>
    <sheet name="20" sheetId="25" r:id="rId22"/>
    <sheet name="21" sheetId="26" r:id="rId23"/>
    <sheet name="22" sheetId="27" r:id="rId24"/>
    <sheet name="23" sheetId="28" r:id="rId25"/>
    <sheet name="24" sheetId="29" r:id="rId26"/>
    <sheet name="25" sheetId="30" r:id="rId27"/>
    <sheet name="26" sheetId="31" r:id="rId28"/>
    <sheet name="27" sheetId="32" r:id="rId29"/>
    <sheet name="28" sheetId="33" r:id="rId30"/>
    <sheet name="29" sheetId="40" r:id="rId31"/>
    <sheet name="30" sheetId="41" r:id="rId32"/>
    <sheet name="MONTHLY 30" sheetId="39" r:id="rId33"/>
  </sheets>
  <definedNames/>
  <calcPr calcId="144525"/>
</workbook>
</file>

<file path=xl/calcChain.xml><?xml version="1.0" encoding="utf-8"?>
<calcChain xmlns="http://schemas.openxmlformats.org/spreadsheetml/2006/main">
  <c r="B2" i="20" l="1"/>
</calcChain>
</file>

<file path=xl/sharedStrings.xml><?xml version="1.0" encoding="utf-8"?>
<sst xmlns="http://schemas.openxmlformats.org/spreadsheetml/2006/main" count="2835" uniqueCount="782">
  <si>
    <t>Date:</t>
  </si>
  <si>
    <t>Status</t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</si>
  <si>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</si>
  <si>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</si>
  <si>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</si>
  <si>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</si>
  <si>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</si>
  <si>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</si>
  <si>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</si>
  <si>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</si>
  <si>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</si>
  <si>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</si>
  <si>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</si>
  <si>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</si>
  <si>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</si>
  <si>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</si>
  <si>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</si>
  <si>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</si>
  <si>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</si>
  <si>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</si>
  <si>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</si>
  <si>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</si>
  <si>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</si>
  <si>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</si>
  <si>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</si>
  <si>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</si>
  <si>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</si>
  <si>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</si>
  <si>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</si>
  <si>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</si>
  <si>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</si>
  <si>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</si>
  <si>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</si>
  <si>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</si>
  <si>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</si>
  <si>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</si>
  <si>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</si>
  <si>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</si>
  <si>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Stdev</t>
  </si>
  <si>
    <t xml:space="preserve"> 01 Hour</t>
  </si>
  <si>
    <t>BHATAGAON ,RAIPUR</t>
  </si>
  <si>
    <t>RAHUL</t>
  </si>
  <si>
    <t>BHATAGAON RAIPUR</t>
  </si>
  <si>
    <t>NO2_BHATAGAON</t>
  </si>
  <si>
    <t>NOX_BHATAGAON</t>
  </si>
  <si>
    <t>SO2_BHATAGAON</t>
  </si>
  <si>
    <t>O3_BHATAGAON</t>
  </si>
  <si>
    <t>PM10_BHATAGAON</t>
  </si>
  <si>
    <t>PM2_5_BHATAGAON</t>
  </si>
  <si>
    <t>BENZ_BHATAGAON</t>
  </si>
  <si>
    <t>WS_BHATAGAON</t>
  </si>
  <si>
    <t>WD_BHATAGAON</t>
  </si>
  <si>
    <t>TEMP_BHATAGAON</t>
  </si>
  <si>
    <t>HUM BHATAGAON</t>
  </si>
  <si>
    <t>SR_BHATAGAON</t>
  </si>
  <si>
    <t>RG_BHATAGAON</t>
  </si>
  <si>
    <t>CO_BHATAGAON</t>
  </si>
  <si>
    <t>NH3_BHATAGAON</t>
  </si>
  <si>
    <t>NO_BHATAGAON</t>
  </si>
  <si>
    <t xml:space="preserve">BHATAGAON RAIPUR </t>
  </si>
  <si>
    <t>RK</t>
  </si>
  <si>
    <t>ppb</t>
  </si>
  <si>
    <t>01-09-2023 01:00</t>
  </si>
  <si>
    <t>01-09-2023 02:00</t>
  </si>
  <si>
    <t>01-09-2023 03:00</t>
  </si>
  <si>
    <t>01-09-2023 04:00</t>
  </si>
  <si>
    <t>01-09-2023 05:00</t>
  </si>
  <si>
    <t>01-09-2023 06:00</t>
  </si>
  <si>
    <t>01-09-2023 07:00</t>
  </si>
  <si>
    <t>01-09-2023 08:00</t>
  </si>
  <si>
    <t>01-09-2023 09:00</t>
  </si>
  <si>
    <t>01-09-2023 10:00</t>
  </si>
  <si>
    <t>01-09-2023 11:00</t>
  </si>
  <si>
    <t>01-09-2023 12:00</t>
  </si>
  <si>
    <t>01-09-2023 13:00</t>
  </si>
  <si>
    <t>01-09-2023 14:00</t>
  </si>
  <si>
    <t>01-09-2023 15:00</t>
  </si>
  <si>
    <t>01-09-2023 16:00</t>
  </si>
  <si>
    <t>01-09-2023 17:00</t>
  </si>
  <si>
    <t>01-09-2023 18:00</t>
  </si>
  <si>
    <t>01-09-2023 19:00</t>
  </si>
  <si>
    <t>01-09-2023 20:00</t>
  </si>
  <si>
    <t>01-09-2023 21:00</t>
  </si>
  <si>
    <t>01-09-2023 22:00</t>
  </si>
  <si>
    <t>01-09-2023 23:00</t>
  </si>
  <si>
    <t>01-09-2023 24:00</t>
  </si>
  <si>
    <t>02-09-2023 01:00</t>
  </si>
  <si>
    <t>02-09-2023 02:00</t>
  </si>
  <si>
    <t>02-09-2023 03:00</t>
  </si>
  <si>
    <t>02-09-2023 04:00</t>
  </si>
  <si>
    <t>02-09-2023 05:00</t>
  </si>
  <si>
    <t>02-09-2023 06:00</t>
  </si>
  <si>
    <t>02-09-2023 07:00</t>
  </si>
  <si>
    <t>02-09-2023 08:00</t>
  </si>
  <si>
    <t>02-09-2023 09:00</t>
  </si>
  <si>
    <t>02-09-2023 10:00</t>
  </si>
  <si>
    <t>02-09-2023 11:00</t>
  </si>
  <si>
    <t>02-09-2023 12:00</t>
  </si>
  <si>
    <t>02-09-2023 13:00</t>
  </si>
  <si>
    <t>02-09-2023 14:00</t>
  </si>
  <si>
    <t>02-09-2023 15:00</t>
  </si>
  <si>
    <t>02-09-2023 16:00</t>
  </si>
  <si>
    <t>02-09-2023 17:00</t>
  </si>
  <si>
    <t>02-09-2023 18:00</t>
  </si>
  <si>
    <t>02-09-2023 19:00</t>
  </si>
  <si>
    <t>02-09-2023 20:00</t>
  </si>
  <si>
    <t>02-09-2023 21:00</t>
  </si>
  <si>
    <t>02-09-2023 22:00</t>
  </si>
  <si>
    <t>02-09-2023 23:00</t>
  </si>
  <si>
    <t>02-09-2023 24:00</t>
  </si>
  <si>
    <t>03-09-2023 01:00</t>
  </si>
  <si>
    <t>03-09-2023 02:00</t>
  </si>
  <si>
    <t>03-09-2023 03:00</t>
  </si>
  <si>
    <t>03-09-2023 04:00</t>
  </si>
  <si>
    <t>03-09-2023 05:00</t>
  </si>
  <si>
    <t>03-09-2023 06:00</t>
  </si>
  <si>
    <t>03-09-2023 07:00</t>
  </si>
  <si>
    <t>03-09-2023 08:00</t>
  </si>
  <si>
    <t>03-09-2023 09:00</t>
  </si>
  <si>
    <t>03-09-2023 10:00</t>
  </si>
  <si>
    <t>03-09-2023 11:00</t>
  </si>
  <si>
    <t>03-09-2023 12:00</t>
  </si>
  <si>
    <t>03-09-2023 13:00</t>
  </si>
  <si>
    <t>03-09-2023 14:00</t>
  </si>
  <si>
    <t>03-09-2023 15:00</t>
  </si>
  <si>
    <t>03-09-2023 16:00</t>
  </si>
  <si>
    <t>03-09-2023 17:00</t>
  </si>
  <si>
    <t>03-09-2023 18:00</t>
  </si>
  <si>
    <t>03-09-2023 19:00</t>
  </si>
  <si>
    <t>03-09-2023 20:00</t>
  </si>
  <si>
    <t>03-09-2023 21:00</t>
  </si>
  <si>
    <t>03-09-2023 22:00</t>
  </si>
  <si>
    <t>03-09-2023 23:00</t>
  </si>
  <si>
    <t>03-09-2023 24:00</t>
  </si>
  <si>
    <t>04-09-2023 01:00</t>
  </si>
  <si>
    <t>04-09-2023 02:00</t>
  </si>
  <si>
    <t>04-09-2023 03:00</t>
  </si>
  <si>
    <t>04-09-2023 04:00</t>
  </si>
  <si>
    <t>04-09-2023 05:00</t>
  </si>
  <si>
    <t>04-09-2023 06:00</t>
  </si>
  <si>
    <t>04-09-2023 07:00</t>
  </si>
  <si>
    <t>04-09-2023 08:00</t>
  </si>
  <si>
    <t>04-09-2023 09:00</t>
  </si>
  <si>
    <t>04-09-2023 10:00</t>
  </si>
  <si>
    <t>04-09-2023 11:00</t>
  </si>
  <si>
    <t>04-09-2023 12:00</t>
  </si>
  <si>
    <t>04-09-2023 13:00</t>
  </si>
  <si>
    <t>04-09-2023 14:00</t>
  </si>
  <si>
    <t>04-09-2023 15:00</t>
  </si>
  <si>
    <t>04-09-2023 16:00</t>
  </si>
  <si>
    <t>04-09-2023 17:00</t>
  </si>
  <si>
    <t>04-09-2023 18:00</t>
  </si>
  <si>
    <t>04-09-2023 19:00</t>
  </si>
  <si>
    <t>04-09-2023 20:00</t>
  </si>
  <si>
    <t>04-09-2023 21:00</t>
  </si>
  <si>
    <t>04-09-2023 22:00</t>
  </si>
  <si>
    <t>04-09-2023 23:00</t>
  </si>
  <si>
    <t>04-09-2023 24:00</t>
  </si>
  <si>
    <t>05-09-2023 01:00</t>
  </si>
  <si>
    <t>05-09-2023 02:00</t>
  </si>
  <si>
    <t>05-09-2023 03:00</t>
  </si>
  <si>
    <t>05-09-2023 04:00</t>
  </si>
  <si>
    <t>05-09-2023 05:00</t>
  </si>
  <si>
    <t>05-09-2023 06:00</t>
  </si>
  <si>
    <t>05-09-2023 07:00</t>
  </si>
  <si>
    <t>05-09-2023 08:00</t>
  </si>
  <si>
    <t>05-09-2023 09:00</t>
  </si>
  <si>
    <t>05-09-2023 10:00</t>
  </si>
  <si>
    <t>05-09-2023 11:00</t>
  </si>
  <si>
    <t>05-09-2023 12:00</t>
  </si>
  <si>
    <t>05-09-2023 13:00</t>
  </si>
  <si>
    <t>05-09-2023 14:00</t>
  </si>
  <si>
    <t>05-09-2023 15:00</t>
  </si>
  <si>
    <t>05-09-2023 16:00</t>
  </si>
  <si>
    <t>05-09-2023 17:00</t>
  </si>
  <si>
    <t>05-09-2023 18:00</t>
  </si>
  <si>
    <t>05-09-2023 19:00</t>
  </si>
  <si>
    <t>05-09-2023 20:00</t>
  </si>
  <si>
    <t>05-09-2023 21:00</t>
  </si>
  <si>
    <t>05-09-2023 22:00</t>
  </si>
  <si>
    <t>05-09-2023 23:00</t>
  </si>
  <si>
    <t>05-09-2023 24:00</t>
  </si>
  <si>
    <t>06-09-2023 01:00</t>
  </si>
  <si>
    <t>06-09-2023 02:00</t>
  </si>
  <si>
    <t>06-09-2023 03:00</t>
  </si>
  <si>
    <t>06-09-2023 04:00</t>
  </si>
  <si>
    <t>06-09-2023 05:00</t>
  </si>
  <si>
    <t>06-09-2023 06:00</t>
  </si>
  <si>
    <t>06-09-2023 07:00</t>
  </si>
  <si>
    <t>06-09-2023 08:00</t>
  </si>
  <si>
    <t>06-09-2023 09:00</t>
  </si>
  <si>
    <t>06-09-2023 10:00</t>
  </si>
  <si>
    <t>06-09-2023 11:00</t>
  </si>
  <si>
    <t>06-09-2023 12:00</t>
  </si>
  <si>
    <t>06-09-2023 13:00</t>
  </si>
  <si>
    <t>06-09-2023 14:00</t>
  </si>
  <si>
    <t>06-09-2023 15:00</t>
  </si>
  <si>
    <t>06-09-2023 16:00</t>
  </si>
  <si>
    <t>06-09-2023 17:00</t>
  </si>
  <si>
    <t>06-09-2023 18:00</t>
  </si>
  <si>
    <t>06-09-2023 19:00</t>
  </si>
  <si>
    <t>06-09-2023 20:00</t>
  </si>
  <si>
    <t>06-09-2023 21:00</t>
  </si>
  <si>
    <t>06-09-2023 22:00</t>
  </si>
  <si>
    <t>06-09-2023 23:00</t>
  </si>
  <si>
    <t>06-09-2023 24:00</t>
  </si>
  <si>
    <t>07-09-2023 01:00</t>
  </si>
  <si>
    <t>07-09-2023 02:00</t>
  </si>
  <si>
    <t>07-09-2023 03:00</t>
  </si>
  <si>
    <t>07-09-2023 04:00</t>
  </si>
  <si>
    <t>07-09-2023 05:00</t>
  </si>
  <si>
    <t>07-09-2023 06:00</t>
  </si>
  <si>
    <t>07-09-2023 07:00</t>
  </si>
  <si>
    <t>07-09-2023 08:00</t>
  </si>
  <si>
    <t>07-09-2023 09:00</t>
  </si>
  <si>
    <t>07-09-2023 10:00</t>
  </si>
  <si>
    <t>07-09-2023 11:00</t>
  </si>
  <si>
    <t>07-09-2023 12:00</t>
  </si>
  <si>
    <t>07-09-2023 13:00</t>
  </si>
  <si>
    <t>07-09-2023 14:00</t>
  </si>
  <si>
    <t>07-09-2023 15:00</t>
  </si>
  <si>
    <t>07-09-2023 16:00</t>
  </si>
  <si>
    <t>07-09-2023 17:00</t>
  </si>
  <si>
    <t>07-09-2023 18:00</t>
  </si>
  <si>
    <t>07-09-2023 19:00</t>
  </si>
  <si>
    <t>07-09-2023 20:00</t>
  </si>
  <si>
    <t>07-09-2023 21:00</t>
  </si>
  <si>
    <t>07-09-2023 22:00</t>
  </si>
  <si>
    <t>07-09-2023 23:00</t>
  </si>
  <si>
    <t>07-09-2023 24:00</t>
  </si>
  <si>
    <t>08-09-2023 01:00</t>
  </si>
  <si>
    <t>08-09-2023 02:00</t>
  </si>
  <si>
    <t>08-09-2023 03:00</t>
  </si>
  <si>
    <t>08-09-2023 04:00</t>
  </si>
  <si>
    <t>08-09-2023 05:00</t>
  </si>
  <si>
    <t>08-09-2023 06:00</t>
  </si>
  <si>
    <t>08-09-2023 07:00</t>
  </si>
  <si>
    <t>08-09-2023 08:00</t>
  </si>
  <si>
    <t>08-09-2023 09:00</t>
  </si>
  <si>
    <t>08-09-2023 10:00</t>
  </si>
  <si>
    <t>08-09-2023 11:00</t>
  </si>
  <si>
    <t>08-09-2023 12:00</t>
  </si>
  <si>
    <t>08-09-2023 13:00</t>
  </si>
  <si>
    <t>08-09-2023 14:00</t>
  </si>
  <si>
    <t>08-09-2023 15:00</t>
  </si>
  <si>
    <t>08-09-2023 16:00</t>
  </si>
  <si>
    <t>08-09-2023 17:00</t>
  </si>
  <si>
    <t>08-09-2023 18:00</t>
  </si>
  <si>
    <t>08-09-2023 19:00</t>
  </si>
  <si>
    <t>08-09-2023 20:00</t>
  </si>
  <si>
    <t>08-09-2023 21:00</t>
  </si>
  <si>
    <t>08-09-2023 22:00</t>
  </si>
  <si>
    <t>08-09-2023 23:00</t>
  </si>
  <si>
    <t>08-09-2023 24:00</t>
  </si>
  <si>
    <t>09-09-2023 01:00</t>
  </si>
  <si>
    <t>09-09-2023 02:00</t>
  </si>
  <si>
    <t>09-09-2023 03:00</t>
  </si>
  <si>
    <t>09-09-2023 04:00</t>
  </si>
  <si>
    <t>09-09-2023 05:00</t>
  </si>
  <si>
    <t>09-09-2023 06:00</t>
  </si>
  <si>
    <t>09-09-2023 07:00</t>
  </si>
  <si>
    <t>09-09-2023 08:00</t>
  </si>
  <si>
    <t>09-09-2023 09:00</t>
  </si>
  <si>
    <t>09-09-2023 10:00</t>
  </si>
  <si>
    <t>09-09-2023 11:00</t>
  </si>
  <si>
    <t>09-09-2023 12:00</t>
  </si>
  <si>
    <t>09-09-2023 13:00</t>
  </si>
  <si>
    <t>09-09-2023 14:00</t>
  </si>
  <si>
    <t>09-09-2023 15:00</t>
  </si>
  <si>
    <t>09-09-2023 16:00</t>
  </si>
  <si>
    <t>09-09-2023 17:00</t>
  </si>
  <si>
    <t>09-09-2023 18:00</t>
  </si>
  <si>
    <t>09-09-2023 19:00</t>
  </si>
  <si>
    <t>09-09-2023 20:00</t>
  </si>
  <si>
    <t>09-09-2023 21:00</t>
  </si>
  <si>
    <t>09-09-2023 22:00</t>
  </si>
  <si>
    <t>09-09-2023 23:00</t>
  </si>
  <si>
    <t>09-09-2023 24:00</t>
  </si>
  <si>
    <t>10-09-2023 01:00</t>
  </si>
  <si>
    <t>10-09-2023 02:00</t>
  </si>
  <si>
    <t>10-09-2023 03:00</t>
  </si>
  <si>
    <t>10-09-2023 04:00</t>
  </si>
  <si>
    <t>10-09-2023 05:00</t>
  </si>
  <si>
    <t>10-09-2023 06:00</t>
  </si>
  <si>
    <t>10-09-2023 07:00</t>
  </si>
  <si>
    <t>10-09-2023 08:00</t>
  </si>
  <si>
    <t>10-09-2023 09:00</t>
  </si>
  <si>
    <t>10-09-2023 10:00</t>
  </si>
  <si>
    <t>10-09-2023 11:00</t>
  </si>
  <si>
    <t>10-09-2023 12:00</t>
  </si>
  <si>
    <t>10-09-2023 13:00</t>
  </si>
  <si>
    <t>10-09-2023 14:00</t>
  </si>
  <si>
    <t>10-09-2023 15:00</t>
  </si>
  <si>
    <t>10-09-2023 16:00</t>
  </si>
  <si>
    <t>10-09-2023 17:00</t>
  </si>
  <si>
    <t>10-09-2023 18:00</t>
  </si>
  <si>
    <t>10-09-2023 19:00</t>
  </si>
  <si>
    <t>10-09-2023 20:00</t>
  </si>
  <si>
    <t>10-09-2023 21:00</t>
  </si>
  <si>
    <t>10-09-2023 22:00</t>
  </si>
  <si>
    <t>10-09-2023 23:00</t>
  </si>
  <si>
    <t>10-09-2023 24:00</t>
  </si>
  <si>
    <t>11-09-2023 01:00</t>
  </si>
  <si>
    <t>11-09-2023 02:00</t>
  </si>
  <si>
    <t>11-09-2023 03:00</t>
  </si>
  <si>
    <t>11-09-2023 04:00</t>
  </si>
  <si>
    <t>11-09-2023 05:00</t>
  </si>
  <si>
    <t>11-09-2023 06:00</t>
  </si>
  <si>
    <t>11-09-2023 07:00</t>
  </si>
  <si>
    <t>11-09-2023 08:00</t>
  </si>
  <si>
    <t>11-09-2023 09:00</t>
  </si>
  <si>
    <t>11-09-2023 10:00</t>
  </si>
  <si>
    <t>11-09-2023 11:00</t>
  </si>
  <si>
    <t>11-09-2023 12:00</t>
  </si>
  <si>
    <t>11-09-2023 13:00</t>
  </si>
  <si>
    <t>11-09-2023 14:00</t>
  </si>
  <si>
    <t>11-09-2023 15:00</t>
  </si>
  <si>
    <t>11-09-2023 16:00</t>
  </si>
  <si>
    <t>11-09-2023 17:00</t>
  </si>
  <si>
    <t>11-09-2023 18:00</t>
  </si>
  <si>
    <t>11-09-2023 19:00</t>
  </si>
  <si>
    <t>11-09-2023 20:00</t>
  </si>
  <si>
    <t>11-09-2023 21:00</t>
  </si>
  <si>
    <t>11-09-2023 22:00</t>
  </si>
  <si>
    <t>11-09-2023 23:00</t>
  </si>
  <si>
    <t>11-09-2023 24:00</t>
  </si>
  <si>
    <t>12-09-2023 01:00</t>
  </si>
  <si>
    <t>12-09-2023 02:00</t>
  </si>
  <si>
    <t>12-09-2023 03:00</t>
  </si>
  <si>
    <t>12-09-2023 04:00</t>
  </si>
  <si>
    <t>12-09-2023 05:00</t>
  </si>
  <si>
    <t>12-09-2023 06:00</t>
  </si>
  <si>
    <t>12-09-2023 07:00</t>
  </si>
  <si>
    <t>12-09-2023 08:00</t>
  </si>
  <si>
    <t>12-09-2023 09:00</t>
  </si>
  <si>
    <t>12-09-2023 10:00</t>
  </si>
  <si>
    <t>12-09-2023 11:00</t>
  </si>
  <si>
    <t>12-09-2023 12:00</t>
  </si>
  <si>
    <t>12-09-2023 13:00</t>
  </si>
  <si>
    <t>12-09-2023 14:00</t>
  </si>
  <si>
    <t>12-09-2023 15:00</t>
  </si>
  <si>
    <t>12-09-2023 16:00</t>
  </si>
  <si>
    <t>12-09-2023 17:00</t>
  </si>
  <si>
    <t>12-09-2023 18:00</t>
  </si>
  <si>
    <t>12-09-2023 19:00</t>
  </si>
  <si>
    <t>12-09-2023 20:00</t>
  </si>
  <si>
    <t>12-09-2023 21:00</t>
  </si>
  <si>
    <t>12-09-2023 22:00</t>
  </si>
  <si>
    <t>12-09-2023 23:00</t>
  </si>
  <si>
    <t>12-09-2023 24:00</t>
  </si>
  <si>
    <t>13-09-2023 01:00</t>
  </si>
  <si>
    <t>13-09-2023 02:00</t>
  </si>
  <si>
    <t>13-09-2023 03:00</t>
  </si>
  <si>
    <t>13-09-2023 04:00</t>
  </si>
  <si>
    <t>13-09-2023 05:00</t>
  </si>
  <si>
    <t>13-09-2023 06:00</t>
  </si>
  <si>
    <t>13-09-2023 07:00</t>
  </si>
  <si>
    <t>13-09-2023 08:00</t>
  </si>
  <si>
    <t>13-09-2023 09:00</t>
  </si>
  <si>
    <t>13-09-2023 10:00</t>
  </si>
  <si>
    <t>13-09-2023 11:00</t>
  </si>
  <si>
    <t>13-09-2023 12:00</t>
  </si>
  <si>
    <t>13-09-2023 13:00</t>
  </si>
  <si>
    <t>13-09-2023 14:00</t>
  </si>
  <si>
    <t>13-09-2023 15:00</t>
  </si>
  <si>
    <t>13-09-2023 16:00</t>
  </si>
  <si>
    <t>13-09-2023 17:00</t>
  </si>
  <si>
    <t>13-09-2023 18:00</t>
  </si>
  <si>
    <t>13-09-2023 19:00</t>
  </si>
  <si>
    <t>13-09-2023 20:00</t>
  </si>
  <si>
    <t>13-09-2023 21:00</t>
  </si>
  <si>
    <t>13-09-2023 22:00</t>
  </si>
  <si>
    <t>13-09-2023 23:00</t>
  </si>
  <si>
    <t>13-09-2023 24:00</t>
  </si>
  <si>
    <t>14-09-2023 01:00</t>
  </si>
  <si>
    <t>14-09-2023 02:00</t>
  </si>
  <si>
    <t>14-09-2023 03:00</t>
  </si>
  <si>
    <t>14-09-2023 04:00</t>
  </si>
  <si>
    <t>14-09-2023 05:00</t>
  </si>
  <si>
    <t>14-09-2023 06:00</t>
  </si>
  <si>
    <t>14-09-2023 07:00</t>
  </si>
  <si>
    <t>14-09-2023 08:00</t>
  </si>
  <si>
    <t>14-09-2023 09:00</t>
  </si>
  <si>
    <t>14-09-2023 10:00</t>
  </si>
  <si>
    <t>14-09-2023 11:00</t>
  </si>
  <si>
    <t>14-09-2023 12:00</t>
  </si>
  <si>
    <t>14-09-2023 13:00</t>
  </si>
  <si>
    <t>14-09-2023 14:00</t>
  </si>
  <si>
    <t>14-09-2023 15:00</t>
  </si>
  <si>
    <t>14-09-2023 16:00</t>
  </si>
  <si>
    <t>14-09-2023 17:00</t>
  </si>
  <si>
    <t>14-09-2023 18:00</t>
  </si>
  <si>
    <t>14-09-2023 19:00</t>
  </si>
  <si>
    <t>14-09-2023 20:00</t>
  </si>
  <si>
    <t>14-09-2023 21:00</t>
  </si>
  <si>
    <t>14-09-2023 22:00</t>
  </si>
  <si>
    <t>14-09-2023 23:00</t>
  </si>
  <si>
    <t>14-09-2023 24:00</t>
  </si>
  <si>
    <t>15-09-2023 01:00</t>
  </si>
  <si>
    <t>15-09-2023 02:00</t>
  </si>
  <si>
    <t>15-09-2023 03:00</t>
  </si>
  <si>
    <t>15-09-2023 04:00</t>
  </si>
  <si>
    <t>15-09-2023 05:00</t>
  </si>
  <si>
    <t>15-09-2023 06:00</t>
  </si>
  <si>
    <t>15-09-2023 07:00</t>
  </si>
  <si>
    <t>15-09-2023 08:00</t>
  </si>
  <si>
    <t>15-09-2023 09:00</t>
  </si>
  <si>
    <t>15-09-2023 10:00</t>
  </si>
  <si>
    <t>15-09-2023 11:00</t>
  </si>
  <si>
    <t>15-09-2023 12:00</t>
  </si>
  <si>
    <t>15-09-2023 13:00</t>
  </si>
  <si>
    <t>15-09-2023 14:00</t>
  </si>
  <si>
    <t>15-09-2023 15:00</t>
  </si>
  <si>
    <t>15-09-2023 16:00</t>
  </si>
  <si>
    <t>15-09-2023 17:00</t>
  </si>
  <si>
    <t>15-09-2023 18:00</t>
  </si>
  <si>
    <t>15-09-2023 19:00</t>
  </si>
  <si>
    <t>15-09-2023 20:00</t>
  </si>
  <si>
    <t>15-09-2023 21:00</t>
  </si>
  <si>
    <t>15-09-2023 22:00</t>
  </si>
  <si>
    <t>15-09-2023 23:00</t>
  </si>
  <si>
    <t>15-09-2023 24:00</t>
  </si>
  <si>
    <t>16-09-2023 01:00</t>
  </si>
  <si>
    <t>16-09-2023 02:00</t>
  </si>
  <si>
    <t>16-09-2023 03:00</t>
  </si>
  <si>
    <t>16-09-2023 04:00</t>
  </si>
  <si>
    <t>16-09-2023 05:00</t>
  </si>
  <si>
    <t>16-09-2023 06:00</t>
  </si>
  <si>
    <t>16-09-2023 07:00</t>
  </si>
  <si>
    <t>16-09-2023 08:00</t>
  </si>
  <si>
    <t>16-09-2023 09:00</t>
  </si>
  <si>
    <t>16-09-2023 10:00</t>
  </si>
  <si>
    <t>16-09-2023 11:00</t>
  </si>
  <si>
    <t>16-09-2023 12:00</t>
  </si>
  <si>
    <t>16-09-2023 13:00</t>
  </si>
  <si>
    <t>16-09-2023 14:00</t>
  </si>
  <si>
    <t>16-09-2023 15:00</t>
  </si>
  <si>
    <t>16-09-2023 16:00</t>
  </si>
  <si>
    <t>16-09-2023 17:00</t>
  </si>
  <si>
    <t>16-09-2023 18:00</t>
  </si>
  <si>
    <t>16-09-2023 19:00</t>
  </si>
  <si>
    <t>16-09-2023 20:00</t>
  </si>
  <si>
    <t>16-09-2023 21:00</t>
  </si>
  <si>
    <t>16-09-2023 22:00</t>
  </si>
  <si>
    <t>16-09-2023 23:00</t>
  </si>
  <si>
    <t>16-09-2023 24:00</t>
  </si>
  <si>
    <t>17-09-2023 01:00</t>
  </si>
  <si>
    <t>17-09-2023 02:00</t>
  </si>
  <si>
    <t>17-09-2023 03:00</t>
  </si>
  <si>
    <t>17-09-2023 04:00</t>
  </si>
  <si>
    <t>17-09-2023 05:00</t>
  </si>
  <si>
    <t>17-09-2023 06:00</t>
  </si>
  <si>
    <t>17-09-2023 07:00</t>
  </si>
  <si>
    <t>17-09-2023 08:00</t>
  </si>
  <si>
    <t>17-09-2023 09:00</t>
  </si>
  <si>
    <t>17-09-2023 10:00</t>
  </si>
  <si>
    <t>17-09-2023 11:00</t>
  </si>
  <si>
    <t>17-09-2023 12:00</t>
  </si>
  <si>
    <t>17-09-2023 13:00</t>
  </si>
  <si>
    <t>17-09-2023 14:00</t>
  </si>
  <si>
    <t>17-09-2023 15:00</t>
  </si>
  <si>
    <t>17-09-2023 16:00</t>
  </si>
  <si>
    <t>17-09-2023 17:00</t>
  </si>
  <si>
    <t>17-09-2023 18:00</t>
  </si>
  <si>
    <t>17-09-2023 19:00</t>
  </si>
  <si>
    <t>17-09-2023 20:00</t>
  </si>
  <si>
    <t>17-09-2023 21:00</t>
  </si>
  <si>
    <t>17-09-2023 22:00</t>
  </si>
  <si>
    <t>17-09-2023 23:00</t>
  </si>
  <si>
    <t>17-09-2023 24:00</t>
  </si>
  <si>
    <t>18-09-2023 01:00</t>
  </si>
  <si>
    <t>18-09-2023 02:00</t>
  </si>
  <si>
    <t>18-09-2023 03:00</t>
  </si>
  <si>
    <t>18-09-2023 04:00</t>
  </si>
  <si>
    <t>18-09-2023 05:00</t>
  </si>
  <si>
    <t>18-09-2023 06:00</t>
  </si>
  <si>
    <t>18-09-2023 07:00</t>
  </si>
  <si>
    <t>18-09-2023 08:00</t>
  </si>
  <si>
    <t>18-09-2023 09:00</t>
  </si>
  <si>
    <t>18-09-2023 10:00</t>
  </si>
  <si>
    <t>18-09-2023 11:00</t>
  </si>
  <si>
    <t>18-09-2023 12:00</t>
  </si>
  <si>
    <t>18-09-2023 13:00</t>
  </si>
  <si>
    <t>18-09-2023 14:00</t>
  </si>
  <si>
    <t>18-09-2023 15:00</t>
  </si>
  <si>
    <t>18-09-2023 16:00</t>
  </si>
  <si>
    <t>18-09-2023 17:00</t>
  </si>
  <si>
    <t>18-09-2023 18:00</t>
  </si>
  <si>
    <t>18-09-2023 19:00</t>
  </si>
  <si>
    <t>18-09-2023 20:00</t>
  </si>
  <si>
    <t>18-09-2023 21:00</t>
  </si>
  <si>
    <t>18-09-2023 22:00</t>
  </si>
  <si>
    <t>18-09-2023 23:00</t>
  </si>
  <si>
    <t>18-09-2023 24:00</t>
  </si>
  <si>
    <t>19-09-2023 01:00</t>
  </si>
  <si>
    <t>19-09-2023 02:00</t>
  </si>
  <si>
    <t>19-09-2023 03:00</t>
  </si>
  <si>
    <t>19-09-2023 04:00</t>
  </si>
  <si>
    <t>19-09-2023 05:00</t>
  </si>
  <si>
    <t>19-09-2023 06:00</t>
  </si>
  <si>
    <t>19-09-2023 07:00</t>
  </si>
  <si>
    <t>19-09-2023 08:00</t>
  </si>
  <si>
    <t>19-09-2023 09:00</t>
  </si>
  <si>
    <t>19-09-2023 10:00</t>
  </si>
  <si>
    <t>19-09-2023 11:00</t>
  </si>
  <si>
    <t>19-09-2023 12:00</t>
  </si>
  <si>
    <t>19-09-2023 13:00</t>
  </si>
  <si>
    <t>19-09-2023 14:00</t>
  </si>
  <si>
    <t>19-09-2023 15:00</t>
  </si>
  <si>
    <t>19-09-2023 16:00</t>
  </si>
  <si>
    <t>19-09-2023 17:00</t>
  </si>
  <si>
    <t>19-09-2023 18:00</t>
  </si>
  <si>
    <t>19-09-2023 19:00</t>
  </si>
  <si>
    <t>19-09-2023 20:00</t>
  </si>
  <si>
    <t>19-09-2023 21:00</t>
  </si>
  <si>
    <t>19-09-2023 22:00</t>
  </si>
  <si>
    <t>19-09-2023 23:00</t>
  </si>
  <si>
    <t>19-09-2023 24:00</t>
  </si>
  <si>
    <t>20-09-2023 01:00</t>
  </si>
  <si>
    <t>20-09-2023 02:00</t>
  </si>
  <si>
    <t>20-09-2023 03:00</t>
  </si>
  <si>
    <t>20-09-2023 04:00</t>
  </si>
  <si>
    <t>20-09-2023 05:00</t>
  </si>
  <si>
    <t>20-09-2023 06:00</t>
  </si>
  <si>
    <t>20-09-2023 07:00</t>
  </si>
  <si>
    <t>20-09-2023 08:00</t>
  </si>
  <si>
    <t>20-09-2023 09:00</t>
  </si>
  <si>
    <t>20-09-2023 10:00</t>
  </si>
  <si>
    <t>20-09-2023 11:00</t>
  </si>
  <si>
    <t>20-09-2023 12:00</t>
  </si>
  <si>
    <t>20-09-2023 13:00</t>
  </si>
  <si>
    <t>20-09-2023 14:00</t>
  </si>
  <si>
    <t>20-09-2023 15:00</t>
  </si>
  <si>
    <t>20-09-2023 16:00</t>
  </si>
  <si>
    <t>20-09-2023 17:00</t>
  </si>
  <si>
    <t>20-09-2023 18:00</t>
  </si>
  <si>
    <t>20-09-2023 19:00</t>
  </si>
  <si>
    <t>20-09-2023 20:00</t>
  </si>
  <si>
    <t>20-09-2023 21:00</t>
  </si>
  <si>
    <t>20-09-2023 22:00</t>
  </si>
  <si>
    <t>20-09-2023 23:00</t>
  </si>
  <si>
    <t>20-09-2023 24:00</t>
  </si>
  <si>
    <t>21-09-2023 01:00</t>
  </si>
  <si>
    <t>21-09-2023 02:00</t>
  </si>
  <si>
    <t>21-09-2023 03:00</t>
  </si>
  <si>
    <t>21-09-2023 04:00</t>
  </si>
  <si>
    <t>21-09-2023 05:00</t>
  </si>
  <si>
    <t>21-09-2023 06:00</t>
  </si>
  <si>
    <t>21-09-2023 07:00</t>
  </si>
  <si>
    <t>21-09-2023 08:00</t>
  </si>
  <si>
    <t>21-09-2023 09:00</t>
  </si>
  <si>
    <t>21-09-2023 10:00</t>
  </si>
  <si>
    <t>21-09-2023 11:00</t>
  </si>
  <si>
    <t>21-09-2023 12:00</t>
  </si>
  <si>
    <t>21-09-2023 13:00</t>
  </si>
  <si>
    <t>21-09-2023 14:00</t>
  </si>
  <si>
    <t>21-09-2023 15:00</t>
  </si>
  <si>
    <t>21-09-2023 16:00</t>
  </si>
  <si>
    <t>21-09-2023 17:00</t>
  </si>
  <si>
    <t>21-09-2023 18:00</t>
  </si>
  <si>
    <t>21-09-2023 19:00</t>
  </si>
  <si>
    <t>21-09-2023 20:00</t>
  </si>
  <si>
    <t>21-09-2023 21:00</t>
  </si>
  <si>
    <t>21-09-2023 22:00</t>
  </si>
  <si>
    <t>21-09-2023 23:00</t>
  </si>
  <si>
    <t>21-09-2023 24:00</t>
  </si>
  <si>
    <t>22-09-2023 01:00</t>
  </si>
  <si>
    <t>22-09-2023 02:00</t>
  </si>
  <si>
    <t>22-09-2023 03:00</t>
  </si>
  <si>
    <t>22-09-2023 04:00</t>
  </si>
  <si>
    <t>22-09-2023 05:00</t>
  </si>
  <si>
    <t>22-09-2023 06:00</t>
  </si>
  <si>
    <t>22-09-2023 07:00</t>
  </si>
  <si>
    <t>22-09-2023 08:00</t>
  </si>
  <si>
    <t>22-09-2023 09:00</t>
  </si>
  <si>
    <t>22-09-2023 10:00</t>
  </si>
  <si>
    <t>22-09-2023 11:00</t>
  </si>
  <si>
    <t>22-09-2023 12:00</t>
  </si>
  <si>
    <t>22-09-2023 13:00</t>
  </si>
  <si>
    <t>22-09-2023 14:00</t>
  </si>
  <si>
    <t>22-09-2023 15:00</t>
  </si>
  <si>
    <t>22-09-2023 16:00</t>
  </si>
  <si>
    <t>22-09-2023 17:00</t>
  </si>
  <si>
    <t>22-09-2023 18:00</t>
  </si>
  <si>
    <t>22-09-2023 19:00</t>
  </si>
  <si>
    <t>22-09-2023 20:00</t>
  </si>
  <si>
    <t>22-09-2023 21:00</t>
  </si>
  <si>
    <t>22-09-2023 22:00</t>
  </si>
  <si>
    <t>22-09-2023 23:00</t>
  </si>
  <si>
    <t>22-09-2023 24:00</t>
  </si>
  <si>
    <t>23-09-2023 01:00</t>
  </si>
  <si>
    <t>23-09-2023 02:00</t>
  </si>
  <si>
    <t>23-09-2023 03:00</t>
  </si>
  <si>
    <t>23-09-2023 04:00</t>
  </si>
  <si>
    <t>23-09-2023 05:00</t>
  </si>
  <si>
    <t>23-09-2023 06:00</t>
  </si>
  <si>
    <t>23-09-2023 07:00</t>
  </si>
  <si>
    <t>23-09-2023 08:00</t>
  </si>
  <si>
    <t>23-09-2023 09:00</t>
  </si>
  <si>
    <t>23-09-2023 10:00</t>
  </si>
  <si>
    <t>23-09-2023 11:00</t>
  </si>
  <si>
    <t>23-09-2023 12:00</t>
  </si>
  <si>
    <t>23-09-2023 13:00</t>
  </si>
  <si>
    <t>23-09-2023 14:00</t>
  </si>
  <si>
    <t>23-09-2023 15:00</t>
  </si>
  <si>
    <t>23-09-2023 16:00</t>
  </si>
  <si>
    <t>23-09-2023 17:00</t>
  </si>
  <si>
    <t>23-09-2023 18:00</t>
  </si>
  <si>
    <t>23-09-2023 19:00</t>
  </si>
  <si>
    <t>23-09-2023 20:00</t>
  </si>
  <si>
    <t>23-09-2023 21:00</t>
  </si>
  <si>
    <t>23-09-2023 22:00</t>
  </si>
  <si>
    <t>23-09-2023 23:00</t>
  </si>
  <si>
    <t>23-09-2023 24:00</t>
  </si>
  <si>
    <t>24-09-2023 01:00</t>
  </si>
  <si>
    <t>24-09-2023 02:00</t>
  </si>
  <si>
    <t>24-09-2023 03:00</t>
  </si>
  <si>
    <t>24-09-2023 04:00</t>
  </si>
  <si>
    <t>24-09-2023 05:00</t>
  </si>
  <si>
    <t>24-09-2023 06:00</t>
  </si>
  <si>
    <t>24-09-2023 07:00</t>
  </si>
  <si>
    <t>24-09-2023 08:00</t>
  </si>
  <si>
    <t>24-09-2023 09:00</t>
  </si>
  <si>
    <t>24-09-2023 10:00</t>
  </si>
  <si>
    <t>24-09-2023 11:00</t>
  </si>
  <si>
    <t>24-09-2023 12:00</t>
  </si>
  <si>
    <t>24-09-2023 13:00</t>
  </si>
  <si>
    <t>24-09-2023 14:00</t>
  </si>
  <si>
    <t>24-09-2023 15:00</t>
  </si>
  <si>
    <t>24-09-2023 16:00</t>
  </si>
  <si>
    <t>24-09-2023 17:00</t>
  </si>
  <si>
    <t>24-09-2023 18:00</t>
  </si>
  <si>
    <t>24-09-2023 19:00</t>
  </si>
  <si>
    <t>24-09-2023 20:00</t>
  </si>
  <si>
    <t>24-09-2023 21:00</t>
  </si>
  <si>
    <t>24-09-2023 22:00</t>
  </si>
  <si>
    <t>24-09-2023 23:00</t>
  </si>
  <si>
    <t>24-09-2023 24:00</t>
  </si>
  <si>
    <t>25-09-2023 01:00</t>
  </si>
  <si>
    <t>25-09-2023 02:00</t>
  </si>
  <si>
    <t>25-09-2023 03:00</t>
  </si>
  <si>
    <t>25-09-2023 04:00</t>
  </si>
  <si>
    <t>25-09-2023 05:00</t>
  </si>
  <si>
    <t>25-09-2023 06:00</t>
  </si>
  <si>
    <t>25-09-2023 07:00</t>
  </si>
  <si>
    <t>25-09-2023 08:00</t>
  </si>
  <si>
    <t>25-09-2023 09:00</t>
  </si>
  <si>
    <t>25-09-2023 10:00</t>
  </si>
  <si>
    <t>25-09-2023 11:00</t>
  </si>
  <si>
    <t>25-09-2023 12:00</t>
  </si>
  <si>
    <t>25-09-2023 13:00</t>
  </si>
  <si>
    <t>25-09-2023 14:00</t>
  </si>
  <si>
    <t>25-09-2023 15:00</t>
  </si>
  <si>
    <t>25-09-2023 16:00</t>
  </si>
  <si>
    <t>25-09-2023 17:00</t>
  </si>
  <si>
    <t>25-09-2023 18:00</t>
  </si>
  <si>
    <t>25-09-2023 19:00</t>
  </si>
  <si>
    <t>25-09-2023 20:00</t>
  </si>
  <si>
    <t>25-09-2023 21:00</t>
  </si>
  <si>
    <t>25-09-2023 22:00</t>
  </si>
  <si>
    <t>25-09-2023 23:00</t>
  </si>
  <si>
    <t>25-09-2023 24:00</t>
  </si>
  <si>
    <t>26-09-2023 01:00</t>
  </si>
  <si>
    <t>26-09-2023 02:00</t>
  </si>
  <si>
    <t>26-09-2023 03:00</t>
  </si>
  <si>
    <t>26-09-2023 04:00</t>
  </si>
  <si>
    <t>26-09-2023 05:00</t>
  </si>
  <si>
    <t>26-09-2023 06:00</t>
  </si>
  <si>
    <t>26-09-2023 07:00</t>
  </si>
  <si>
    <t>26-09-2023 08:00</t>
  </si>
  <si>
    <t>26-09-2023 09:00</t>
  </si>
  <si>
    <t>26-09-2023 10:00</t>
  </si>
  <si>
    <t>26-09-2023 11:00</t>
  </si>
  <si>
    <t>26-09-2023 12:00</t>
  </si>
  <si>
    <t>26-09-2023 13:00</t>
  </si>
  <si>
    <t>26-09-2023 14:00</t>
  </si>
  <si>
    <t>26-09-2023 15:00</t>
  </si>
  <si>
    <t>26-09-2023 16:00</t>
  </si>
  <si>
    <t>26-09-2023 17:00</t>
  </si>
  <si>
    <t>26-09-2023 18:00</t>
  </si>
  <si>
    <t>26-09-2023 19:00</t>
  </si>
  <si>
    <t>26-09-2023 20:00</t>
  </si>
  <si>
    <t>26-09-2023 21:00</t>
  </si>
  <si>
    <t>26-09-2023 22:00</t>
  </si>
  <si>
    <t>26-09-2023 23:00</t>
  </si>
  <si>
    <t>26-09-2023 24:00</t>
  </si>
  <si>
    <t>27-09-2023 01:00</t>
  </si>
  <si>
    <t>27-09-2023 02:00</t>
  </si>
  <si>
    <t>27-09-2023 03:00</t>
  </si>
  <si>
    <t>27-09-2023 04:00</t>
  </si>
  <si>
    <t>27-09-2023 05:00</t>
  </si>
  <si>
    <t>27-09-2023 06:00</t>
  </si>
  <si>
    <t>27-09-2023 07:00</t>
  </si>
  <si>
    <t>27-09-2023 08:00</t>
  </si>
  <si>
    <t>27-09-2023 09:00</t>
  </si>
  <si>
    <t>27-09-2023 10:00</t>
  </si>
  <si>
    <t>27-09-2023 11:00</t>
  </si>
  <si>
    <t>27-09-2023 12:00</t>
  </si>
  <si>
    <t>27-09-2023 13:00</t>
  </si>
  <si>
    <t>27-09-2023 14:00</t>
  </si>
  <si>
    <t>27-09-2023 15:00</t>
  </si>
  <si>
    <t>27-09-2023 16:00</t>
  </si>
  <si>
    <t>27-09-2023 17:00</t>
  </si>
  <si>
    <t>27-09-2023 18:00</t>
  </si>
  <si>
    <t>27-09-2023 19:00</t>
  </si>
  <si>
    <t>27-09-2023 20:00</t>
  </si>
  <si>
    <t>27-09-2023 21:00</t>
  </si>
  <si>
    <t>27-09-2023 22:00</t>
  </si>
  <si>
    <t>27-09-2023 23:00</t>
  </si>
  <si>
    <t>27-09-2023 24:00</t>
  </si>
  <si>
    <t>28-09-2023 01:00</t>
  </si>
  <si>
    <t>28-09-2023 02:00</t>
  </si>
  <si>
    <t>28-09-2023 03:00</t>
  </si>
  <si>
    <t>28-09-2023 04:00</t>
  </si>
  <si>
    <t>28-09-2023 05:00</t>
  </si>
  <si>
    <t>28-09-2023 06:00</t>
  </si>
  <si>
    <t>28-09-2023 07:00</t>
  </si>
  <si>
    <t>28-09-2023 08:00</t>
  </si>
  <si>
    <t>28-09-2023 09:00</t>
  </si>
  <si>
    <t>28-09-2023 10:00</t>
  </si>
  <si>
    <t>28-09-2023 11:00</t>
  </si>
  <si>
    <t>28-09-2023 12:00</t>
  </si>
  <si>
    <t>28-09-2023 13:00</t>
  </si>
  <si>
    <t>28-09-2023 14:00</t>
  </si>
  <si>
    <t>28-09-2023 15:00</t>
  </si>
  <si>
    <t>28-09-2023 16:00</t>
  </si>
  <si>
    <t>28-09-2023 17:00</t>
  </si>
  <si>
    <t>28-09-2023 18:00</t>
  </si>
  <si>
    <t>28-09-2023 19:00</t>
  </si>
  <si>
    <t>28-09-2023 20:00</t>
  </si>
  <si>
    <t>28-09-2023 21:00</t>
  </si>
  <si>
    <t>28-09-2023 22:00</t>
  </si>
  <si>
    <t>28-09-2023 23:00</t>
  </si>
  <si>
    <t>28-09-2023 24:00</t>
  </si>
  <si>
    <t>29-09-2023 01:00</t>
  </si>
  <si>
    <t>29-09-2023 02:00</t>
  </si>
  <si>
    <t>29-09-2023 03:00</t>
  </si>
  <si>
    <t>29-09-2023 04:00</t>
  </si>
  <si>
    <t>29-09-2023 05:00</t>
  </si>
  <si>
    <t>29-09-2023 06:00</t>
  </si>
  <si>
    <t>29-09-2023 07:00</t>
  </si>
  <si>
    <t>29-09-2023 08:00</t>
  </si>
  <si>
    <t>29-09-2023 09:00</t>
  </si>
  <si>
    <t>29-09-2023 10:00</t>
  </si>
  <si>
    <t>29-09-2023 11:00</t>
  </si>
  <si>
    <t>29-09-2023 12:00</t>
  </si>
  <si>
    <t>29-09-2023 13:00</t>
  </si>
  <si>
    <t>29-09-2023 14:00</t>
  </si>
  <si>
    <t>29-09-2023 15:00</t>
  </si>
  <si>
    <t>29-09-2023 16:00</t>
  </si>
  <si>
    <t>29-09-2023 17:00</t>
  </si>
  <si>
    <t>29-09-2023 18:00</t>
  </si>
  <si>
    <t>29-09-2023 19:00</t>
  </si>
  <si>
    <t>29-09-2023 20:00</t>
  </si>
  <si>
    <t>29-09-2023 21:00</t>
  </si>
  <si>
    <t>29-09-2023 22:00</t>
  </si>
  <si>
    <t>29-09-2023 23:00</t>
  </si>
  <si>
    <t>29-09-2023 24:00</t>
  </si>
  <si>
    <t>30-09-2023 01:00</t>
  </si>
  <si>
    <t>30-09-2023 02:00</t>
  </si>
  <si>
    <t>30-09-2023 03:00</t>
  </si>
  <si>
    <t>30-09-2023 04:00</t>
  </si>
  <si>
    <t>30-09-2023 05:00</t>
  </si>
  <si>
    <t>30-09-2023 06:00</t>
  </si>
  <si>
    <t>30-09-2023 07:00</t>
  </si>
  <si>
    <t>30-09-2023 08:00</t>
  </si>
  <si>
    <t>30-09-2023 09:00</t>
  </si>
  <si>
    <t>30-09-2023 10:00</t>
  </si>
  <si>
    <t>30-09-2023 11:00</t>
  </si>
  <si>
    <t>30-09-2023 12:00</t>
  </si>
  <si>
    <t>30-09-2023 13:00</t>
  </si>
  <si>
    <t>30-09-2023 14:00</t>
  </si>
  <si>
    <t>30-09-2023 15:00</t>
  </si>
  <si>
    <t>30-09-2023 16:00</t>
  </si>
  <si>
    <t>30-09-2023 17:00</t>
  </si>
  <si>
    <t>30-09-2023 18:00</t>
  </si>
  <si>
    <t>30-09-2023 19:00</t>
  </si>
  <si>
    <t>30-09-2023 20:00</t>
  </si>
  <si>
    <t>30-09-2023 21:00</t>
  </si>
  <si>
    <t>30-09-2023 22:00</t>
  </si>
  <si>
    <t>30-09-2023 23:00</t>
  </si>
  <si>
    <t>30-09-2023 24:00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</si>
</sst>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0003962517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0003962517"/>
        <bgColor indexed="64"/>
      </patternFill>
    </fill>
    <fill>
      <patternFill patternType="solid">
        <fgColor theme="0" tint="-0.249970003962517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4">
    <xf numFmtId="0" fontId="0" fillId="0" borderId="0" xfId="0"/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8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2" fontId="5" fillId="0" borderId="1" xfId="0" applyNumberFormat="1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2" fontId="13" fillId="0" borderId="1" xfId="0" applyNumberFormat="1" applyFont="1" applyFill="1" applyBorder="1" applyAlignment="1">
      <alignment horizontal="center"/>
    </xf>
    <xf numFmtId="0" fontId="13" fillId="0" borderId="0" xfId="0" applyFont="1" applyFill="1"/>
    <xf numFmtId="2" fontId="13" fillId="0" borderId="0" xfId="0" applyNumberFormat="1" applyFont="1" applyFill="1"/>
    <xf numFmtId="14" fontId="5" fillId="0" borderId="1" xfId="0" applyNumberFormat="1" applyFont="1" applyFill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/>
    </xf>
    <xf numFmtId="0" fontId="14" fillId="0" borderId="0" xfId="0" applyFont="1" applyFill="1" applyAlignment="1">
      <alignment vertic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/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3" fillId="0" borderId="0" xfId="0" applyNumberFormat="1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horizontal="center"/>
    </xf>
    <xf numFmtId="0" fontId="0" fillId="0" borderId="0" xfId="0" applyBorder="1"/>
    <xf numFmtId="0" fontId="7" fillId="0" borderId="1" xfId="0" applyFont="1" applyBorder="1"/>
    <xf numFmtId="0" fontId="2" fillId="0" borderId="1" xfId="0" applyFont="1" applyFill="1" applyBorder="1" applyAlignment="1">
      <alignment/>
    </xf>
    <xf numFmtId="0" fontId="7" fillId="0" borderId="1" xfId="0" applyFont="1" applyBorder="1" applyAlignment="1">
      <alignment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/>
    </xf>
    <xf numFmtId="0" fontId="2" fillId="0" borderId="2" xfId="0" applyFont="1" applyBorder="1" applyAlignment="1">
      <alignment/>
    </xf>
    <xf numFmtId="0" fontId="15" fillId="9" borderId="0" xfId="0" applyFont="1" applyFill="1" applyAlignment="1">
      <alignment horizontal="left"/>
    </xf>
  </cellXfs>
  <cellStyles count="6">
    <cellStyle name="Normal" xf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16" Type="http://schemas.openxmlformats.org/officeDocument/2006/relationships/worksheet" Target="worksheets/sheet14.xml" /><Relationship Id="rId23" Type="http://schemas.openxmlformats.org/officeDocument/2006/relationships/worksheet" Target="worksheets/sheet21.xml" /><Relationship Id="rId5" Type="http://schemas.openxmlformats.org/officeDocument/2006/relationships/worksheet" Target="worksheets/sheet3.xml" /><Relationship Id="rId32" Type="http://schemas.openxmlformats.org/officeDocument/2006/relationships/worksheet" Target="worksheets/sheet30.xml" /><Relationship Id="rId13" Type="http://schemas.openxmlformats.org/officeDocument/2006/relationships/worksheet" Target="worksheets/sheet11.xml" /><Relationship Id="rId17" Type="http://schemas.openxmlformats.org/officeDocument/2006/relationships/worksheet" Target="worksheets/sheet15.xml" /><Relationship Id="rId34" Type="http://schemas.openxmlformats.org/officeDocument/2006/relationships/sharedStrings" Target="sharedStrings.xml" /><Relationship Id="rId15" Type="http://schemas.openxmlformats.org/officeDocument/2006/relationships/worksheet" Target="worksheets/sheet13.xml" /><Relationship Id="rId9" Type="http://schemas.openxmlformats.org/officeDocument/2006/relationships/worksheet" Target="worksheets/sheet7.xml" /><Relationship Id="rId27" Type="http://schemas.openxmlformats.org/officeDocument/2006/relationships/worksheet" Target="worksheets/sheet25.xml" /><Relationship Id="rId25" Type="http://schemas.openxmlformats.org/officeDocument/2006/relationships/worksheet" Target="worksheets/sheet23.xml" /><Relationship Id="rId22" Type="http://schemas.openxmlformats.org/officeDocument/2006/relationships/worksheet" Target="worksheets/sheet20.xml" /><Relationship Id="rId20" Type="http://schemas.openxmlformats.org/officeDocument/2006/relationships/worksheet" Target="worksheets/sheet18.xml" /><Relationship Id="rId35" Type="http://schemas.openxmlformats.org/officeDocument/2006/relationships/calcChain" Target="calcChain.xml" /><Relationship Id="rId2" Type="http://schemas.openxmlformats.org/officeDocument/2006/relationships/styles" Target="styles.xml" /><Relationship Id="rId31" Type="http://schemas.openxmlformats.org/officeDocument/2006/relationships/worksheet" Target="worksheets/sheet29.xml" /><Relationship Id="rId33" Type="http://schemas.openxmlformats.org/officeDocument/2006/relationships/worksheet" Target="worksheets/sheet31.xml" /><Relationship Id="rId28" Type="http://schemas.openxmlformats.org/officeDocument/2006/relationships/worksheet" Target="worksheets/sheet26.xml" /><Relationship Id="rId7" Type="http://schemas.openxmlformats.org/officeDocument/2006/relationships/worksheet" Target="worksheets/sheet5.xml" /><Relationship Id="rId12" Type="http://schemas.openxmlformats.org/officeDocument/2006/relationships/worksheet" Target="worksheets/sheet10.xml" /><Relationship Id="rId19" Type="http://schemas.openxmlformats.org/officeDocument/2006/relationships/worksheet" Target="worksheets/sheet17.xml" /><Relationship Id="rId26" Type="http://schemas.openxmlformats.org/officeDocument/2006/relationships/worksheet" Target="worksheets/sheet24.xml" /><Relationship Id="rId1" Type="http://schemas.openxmlformats.org/officeDocument/2006/relationships/theme" Target="theme/theme1.xml" /><Relationship Id="rId21" Type="http://schemas.openxmlformats.org/officeDocument/2006/relationships/worksheet" Target="worksheets/sheet19.xml" /><Relationship Id="rId24" Type="http://schemas.openxmlformats.org/officeDocument/2006/relationships/worksheet" Target="worksheets/sheet22.xml" /><Relationship Id="rId3" Type="http://schemas.openxmlformats.org/officeDocument/2006/relationships/worksheet" Target="worksheets/sheet1.xml" /><Relationship Id="rId14" Type="http://schemas.openxmlformats.org/officeDocument/2006/relationships/worksheet" Target="worksheets/sheet12.xml" /><Relationship Id="rId6" Type="http://schemas.openxmlformats.org/officeDocument/2006/relationships/worksheet" Target="worksheets/sheet4.xml" /><Relationship Id="rId18" Type="http://schemas.openxmlformats.org/officeDocument/2006/relationships/worksheet" Target="worksheets/sheet16.xml" /><Relationship Id="rId10" Type="http://schemas.openxmlformats.org/officeDocument/2006/relationships/worksheet" Target="worksheets/sheet8.xml" /><Relationship Id="rId30" Type="http://schemas.openxmlformats.org/officeDocument/2006/relationships/worksheet" Target="worksheets/sheet28.xml" /><Relationship Id="rId11" Type="http://schemas.openxmlformats.org/officeDocument/2006/relationships/worksheet" Target="worksheets/sheet9.xml" /><Relationship Id="rId29" Type="http://schemas.openxmlformats.org/officeDocument/2006/relationships/worksheet" Target="worksheets/sheet27.xml" /><Relationship Id="rId8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7cf39c1-48e6-4fc8-b3f2-6421fb567477}">
  <sheetPr codeName=""/>
  <dimension ref="A1:U119"/>
  <sheetViews>
    <sheetView workbookViewId="0" topLeftCell="A1">
      <pane xSplit="2" ySplit="8" topLeftCell="C9" activePane="bottomRight" state="frozen"/>
      <selection pane="topLeft" activeCell="U32" sqref="A9:U32"/>
      <selection pane="topRight" activeCell="U32" sqref="A9:U32"/>
      <selection pane="bottomLeft" activeCell="U32" sqref="A9:U32"/>
      <selection pane="bottomRight" activeCell="H66" sqref="H66"/>
    </sheetView>
  </sheetViews>
  <sheetFormatPr defaultColWidth="8.85881696428571" defaultRowHeight="15"/>
  <cols>
    <col min="1" max="1" width="18.2857142857143" style="26" customWidth="1"/>
    <col min="2" max="2" width="14.2857142857143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40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01-09-2023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62</v>
      </c>
      <c r="B9" s="54">
        <v>23.74</v>
      </c>
      <c r="C9" s="54">
        <v>33.72</v>
      </c>
      <c r="D9" s="54">
        <v>32.26</v>
      </c>
      <c r="E9" s="54">
        <v>4.24</v>
      </c>
      <c r="F9" s="54">
        <v>7.86</v>
      </c>
      <c r="G9" s="54">
        <v>108.34</v>
      </c>
      <c r="H9" s="54">
        <v>30.97</v>
      </c>
      <c r="I9" s="54">
        <v>0.13</v>
      </c>
      <c r="J9" s="54">
        <v>0.11</v>
      </c>
      <c r="K9" s="54">
        <v>342.45</v>
      </c>
      <c r="L9" s="54">
        <v>25.12</v>
      </c>
      <c r="M9" s="54">
        <v>92.85</v>
      </c>
      <c r="N9" s="54">
        <v>6.80</v>
      </c>
      <c r="O9" s="54">
        <v>0</v>
      </c>
      <c r="P9" s="54">
        <v>0.93</v>
      </c>
      <c r="Q9" s="54">
        <v>22.41</v>
      </c>
      <c r="R9" s="43"/>
      <c r="S9" s="43"/>
      <c r="T9" s="43"/>
      <c r="U9" s="43"/>
    </row>
    <row r="10" spans="1:21" s="11" customFormat="1" ht="15">
      <c r="A10" s="53" t="s">
        <v>63</v>
      </c>
      <c r="B10" s="54">
        <v>7.96</v>
      </c>
      <c r="C10" s="54">
        <v>36.76</v>
      </c>
      <c r="D10" s="54">
        <v>27.38</v>
      </c>
      <c r="E10" s="54">
        <v>4.12</v>
      </c>
      <c r="F10" s="54">
        <v>7.09</v>
      </c>
      <c r="G10" s="54">
        <v>92.69</v>
      </c>
      <c r="H10" s="54">
        <v>30.32</v>
      </c>
      <c r="I10" s="54">
        <v>0.11</v>
      </c>
      <c r="J10" s="54">
        <v>0.09</v>
      </c>
      <c r="K10" s="54">
        <v>316.01</v>
      </c>
      <c r="L10" s="54">
        <v>24.75</v>
      </c>
      <c r="M10" s="54">
        <v>98</v>
      </c>
      <c r="N10" s="54">
        <v>6.90</v>
      </c>
      <c r="O10" s="54">
        <v>0</v>
      </c>
      <c r="P10" s="54">
        <v>0.65</v>
      </c>
      <c r="Q10" s="54">
        <v>23.11</v>
      </c>
      <c r="R10" s="43"/>
      <c r="S10" s="43"/>
      <c r="T10" s="43"/>
      <c r="U10" s="43"/>
    </row>
    <row r="11" spans="1:21" s="11" customFormat="1" ht="15">
      <c r="A11" s="53" t="s">
        <v>64</v>
      </c>
      <c r="B11" s="54">
        <v>16.80</v>
      </c>
      <c r="C11" s="54">
        <v>41.47</v>
      </c>
      <c r="D11" s="54">
        <v>32.75</v>
      </c>
      <c r="E11" s="54">
        <v>4.09</v>
      </c>
      <c r="F11" s="54">
        <v>7.10</v>
      </c>
      <c r="G11" s="54">
        <v>80.459999999999994</v>
      </c>
      <c r="H11" s="54">
        <v>28.01</v>
      </c>
      <c r="I11" s="54">
        <v>0.12</v>
      </c>
      <c r="J11" s="54">
        <v>0.28000000000000003</v>
      </c>
      <c r="K11" s="54">
        <v>205.55</v>
      </c>
      <c r="L11" s="54">
        <v>24.51</v>
      </c>
      <c r="M11" s="54">
        <v>98.25</v>
      </c>
      <c r="N11" s="54">
        <v>6.60</v>
      </c>
      <c r="O11" s="54">
        <v>0</v>
      </c>
      <c r="P11" s="54">
        <v>0.75</v>
      </c>
      <c r="Q11" s="54">
        <v>22.71</v>
      </c>
      <c r="R11" s="43"/>
      <c r="S11" s="43"/>
      <c r="T11" s="43"/>
      <c r="U11" s="43"/>
    </row>
    <row r="12" spans="1:21" s="11" customFormat="1" ht="15">
      <c r="A12" s="53" t="s">
        <v>65</v>
      </c>
      <c r="B12" s="54">
        <v>21.35</v>
      </c>
      <c r="C12" s="54">
        <v>25.03</v>
      </c>
      <c r="D12" s="54">
        <v>32.229999999999997</v>
      </c>
      <c r="E12" s="54">
        <v>3.86</v>
      </c>
      <c r="F12" s="54">
        <v>4.57</v>
      </c>
      <c r="G12" s="54">
        <v>77.099999999999994</v>
      </c>
      <c r="H12" s="54">
        <v>24.68</v>
      </c>
      <c r="I12" s="54">
        <v>0.12</v>
      </c>
      <c r="J12" s="54">
        <v>0.09</v>
      </c>
      <c r="K12" s="54">
        <v>321.97000000000003</v>
      </c>
      <c r="L12" s="54">
        <v>23.94</v>
      </c>
      <c r="M12" s="54">
        <v>98.28</v>
      </c>
      <c r="N12" s="54">
        <v>6.80</v>
      </c>
      <c r="O12" s="54">
        <v>0</v>
      </c>
      <c r="P12" s="54">
        <v>0.70</v>
      </c>
      <c r="Q12" s="54">
        <v>21.19</v>
      </c>
      <c r="R12" s="43"/>
      <c r="S12" s="43"/>
      <c r="T12" s="43"/>
      <c r="U12" s="43"/>
    </row>
    <row r="13" spans="1:21" s="11" customFormat="1" ht="15">
      <c r="A13" s="53" t="s">
        <v>66</v>
      </c>
      <c r="B13" s="54">
        <v>16.97</v>
      </c>
      <c r="C13" s="54">
        <v>25.91</v>
      </c>
      <c r="D13" s="54">
        <v>28.95</v>
      </c>
      <c r="E13" s="54">
        <v>4.4400000000000004</v>
      </c>
      <c r="F13" s="54">
        <v>4.08</v>
      </c>
      <c r="G13" s="54">
        <v>66.540000000000006</v>
      </c>
      <c r="H13" s="54">
        <v>24.68</v>
      </c>
      <c r="I13" s="54">
        <v>0.11</v>
      </c>
      <c r="J13" s="54">
        <v>0.09</v>
      </c>
      <c r="K13" s="54">
        <v>296.04000000000002</v>
      </c>
      <c r="L13" s="54">
        <v>23.92</v>
      </c>
      <c r="M13" s="54">
        <v>98.28</v>
      </c>
      <c r="N13" s="54">
        <v>6.60</v>
      </c>
      <c r="O13" s="54">
        <v>0</v>
      </c>
      <c r="P13" s="54">
        <v>0.69</v>
      </c>
      <c r="Q13" s="54">
        <v>22.61</v>
      </c>
      <c r="R13" s="43"/>
      <c r="S13" s="43"/>
      <c r="T13" s="43"/>
      <c r="U13" s="43"/>
    </row>
    <row r="14" spans="1:21" s="11" customFormat="1" ht="15">
      <c r="A14" s="53" t="s">
        <v>67</v>
      </c>
      <c r="B14" s="54">
        <v>21.68</v>
      </c>
      <c r="C14" s="54">
        <v>34.840000000000003</v>
      </c>
      <c r="D14" s="54">
        <v>31.88</v>
      </c>
      <c r="E14" s="54">
        <v>4.66</v>
      </c>
      <c r="F14" s="54">
        <v>2.88</v>
      </c>
      <c r="G14" s="54">
        <v>63.77</v>
      </c>
      <c r="H14" s="54">
        <v>24.67</v>
      </c>
      <c r="I14" s="54">
        <v>0.12</v>
      </c>
      <c r="J14" s="54">
        <v>0.11</v>
      </c>
      <c r="K14" s="54">
        <v>231.72</v>
      </c>
      <c r="L14" s="54">
        <v>23.96</v>
      </c>
      <c r="M14" s="54">
        <v>98.28</v>
      </c>
      <c r="N14" s="54">
        <v>18.100000000000001</v>
      </c>
      <c r="O14" s="54">
        <v>0</v>
      </c>
      <c r="P14" s="54">
        <v>0.61</v>
      </c>
      <c r="Q14" s="54">
        <v>22.46</v>
      </c>
      <c r="R14" s="43"/>
      <c r="S14" s="43"/>
      <c r="T14" s="43"/>
      <c r="U14" s="43"/>
    </row>
    <row r="15" spans="1:21" s="11" customFormat="1" ht="15">
      <c r="A15" s="53" t="s">
        <v>68</v>
      </c>
      <c r="B15" s="54">
        <v>27.99</v>
      </c>
      <c r="C15" s="54">
        <v>16.88</v>
      </c>
      <c r="D15" s="54">
        <v>32.61</v>
      </c>
      <c r="E15" s="54">
        <v>5.04</v>
      </c>
      <c r="F15" s="54">
        <v>5.33</v>
      </c>
      <c r="G15" s="54">
        <v>59.04</v>
      </c>
      <c r="H15" s="54">
        <v>21.96</v>
      </c>
      <c r="I15" s="54">
        <v>0.13</v>
      </c>
      <c r="J15" s="54">
        <v>0.19</v>
      </c>
      <c r="K15" s="54">
        <v>353.53</v>
      </c>
      <c r="L15" s="54">
        <v>26.17</v>
      </c>
      <c r="M15" s="54">
        <v>98.28</v>
      </c>
      <c r="N15" s="54">
        <v>153.5</v>
      </c>
      <c r="O15" s="54">
        <v>0</v>
      </c>
      <c r="P15" s="54">
        <v>0.68</v>
      </c>
      <c r="Q15" s="54">
        <v>19.850000000000001</v>
      </c>
      <c r="R15" s="43"/>
      <c r="S15" s="43"/>
      <c r="T15" s="43"/>
      <c r="U15" s="43"/>
    </row>
    <row r="16" spans="1:21" s="11" customFormat="1" ht="15">
      <c r="A16" s="53" t="s">
        <v>69</v>
      </c>
      <c r="B16" s="54">
        <v>27.31</v>
      </c>
      <c r="C16" s="54">
        <v>22.71</v>
      </c>
      <c r="D16" s="54">
        <v>35.729999999999997</v>
      </c>
      <c r="E16" s="54">
        <v>4.4800000000000004</v>
      </c>
      <c r="F16" s="54">
        <v>5.29</v>
      </c>
      <c r="G16" s="54">
        <v>55.65</v>
      </c>
      <c r="H16" s="54">
        <v>20.65</v>
      </c>
      <c r="I16" s="54">
        <v>0.12</v>
      </c>
      <c r="J16" s="54">
        <v>0.18</v>
      </c>
      <c r="K16" s="54">
        <v>358.42</v>
      </c>
      <c r="L16" s="54">
        <v>29.30</v>
      </c>
      <c r="M16" s="54">
        <v>86.17</v>
      </c>
      <c r="N16" s="54">
        <v>379</v>
      </c>
      <c r="O16" s="54">
        <v>0</v>
      </c>
      <c r="P16" s="54">
        <v>0.73</v>
      </c>
      <c r="Q16" s="54">
        <v>21.34</v>
      </c>
      <c r="R16" s="43"/>
      <c r="S16" s="43"/>
      <c r="T16" s="43"/>
      <c r="U16" s="43"/>
    </row>
    <row r="17" spans="1:21" s="11" customFormat="1" ht="15">
      <c r="A17" s="53" t="s">
        <v>70</v>
      </c>
      <c r="B17" s="54">
        <v>21.41</v>
      </c>
      <c r="C17" s="54">
        <v>17.87</v>
      </c>
      <c r="D17" s="54">
        <v>27.30</v>
      </c>
      <c r="E17" s="54">
        <v>5.54</v>
      </c>
      <c r="F17" s="54">
        <v>6.74</v>
      </c>
      <c r="G17" s="54">
        <v>61.03</v>
      </c>
      <c r="H17" s="54">
        <v>19.28</v>
      </c>
      <c r="I17" s="54">
        <v>0.13</v>
      </c>
      <c r="J17" s="54">
        <v>0.65</v>
      </c>
      <c r="K17" s="54">
        <v>356.77</v>
      </c>
      <c r="L17" s="54">
        <v>33.60</v>
      </c>
      <c r="M17" s="54">
        <v>69.48</v>
      </c>
      <c r="N17" s="54">
        <v>596.5</v>
      </c>
      <c r="O17" s="54">
        <v>0</v>
      </c>
      <c r="P17" s="54">
        <v>0.69</v>
      </c>
      <c r="Q17" s="54">
        <v>20.420000000000002</v>
      </c>
      <c r="R17" s="43"/>
      <c r="S17" s="43"/>
      <c r="T17" s="43"/>
      <c r="U17" s="43"/>
    </row>
    <row r="18" spans="1:21" s="11" customFormat="1" ht="15">
      <c r="A18" s="53" t="s">
        <v>71</v>
      </c>
      <c r="B18" s="54">
        <v>17.489999999999998</v>
      </c>
      <c r="C18" s="54">
        <v>22.73</v>
      </c>
      <c r="D18" s="54">
        <v>26.64</v>
      </c>
      <c r="E18" s="54">
        <v>5.62</v>
      </c>
      <c r="F18" s="54">
        <v>14.67</v>
      </c>
      <c r="G18" s="54">
        <v>63.93</v>
      </c>
      <c r="H18" s="54">
        <v>19.82</v>
      </c>
      <c r="I18" s="54">
        <v>0.13</v>
      </c>
      <c r="J18" s="54">
        <v>0.65</v>
      </c>
      <c r="K18" s="54">
        <v>356.29</v>
      </c>
      <c r="L18" s="54">
        <v>35.130000000000003</v>
      </c>
      <c r="M18" s="54">
        <v>58.72</v>
      </c>
      <c r="N18" s="54">
        <v>750.70</v>
      </c>
      <c r="O18" s="54">
        <v>0</v>
      </c>
      <c r="P18" s="54">
        <v>0.75</v>
      </c>
      <c r="Q18" s="54">
        <v>18.100000000000001</v>
      </c>
      <c r="R18" s="43"/>
      <c r="S18" s="43"/>
      <c r="T18" s="43"/>
      <c r="U18" s="43"/>
    </row>
    <row r="19" spans="1:21" s="11" customFormat="1" ht="15">
      <c r="A19" s="53" t="s">
        <v>72</v>
      </c>
      <c r="B19" s="54">
        <v>14.53</v>
      </c>
      <c r="C19" s="54">
        <v>32.68</v>
      </c>
      <c r="D19" s="54">
        <v>30.98</v>
      </c>
      <c r="E19" s="54">
        <v>5.95</v>
      </c>
      <c r="F19" s="54">
        <v>28.54</v>
      </c>
      <c r="G19" s="54">
        <v>66.03</v>
      </c>
      <c r="H19" s="54">
        <v>19.82</v>
      </c>
      <c r="I19" s="54">
        <v>0.12</v>
      </c>
      <c r="J19" s="54">
        <v>0.54</v>
      </c>
      <c r="K19" s="54">
        <v>339.89</v>
      </c>
      <c r="L19" s="54">
        <v>35.61</v>
      </c>
      <c r="M19" s="54">
        <v>52.21</v>
      </c>
      <c r="N19" s="54">
        <v>847.30</v>
      </c>
      <c r="O19" s="54">
        <v>0</v>
      </c>
      <c r="P19" s="54">
        <v>0.72</v>
      </c>
      <c r="Q19" s="54">
        <v>19.57</v>
      </c>
      <c r="R19" s="43"/>
      <c r="S19" s="43"/>
      <c r="T19" s="43"/>
      <c r="U19" s="43"/>
    </row>
    <row r="20" spans="1:21" s="11" customFormat="1" ht="15">
      <c r="A20" s="53" t="s">
        <v>73</v>
      </c>
      <c r="B20" s="54">
        <v>9.67</v>
      </c>
      <c r="C20" s="54">
        <v>24.05</v>
      </c>
      <c r="D20" s="54">
        <v>20.93</v>
      </c>
      <c r="E20" s="54">
        <v>5.95</v>
      </c>
      <c r="F20" s="54">
        <v>26.30</v>
      </c>
      <c r="G20" s="54">
        <v>76.34</v>
      </c>
      <c r="H20" s="54">
        <v>25.36</v>
      </c>
      <c r="I20" s="54">
        <v>0.13</v>
      </c>
      <c r="J20" s="54">
        <v>0.47</v>
      </c>
      <c r="K20" s="54">
        <v>359.44</v>
      </c>
      <c r="L20" s="54">
        <v>34.979999999999997</v>
      </c>
      <c r="M20" s="54">
        <v>61.84</v>
      </c>
      <c r="N20" s="54">
        <v>875.5</v>
      </c>
      <c r="O20" s="54">
        <v>0</v>
      </c>
      <c r="P20" s="54">
        <v>0.71</v>
      </c>
      <c r="Q20" s="54">
        <v>19.059999999999999</v>
      </c>
      <c r="R20" s="43"/>
      <c r="S20" s="43"/>
      <c r="T20" s="43"/>
      <c r="U20" s="43"/>
    </row>
    <row r="21" spans="1:21" s="11" customFormat="1" ht="15">
      <c r="A21" s="53" t="s">
        <v>74</v>
      </c>
      <c r="B21" s="54">
        <v>19.82</v>
      </c>
      <c r="C21" s="54">
        <v>42.94</v>
      </c>
      <c r="D21" s="54">
        <v>40.89</v>
      </c>
      <c r="E21" s="54">
        <v>6.26</v>
      </c>
      <c r="F21" s="54">
        <v>18.809999999999999</v>
      </c>
      <c r="G21" s="54">
        <v>76.34</v>
      </c>
      <c r="H21" s="54">
        <v>25.36</v>
      </c>
      <c r="I21" s="54">
        <v>0.13</v>
      </c>
      <c r="J21" s="54">
        <v>2.2400000000000002</v>
      </c>
      <c r="K21" s="54">
        <v>357.09</v>
      </c>
      <c r="L21" s="54">
        <v>27.34</v>
      </c>
      <c r="M21" s="54">
        <v>98.29</v>
      </c>
      <c r="N21" s="54">
        <v>134</v>
      </c>
      <c r="O21" s="54">
        <v>8.1999999999999993</v>
      </c>
      <c r="P21" s="54">
        <v>0.89</v>
      </c>
      <c r="Q21" s="54">
        <v>17.77</v>
      </c>
      <c r="R21" s="43"/>
      <c r="S21" s="43"/>
      <c r="T21" s="43"/>
      <c r="U21" s="43"/>
    </row>
    <row r="22" spans="1:21" s="11" customFormat="1" ht="15">
      <c r="A22" s="53" t="s">
        <v>75</v>
      </c>
      <c r="B22" s="54">
        <v>20.54</v>
      </c>
      <c r="C22" s="54">
        <v>45.45</v>
      </c>
      <c r="D22" s="54">
        <v>42.77</v>
      </c>
      <c r="E22" s="54">
        <v>6.14</v>
      </c>
      <c r="F22" s="54">
        <v>19.22</v>
      </c>
      <c r="G22" s="54">
        <v>67.040000000000006</v>
      </c>
      <c r="H22" s="54">
        <v>24.13</v>
      </c>
      <c r="I22" s="54">
        <v>0.12</v>
      </c>
      <c r="J22" s="54">
        <v>1.07</v>
      </c>
      <c r="K22" s="54">
        <v>342.36</v>
      </c>
      <c r="L22" s="54">
        <v>27.16</v>
      </c>
      <c r="M22" s="54">
        <v>96.76</v>
      </c>
      <c r="N22" s="54">
        <v>287</v>
      </c>
      <c r="O22" s="54">
        <v>0</v>
      </c>
      <c r="P22" s="54">
        <v>1.1299999999999999</v>
      </c>
      <c r="Q22" s="54">
        <v>17.98</v>
      </c>
      <c r="R22" s="43"/>
      <c r="S22" s="43"/>
      <c r="T22" s="43"/>
      <c r="U22" s="43"/>
    </row>
    <row r="23" spans="1:21" s="11" customFormat="1" ht="15">
      <c r="A23" s="53" t="s">
        <v>76</v>
      </c>
      <c r="B23" s="54">
        <v>20.45</v>
      </c>
      <c r="C23" s="54">
        <v>45.80</v>
      </c>
      <c r="D23" s="54">
        <v>42.97</v>
      </c>
      <c r="E23" s="54">
        <v>6.38</v>
      </c>
      <c r="F23" s="54">
        <v>17.510000000000002</v>
      </c>
      <c r="G23" s="54">
        <v>73.5</v>
      </c>
      <c r="H23" s="54">
        <v>26.63</v>
      </c>
      <c r="I23" s="54">
        <v>0.11</v>
      </c>
      <c r="J23" s="54">
        <v>0.09</v>
      </c>
      <c r="K23" s="54">
        <v>340.17</v>
      </c>
      <c r="L23" s="54">
        <v>28.60</v>
      </c>
      <c r="M23" s="54">
        <v>85.21</v>
      </c>
      <c r="N23" s="54">
        <v>213.90</v>
      </c>
      <c r="O23" s="54">
        <v>0</v>
      </c>
      <c r="P23" s="54">
        <v>1.25</v>
      </c>
      <c r="Q23" s="54">
        <v>18.399999999999999</v>
      </c>
      <c r="R23" s="43"/>
      <c r="S23" s="43"/>
      <c r="T23" s="43"/>
      <c r="U23" s="43"/>
    </row>
    <row r="24" spans="1:21" s="11" customFormat="1" ht="15">
      <c r="A24" s="53" t="s">
        <v>77</v>
      </c>
      <c r="B24" s="54">
        <v>6.71</v>
      </c>
      <c r="C24" s="54">
        <v>26.57</v>
      </c>
      <c r="D24" s="54">
        <v>21.33</v>
      </c>
      <c r="E24" s="54">
        <v>6</v>
      </c>
      <c r="F24" s="54">
        <v>24.98</v>
      </c>
      <c r="G24" s="54">
        <v>73.5</v>
      </c>
      <c r="H24" s="54">
        <v>26.63</v>
      </c>
      <c r="I24" s="54">
        <v>0.12</v>
      </c>
      <c r="J24" s="54">
        <v>0.59</v>
      </c>
      <c r="K24" s="54">
        <v>218</v>
      </c>
      <c r="L24" s="54">
        <v>29.56</v>
      </c>
      <c r="M24" s="54">
        <v>70.180000000000007</v>
      </c>
      <c r="N24" s="54">
        <v>256.39999999999998</v>
      </c>
      <c r="O24" s="54">
        <v>0</v>
      </c>
      <c r="P24" s="54">
        <v>0.56000000000000005</v>
      </c>
      <c r="Q24" s="54">
        <v>18.78</v>
      </c>
      <c r="R24" s="43"/>
      <c r="S24" s="43"/>
      <c r="T24" s="43"/>
      <c r="U24" s="43"/>
    </row>
    <row r="25" spans="1:21" s="11" customFormat="1" ht="15">
      <c r="A25" s="53" t="s">
        <v>78</v>
      </c>
      <c r="B25" s="54">
        <v>19.13</v>
      </c>
      <c r="C25" s="54">
        <v>39.86</v>
      </c>
      <c r="D25" s="54">
        <v>38.630000000000003</v>
      </c>
      <c r="E25" s="54">
        <v>6.71</v>
      </c>
      <c r="F25" s="54">
        <v>27.62</v>
      </c>
      <c r="G25" s="54">
        <v>68.03</v>
      </c>
      <c r="H25" s="54">
        <v>24.71</v>
      </c>
      <c r="I25" s="54">
        <v>0.12</v>
      </c>
      <c r="J25" s="54">
        <v>0.33</v>
      </c>
      <c r="K25" s="54">
        <v>350.27</v>
      </c>
      <c r="L25" s="54">
        <v>29.43</v>
      </c>
      <c r="M25" s="54">
        <v>71.099999999999994</v>
      </c>
      <c r="N25" s="54">
        <v>132.90</v>
      </c>
      <c r="O25" s="54">
        <v>0</v>
      </c>
      <c r="P25" s="54">
        <v>0.81</v>
      </c>
      <c r="Q25" s="54">
        <v>19.41</v>
      </c>
      <c r="R25" s="43"/>
      <c r="S25" s="43"/>
      <c r="T25" s="43"/>
      <c r="U25" s="43"/>
    </row>
    <row r="26" spans="1:21" s="11" customFormat="1" ht="15">
      <c r="A26" s="53" t="s">
        <v>79</v>
      </c>
      <c r="B26" s="54">
        <v>36.729999999999997</v>
      </c>
      <c r="C26" s="54">
        <v>60.25</v>
      </c>
      <c r="D26" s="54">
        <v>59.90</v>
      </c>
      <c r="E26" s="54">
        <v>7.34</v>
      </c>
      <c r="F26" s="54">
        <v>12.13</v>
      </c>
      <c r="G26" s="54">
        <v>96.26</v>
      </c>
      <c r="H26" s="54">
        <v>25.22</v>
      </c>
      <c r="I26" s="54">
        <v>0.13</v>
      </c>
      <c r="J26" s="54">
        <v>0.24</v>
      </c>
      <c r="K26" s="54">
        <v>351.03</v>
      </c>
      <c r="L26" s="54">
        <v>28.76</v>
      </c>
      <c r="M26" s="54">
        <v>81.53</v>
      </c>
      <c r="N26" s="54">
        <v>71.30</v>
      </c>
      <c r="O26" s="54">
        <v>0</v>
      </c>
      <c r="P26" s="54">
        <v>1.44</v>
      </c>
      <c r="Q26" s="54">
        <v>16.36</v>
      </c>
      <c r="R26" s="43"/>
      <c r="S26" s="43"/>
      <c r="T26" s="43"/>
      <c r="U26" s="43"/>
    </row>
    <row r="27" spans="1:21" s="11" customFormat="1" ht="15">
      <c r="A27" s="53" t="s">
        <v>80</v>
      </c>
      <c r="B27" s="54">
        <v>36.29</v>
      </c>
      <c r="C27" s="54">
        <v>47.40</v>
      </c>
      <c r="D27" s="54">
        <v>56.55</v>
      </c>
      <c r="E27" s="54">
        <v>6.70</v>
      </c>
      <c r="F27" s="54">
        <v>10.25</v>
      </c>
      <c r="G27" s="54">
        <v>100.43</v>
      </c>
      <c r="H27" s="54">
        <v>25.22</v>
      </c>
      <c r="I27" s="54">
        <v>0.12</v>
      </c>
      <c r="J27" s="54">
        <v>0.15</v>
      </c>
      <c r="K27" s="54">
        <v>358.90</v>
      </c>
      <c r="L27" s="54">
        <v>27.74</v>
      </c>
      <c r="M27" s="54">
        <v>84.5</v>
      </c>
      <c r="N27" s="54">
        <v>10.90</v>
      </c>
      <c r="O27" s="54">
        <v>0</v>
      </c>
      <c r="P27" s="54">
        <v>1.53</v>
      </c>
      <c r="Q27" s="54">
        <v>16.30</v>
      </c>
      <c r="R27" s="43"/>
      <c r="S27" s="43"/>
      <c r="T27" s="43"/>
      <c r="U27" s="43"/>
    </row>
    <row r="28" spans="1:21" s="11" customFormat="1" ht="15">
      <c r="A28" s="53" t="s">
        <v>81</v>
      </c>
      <c r="B28" s="54">
        <v>43.89</v>
      </c>
      <c r="C28" s="54">
        <v>53.15</v>
      </c>
      <c r="D28" s="54">
        <v>65.819999999999993</v>
      </c>
      <c r="E28" s="54">
        <v>6.88</v>
      </c>
      <c r="F28" s="54">
        <v>8.89</v>
      </c>
      <c r="G28" s="54">
        <v>106.27</v>
      </c>
      <c r="H28" s="54">
        <v>23.94</v>
      </c>
      <c r="I28" s="54">
        <v>0.11</v>
      </c>
      <c r="J28" s="54">
        <v>0.28999999999999998</v>
      </c>
      <c r="K28" s="54">
        <v>345.34</v>
      </c>
      <c r="L28" s="54">
        <v>26.77</v>
      </c>
      <c r="M28" s="54">
        <v>84.75</v>
      </c>
      <c r="N28" s="54">
        <v>6.90</v>
      </c>
      <c r="O28" s="54">
        <v>0</v>
      </c>
      <c r="P28" s="54">
        <v>1.91</v>
      </c>
      <c r="Q28" s="54">
        <v>16.920000000000002</v>
      </c>
      <c r="R28" s="43"/>
      <c r="S28" s="43"/>
      <c r="T28" s="43"/>
      <c r="U28" s="43"/>
    </row>
    <row r="29" spans="1:21" s="11" customFormat="1" ht="15">
      <c r="A29" s="53" t="s">
        <v>82</v>
      </c>
      <c r="B29" s="54">
        <v>67.209999999999994</v>
      </c>
      <c r="C29" s="54">
        <v>53.92</v>
      </c>
      <c r="D29" s="54">
        <v>84.95</v>
      </c>
      <c r="E29" s="54">
        <v>5.26</v>
      </c>
      <c r="F29" s="54">
        <v>7.07</v>
      </c>
      <c r="G29" s="54">
        <v>107.34</v>
      </c>
      <c r="H29" s="54">
        <v>23.49</v>
      </c>
      <c r="I29" s="54">
        <v>0.12</v>
      </c>
      <c r="J29" s="54">
        <v>0.36</v>
      </c>
      <c r="K29" s="54">
        <v>358.22</v>
      </c>
      <c r="L29" s="54">
        <v>26.21</v>
      </c>
      <c r="M29" s="54">
        <v>89.46</v>
      </c>
      <c r="N29" s="54">
        <v>7</v>
      </c>
      <c r="O29" s="54">
        <v>0</v>
      </c>
      <c r="P29" s="54">
        <v>2.5099999999999998</v>
      </c>
      <c r="Q29" s="54">
        <v>16.68</v>
      </c>
      <c r="R29" s="43"/>
      <c r="S29" s="43"/>
      <c r="T29" s="43"/>
      <c r="U29" s="43"/>
    </row>
    <row r="30" spans="1:21" s="11" customFormat="1" ht="15">
      <c r="A30" s="53" t="s">
        <v>83</v>
      </c>
      <c r="B30" s="54">
        <v>99.11</v>
      </c>
      <c r="C30" s="54">
        <v>67.28</v>
      </c>
      <c r="D30" s="54">
        <v>110.57</v>
      </c>
      <c r="E30" s="54">
        <v>5.49</v>
      </c>
      <c r="F30" s="54">
        <v>3.05</v>
      </c>
      <c r="G30" s="54">
        <v>122.06</v>
      </c>
      <c r="H30" s="54">
        <v>23.49</v>
      </c>
      <c r="I30" s="54">
        <v>0.12</v>
      </c>
      <c r="J30" s="54">
        <v>0.10</v>
      </c>
      <c r="K30" s="54">
        <v>169.06</v>
      </c>
      <c r="L30" s="54">
        <v>25.46</v>
      </c>
      <c r="M30" s="54">
        <v>91.04</v>
      </c>
      <c r="N30" s="54">
        <v>6.80</v>
      </c>
      <c r="O30" s="54">
        <v>0</v>
      </c>
      <c r="P30" s="54">
        <v>2.2400000000000002</v>
      </c>
      <c r="Q30" s="54">
        <v>16.010000000000002</v>
      </c>
      <c r="R30" s="43"/>
      <c r="S30" s="43"/>
      <c r="T30" s="43"/>
      <c r="U30" s="43"/>
    </row>
    <row r="31" spans="1:21" s="11" customFormat="1" ht="15">
      <c r="A31" s="53" t="s">
        <v>84</v>
      </c>
      <c r="B31" s="54">
        <v>51.46</v>
      </c>
      <c r="C31" s="54">
        <v>61.15</v>
      </c>
      <c r="D31" s="54">
        <v>65.88</v>
      </c>
      <c r="E31" s="54">
        <v>4.66</v>
      </c>
      <c r="F31" s="54">
        <v>4.0999999999999996</v>
      </c>
      <c r="G31" s="54">
        <v>122.06</v>
      </c>
      <c r="H31" s="54">
        <v>27.20</v>
      </c>
      <c r="I31" s="54">
        <v>0.13</v>
      </c>
      <c r="J31" s="54">
        <v>0.16</v>
      </c>
      <c r="K31" s="54">
        <v>257.70999999999998</v>
      </c>
      <c r="L31" s="54">
        <v>25.57</v>
      </c>
      <c r="M31" s="54">
        <v>93.29</v>
      </c>
      <c r="N31" s="54">
        <v>6.90</v>
      </c>
      <c r="O31" s="54">
        <v>0</v>
      </c>
      <c r="P31" s="54">
        <v>1.30</v>
      </c>
      <c r="Q31" s="54">
        <v>23.33</v>
      </c>
      <c r="R31" s="43"/>
      <c r="S31" s="43"/>
      <c r="T31" s="43"/>
      <c r="U31" s="43"/>
    </row>
    <row r="32" spans="1:21" s="11" customFormat="1" ht="15">
      <c r="A32" s="53" t="s">
        <v>85</v>
      </c>
      <c r="B32" s="54">
        <v>23.31</v>
      </c>
      <c r="C32" s="54">
        <v>35.68</v>
      </c>
      <c r="D32" s="54">
        <v>39.68</v>
      </c>
      <c r="E32" s="54">
        <v>4.33</v>
      </c>
      <c r="F32" s="54">
        <v>4.3099999999999996</v>
      </c>
      <c r="G32" s="54">
        <v>113.42</v>
      </c>
      <c r="H32" s="54">
        <v>27.20</v>
      </c>
      <c r="I32" s="54">
        <v>0.12</v>
      </c>
      <c r="J32" s="54">
        <v>0.05</v>
      </c>
      <c r="K32" s="54">
        <v>359.93</v>
      </c>
      <c r="L32" s="54">
        <v>25.11</v>
      </c>
      <c r="M32" s="54">
        <v>94.31</v>
      </c>
      <c r="N32" s="54">
        <v>6.80</v>
      </c>
      <c r="O32" s="54">
        <v>0</v>
      </c>
      <c r="P32" s="54">
        <v>0.95</v>
      </c>
      <c r="Q32" s="54">
        <v>23.40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6.71</v>
      </c>
      <c r="C34" s="28">
        <f t="shared" si="0"/>
        <v>16.879999999999999</v>
      </c>
      <c r="D34" s="28">
        <f t="shared" si="0"/>
        <v>20.93</v>
      </c>
      <c r="E34" s="28">
        <f t="shared" si="0"/>
        <v>3.8599999999999999</v>
      </c>
      <c r="F34" s="28">
        <f t="shared" si="0"/>
        <v>2.8799999999999999</v>
      </c>
      <c r="G34" s="28">
        <f t="shared" si="0"/>
        <v>55.649999999999999</v>
      </c>
      <c r="H34" s="28">
        <f t="shared" si="0"/>
        <v>19.280000000000001</v>
      </c>
      <c r="I34" s="28">
        <f t="shared" si="0"/>
        <v>0.11</v>
      </c>
      <c r="J34" s="28">
        <f t="shared" si="0"/>
        <v>0.050000000000000003</v>
      </c>
      <c r="K34" s="28">
        <f t="shared" si="0"/>
        <v>169.06</v>
      </c>
      <c r="L34" s="28">
        <f t="shared" si="0"/>
        <v>23.920000000000002</v>
      </c>
      <c r="M34" s="28">
        <f t="shared" si="0"/>
        <v>52.210000000000001</v>
      </c>
      <c r="N34" s="28">
        <f t="shared" si="0"/>
        <v>6.5999999999999996</v>
      </c>
      <c r="O34" s="28">
        <f t="shared" si="0"/>
        <v>0</v>
      </c>
      <c r="P34" s="28">
        <f t="shared" si="0"/>
        <v>0.56000000000000005</v>
      </c>
      <c r="Q34" s="28">
        <f t="shared" si="0"/>
        <v>16.010000000000002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99.109999999999999</v>
      </c>
      <c r="C35" s="29">
        <f t="shared" si="1"/>
        <v>67.280000000000001</v>
      </c>
      <c r="D35" s="29">
        <f t="shared" si="1"/>
        <v>110.56999999999999</v>
      </c>
      <c r="E35" s="29">
        <f t="shared" si="1"/>
        <v>7.3399999999999999</v>
      </c>
      <c r="F35" s="29">
        <f t="shared" si="1"/>
        <v>28.539999999999999</v>
      </c>
      <c r="G35" s="29">
        <f t="shared" si="1"/>
        <v>122.06</v>
      </c>
      <c r="H35" s="29">
        <f t="shared" si="1"/>
        <v>30.969999999999999</v>
      </c>
      <c r="I35" s="29">
        <f t="shared" si="1"/>
        <v>0.13</v>
      </c>
      <c r="J35" s="29">
        <f t="shared" si="1"/>
        <v>2.2400000000000002</v>
      </c>
      <c r="K35" s="29">
        <f t="shared" si="1"/>
        <v>359.93000000000001</v>
      </c>
      <c r="L35" s="29">
        <f t="shared" si="1"/>
        <v>35.609999999999999</v>
      </c>
      <c r="M35" s="29">
        <f t="shared" si="1"/>
        <v>98.290000000000006</v>
      </c>
      <c r="N35" s="29">
        <f t="shared" si="1"/>
        <v>875.5</v>
      </c>
      <c r="O35" s="29">
        <f t="shared" si="1"/>
        <v>8.1999999999999993</v>
      </c>
      <c r="P35" s="29">
        <f t="shared" si="1"/>
        <v>2.5099999999999998</v>
      </c>
      <c r="Q35" s="29">
        <f t="shared" si="1"/>
        <v>23.399999999999999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27.981249999999999</v>
      </c>
      <c r="C36" s="28">
        <f t="shared" si="2"/>
        <v>38.087499999999991</v>
      </c>
      <c r="D36" s="28">
        <f t="shared" si="2"/>
        <v>42.899166666666666</v>
      </c>
      <c r="E36" s="28">
        <f t="shared" si="2"/>
        <v>5.4224999999999994</v>
      </c>
      <c r="F36" s="28">
        <f t="shared" si="2"/>
        <v>11.599583333333333</v>
      </c>
      <c r="G36" s="28">
        <f t="shared" si="2"/>
        <v>83.215416666666655</v>
      </c>
      <c r="H36" s="28">
        <f t="shared" si="2"/>
        <v>24.72666666666667</v>
      </c>
      <c r="I36" s="28">
        <f t="shared" si="2"/>
        <v>0.12166666666666666</v>
      </c>
      <c r="J36" s="28">
        <f t="shared" si="2"/>
        <v>0.37999999999999995</v>
      </c>
      <c r="K36" s="28">
        <f t="shared" si="2"/>
        <v>318.58999999999997</v>
      </c>
      <c r="L36" s="28">
        <f t="shared" si="2"/>
        <v>27.862500000000008</v>
      </c>
      <c r="M36" s="28">
        <f t="shared" si="2"/>
        <v>85.460833333333326</v>
      </c>
      <c r="N36" s="28">
        <f t="shared" si="2"/>
        <v>199.79583333333326</v>
      </c>
      <c r="O36" s="28">
        <f t="shared" si="2"/>
        <v>0.34166666666666662</v>
      </c>
      <c r="P36" s="28">
        <f t="shared" si="2"/>
        <v>1.0470833333333334</v>
      </c>
      <c r="Q36" s="28">
        <f t="shared" si="2"/>
        <v>19.757083333333334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20.534341609267312</v>
      </c>
      <c r="C37" s="28">
        <f t="shared" si="3" ref="C37:Q37">STDEV(C9:C32)</f>
        <v>14.199029743337213</v>
      </c>
      <c r="D37" s="28">
        <f t="shared" si="3"/>
        <v>21.418085595582767</v>
      </c>
      <c r="E37" s="28">
        <f t="shared" si="3"/>
        <v>1.0186446664670352</v>
      </c>
      <c r="F37" s="28">
        <f t="shared" si="3"/>
        <v>8.4568492843872214</v>
      </c>
      <c r="G37" s="28">
        <f t="shared" si="3"/>
        <v>21.070949707072398</v>
      </c>
      <c r="H37" s="28">
        <f t="shared" si="3"/>
        <v>3.0068467763143119</v>
      </c>
      <c r="I37" s="28">
        <f t="shared" si="3"/>
        <v>0.0070196411816303411</v>
      </c>
      <c r="J37" s="28">
        <f t="shared" si="3"/>
        <v>0.46842938310541726</v>
      </c>
      <c r="K37" s="28">
        <f t="shared" si="3"/>
        <v>57.332682310088906</v>
      </c>
      <c r="L37" s="28">
        <f t="shared" si="3"/>
        <v>3.6472362973483516</v>
      </c>
      <c r="M37" s="28">
        <f t="shared" si="3"/>
        <v>14.146599197000658</v>
      </c>
      <c r="N37" s="28">
        <f t="shared" si="3"/>
        <v>283.48898679500411</v>
      </c>
      <c r="O37" s="28">
        <f t="shared" si="3"/>
        <v>1.6738179909018385</v>
      </c>
      <c r="P37" s="28">
        <f t="shared" si="3"/>
        <v>0.53182605170803943</v>
      </c>
      <c r="Q37" s="28">
        <f t="shared" si="3"/>
        <v>2.4832315536967648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>COUNT(N9:N32)+12</f>
        <v>36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f472732-0386-4354-b158-7876794b79f2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38" sqref="H38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3" width="11" style="20" customWidth="1"/>
    <col min="4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02-09-2023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50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86</v>
      </c>
      <c r="B9" s="54">
        <v>17.41</v>
      </c>
      <c r="C9" s="54">
        <v>28.90</v>
      </c>
      <c r="D9" s="54">
        <v>31.21</v>
      </c>
      <c r="E9" s="54">
        <v>4.95</v>
      </c>
      <c r="F9" s="54">
        <v>7.81</v>
      </c>
      <c r="G9" s="54">
        <v>100.76</v>
      </c>
      <c r="H9" s="54">
        <v>23.49</v>
      </c>
      <c r="I9" s="54">
        <v>0.12</v>
      </c>
      <c r="J9" s="54">
        <v>0.03</v>
      </c>
      <c r="K9" s="54">
        <v>359.70</v>
      </c>
      <c r="L9" s="54">
        <v>24.99</v>
      </c>
      <c r="M9" s="54">
        <v>95.92</v>
      </c>
      <c r="N9" s="54">
        <v>6.80</v>
      </c>
      <c r="O9" s="54">
        <v>0</v>
      </c>
      <c r="P9" s="54">
        <v>0.82</v>
      </c>
      <c r="Q9" s="54">
        <v>23.35</v>
      </c>
      <c r="R9" s="43"/>
      <c r="S9" s="43"/>
      <c r="T9" s="43"/>
      <c r="U9" s="43"/>
    </row>
    <row r="10" spans="1:21" s="11" customFormat="1" ht="15">
      <c r="A10" s="53" t="s">
        <v>87</v>
      </c>
      <c r="B10" s="54">
        <v>15.18</v>
      </c>
      <c r="C10" s="54">
        <v>24.61</v>
      </c>
      <c r="D10" s="54">
        <v>22.90</v>
      </c>
      <c r="E10" s="54">
        <v>5.04</v>
      </c>
      <c r="F10" s="54">
        <v>6.95</v>
      </c>
      <c r="G10" s="54">
        <v>81.81</v>
      </c>
      <c r="H10" s="54">
        <v>20.22</v>
      </c>
      <c r="I10" s="54">
        <v>0.11</v>
      </c>
      <c r="J10" s="54">
        <v>0.06</v>
      </c>
      <c r="K10" s="54">
        <v>306.29000000000002</v>
      </c>
      <c r="L10" s="54">
        <v>24.77</v>
      </c>
      <c r="M10" s="54">
        <v>95.73</v>
      </c>
      <c r="N10" s="54">
        <v>6.90</v>
      </c>
      <c r="O10" s="54">
        <v>0</v>
      </c>
      <c r="P10" s="54">
        <v>0.71</v>
      </c>
      <c r="Q10" s="54">
        <v>23.68</v>
      </c>
      <c r="R10" s="43"/>
      <c r="S10" s="43"/>
      <c r="T10" s="43"/>
      <c r="U10" s="43"/>
    </row>
    <row r="11" spans="1:21" s="11" customFormat="1" ht="15">
      <c r="A11" s="53" t="s">
        <v>88</v>
      </c>
      <c r="B11" s="54">
        <v>20.47</v>
      </c>
      <c r="C11" s="54">
        <v>18.510000000000002</v>
      </c>
      <c r="D11" s="54">
        <v>24.65</v>
      </c>
      <c r="E11" s="54">
        <v>5.30</v>
      </c>
      <c r="F11" s="54">
        <v>5.13</v>
      </c>
      <c r="G11" s="54">
        <v>68.12</v>
      </c>
      <c r="H11" s="54">
        <v>20.22</v>
      </c>
      <c r="I11" s="54">
        <v>0.13</v>
      </c>
      <c r="J11" s="54">
        <v>0.14000000000000001</v>
      </c>
      <c r="K11" s="54">
        <v>123.60</v>
      </c>
      <c r="L11" s="54">
        <v>24.73</v>
      </c>
      <c r="M11" s="54">
        <v>98.24</v>
      </c>
      <c r="N11" s="54">
        <v>6.90</v>
      </c>
      <c r="O11" s="54">
        <v>0</v>
      </c>
      <c r="P11" s="54">
        <v>0.84</v>
      </c>
      <c r="Q11" s="54">
        <v>20.81</v>
      </c>
      <c r="R11" s="43"/>
      <c r="S11" s="43"/>
      <c r="T11" s="43"/>
      <c r="U11" s="43"/>
    </row>
    <row r="12" spans="1:21" s="11" customFormat="1" ht="15">
      <c r="A12" s="53" t="s">
        <v>89</v>
      </c>
      <c r="B12" s="54">
        <v>12.05</v>
      </c>
      <c r="C12" s="54">
        <v>20.48</v>
      </c>
      <c r="D12" s="54">
        <v>21.34</v>
      </c>
      <c r="E12" s="54">
        <v>4.66</v>
      </c>
      <c r="F12" s="54">
        <v>8.3800000000000008</v>
      </c>
      <c r="G12" s="54">
        <v>57.16</v>
      </c>
      <c r="H12" s="54">
        <v>18.760000000000002</v>
      </c>
      <c r="I12" s="54">
        <v>0.12</v>
      </c>
      <c r="J12" s="54">
        <v>0.05</v>
      </c>
      <c r="K12" s="54">
        <v>299.18</v>
      </c>
      <c r="L12" s="54">
        <v>24.41</v>
      </c>
      <c r="M12" s="54">
        <v>98.26</v>
      </c>
      <c r="N12" s="54">
        <v>6.90</v>
      </c>
      <c r="O12" s="54">
        <v>0</v>
      </c>
      <c r="P12" s="54">
        <v>0.39</v>
      </c>
      <c r="Q12" s="54">
        <v>20.97</v>
      </c>
      <c r="R12" s="43"/>
      <c r="S12" s="43"/>
      <c r="T12" s="43"/>
      <c r="U12" s="43"/>
    </row>
    <row r="13" spans="1:21" s="11" customFormat="1" ht="15">
      <c r="A13" s="53" t="s">
        <v>90</v>
      </c>
      <c r="B13" s="54">
        <v>20.46</v>
      </c>
      <c r="C13" s="54">
        <v>32.89</v>
      </c>
      <c r="D13" s="54">
        <v>33.869999999999997</v>
      </c>
      <c r="E13" s="54">
        <v>4.28</v>
      </c>
      <c r="F13" s="54">
        <v>6.24</v>
      </c>
      <c r="G13" s="54">
        <v>46.86</v>
      </c>
      <c r="H13" s="54">
        <v>18.760000000000002</v>
      </c>
      <c r="I13" s="54">
        <v>0.13</v>
      </c>
      <c r="J13" s="54">
        <v>0.06</v>
      </c>
      <c r="K13" s="54">
        <v>251.73</v>
      </c>
      <c r="L13" s="54">
        <v>24.01</v>
      </c>
      <c r="M13" s="54">
        <v>98.29</v>
      </c>
      <c r="N13" s="54">
        <v>6.80</v>
      </c>
      <c r="O13" s="54">
        <v>0</v>
      </c>
      <c r="P13" s="54">
        <v>0.53</v>
      </c>
      <c r="Q13" s="54">
        <v>21.87</v>
      </c>
      <c r="R13" s="43"/>
      <c r="S13" s="43"/>
      <c r="T13" s="43"/>
      <c r="U13" s="43"/>
    </row>
    <row r="14" spans="1:21" s="11" customFormat="1" ht="15">
      <c r="A14" s="53" t="s">
        <v>91</v>
      </c>
      <c r="B14" s="54">
        <v>21.30</v>
      </c>
      <c r="C14" s="54">
        <v>28.5</v>
      </c>
      <c r="D14" s="54">
        <v>32.909999999999997</v>
      </c>
      <c r="E14" s="54">
        <v>4.1500000000000004</v>
      </c>
      <c r="F14" s="54">
        <v>2.88</v>
      </c>
      <c r="G14" s="54">
        <v>46.86</v>
      </c>
      <c r="H14" s="54">
        <v>15.34</v>
      </c>
      <c r="I14" s="54">
        <v>0.12</v>
      </c>
      <c r="J14" s="54">
        <v>0.070000000000000007</v>
      </c>
      <c r="K14" s="54">
        <v>327.11</v>
      </c>
      <c r="L14" s="54">
        <v>24.21</v>
      </c>
      <c r="M14" s="54">
        <v>98.28</v>
      </c>
      <c r="N14" s="54">
        <v>26.30</v>
      </c>
      <c r="O14" s="54">
        <v>0</v>
      </c>
      <c r="P14" s="54">
        <v>0.56000000000000005</v>
      </c>
      <c r="Q14" s="54">
        <v>19.16</v>
      </c>
      <c r="R14" s="43"/>
      <c r="S14" s="43"/>
      <c r="T14" s="43"/>
      <c r="U14" s="43"/>
    </row>
    <row r="15" spans="1:21" s="11" customFormat="1" ht="15">
      <c r="A15" s="53" t="s">
        <v>92</v>
      </c>
      <c r="B15" s="54">
        <v>43.86</v>
      </c>
      <c r="C15" s="54">
        <v>37.950000000000003</v>
      </c>
      <c r="D15" s="54">
        <v>51.27</v>
      </c>
      <c r="E15" s="54">
        <v>4.24</v>
      </c>
      <c r="F15" s="54">
        <v>4.96</v>
      </c>
      <c r="G15" s="54">
        <v>59.48</v>
      </c>
      <c r="H15" s="54">
        <v>16.920000000000002</v>
      </c>
      <c r="I15" s="54">
        <v>0.12</v>
      </c>
      <c r="J15" s="54">
        <v>0.19</v>
      </c>
      <c r="K15" s="54">
        <v>333.28</v>
      </c>
      <c r="L15" s="54">
        <v>26.93</v>
      </c>
      <c r="M15" s="54">
        <v>98.25</v>
      </c>
      <c r="N15" s="54">
        <v>147.5</v>
      </c>
      <c r="O15" s="54">
        <v>0</v>
      </c>
      <c r="P15" s="54">
        <v>0.73</v>
      </c>
      <c r="Q15" s="54">
        <v>18.940000000000001</v>
      </c>
      <c r="R15" s="43"/>
      <c r="S15" s="43"/>
      <c r="T15" s="43"/>
      <c r="U15" s="43"/>
    </row>
    <row r="16" spans="1:21" s="11" customFormat="1" ht="15">
      <c r="A16" s="53" t="s">
        <v>93</v>
      </c>
      <c r="B16" s="54">
        <v>29.49</v>
      </c>
      <c r="C16" s="54">
        <v>29.95</v>
      </c>
      <c r="D16" s="54">
        <v>36.71</v>
      </c>
      <c r="E16" s="54">
        <v>4.1900000000000004</v>
      </c>
      <c r="F16" s="54">
        <v>6.73</v>
      </c>
      <c r="G16" s="54">
        <v>66.48</v>
      </c>
      <c r="H16" s="54">
        <v>17.75</v>
      </c>
      <c r="I16" s="54">
        <v>0.12</v>
      </c>
      <c r="J16" s="54">
        <v>0.56999999999999995</v>
      </c>
      <c r="K16" s="54">
        <v>347.47</v>
      </c>
      <c r="L16" s="54">
        <v>31.75</v>
      </c>
      <c r="M16" s="54">
        <v>79.11</v>
      </c>
      <c r="N16" s="54">
        <v>372.60</v>
      </c>
      <c r="O16" s="54">
        <v>0</v>
      </c>
      <c r="P16" s="54">
        <v>0.69</v>
      </c>
      <c r="Q16" s="54">
        <v>20.93</v>
      </c>
      <c r="R16" s="43"/>
      <c r="S16" s="43"/>
      <c r="T16" s="43"/>
      <c r="U16" s="43"/>
    </row>
    <row r="17" spans="1:21" s="11" customFormat="1" ht="15">
      <c r="A17" s="53" t="s">
        <v>94</v>
      </c>
      <c r="B17" s="54">
        <v>26.95</v>
      </c>
      <c r="C17" s="54">
        <v>27.95</v>
      </c>
      <c r="D17" s="54">
        <v>38.33</v>
      </c>
      <c r="E17" s="54">
        <v>5.39</v>
      </c>
      <c r="F17" s="54">
        <v>9.77</v>
      </c>
      <c r="G17" s="54">
        <v>80.69</v>
      </c>
      <c r="H17" s="54">
        <v>22.37</v>
      </c>
      <c r="I17" s="54">
        <v>0.12</v>
      </c>
      <c r="J17" s="54">
        <v>0.53</v>
      </c>
      <c r="K17" s="54">
        <v>339.81</v>
      </c>
      <c r="L17" s="54">
        <v>34.14</v>
      </c>
      <c r="M17" s="54">
        <v>60.31</v>
      </c>
      <c r="N17" s="54">
        <v>565.5</v>
      </c>
      <c r="O17" s="54">
        <v>0</v>
      </c>
      <c r="P17" s="54">
        <v>0.69</v>
      </c>
      <c r="Q17" s="54">
        <v>18.75</v>
      </c>
      <c r="R17" s="43"/>
      <c r="S17" s="43"/>
      <c r="T17" s="43"/>
      <c r="U17" s="43"/>
    </row>
    <row r="18" spans="1:21" s="11" customFormat="1" ht="15">
      <c r="A18" s="53" t="s">
        <v>95</v>
      </c>
      <c r="B18" s="54">
        <v>19</v>
      </c>
      <c r="C18" s="54">
        <v>32.92</v>
      </c>
      <c r="D18" s="54">
        <v>34.68</v>
      </c>
      <c r="E18" s="54">
        <v>5.92</v>
      </c>
      <c r="F18" s="54">
        <v>23.47</v>
      </c>
      <c r="G18" s="54">
        <v>87.22</v>
      </c>
      <c r="H18" s="54">
        <v>22.75</v>
      </c>
      <c r="I18" s="54">
        <v>0.12</v>
      </c>
      <c r="J18" s="54">
        <v>0.57999999999999996</v>
      </c>
      <c r="K18" s="54">
        <v>337.25</v>
      </c>
      <c r="L18" s="54">
        <v>36.19</v>
      </c>
      <c r="M18" s="54">
        <v>56.76</v>
      </c>
      <c r="N18" s="54">
        <v>718.40</v>
      </c>
      <c r="O18" s="54">
        <v>0</v>
      </c>
      <c r="P18" s="54">
        <v>0.72</v>
      </c>
      <c r="Q18" s="54">
        <v>19.23</v>
      </c>
      <c r="R18" s="43"/>
      <c r="S18" s="43"/>
      <c r="T18" s="43"/>
      <c r="U18" s="43"/>
    </row>
    <row r="19" spans="1:21" s="11" customFormat="1" ht="15">
      <c r="A19" s="53" t="s">
        <v>96</v>
      </c>
      <c r="B19" s="54">
        <v>18.100000000000001</v>
      </c>
      <c r="C19" s="54">
        <v>28.93</v>
      </c>
      <c r="D19" s="54">
        <v>31.39</v>
      </c>
      <c r="E19" s="54">
        <v>5.58</v>
      </c>
      <c r="F19" s="54">
        <v>18.63</v>
      </c>
      <c r="G19" s="54">
        <v>101.41</v>
      </c>
      <c r="H19" s="54">
        <v>27.20</v>
      </c>
      <c r="I19" s="54">
        <v>0.12</v>
      </c>
      <c r="J19" s="54">
        <v>0.85</v>
      </c>
      <c r="K19" s="54">
        <v>336.78</v>
      </c>
      <c r="L19" s="54">
        <v>36.71</v>
      </c>
      <c r="M19" s="54">
        <v>50.74</v>
      </c>
      <c r="N19" s="54">
        <v>787</v>
      </c>
      <c r="O19" s="54">
        <v>0</v>
      </c>
      <c r="P19" s="54">
        <v>0.77</v>
      </c>
      <c r="Q19" s="54">
        <v>19.48</v>
      </c>
      <c r="R19" s="43"/>
      <c r="S19" s="43"/>
      <c r="T19" s="43"/>
      <c r="U19" s="43"/>
    </row>
    <row r="20" spans="1:21" s="11" customFormat="1" ht="15">
      <c r="A20" s="53" t="s">
        <v>97</v>
      </c>
      <c r="B20" s="54">
        <v>10.89</v>
      </c>
      <c r="C20" s="54">
        <v>40.46</v>
      </c>
      <c r="D20" s="54">
        <v>30.52</v>
      </c>
      <c r="E20" s="54">
        <v>38.270000000000003</v>
      </c>
      <c r="F20" s="54">
        <v>19.91</v>
      </c>
      <c r="G20" s="55" t="s">
        <v>12</v>
      </c>
      <c r="H20" s="55" t="s">
        <v>12</v>
      </c>
      <c r="I20" s="54">
        <v>0.13</v>
      </c>
      <c r="J20" s="54">
        <v>1.26</v>
      </c>
      <c r="K20" s="54">
        <v>339.81</v>
      </c>
      <c r="L20" s="54">
        <v>36.29</v>
      </c>
      <c r="M20" s="54">
        <v>51.06</v>
      </c>
      <c r="N20" s="54">
        <v>846.90</v>
      </c>
      <c r="O20" s="54">
        <v>0</v>
      </c>
      <c r="P20" s="54">
        <v>0.68</v>
      </c>
      <c r="Q20" s="54">
        <v>13.64</v>
      </c>
      <c r="R20" s="43"/>
      <c r="S20" s="43"/>
      <c r="T20" s="43"/>
      <c r="U20" s="43"/>
    </row>
    <row r="21" spans="1:21" s="11" customFormat="1" ht="15">
      <c r="A21" s="53" t="s">
        <v>98</v>
      </c>
      <c r="B21" s="54">
        <v>6.04</v>
      </c>
      <c r="C21" s="54">
        <v>25.30</v>
      </c>
      <c r="D21" s="54">
        <v>31.33</v>
      </c>
      <c r="E21" s="54">
        <v>1.66</v>
      </c>
      <c r="F21" s="54">
        <v>28.86</v>
      </c>
      <c r="G21" s="54">
        <v>93.09</v>
      </c>
      <c r="H21" s="54">
        <v>1.61</v>
      </c>
      <c r="I21" s="54">
        <v>0.11</v>
      </c>
      <c r="J21" s="54">
        <v>1.40</v>
      </c>
      <c r="K21" s="54">
        <v>339.41</v>
      </c>
      <c r="L21" s="54">
        <v>34.880000000000003</v>
      </c>
      <c r="M21" s="54">
        <v>53.04</v>
      </c>
      <c r="N21" s="54">
        <v>727.20</v>
      </c>
      <c r="O21" s="54">
        <v>0</v>
      </c>
      <c r="P21" s="54">
        <v>0.65</v>
      </c>
      <c r="Q21" s="54">
        <v>14.74</v>
      </c>
      <c r="R21" s="43"/>
      <c r="S21" s="43"/>
      <c r="T21" s="43"/>
      <c r="U21" s="43"/>
    </row>
    <row r="22" spans="1:21" s="11" customFormat="1" ht="15">
      <c r="A22" s="53" t="s">
        <v>99</v>
      </c>
      <c r="B22" s="54">
        <v>6.94</v>
      </c>
      <c r="C22" s="54">
        <v>26.46</v>
      </c>
      <c r="D22" s="54">
        <v>33.40</v>
      </c>
      <c r="E22" s="54">
        <v>2.2999999999999998</v>
      </c>
      <c r="F22" s="54">
        <v>16.95</v>
      </c>
      <c r="G22" s="54">
        <v>93.26</v>
      </c>
      <c r="H22" s="54">
        <v>11.81</v>
      </c>
      <c r="I22" s="54">
        <v>0.12</v>
      </c>
      <c r="J22" s="54">
        <v>0.96</v>
      </c>
      <c r="K22" s="54">
        <v>351.08</v>
      </c>
      <c r="L22" s="54">
        <v>31.91</v>
      </c>
      <c r="M22" s="54">
        <v>64.27</v>
      </c>
      <c r="N22" s="54">
        <v>614</v>
      </c>
      <c r="O22" s="54">
        <v>0</v>
      </c>
      <c r="P22" s="54">
        <v>0.69</v>
      </c>
      <c r="Q22" s="54">
        <v>15.33</v>
      </c>
      <c r="R22" s="43"/>
      <c r="S22" s="43"/>
      <c r="T22" s="43"/>
      <c r="U22" s="43"/>
    </row>
    <row r="23" spans="1:21" s="11" customFormat="1" ht="15">
      <c r="A23" s="53" t="s">
        <v>100</v>
      </c>
      <c r="B23" s="54">
        <v>7.88</v>
      </c>
      <c r="C23" s="54">
        <v>21.69</v>
      </c>
      <c r="D23" s="54">
        <v>28.46</v>
      </c>
      <c r="E23" s="54">
        <v>2.14</v>
      </c>
      <c r="F23" s="54">
        <v>16.13</v>
      </c>
      <c r="G23" s="54">
        <v>93.41</v>
      </c>
      <c r="H23" s="54">
        <v>15.84</v>
      </c>
      <c r="I23" s="54">
        <v>0.12</v>
      </c>
      <c r="J23" s="54">
        <v>1</v>
      </c>
      <c r="K23" s="54">
        <v>337.82</v>
      </c>
      <c r="L23" s="54">
        <v>32.83</v>
      </c>
      <c r="M23" s="54">
        <v>65.180000000000007</v>
      </c>
      <c r="N23" s="54">
        <v>375.10</v>
      </c>
      <c r="O23" s="54">
        <v>0</v>
      </c>
      <c r="P23" s="54">
        <v>0.62</v>
      </c>
      <c r="Q23" s="54">
        <v>14.57</v>
      </c>
      <c r="R23" s="43"/>
      <c r="S23" s="43"/>
      <c r="T23" s="43"/>
      <c r="U23" s="43"/>
    </row>
    <row r="24" spans="1:21" s="11" customFormat="1" ht="15">
      <c r="A24" s="53" t="s">
        <v>101</v>
      </c>
      <c r="B24" s="54">
        <v>12.07</v>
      </c>
      <c r="C24" s="54">
        <v>22.78</v>
      </c>
      <c r="D24" s="54">
        <v>34.85</v>
      </c>
      <c r="E24" s="54">
        <v>2.4300000000000002</v>
      </c>
      <c r="F24" s="54">
        <v>23.59</v>
      </c>
      <c r="G24" s="54">
        <v>83.56</v>
      </c>
      <c r="H24" s="54">
        <v>15.29</v>
      </c>
      <c r="I24" s="54">
        <v>0.12</v>
      </c>
      <c r="J24" s="54">
        <v>1.47</v>
      </c>
      <c r="K24" s="54">
        <v>344.57</v>
      </c>
      <c r="L24" s="54">
        <v>32.21</v>
      </c>
      <c r="M24" s="54">
        <v>57.07</v>
      </c>
      <c r="N24" s="54">
        <v>196.10</v>
      </c>
      <c r="O24" s="54">
        <v>0</v>
      </c>
      <c r="P24" s="54">
        <v>0.60</v>
      </c>
      <c r="Q24" s="54">
        <v>15.74</v>
      </c>
      <c r="R24" s="43"/>
      <c r="S24" s="43"/>
      <c r="T24" s="43"/>
      <c r="U24" s="43"/>
    </row>
    <row r="25" spans="1:21" s="11" customFormat="1" ht="15">
      <c r="A25" s="53" t="s">
        <v>102</v>
      </c>
      <c r="B25" s="54">
        <v>14.26</v>
      </c>
      <c r="C25" s="54">
        <v>26.77</v>
      </c>
      <c r="D25" s="54">
        <v>40.49</v>
      </c>
      <c r="E25" s="54">
        <v>2.96</v>
      </c>
      <c r="F25" s="54">
        <v>20.90</v>
      </c>
      <c r="G25" s="54">
        <v>78.89</v>
      </c>
      <c r="H25" s="54">
        <v>16.809999999999999</v>
      </c>
      <c r="I25" s="54">
        <v>0.12</v>
      </c>
      <c r="J25" s="54">
        <v>0.97</v>
      </c>
      <c r="K25" s="54">
        <v>335.79</v>
      </c>
      <c r="L25" s="54">
        <v>30.92</v>
      </c>
      <c r="M25" s="54">
        <v>67.38</v>
      </c>
      <c r="N25" s="54">
        <v>97.20</v>
      </c>
      <c r="O25" s="54">
        <v>0</v>
      </c>
      <c r="P25" s="54">
        <v>0.77</v>
      </c>
      <c r="Q25" s="54">
        <v>15.67</v>
      </c>
      <c r="R25" s="43"/>
      <c r="S25" s="43"/>
      <c r="T25" s="43"/>
      <c r="U25" s="43"/>
    </row>
    <row r="26" spans="1:21" s="11" customFormat="1" ht="15">
      <c r="A26" s="53" t="s">
        <v>103</v>
      </c>
      <c r="B26" s="54">
        <v>7.27</v>
      </c>
      <c r="C26" s="54">
        <v>18.100000000000001</v>
      </c>
      <c r="D26" s="54">
        <v>24.48</v>
      </c>
      <c r="E26" s="54">
        <v>2.56</v>
      </c>
      <c r="F26" s="54">
        <v>12.19</v>
      </c>
      <c r="G26" s="54">
        <v>80.83</v>
      </c>
      <c r="H26" s="54">
        <v>16.93</v>
      </c>
      <c r="I26" s="54">
        <v>0.12</v>
      </c>
      <c r="J26" s="54">
        <v>1.63</v>
      </c>
      <c r="K26" s="54">
        <v>146.63</v>
      </c>
      <c r="L26" s="54">
        <v>28.49</v>
      </c>
      <c r="M26" s="54">
        <v>84.80</v>
      </c>
      <c r="N26" s="54">
        <v>45.80</v>
      </c>
      <c r="O26" s="54">
        <v>0</v>
      </c>
      <c r="P26" s="54">
        <v>0.63</v>
      </c>
      <c r="Q26" s="54">
        <v>15.66</v>
      </c>
      <c r="R26" s="43"/>
      <c r="S26" s="43"/>
      <c r="T26" s="43"/>
      <c r="U26" s="43"/>
    </row>
    <row r="27" spans="1:21" s="11" customFormat="1" ht="15">
      <c r="A27" s="53" t="s">
        <v>104</v>
      </c>
      <c r="B27" s="54">
        <v>7.36</v>
      </c>
      <c r="C27" s="54">
        <v>21.42</v>
      </c>
      <c r="D27" s="54">
        <v>28.78</v>
      </c>
      <c r="E27" s="54">
        <v>2.73</v>
      </c>
      <c r="F27" s="54">
        <v>7.67</v>
      </c>
      <c r="G27" s="54">
        <v>74.53</v>
      </c>
      <c r="H27" s="54">
        <v>15.59</v>
      </c>
      <c r="I27" s="54">
        <v>0.13</v>
      </c>
      <c r="J27" s="54">
        <v>2.38</v>
      </c>
      <c r="K27" s="54">
        <v>340.44</v>
      </c>
      <c r="L27" s="54">
        <v>24.28</v>
      </c>
      <c r="M27" s="54">
        <v>94.84</v>
      </c>
      <c r="N27" s="54">
        <v>9.60</v>
      </c>
      <c r="O27" s="54">
        <v>0.20</v>
      </c>
      <c r="P27" s="54">
        <v>0.66</v>
      </c>
      <c r="Q27" s="54">
        <v>19.170000000000002</v>
      </c>
      <c r="R27" s="43"/>
      <c r="S27" s="43"/>
      <c r="T27" s="43"/>
      <c r="U27" s="43"/>
    </row>
    <row r="28" spans="1:21" s="11" customFormat="1" ht="15">
      <c r="A28" s="53" t="s">
        <v>105</v>
      </c>
      <c r="B28" s="54">
        <v>5.78</v>
      </c>
      <c r="C28" s="54">
        <v>15.04</v>
      </c>
      <c r="D28" s="54">
        <v>20.82</v>
      </c>
      <c r="E28" s="54">
        <v>2.39</v>
      </c>
      <c r="F28" s="54">
        <v>4.7699999999999996</v>
      </c>
      <c r="G28" s="54">
        <v>53.25</v>
      </c>
      <c r="H28" s="54">
        <v>13.28</v>
      </c>
      <c r="I28" s="54">
        <v>0.13</v>
      </c>
      <c r="J28" s="54">
        <v>0.24</v>
      </c>
      <c r="K28" s="54">
        <v>198.11</v>
      </c>
      <c r="L28" s="54">
        <v>23.19</v>
      </c>
      <c r="M28" s="54">
        <v>98.25</v>
      </c>
      <c r="N28" s="54">
        <v>8.3000000000000007</v>
      </c>
      <c r="O28" s="54">
        <v>0</v>
      </c>
      <c r="P28" s="54">
        <v>0.46</v>
      </c>
      <c r="Q28" s="54">
        <v>18.32</v>
      </c>
      <c r="R28" s="43"/>
      <c r="S28" s="43"/>
      <c r="T28" s="43"/>
      <c r="U28" s="43"/>
    </row>
    <row r="29" spans="1:21" s="11" customFormat="1" ht="15">
      <c r="A29" s="53" t="s">
        <v>106</v>
      </c>
      <c r="B29" s="54">
        <v>5.90</v>
      </c>
      <c r="C29" s="54">
        <v>19.96</v>
      </c>
      <c r="D29" s="54">
        <v>25.86</v>
      </c>
      <c r="E29" s="54">
        <v>1.79</v>
      </c>
      <c r="F29" s="54">
        <v>6.36</v>
      </c>
      <c r="G29" s="54">
        <v>41.18</v>
      </c>
      <c r="H29" s="54">
        <v>13.29</v>
      </c>
      <c r="I29" s="54">
        <v>0.13</v>
      </c>
      <c r="J29" s="54">
        <v>0.26</v>
      </c>
      <c r="K29" s="54">
        <v>153.91999999999999</v>
      </c>
      <c r="L29" s="54">
        <v>23.41</v>
      </c>
      <c r="M29" s="54">
        <v>93.72</v>
      </c>
      <c r="N29" s="54">
        <v>7.60</v>
      </c>
      <c r="O29" s="54">
        <v>0</v>
      </c>
      <c r="P29" s="54">
        <v>0.47</v>
      </c>
      <c r="Q29" s="54">
        <v>15.81</v>
      </c>
      <c r="R29" s="43"/>
      <c r="S29" s="43"/>
      <c r="T29" s="43"/>
      <c r="U29" s="43"/>
    </row>
    <row r="30" spans="1:21" s="11" customFormat="1" ht="15">
      <c r="A30" s="53" t="s">
        <v>107</v>
      </c>
      <c r="B30" s="54">
        <v>6.05</v>
      </c>
      <c r="C30" s="54">
        <v>18.350000000000001</v>
      </c>
      <c r="D30" s="54">
        <v>23.52</v>
      </c>
      <c r="E30" s="54">
        <v>2.21</v>
      </c>
      <c r="F30" s="54">
        <v>5.95</v>
      </c>
      <c r="G30" s="54">
        <v>40.64</v>
      </c>
      <c r="H30" s="54">
        <v>12.65</v>
      </c>
      <c r="I30" s="54">
        <v>0.13</v>
      </c>
      <c r="J30" s="54">
        <v>0.96</v>
      </c>
      <c r="K30" s="54">
        <v>179.97</v>
      </c>
      <c r="L30" s="54">
        <v>23.29</v>
      </c>
      <c r="M30" s="54">
        <v>95.84</v>
      </c>
      <c r="N30" s="54">
        <v>7.30</v>
      </c>
      <c r="O30" s="54">
        <v>0</v>
      </c>
      <c r="P30" s="54">
        <v>0.42</v>
      </c>
      <c r="Q30" s="54">
        <v>17.559999999999999</v>
      </c>
      <c r="R30" s="43"/>
      <c r="S30" s="43"/>
      <c r="T30" s="43"/>
      <c r="U30" s="43"/>
    </row>
    <row r="31" spans="1:21" s="11" customFormat="1" ht="15">
      <c r="A31" s="53" t="s">
        <v>108</v>
      </c>
      <c r="B31" s="54">
        <v>6.20</v>
      </c>
      <c r="C31" s="54">
        <v>11.95</v>
      </c>
      <c r="D31" s="54">
        <v>18.149999999999999</v>
      </c>
      <c r="E31" s="54">
        <v>1.71</v>
      </c>
      <c r="F31" s="54">
        <v>2.70</v>
      </c>
      <c r="G31" s="54">
        <v>34.49</v>
      </c>
      <c r="H31" s="54">
        <v>12.45</v>
      </c>
      <c r="I31" s="54">
        <v>0.13</v>
      </c>
      <c r="J31" s="54">
        <v>1.94</v>
      </c>
      <c r="K31" s="54">
        <v>154.68</v>
      </c>
      <c r="L31" s="54">
        <v>22.97</v>
      </c>
      <c r="M31" s="54">
        <v>97.73</v>
      </c>
      <c r="N31" s="54">
        <v>8.40</v>
      </c>
      <c r="O31" s="54">
        <v>0</v>
      </c>
      <c r="P31" s="54">
        <v>0.42</v>
      </c>
      <c r="Q31" s="54">
        <v>18.690000000000001</v>
      </c>
      <c r="R31" s="43"/>
      <c r="S31" s="43"/>
      <c r="T31" s="43"/>
      <c r="U31" s="43"/>
    </row>
    <row r="32" spans="1:21" s="11" customFormat="1" ht="15">
      <c r="A32" s="53" t="s">
        <v>109</v>
      </c>
      <c r="B32" s="54">
        <v>5.38</v>
      </c>
      <c r="C32" s="54">
        <v>10.36</v>
      </c>
      <c r="D32" s="54">
        <v>15.74</v>
      </c>
      <c r="E32" s="54">
        <v>2.02</v>
      </c>
      <c r="F32" s="54">
        <v>2.99</v>
      </c>
      <c r="G32" s="54">
        <v>27.85</v>
      </c>
      <c r="H32" s="54">
        <v>9.1300000000000008</v>
      </c>
      <c r="I32" s="54">
        <v>0.14000000000000001</v>
      </c>
      <c r="J32" s="54">
        <v>1.74</v>
      </c>
      <c r="K32" s="54">
        <v>151.90</v>
      </c>
      <c r="L32" s="54">
        <v>22.73</v>
      </c>
      <c r="M32" s="54">
        <v>98.27</v>
      </c>
      <c r="N32" s="54">
        <v>7.80</v>
      </c>
      <c r="O32" s="54">
        <v>0.20</v>
      </c>
      <c r="P32" s="54">
        <v>0.36</v>
      </c>
      <c r="Q32" s="54">
        <v>19.61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5.3799999999999999</v>
      </c>
      <c r="C34" s="28">
        <f t="shared" si="0"/>
        <v>10.359999999999999</v>
      </c>
      <c r="D34" s="28">
        <f t="shared" si="0"/>
        <v>15.74</v>
      </c>
      <c r="E34" s="28">
        <f t="shared" si="0"/>
        <v>1.6599999999999999</v>
      </c>
      <c r="F34" s="28">
        <f t="shared" si="0"/>
        <v>2.7000000000000002</v>
      </c>
      <c r="G34" s="28">
        <f t="shared" si="0"/>
        <v>27.850000000000001</v>
      </c>
      <c r="H34" s="28">
        <f t="shared" si="0"/>
        <v>1.6100000000000001</v>
      </c>
      <c r="I34" s="28">
        <f t="shared" si="0"/>
        <v>0.11</v>
      </c>
      <c r="J34" s="28">
        <f t="shared" si="0"/>
        <v>0.029999999999999999</v>
      </c>
      <c r="K34" s="28">
        <f t="shared" si="0"/>
        <v>123.59999999999999</v>
      </c>
      <c r="L34" s="28">
        <f t="shared" si="0"/>
        <v>22.73</v>
      </c>
      <c r="M34" s="28">
        <f t="shared" si="0"/>
        <v>50.740000000000002</v>
      </c>
      <c r="N34" s="28">
        <f t="shared" si="0"/>
        <v>6.7999999999999998</v>
      </c>
      <c r="O34" s="28">
        <f t="shared" si="0"/>
        <v>0</v>
      </c>
      <c r="P34" s="28">
        <f t="shared" si="0"/>
        <v>0.35999999999999999</v>
      </c>
      <c r="Q34" s="28">
        <f t="shared" si="0"/>
        <v>13.640000000000001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43.859999999999999</v>
      </c>
      <c r="C35" s="29">
        <f t="shared" si="1"/>
        <v>40.460000000000001</v>
      </c>
      <c r="D35" s="29">
        <f t="shared" si="1"/>
        <v>51.270000000000003</v>
      </c>
      <c r="E35" s="29">
        <f t="shared" si="1"/>
        <v>38.270000000000003</v>
      </c>
      <c r="F35" s="29">
        <f t="shared" si="1"/>
        <v>28.859999999999999</v>
      </c>
      <c r="G35" s="29">
        <f t="shared" si="1"/>
        <v>101.41</v>
      </c>
      <c r="H35" s="29">
        <f t="shared" si="1"/>
        <v>27.199999999999999</v>
      </c>
      <c r="I35" s="29">
        <f t="shared" si="1"/>
        <v>0.14000000000000001</v>
      </c>
      <c r="J35" s="29">
        <f t="shared" si="1"/>
        <v>2.3799999999999999</v>
      </c>
      <c r="K35" s="29">
        <f t="shared" si="1"/>
        <v>359.69999999999999</v>
      </c>
      <c r="L35" s="29">
        <f t="shared" si="1"/>
        <v>36.710000000000001</v>
      </c>
      <c r="M35" s="29">
        <f t="shared" si="1"/>
        <v>98.290000000000006</v>
      </c>
      <c r="N35" s="29">
        <f t="shared" si="1"/>
        <v>846.89999999999998</v>
      </c>
      <c r="O35" s="29">
        <f t="shared" si="1"/>
        <v>0.20000000000000001</v>
      </c>
      <c r="P35" s="29">
        <f t="shared" si="1"/>
        <v>0.83999999999999997</v>
      </c>
      <c r="Q35" s="29">
        <f t="shared" si="1"/>
        <v>23.68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14.428749999999996</v>
      </c>
      <c r="C36" s="28">
        <f t="shared" si="2"/>
        <v>24.592916666666667</v>
      </c>
      <c r="D36" s="28">
        <f t="shared" si="2"/>
        <v>29.819166666666664</v>
      </c>
      <c r="E36" s="28">
        <f t="shared" si="2"/>
        <v>4.952916666666666</v>
      </c>
      <c r="F36" s="28">
        <f t="shared" si="2"/>
        <v>11.246666666666664</v>
      </c>
      <c r="G36" s="28">
        <f t="shared" si="2"/>
        <v>69.210000000000008</v>
      </c>
      <c r="H36" s="28">
        <f t="shared" si="2"/>
        <v>16.454782608695652</v>
      </c>
      <c r="I36" s="28">
        <f t="shared" si="2"/>
        <v>0.12333333333333334</v>
      </c>
      <c r="J36" s="28">
        <f t="shared" si="2"/>
        <v>0.80583333333333329</v>
      </c>
      <c r="K36" s="28">
        <f t="shared" si="2"/>
        <v>280.68041666666664</v>
      </c>
      <c r="L36" s="28">
        <f t="shared" si="2"/>
        <v>28.343333333333334</v>
      </c>
      <c r="M36" s="28">
        <f t="shared" si="2"/>
        <v>81.305833333333325</v>
      </c>
      <c r="N36" s="28">
        <f t="shared" si="2"/>
        <v>233.45416666666674</v>
      </c>
      <c r="O36" s="28">
        <f t="shared" si="2"/>
        <v>0.016666666666666666</v>
      </c>
      <c r="P36" s="28">
        <f t="shared" si="2"/>
        <v>0.62</v>
      </c>
      <c r="Q36" s="28">
        <f t="shared" si="2"/>
        <v>18.403333333333336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9.4991941591859845</v>
      </c>
      <c r="C37" s="28">
        <f t="shared" si="3" ref="C37:Q37">STDEV(C9:C32)</f>
        <v>7.522866867477922</v>
      </c>
      <c r="D37" s="28">
        <f t="shared" si="3"/>
        <v>7.9056325086813262</v>
      </c>
      <c r="E37" s="28">
        <f t="shared" si="3"/>
        <v>7.2350652646716309</v>
      </c>
      <c r="F37" s="28">
        <f t="shared" si="3"/>
        <v>7.7262458776768765</v>
      </c>
      <c r="G37" s="28">
        <f t="shared" si="3"/>
        <v>22.222775376953802</v>
      </c>
      <c r="H37" s="28">
        <f t="shared" si="3"/>
        <v>5.3543965533562101</v>
      </c>
      <c r="I37" s="28">
        <f t="shared" si="3"/>
        <v>0.0070196411816303428</v>
      </c>
      <c r="J37" s="28">
        <f t="shared" si="3"/>
        <v>0.68782528536569942</v>
      </c>
      <c r="K37" s="28">
        <f t="shared" si="3"/>
        <v>83.74307522204424</v>
      </c>
      <c r="L37" s="28">
        <f t="shared" si="3"/>
        <v>5.0253398471854762</v>
      </c>
      <c r="M37" s="28">
        <f t="shared" si="3"/>
        <v>18.988160823241344</v>
      </c>
      <c r="N37" s="28">
        <f t="shared" si="3"/>
        <v>303.80994628244952</v>
      </c>
      <c r="O37" s="28">
        <f t="shared" si="3"/>
        <v>0.056465970257327996</v>
      </c>
      <c r="P37" s="28">
        <f t="shared" si="3"/>
        <v>0.13912771736476706</v>
      </c>
      <c r="Q37" s="28">
        <f t="shared" si="3"/>
        <v>2.7805749587898605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</f>
        <v>24</v>
      </c>
      <c r="H38" s="32">
        <f>COUNT(H9:H32)+1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70b37e7-5e48-437a-9063-fefc8a1c99e8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K66" sqref="K66"/>
    </sheetView>
  </sheetViews>
  <sheetFormatPr defaultColWidth="8.85881696428571" defaultRowHeight="15"/>
  <cols>
    <col min="1" max="1" width="18.2857142857143" style="26" customWidth="1"/>
    <col min="2" max="2" width="13.2857142857143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03-09-2023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110</v>
      </c>
      <c r="B9" s="54">
        <v>4.92</v>
      </c>
      <c r="C9" s="54">
        <v>9.9600000000000009</v>
      </c>
      <c r="D9" s="54">
        <v>14.87</v>
      </c>
      <c r="E9" s="54">
        <v>1.05</v>
      </c>
      <c r="F9" s="54">
        <v>6.05</v>
      </c>
      <c r="G9" s="54">
        <v>22.31</v>
      </c>
      <c r="H9" s="54">
        <v>9.15</v>
      </c>
      <c r="I9" s="54">
        <v>0.13</v>
      </c>
      <c r="J9" s="54">
        <v>1.1399999999999999</v>
      </c>
      <c r="K9" s="54">
        <v>164.31</v>
      </c>
      <c r="L9" s="54">
        <v>22.61</v>
      </c>
      <c r="M9" s="54">
        <v>98.26</v>
      </c>
      <c r="N9" s="54">
        <v>7.80</v>
      </c>
      <c r="O9" s="54">
        <v>0</v>
      </c>
      <c r="P9" s="54">
        <v>0.28999999999999998</v>
      </c>
      <c r="Q9" s="54">
        <v>19.72</v>
      </c>
      <c r="R9" s="43"/>
      <c r="S9" s="43"/>
      <c r="T9" s="43"/>
      <c r="U9" s="43"/>
    </row>
    <row r="10" spans="1:21" s="11" customFormat="1" ht="15">
      <c r="A10" s="53" t="s">
        <v>111</v>
      </c>
      <c r="B10" s="54">
        <v>4.9400000000000004</v>
      </c>
      <c r="C10" s="54">
        <v>9.18</v>
      </c>
      <c r="D10" s="54">
        <v>14.11</v>
      </c>
      <c r="E10" s="54">
        <v>1.1499999999999999</v>
      </c>
      <c r="F10" s="54">
        <v>3.17</v>
      </c>
      <c r="G10" s="54">
        <v>16.95</v>
      </c>
      <c r="H10" s="54">
        <v>9.7100000000000009</v>
      </c>
      <c r="I10" s="54">
        <v>0.12</v>
      </c>
      <c r="J10" s="54">
        <v>0.39</v>
      </c>
      <c r="K10" s="54">
        <v>190.15</v>
      </c>
      <c r="L10" s="54">
        <v>22.45</v>
      </c>
      <c r="M10" s="54">
        <v>98.28</v>
      </c>
      <c r="N10" s="54">
        <v>7.40</v>
      </c>
      <c r="O10" s="54">
        <v>0</v>
      </c>
      <c r="P10" s="54">
        <v>0.33</v>
      </c>
      <c r="Q10" s="54">
        <v>18.68</v>
      </c>
      <c r="R10" s="43"/>
      <c r="S10" s="43"/>
      <c r="T10" s="43"/>
      <c r="U10" s="43"/>
    </row>
    <row r="11" spans="1:21" s="11" customFormat="1" ht="15">
      <c r="A11" s="53" t="s">
        <v>112</v>
      </c>
      <c r="B11" s="54">
        <v>4.2699999999999996</v>
      </c>
      <c r="C11" s="54">
        <v>8.68</v>
      </c>
      <c r="D11" s="54">
        <v>12.93</v>
      </c>
      <c r="E11" s="54">
        <v>1.22</v>
      </c>
      <c r="F11" s="54">
        <v>6.29</v>
      </c>
      <c r="G11" s="54">
        <v>16.420000000000002</v>
      </c>
      <c r="H11" s="54">
        <v>7.37</v>
      </c>
      <c r="I11" s="54">
        <v>0.13</v>
      </c>
      <c r="J11" s="54">
        <v>0.24</v>
      </c>
      <c r="K11" s="54">
        <v>156.12</v>
      </c>
      <c r="L11" s="54">
        <v>22.46</v>
      </c>
      <c r="M11" s="54">
        <v>98.28</v>
      </c>
      <c r="N11" s="54">
        <v>7.30</v>
      </c>
      <c r="O11" s="54">
        <v>0</v>
      </c>
      <c r="P11" s="54">
        <v>0.30</v>
      </c>
      <c r="Q11" s="54">
        <v>18.05</v>
      </c>
      <c r="R11" s="43"/>
      <c r="S11" s="43"/>
      <c r="T11" s="43"/>
      <c r="U11" s="43"/>
    </row>
    <row r="12" spans="1:21" s="11" customFormat="1" ht="15">
      <c r="A12" s="53" t="s">
        <v>113</v>
      </c>
      <c r="B12" s="54">
        <v>4.84</v>
      </c>
      <c r="C12" s="54">
        <v>9.44</v>
      </c>
      <c r="D12" s="54">
        <v>14.28</v>
      </c>
      <c r="E12" s="54">
        <v>0.99</v>
      </c>
      <c r="F12" s="54">
        <v>4.76</v>
      </c>
      <c r="G12" s="54">
        <v>18.059999999999999</v>
      </c>
      <c r="H12" s="54">
        <v>7.46</v>
      </c>
      <c r="I12" s="54">
        <v>0.12</v>
      </c>
      <c r="J12" s="54">
        <v>0.08</v>
      </c>
      <c r="K12" s="54">
        <v>351.11</v>
      </c>
      <c r="L12" s="54">
        <v>22.51</v>
      </c>
      <c r="M12" s="54">
        <v>98.28</v>
      </c>
      <c r="N12" s="54">
        <v>7.10</v>
      </c>
      <c r="O12" s="54">
        <v>0</v>
      </c>
      <c r="P12" s="54">
        <v>0.27</v>
      </c>
      <c r="Q12" s="54">
        <v>18.66</v>
      </c>
      <c r="R12" s="43"/>
      <c r="S12" s="43"/>
      <c r="T12" s="43"/>
      <c r="U12" s="43"/>
    </row>
    <row r="13" spans="1:21" s="11" customFormat="1" ht="15">
      <c r="A13" s="53" t="s">
        <v>114</v>
      </c>
      <c r="B13" s="54">
        <v>4.79</v>
      </c>
      <c r="C13" s="54">
        <v>9.14</v>
      </c>
      <c r="D13" s="54">
        <v>13.70</v>
      </c>
      <c r="E13" s="54">
        <v>1.86</v>
      </c>
      <c r="F13" s="54">
        <v>4.45</v>
      </c>
      <c r="G13" s="54">
        <v>20.21</v>
      </c>
      <c r="H13" s="54">
        <v>6.64</v>
      </c>
      <c r="I13" s="54">
        <v>0.12</v>
      </c>
      <c r="J13" s="54">
        <v>0.16</v>
      </c>
      <c r="K13" s="54">
        <v>48.42</v>
      </c>
      <c r="L13" s="54">
        <v>22.42</v>
      </c>
      <c r="M13" s="54">
        <v>98.29</v>
      </c>
      <c r="N13" s="54">
        <v>7</v>
      </c>
      <c r="O13" s="54">
        <v>0</v>
      </c>
      <c r="P13" s="54">
        <v>0.28000000000000003</v>
      </c>
      <c r="Q13" s="54">
        <v>17.68</v>
      </c>
      <c r="R13" s="43"/>
      <c r="S13" s="43"/>
      <c r="T13" s="43"/>
      <c r="U13" s="43"/>
    </row>
    <row r="14" spans="1:21" s="11" customFormat="1" ht="15">
      <c r="A14" s="53" t="s">
        <v>115</v>
      </c>
      <c r="B14" s="54">
        <v>5.97</v>
      </c>
      <c r="C14" s="54">
        <v>12.14</v>
      </c>
      <c r="D14" s="54">
        <v>18.11</v>
      </c>
      <c r="E14" s="54">
        <v>1.84</v>
      </c>
      <c r="F14" s="54">
        <v>2.48</v>
      </c>
      <c r="G14" s="54">
        <v>17.78</v>
      </c>
      <c r="H14" s="54">
        <v>6.78</v>
      </c>
      <c r="I14" s="54">
        <v>0.13</v>
      </c>
      <c r="J14" s="54">
        <v>0.16</v>
      </c>
      <c r="K14" s="54">
        <v>153.30000000000001</v>
      </c>
      <c r="L14" s="54">
        <v>22.48</v>
      </c>
      <c r="M14" s="54">
        <v>98.31</v>
      </c>
      <c r="N14" s="54">
        <v>15.90</v>
      </c>
      <c r="O14" s="54">
        <v>0</v>
      </c>
      <c r="P14" s="54">
        <v>0.28000000000000003</v>
      </c>
      <c r="Q14" s="54">
        <v>16.97</v>
      </c>
      <c r="R14" s="43"/>
      <c r="S14" s="43"/>
      <c r="T14" s="43"/>
      <c r="U14" s="43"/>
    </row>
    <row r="15" spans="1:21" s="11" customFormat="1" ht="15">
      <c r="A15" s="53" t="s">
        <v>116</v>
      </c>
      <c r="B15" s="54">
        <v>10.18</v>
      </c>
      <c r="C15" s="54">
        <v>13.95</v>
      </c>
      <c r="D15" s="54">
        <v>24.13</v>
      </c>
      <c r="E15" s="54">
        <v>1.79</v>
      </c>
      <c r="F15" s="54">
        <v>2.16</v>
      </c>
      <c r="G15" s="54">
        <v>21.86</v>
      </c>
      <c r="H15" s="54">
        <v>8.91</v>
      </c>
      <c r="I15" s="54">
        <v>0.12</v>
      </c>
      <c r="J15" s="54">
        <v>0.20</v>
      </c>
      <c r="K15" s="54">
        <v>358.39</v>
      </c>
      <c r="L15" s="54">
        <v>23.13</v>
      </c>
      <c r="M15" s="54">
        <v>98.30</v>
      </c>
      <c r="N15" s="54">
        <v>46.90</v>
      </c>
      <c r="O15" s="54">
        <v>0</v>
      </c>
      <c r="P15" s="54">
        <v>0.31</v>
      </c>
      <c r="Q15" s="54">
        <v>17.09</v>
      </c>
      <c r="R15" s="43"/>
      <c r="S15" s="43"/>
      <c r="T15" s="43"/>
      <c r="U15" s="43"/>
    </row>
    <row r="16" spans="1:21" s="11" customFormat="1" ht="15">
      <c r="A16" s="53" t="s">
        <v>117</v>
      </c>
      <c r="B16" s="54">
        <v>9.1300000000000008</v>
      </c>
      <c r="C16" s="54">
        <v>11.32</v>
      </c>
      <c r="D16" s="54">
        <v>19.940000000000001</v>
      </c>
      <c r="E16" s="54">
        <v>2.15</v>
      </c>
      <c r="F16" s="54">
        <v>1.5</v>
      </c>
      <c r="G16" s="54">
        <v>24.83</v>
      </c>
      <c r="H16" s="54">
        <v>9.52</v>
      </c>
      <c r="I16" s="54">
        <v>0.13</v>
      </c>
      <c r="J16" s="54">
        <v>0.17</v>
      </c>
      <c r="K16" s="54">
        <v>144.43</v>
      </c>
      <c r="L16" s="54">
        <v>24.65</v>
      </c>
      <c r="M16" s="54">
        <v>98.27</v>
      </c>
      <c r="N16" s="54">
        <v>237.40</v>
      </c>
      <c r="O16" s="54">
        <v>0</v>
      </c>
      <c r="P16" s="54">
        <v>0.36</v>
      </c>
      <c r="Q16" s="54">
        <v>16.16</v>
      </c>
      <c r="R16" s="43"/>
      <c r="S16" s="43"/>
      <c r="T16" s="43"/>
      <c r="U16" s="43"/>
    </row>
    <row r="17" spans="1:21" s="11" customFormat="1" ht="15">
      <c r="A17" s="53" t="s">
        <v>118</v>
      </c>
      <c r="B17" s="54">
        <v>8.2200000000000006</v>
      </c>
      <c r="C17" s="54">
        <v>14.46</v>
      </c>
      <c r="D17" s="54">
        <v>22.39</v>
      </c>
      <c r="E17" s="54">
        <v>1.35</v>
      </c>
      <c r="F17" s="54">
        <v>4.12</v>
      </c>
      <c r="G17" s="54">
        <v>26.78</v>
      </c>
      <c r="H17" s="54">
        <v>8.6300000000000008</v>
      </c>
      <c r="I17" s="54">
        <v>0.13</v>
      </c>
      <c r="J17" s="54">
        <v>0.57999999999999996</v>
      </c>
      <c r="K17" s="54">
        <v>164.12</v>
      </c>
      <c r="L17" s="54">
        <v>24.24</v>
      </c>
      <c r="M17" s="54">
        <v>93.66</v>
      </c>
      <c r="N17" s="54">
        <v>228.90</v>
      </c>
      <c r="O17" s="54">
        <v>0</v>
      </c>
      <c r="P17" s="54">
        <v>0.48</v>
      </c>
      <c r="Q17" s="54">
        <v>16.899999999999999</v>
      </c>
      <c r="R17" s="43"/>
      <c r="S17" s="43"/>
      <c r="T17" s="43"/>
      <c r="U17" s="43"/>
    </row>
    <row r="18" spans="1:21" s="11" customFormat="1" ht="15">
      <c r="A18" s="53" t="s">
        <v>119</v>
      </c>
      <c r="B18" s="54">
        <v>15</v>
      </c>
      <c r="C18" s="54">
        <v>22.32</v>
      </c>
      <c r="D18" s="54">
        <v>37.31</v>
      </c>
      <c r="E18" s="54">
        <v>1.65</v>
      </c>
      <c r="F18" s="54">
        <v>6.07</v>
      </c>
      <c r="G18" s="54">
        <v>32.369999999999997</v>
      </c>
      <c r="H18" s="54">
        <v>9.32</v>
      </c>
      <c r="I18" s="54">
        <v>0.13</v>
      </c>
      <c r="J18" s="54">
        <v>2.40</v>
      </c>
      <c r="K18" s="54">
        <v>358.96</v>
      </c>
      <c r="L18" s="54">
        <v>24.83</v>
      </c>
      <c r="M18" s="54">
        <v>97.44</v>
      </c>
      <c r="N18" s="54">
        <v>159.80000000000001</v>
      </c>
      <c r="O18" s="54">
        <v>2</v>
      </c>
      <c r="P18" s="54">
        <v>0.72</v>
      </c>
      <c r="Q18" s="54">
        <v>17.239999999999998</v>
      </c>
      <c r="R18" s="43"/>
      <c r="S18" s="43"/>
      <c r="T18" s="43"/>
      <c r="U18" s="43"/>
    </row>
    <row r="19" spans="1:21" s="11" customFormat="1" ht="15">
      <c r="A19" s="53" t="s">
        <v>120</v>
      </c>
      <c r="B19" s="54">
        <v>11.95</v>
      </c>
      <c r="C19" s="54">
        <v>24.35</v>
      </c>
      <c r="D19" s="54">
        <v>36.299999999999997</v>
      </c>
      <c r="E19" s="54">
        <v>1.64</v>
      </c>
      <c r="F19" s="54">
        <v>3.47</v>
      </c>
      <c r="G19" s="54">
        <v>34.10</v>
      </c>
      <c r="H19" s="54">
        <v>8.44</v>
      </c>
      <c r="I19" s="54">
        <v>0.13</v>
      </c>
      <c r="J19" s="54">
        <v>0.83</v>
      </c>
      <c r="K19" s="54">
        <v>346.49</v>
      </c>
      <c r="L19" s="54">
        <v>21.63</v>
      </c>
      <c r="M19" s="54">
        <v>98.35</v>
      </c>
      <c r="N19" s="54">
        <v>39.799999999999997</v>
      </c>
      <c r="O19" s="54">
        <v>1</v>
      </c>
      <c r="P19" s="54">
        <v>0.56999999999999995</v>
      </c>
      <c r="Q19" s="54">
        <v>19.39</v>
      </c>
      <c r="R19" s="43"/>
      <c r="S19" s="43"/>
      <c r="T19" s="43"/>
      <c r="U19" s="43"/>
    </row>
    <row r="20" spans="1:21" s="11" customFormat="1" ht="15">
      <c r="A20" s="53" t="s">
        <v>121</v>
      </c>
      <c r="B20" s="54">
        <v>12.79</v>
      </c>
      <c r="C20" s="54">
        <v>22.78</v>
      </c>
      <c r="D20" s="54">
        <v>35.58</v>
      </c>
      <c r="E20" s="54">
        <v>1.68</v>
      </c>
      <c r="F20" s="54">
        <v>2.86</v>
      </c>
      <c r="G20" s="54">
        <v>24.03</v>
      </c>
      <c r="H20" s="54">
        <v>10.35</v>
      </c>
      <c r="I20" s="54">
        <v>0.13</v>
      </c>
      <c r="J20" s="54">
        <v>0.24</v>
      </c>
      <c r="K20" s="54">
        <v>340.79</v>
      </c>
      <c r="L20" s="54">
        <v>22.29</v>
      </c>
      <c r="M20" s="54">
        <v>98.35</v>
      </c>
      <c r="N20" s="54">
        <v>122.5</v>
      </c>
      <c r="O20" s="54">
        <v>1.60</v>
      </c>
      <c r="P20" s="54">
        <v>0.64</v>
      </c>
      <c r="Q20" s="54">
        <v>19.29</v>
      </c>
      <c r="R20" s="43"/>
      <c r="S20" s="43"/>
      <c r="T20" s="43"/>
      <c r="U20" s="43"/>
    </row>
    <row r="21" spans="1:21" s="11" customFormat="1" ht="15">
      <c r="A21" s="53" t="s">
        <v>122</v>
      </c>
      <c r="B21" s="54">
        <v>15.51</v>
      </c>
      <c r="C21" s="54">
        <v>23.78</v>
      </c>
      <c r="D21" s="54">
        <v>38.69</v>
      </c>
      <c r="E21" s="54">
        <v>2.02</v>
      </c>
      <c r="F21" s="54">
        <v>4.88</v>
      </c>
      <c r="G21" s="54">
        <v>23.88</v>
      </c>
      <c r="H21" s="54">
        <v>11.88</v>
      </c>
      <c r="I21" s="54">
        <v>0.12</v>
      </c>
      <c r="J21" s="54">
        <v>0.27</v>
      </c>
      <c r="K21" s="54">
        <v>344.26</v>
      </c>
      <c r="L21" s="54">
        <v>23.73</v>
      </c>
      <c r="M21" s="54">
        <v>98.28</v>
      </c>
      <c r="N21" s="54">
        <v>217.80</v>
      </c>
      <c r="O21" s="54">
        <v>0.20</v>
      </c>
      <c r="P21" s="54">
        <v>0.72</v>
      </c>
      <c r="Q21" s="54">
        <v>19.37</v>
      </c>
      <c r="R21" s="43"/>
      <c r="S21" s="43"/>
      <c r="T21" s="43"/>
      <c r="U21" s="43"/>
    </row>
    <row r="22" spans="1:21" s="11" customFormat="1" ht="15">
      <c r="A22" s="53" t="s">
        <v>123</v>
      </c>
      <c r="B22" s="54">
        <v>15.20</v>
      </c>
      <c r="C22" s="54">
        <v>15.64</v>
      </c>
      <c r="D22" s="54">
        <v>30.84</v>
      </c>
      <c r="E22" s="54">
        <v>1.32</v>
      </c>
      <c r="F22" s="54">
        <v>2.16</v>
      </c>
      <c r="G22" s="54">
        <v>28.09</v>
      </c>
      <c r="H22" s="54">
        <v>12.02</v>
      </c>
      <c r="I22" s="54">
        <v>0.13</v>
      </c>
      <c r="J22" s="54">
        <v>0.33</v>
      </c>
      <c r="K22" s="54">
        <v>358.92</v>
      </c>
      <c r="L22" s="54">
        <v>26.12</v>
      </c>
      <c r="M22" s="54">
        <v>97.83</v>
      </c>
      <c r="N22" s="54">
        <v>589.79999999999995</v>
      </c>
      <c r="O22" s="54">
        <v>0</v>
      </c>
      <c r="P22" s="54">
        <v>0.73</v>
      </c>
      <c r="Q22" s="54">
        <v>18.78</v>
      </c>
      <c r="R22" s="43"/>
      <c r="S22" s="43"/>
      <c r="T22" s="43"/>
      <c r="U22" s="43"/>
    </row>
    <row r="23" spans="1:21" s="11" customFormat="1" ht="15">
      <c r="A23" s="53" t="s">
        <v>124</v>
      </c>
      <c r="B23" s="54">
        <v>11.29</v>
      </c>
      <c r="C23" s="54">
        <v>18.32</v>
      </c>
      <c r="D23" s="54">
        <v>29.26</v>
      </c>
      <c r="E23" s="54">
        <v>1.31</v>
      </c>
      <c r="F23" s="54">
        <v>1.81</v>
      </c>
      <c r="G23" s="54">
        <v>46.61</v>
      </c>
      <c r="H23" s="54">
        <v>17.989999999999998</v>
      </c>
      <c r="I23" s="54">
        <v>0.13</v>
      </c>
      <c r="J23" s="54">
        <v>0.63</v>
      </c>
      <c r="K23" s="54">
        <v>359.28</v>
      </c>
      <c r="L23" s="54">
        <v>27.15</v>
      </c>
      <c r="M23" s="54">
        <v>89.68</v>
      </c>
      <c r="N23" s="54">
        <v>435.90</v>
      </c>
      <c r="O23" s="54">
        <v>0</v>
      </c>
      <c r="P23" s="54">
        <v>1.01</v>
      </c>
      <c r="Q23" s="54">
        <v>17.84</v>
      </c>
      <c r="R23" s="43"/>
      <c r="S23" s="43"/>
      <c r="T23" s="43"/>
      <c r="U23" s="43"/>
    </row>
    <row r="24" spans="1:21" s="11" customFormat="1" ht="15">
      <c r="A24" s="53" t="s">
        <v>125</v>
      </c>
      <c r="B24" s="54">
        <v>11.04</v>
      </c>
      <c r="C24" s="54">
        <v>18.84</v>
      </c>
      <c r="D24" s="54">
        <v>29.83</v>
      </c>
      <c r="E24" s="54">
        <v>1.27</v>
      </c>
      <c r="F24" s="54">
        <v>1.63</v>
      </c>
      <c r="G24" s="54">
        <v>70.66</v>
      </c>
      <c r="H24" s="54">
        <v>21.08</v>
      </c>
      <c r="I24" s="54">
        <v>0.13</v>
      </c>
      <c r="J24" s="54">
        <v>0.65</v>
      </c>
      <c r="K24" s="54">
        <v>333.90</v>
      </c>
      <c r="L24" s="54">
        <v>26.90</v>
      </c>
      <c r="M24" s="54">
        <v>85.37</v>
      </c>
      <c r="N24" s="54">
        <v>258.10000000000002</v>
      </c>
      <c r="O24" s="54">
        <v>0</v>
      </c>
      <c r="P24" s="54">
        <v>1.0900000000000001</v>
      </c>
      <c r="Q24" s="54">
        <v>17.66</v>
      </c>
      <c r="R24" s="43"/>
      <c r="S24" s="43"/>
      <c r="T24" s="43"/>
      <c r="U24" s="43"/>
    </row>
    <row r="25" spans="1:21" s="11" customFormat="1" ht="15">
      <c r="A25" s="53" t="s">
        <v>126</v>
      </c>
      <c r="B25" s="54">
        <v>8.1999999999999993</v>
      </c>
      <c r="C25" s="54">
        <v>18.579999999999998</v>
      </c>
      <c r="D25" s="54">
        <v>26.78</v>
      </c>
      <c r="E25" s="54">
        <v>1.34</v>
      </c>
      <c r="F25" s="54">
        <v>1.66</v>
      </c>
      <c r="G25" s="54">
        <v>77.23</v>
      </c>
      <c r="H25" s="54">
        <v>18.20</v>
      </c>
      <c r="I25" s="54">
        <v>0.14000000000000001</v>
      </c>
      <c r="J25" s="54">
        <v>0.66</v>
      </c>
      <c r="K25" s="54">
        <v>337.64</v>
      </c>
      <c r="L25" s="54">
        <v>25.74</v>
      </c>
      <c r="M25" s="54">
        <v>87.53</v>
      </c>
      <c r="N25" s="54">
        <v>152.90</v>
      </c>
      <c r="O25" s="54">
        <v>0</v>
      </c>
      <c r="P25" s="54">
        <v>0.93</v>
      </c>
      <c r="Q25" s="54">
        <v>15.02</v>
      </c>
      <c r="R25" s="43"/>
      <c r="S25" s="43"/>
      <c r="T25" s="43"/>
      <c r="U25" s="43"/>
    </row>
    <row r="26" spans="1:21" s="11" customFormat="1" ht="15">
      <c r="A26" s="53" t="s">
        <v>127</v>
      </c>
      <c r="B26" s="54">
        <v>10.75</v>
      </c>
      <c r="C26" s="54">
        <v>24.93</v>
      </c>
      <c r="D26" s="54">
        <v>35.49</v>
      </c>
      <c r="E26" s="54">
        <v>1.39</v>
      </c>
      <c r="F26" s="54">
        <v>2.13</v>
      </c>
      <c r="G26" s="54">
        <v>62.90</v>
      </c>
      <c r="H26" s="54">
        <v>13.24</v>
      </c>
      <c r="I26" s="54">
        <v>0.13</v>
      </c>
      <c r="J26" s="54">
        <v>0.34</v>
      </c>
      <c r="K26" s="54">
        <v>358.07</v>
      </c>
      <c r="L26" s="54">
        <v>24.94</v>
      </c>
      <c r="M26" s="54">
        <v>91.23</v>
      </c>
      <c r="N26" s="54">
        <v>77.099999999999994</v>
      </c>
      <c r="O26" s="54">
        <v>0</v>
      </c>
      <c r="P26" s="54">
        <v>0.85</v>
      </c>
      <c r="Q26" s="54">
        <v>15.46</v>
      </c>
      <c r="R26" s="43"/>
      <c r="S26" s="43"/>
      <c r="T26" s="43"/>
      <c r="U26" s="43"/>
    </row>
    <row r="27" spans="1:21" s="11" customFormat="1" ht="15">
      <c r="A27" s="53" t="s">
        <v>128</v>
      </c>
      <c r="B27" s="54">
        <v>9.40</v>
      </c>
      <c r="C27" s="54">
        <v>28.52</v>
      </c>
      <c r="D27" s="54">
        <v>37.92</v>
      </c>
      <c r="E27" s="54">
        <v>1.5</v>
      </c>
      <c r="F27" s="54">
        <v>3.76</v>
      </c>
      <c r="G27" s="54">
        <v>56.53</v>
      </c>
      <c r="H27" s="54">
        <v>14.81</v>
      </c>
      <c r="I27" s="54">
        <v>0.12</v>
      </c>
      <c r="J27" s="54">
        <v>0.20</v>
      </c>
      <c r="K27" s="54">
        <v>172.28</v>
      </c>
      <c r="L27" s="54">
        <v>23.65</v>
      </c>
      <c r="M27" s="54">
        <v>96.29</v>
      </c>
      <c r="N27" s="54">
        <v>10.30</v>
      </c>
      <c r="O27" s="54">
        <v>0</v>
      </c>
      <c r="P27" s="54">
        <v>1.22</v>
      </c>
      <c r="Q27" s="54">
        <v>15.57</v>
      </c>
      <c r="R27" s="43"/>
      <c r="S27" s="43"/>
      <c r="T27" s="43"/>
      <c r="U27" s="43"/>
    </row>
    <row r="28" spans="1:21" s="11" customFormat="1" ht="15">
      <c r="A28" s="53" t="s">
        <v>129</v>
      </c>
      <c r="B28" s="54">
        <v>7.78</v>
      </c>
      <c r="C28" s="54">
        <v>14.37</v>
      </c>
      <c r="D28" s="54">
        <v>22.15</v>
      </c>
      <c r="E28" s="54">
        <v>1.35</v>
      </c>
      <c r="F28" s="54">
        <v>4.5199999999999996</v>
      </c>
      <c r="G28" s="54">
        <v>56.86</v>
      </c>
      <c r="H28" s="54">
        <v>15.17</v>
      </c>
      <c r="I28" s="54">
        <v>0.13</v>
      </c>
      <c r="J28" s="54">
        <v>0.56000000000000005</v>
      </c>
      <c r="K28" s="54">
        <v>121.97</v>
      </c>
      <c r="L28" s="54">
        <v>22.76</v>
      </c>
      <c r="M28" s="54">
        <v>97.35</v>
      </c>
      <c r="N28" s="54">
        <v>7.30</v>
      </c>
      <c r="O28" s="54">
        <v>0</v>
      </c>
      <c r="P28" s="54">
        <v>0.86</v>
      </c>
      <c r="Q28" s="54">
        <v>14.54</v>
      </c>
      <c r="R28" s="43"/>
      <c r="S28" s="43"/>
      <c r="T28" s="43"/>
      <c r="U28" s="43"/>
    </row>
    <row r="29" spans="1:21" s="11" customFormat="1" ht="15">
      <c r="A29" s="53" t="s">
        <v>130</v>
      </c>
      <c r="B29" s="54">
        <v>6.46</v>
      </c>
      <c r="C29" s="54">
        <v>19.670000000000002</v>
      </c>
      <c r="D29" s="54">
        <v>25.82</v>
      </c>
      <c r="E29" s="54">
        <v>2.60</v>
      </c>
      <c r="F29" s="54">
        <v>9.4499999999999993</v>
      </c>
      <c r="G29" s="54">
        <v>43.85</v>
      </c>
      <c r="H29" s="54">
        <v>12.95</v>
      </c>
      <c r="I29" s="54">
        <v>0.12</v>
      </c>
      <c r="J29" s="54">
        <v>0.76</v>
      </c>
      <c r="K29" s="54">
        <v>174.28</v>
      </c>
      <c r="L29" s="54">
        <v>22.68</v>
      </c>
      <c r="M29" s="54">
        <v>97.90</v>
      </c>
      <c r="N29" s="54">
        <v>7.30</v>
      </c>
      <c r="O29" s="54">
        <v>0</v>
      </c>
      <c r="P29" s="54">
        <v>0.82</v>
      </c>
      <c r="Q29" s="54">
        <v>16.64</v>
      </c>
      <c r="R29" s="43"/>
      <c r="S29" s="43"/>
      <c r="T29" s="43"/>
      <c r="U29" s="43"/>
    </row>
    <row r="30" spans="1:21" s="11" customFormat="1" ht="15">
      <c r="A30" s="53" t="s">
        <v>131</v>
      </c>
      <c r="B30" s="54">
        <v>14.11</v>
      </c>
      <c r="C30" s="54">
        <v>24.75</v>
      </c>
      <c r="D30" s="54">
        <v>38.86</v>
      </c>
      <c r="E30" s="54">
        <v>2.64</v>
      </c>
      <c r="F30" s="54">
        <v>9.01</v>
      </c>
      <c r="G30" s="54">
        <v>33.369999999999997</v>
      </c>
      <c r="H30" s="54">
        <v>10.30</v>
      </c>
      <c r="I30" s="54">
        <v>0.13</v>
      </c>
      <c r="J30" s="54">
        <v>1</v>
      </c>
      <c r="K30" s="54">
        <v>170.32</v>
      </c>
      <c r="L30" s="54">
        <v>22.66</v>
      </c>
      <c r="M30" s="54">
        <v>97.92</v>
      </c>
      <c r="N30" s="54">
        <v>7.30</v>
      </c>
      <c r="O30" s="54">
        <v>0</v>
      </c>
      <c r="P30" s="54">
        <v>0.72</v>
      </c>
      <c r="Q30" s="54">
        <v>16.80</v>
      </c>
      <c r="R30" s="43"/>
      <c r="S30" s="43"/>
      <c r="T30" s="43"/>
      <c r="U30" s="43"/>
    </row>
    <row r="31" spans="1:21" s="11" customFormat="1" ht="15">
      <c r="A31" s="53" t="s">
        <v>132</v>
      </c>
      <c r="B31" s="54">
        <v>6.77</v>
      </c>
      <c r="C31" s="54">
        <v>11.58</v>
      </c>
      <c r="D31" s="54">
        <v>18.350000000000001</v>
      </c>
      <c r="E31" s="54">
        <v>2.65</v>
      </c>
      <c r="F31" s="54">
        <v>2.35</v>
      </c>
      <c r="G31" s="54">
        <v>34.31</v>
      </c>
      <c r="H31" s="54">
        <v>9.01</v>
      </c>
      <c r="I31" s="54">
        <v>0.13</v>
      </c>
      <c r="J31" s="54">
        <v>0.09</v>
      </c>
      <c r="K31" s="54">
        <v>170.45</v>
      </c>
      <c r="L31" s="54">
        <v>22.49</v>
      </c>
      <c r="M31" s="54">
        <v>98.30</v>
      </c>
      <c r="N31" s="54">
        <v>7.30</v>
      </c>
      <c r="O31" s="54">
        <v>0</v>
      </c>
      <c r="P31" s="54">
        <v>0.68</v>
      </c>
      <c r="Q31" s="54">
        <v>17</v>
      </c>
      <c r="R31" s="43"/>
      <c r="S31" s="43"/>
      <c r="T31" s="43"/>
      <c r="U31" s="43"/>
    </row>
    <row r="32" spans="1:21" s="11" customFormat="1" ht="15">
      <c r="A32" s="53" t="s">
        <v>133</v>
      </c>
      <c r="B32" s="54">
        <v>5.45</v>
      </c>
      <c r="C32" s="54">
        <v>11.37</v>
      </c>
      <c r="D32" s="54">
        <v>16.63</v>
      </c>
      <c r="E32" s="54">
        <v>2.2400000000000002</v>
      </c>
      <c r="F32" s="54">
        <v>1.90</v>
      </c>
      <c r="G32" s="54">
        <v>26.29</v>
      </c>
      <c r="H32" s="54">
        <v>7.45</v>
      </c>
      <c r="I32" s="54">
        <v>0.13</v>
      </c>
      <c r="J32" s="54">
        <v>0.48</v>
      </c>
      <c r="K32" s="54">
        <v>337.52</v>
      </c>
      <c r="L32" s="54">
        <v>22.64</v>
      </c>
      <c r="M32" s="54">
        <v>98.30</v>
      </c>
      <c r="N32" s="54">
        <v>7.40</v>
      </c>
      <c r="O32" s="54">
        <v>0</v>
      </c>
      <c r="P32" s="54">
        <v>0.62</v>
      </c>
      <c r="Q32" s="54">
        <v>16.87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4.2699999999999996</v>
      </c>
      <c r="C34" s="28">
        <f t="shared" si="0"/>
        <v>8.6799999999999997</v>
      </c>
      <c r="D34" s="28">
        <f t="shared" si="0"/>
        <v>12.93</v>
      </c>
      <c r="E34" s="28">
        <f t="shared" si="0"/>
        <v>0.98999999999999999</v>
      </c>
      <c r="F34" s="28">
        <f t="shared" si="0"/>
        <v>1.5</v>
      </c>
      <c r="G34" s="28">
        <f t="shared" si="0"/>
        <v>16.420000000000002</v>
      </c>
      <c r="H34" s="28">
        <f t="shared" si="0"/>
        <v>6.6399999999999997</v>
      </c>
      <c r="I34" s="28">
        <f t="shared" si="0"/>
        <v>0.12</v>
      </c>
      <c r="J34" s="28">
        <f t="shared" si="0"/>
        <v>0.080000000000000002</v>
      </c>
      <c r="K34" s="28">
        <f t="shared" si="0"/>
        <v>48.420000000000002</v>
      </c>
      <c r="L34" s="28">
        <f t="shared" si="0"/>
        <v>21.629999999999999</v>
      </c>
      <c r="M34" s="28">
        <f t="shared" si="0"/>
        <v>85.370000000000005</v>
      </c>
      <c r="N34" s="28">
        <f t="shared" si="0"/>
        <v>7</v>
      </c>
      <c r="O34" s="28">
        <f t="shared" si="0"/>
        <v>0</v>
      </c>
      <c r="P34" s="28">
        <f t="shared" si="0"/>
        <v>0.27000000000000002</v>
      </c>
      <c r="Q34" s="28">
        <f t="shared" si="0"/>
        <v>14.539999999999999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15.51</v>
      </c>
      <c r="C35" s="29">
        <f t="shared" si="1"/>
        <v>28.52</v>
      </c>
      <c r="D35" s="29">
        <f t="shared" si="1"/>
        <v>38.859999999999999</v>
      </c>
      <c r="E35" s="29">
        <f t="shared" si="1"/>
        <v>2.6499999999999999</v>
      </c>
      <c r="F35" s="29">
        <f t="shared" si="1"/>
        <v>9.4499999999999993</v>
      </c>
      <c r="G35" s="29">
        <f t="shared" si="1"/>
        <v>77.230000000000004</v>
      </c>
      <c r="H35" s="29">
        <f t="shared" si="1"/>
        <v>21.079999999999998</v>
      </c>
      <c r="I35" s="29">
        <f t="shared" si="1"/>
        <v>0.14000000000000001</v>
      </c>
      <c r="J35" s="29">
        <f t="shared" si="1"/>
        <v>2.3999999999999999</v>
      </c>
      <c r="K35" s="29">
        <f t="shared" si="1"/>
        <v>359.27999999999997</v>
      </c>
      <c r="L35" s="29">
        <f t="shared" si="1"/>
        <v>27.149999999999999</v>
      </c>
      <c r="M35" s="29">
        <f t="shared" si="1"/>
        <v>98.349999999999994</v>
      </c>
      <c r="N35" s="29">
        <f t="shared" si="1"/>
        <v>589.79999999999995</v>
      </c>
      <c r="O35" s="29">
        <f t="shared" si="1"/>
        <v>2</v>
      </c>
      <c r="P35" s="29">
        <f t="shared" si="1"/>
        <v>1.22</v>
      </c>
      <c r="Q35" s="29">
        <f t="shared" si="1"/>
        <v>19.719999999999999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9.1233333333333331</v>
      </c>
      <c r="C36" s="28">
        <f t="shared" si="2"/>
        <v>16.58625</v>
      </c>
      <c r="D36" s="28">
        <f t="shared" si="2"/>
        <v>25.594583333333336</v>
      </c>
      <c r="E36" s="28">
        <f t="shared" si="2"/>
        <v>1.6666666666666667</v>
      </c>
      <c r="F36" s="28">
        <f t="shared" si="2"/>
        <v>3.8600000000000008</v>
      </c>
      <c r="G36" s="28">
        <f t="shared" si="2"/>
        <v>34.844999999999999</v>
      </c>
      <c r="H36" s="28">
        <f t="shared" si="2"/>
        <v>11.099166666666664</v>
      </c>
      <c r="I36" s="28">
        <f t="shared" si="2"/>
        <v>0.12749999999999997</v>
      </c>
      <c r="J36" s="28">
        <f t="shared" si="2"/>
        <v>0.52333333333333332</v>
      </c>
      <c r="K36" s="28">
        <f t="shared" si="2"/>
        <v>250.64499999999998</v>
      </c>
      <c r="L36" s="28">
        <f t="shared" si="2"/>
        <v>23.631666666666664</v>
      </c>
      <c r="M36" s="28">
        <f t="shared" si="2"/>
        <v>96.252083333333317</v>
      </c>
      <c r="N36" s="28">
        <f t="shared" si="2"/>
        <v>111.09583333333336</v>
      </c>
      <c r="O36" s="28">
        <f t="shared" si="2"/>
        <v>0.19999999999999998</v>
      </c>
      <c r="P36" s="28">
        <f t="shared" si="2"/>
        <v>0.6283333333333333</v>
      </c>
      <c r="Q36" s="28">
        <f t="shared" si="2"/>
        <v>17.390833333333333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3.6483977027047665</v>
      </c>
      <c r="C37" s="28">
        <f t="shared" si="3" ref="C37:Q37">STDEV(C9:C32)</f>
        <v>6.1444558343274016</v>
      </c>
      <c r="D37" s="28">
        <f t="shared" si="3"/>
        <v>9.1630918358790545</v>
      </c>
      <c r="E37" s="28">
        <f t="shared" si="3"/>
        <v>0.49683053419666595</v>
      </c>
      <c r="F37" s="28">
        <f t="shared" si="3"/>
        <v>2.2271018406654974</v>
      </c>
      <c r="G37" s="28">
        <f t="shared" si="3"/>
        <v>17.868812276531241</v>
      </c>
      <c r="H37" s="28">
        <f t="shared" si="3"/>
        <v>3.9079071644292132</v>
      </c>
      <c r="I37" s="28">
        <f t="shared" si="3"/>
        <v>0.0053160953307119533</v>
      </c>
      <c r="J37" s="28">
        <f t="shared" si="3"/>
        <v>0.49465549422907917</v>
      </c>
      <c r="K37" s="28">
        <f t="shared" si="3"/>
        <v>103.67660714725004</v>
      </c>
      <c r="L37" s="28">
        <f t="shared" si="3"/>
        <v>1.5753913707439469</v>
      </c>
      <c r="M37" s="28">
        <f t="shared" si="3"/>
        <v>3.8139241222322342</v>
      </c>
      <c r="N37" s="28">
        <f t="shared" si="3"/>
        <v>153.08541656373657</v>
      </c>
      <c r="O37" s="28">
        <f t="shared" si="3"/>
        <v>0.53730405933131853</v>
      </c>
      <c r="P37" s="28">
        <f t="shared" si="3"/>
        <v>0.28429419340851331</v>
      </c>
      <c r="Q37" s="28">
        <f t="shared" si="3"/>
        <v>1.4312533779467764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986648d-3052-4623-9b4f-199d6372fae5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P39" sqref="P39"/>
    </sheetView>
  </sheetViews>
  <sheetFormatPr defaultColWidth="8.85881696428571" defaultRowHeight="15"/>
  <cols>
    <col min="1" max="1" width="18.2857142857143" style="26" customWidth="1"/>
    <col min="2" max="2" width="18.4285714285714" style="20" customWidth="1"/>
    <col min="3" max="3" width="10.1428571428571" style="20" customWidth="1"/>
    <col min="4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04-09-2023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134</v>
      </c>
      <c r="B9" s="54">
        <v>4.5999999999999996</v>
      </c>
      <c r="C9" s="54">
        <v>11.11</v>
      </c>
      <c r="D9" s="54">
        <v>15.70</v>
      </c>
      <c r="E9" s="54">
        <v>2.39</v>
      </c>
      <c r="F9" s="54">
        <v>3.46</v>
      </c>
      <c r="G9" s="54">
        <v>28.67</v>
      </c>
      <c r="H9" s="54">
        <v>6.38</v>
      </c>
      <c r="I9" s="54">
        <v>0.14000000000000001</v>
      </c>
      <c r="J9" s="54">
        <v>1.27</v>
      </c>
      <c r="K9" s="54">
        <v>344.95</v>
      </c>
      <c r="L9" s="54">
        <v>22.52</v>
      </c>
      <c r="M9" s="54">
        <v>98.36</v>
      </c>
      <c r="N9" s="54">
        <v>9.3000000000000007</v>
      </c>
      <c r="O9" s="54">
        <v>2.80</v>
      </c>
      <c r="P9" s="54">
        <v>0.52</v>
      </c>
      <c r="Q9" s="54">
        <v>16.170000000000002</v>
      </c>
      <c r="R9" s="43"/>
      <c r="S9" s="43"/>
      <c r="T9" s="43"/>
      <c r="U9" s="43"/>
    </row>
    <row r="10" spans="1:21" s="11" customFormat="1" ht="15">
      <c r="A10" s="53" t="s">
        <v>135</v>
      </c>
      <c r="B10" s="54">
        <v>4.62</v>
      </c>
      <c r="C10" s="54">
        <v>9.39</v>
      </c>
      <c r="D10" s="54">
        <v>13.89</v>
      </c>
      <c r="E10" s="54">
        <v>2.15</v>
      </c>
      <c r="F10" s="54">
        <v>1.73</v>
      </c>
      <c r="G10" s="54">
        <v>25.60</v>
      </c>
      <c r="H10" s="54">
        <v>6.57</v>
      </c>
      <c r="I10" s="54">
        <v>0.13</v>
      </c>
      <c r="J10" s="54">
        <v>2.02</v>
      </c>
      <c r="K10" s="54">
        <v>151.99</v>
      </c>
      <c r="L10" s="54">
        <v>20.81</v>
      </c>
      <c r="M10" s="54">
        <v>98.38</v>
      </c>
      <c r="N10" s="54">
        <v>7.90</v>
      </c>
      <c r="O10" s="54">
        <v>0.80</v>
      </c>
      <c r="P10" s="54">
        <v>0.48</v>
      </c>
      <c r="Q10" s="54">
        <v>18.04</v>
      </c>
      <c r="R10" s="43"/>
      <c r="S10" s="43"/>
      <c r="T10" s="43"/>
      <c r="U10" s="43"/>
    </row>
    <row r="11" spans="1:21" s="11" customFormat="1" ht="15">
      <c r="A11" s="53" t="s">
        <v>136</v>
      </c>
      <c r="B11" s="54">
        <v>3.83</v>
      </c>
      <c r="C11" s="54">
        <v>9.69</v>
      </c>
      <c r="D11" s="54">
        <v>13.51</v>
      </c>
      <c r="E11" s="54">
        <v>1.97</v>
      </c>
      <c r="F11" s="54">
        <v>1.79</v>
      </c>
      <c r="G11" s="54">
        <v>18.30</v>
      </c>
      <c r="H11" s="54">
        <v>4.93</v>
      </c>
      <c r="I11" s="54">
        <v>0.14000000000000001</v>
      </c>
      <c r="J11" s="54">
        <v>0.36</v>
      </c>
      <c r="K11" s="54">
        <v>106.03</v>
      </c>
      <c r="L11" s="54">
        <v>20.41</v>
      </c>
      <c r="M11" s="54">
        <v>98.38</v>
      </c>
      <c r="N11" s="54">
        <v>7.60</v>
      </c>
      <c r="O11" s="54">
        <v>0.40</v>
      </c>
      <c r="P11" s="54">
        <v>0.44</v>
      </c>
      <c r="Q11" s="54">
        <v>18.809999999999999</v>
      </c>
      <c r="R11" s="43"/>
      <c r="S11" s="43"/>
      <c r="T11" s="43"/>
      <c r="U11" s="43"/>
    </row>
    <row r="12" spans="1:21" s="11" customFormat="1" ht="15">
      <c r="A12" s="53" t="s">
        <v>137</v>
      </c>
      <c r="B12" s="54">
        <v>3.47</v>
      </c>
      <c r="C12" s="54">
        <v>9.83</v>
      </c>
      <c r="D12" s="54">
        <v>13.28</v>
      </c>
      <c r="E12" s="54">
        <v>2.0299999999999998</v>
      </c>
      <c r="F12" s="54">
        <v>2.08</v>
      </c>
      <c r="G12" s="54">
        <v>12.85</v>
      </c>
      <c r="H12" s="54">
        <v>3.70</v>
      </c>
      <c r="I12" s="54">
        <v>0.13</v>
      </c>
      <c r="J12" s="54">
        <v>0.30</v>
      </c>
      <c r="K12" s="54">
        <v>320.86</v>
      </c>
      <c r="L12" s="54">
        <v>20.98</v>
      </c>
      <c r="M12" s="54">
        <v>98.38</v>
      </c>
      <c r="N12" s="54">
        <v>7.30</v>
      </c>
      <c r="O12" s="54">
        <v>0</v>
      </c>
      <c r="P12" s="54">
        <v>0.38</v>
      </c>
      <c r="Q12" s="54">
        <v>17.55</v>
      </c>
      <c r="R12" s="43"/>
      <c r="S12" s="43"/>
      <c r="T12" s="43"/>
      <c r="U12" s="43"/>
    </row>
    <row r="13" spans="1:21" s="11" customFormat="1" ht="15">
      <c r="A13" s="53" t="s">
        <v>138</v>
      </c>
      <c r="B13" s="54">
        <v>4.0199999999999996</v>
      </c>
      <c r="C13" s="54">
        <v>9.48</v>
      </c>
      <c r="D13" s="54">
        <v>13.44</v>
      </c>
      <c r="E13" s="54">
        <v>1.34</v>
      </c>
      <c r="F13" s="54">
        <v>1.39</v>
      </c>
      <c r="G13" s="54">
        <v>12.41</v>
      </c>
      <c r="H13" s="54">
        <v>2.70</v>
      </c>
      <c r="I13" s="54">
        <v>0.13</v>
      </c>
      <c r="J13" s="54">
        <v>0.76</v>
      </c>
      <c r="K13" s="54">
        <v>330.86</v>
      </c>
      <c r="L13" s="54">
        <v>21.05</v>
      </c>
      <c r="M13" s="54">
        <v>98.38</v>
      </c>
      <c r="N13" s="54">
        <v>7.60</v>
      </c>
      <c r="O13" s="54">
        <v>0</v>
      </c>
      <c r="P13" s="54">
        <v>0.35</v>
      </c>
      <c r="Q13" s="54">
        <v>15.55</v>
      </c>
      <c r="R13" s="43"/>
      <c r="S13" s="43"/>
      <c r="T13" s="43"/>
      <c r="U13" s="43"/>
    </row>
    <row r="14" spans="1:21" s="11" customFormat="1" ht="15">
      <c r="A14" s="53" t="s">
        <v>139</v>
      </c>
      <c r="B14" s="54">
        <v>10.039999999999999</v>
      </c>
      <c r="C14" s="54">
        <v>19.47</v>
      </c>
      <c r="D14" s="54">
        <v>29.51</v>
      </c>
      <c r="E14" s="54">
        <v>1.78</v>
      </c>
      <c r="F14" s="54">
        <v>6.11</v>
      </c>
      <c r="G14" s="54">
        <v>9.24</v>
      </c>
      <c r="H14" s="54">
        <v>3.35</v>
      </c>
      <c r="I14" s="54">
        <v>0.13</v>
      </c>
      <c r="J14" s="54">
        <v>0.83</v>
      </c>
      <c r="K14" s="54">
        <v>350.02</v>
      </c>
      <c r="L14" s="54">
        <v>20.98</v>
      </c>
      <c r="M14" s="54">
        <v>98.38</v>
      </c>
      <c r="N14" s="54">
        <v>16.20</v>
      </c>
      <c r="O14" s="54">
        <v>0</v>
      </c>
      <c r="P14" s="54">
        <v>0.45</v>
      </c>
      <c r="Q14" s="54">
        <v>15.56</v>
      </c>
      <c r="R14" s="43"/>
      <c r="S14" s="43"/>
      <c r="T14" s="43"/>
      <c r="U14" s="43"/>
    </row>
    <row r="15" spans="1:21" s="11" customFormat="1" ht="15">
      <c r="A15" s="53" t="s">
        <v>140</v>
      </c>
      <c r="B15" s="54">
        <v>18.03</v>
      </c>
      <c r="C15" s="54">
        <v>23.27</v>
      </c>
      <c r="D15" s="54">
        <v>41.18</v>
      </c>
      <c r="E15" s="54">
        <v>1.76</v>
      </c>
      <c r="F15" s="54">
        <v>1.86</v>
      </c>
      <c r="G15" s="54">
        <v>14.82</v>
      </c>
      <c r="H15" s="54">
        <v>9.17</v>
      </c>
      <c r="I15" s="54">
        <v>0.13</v>
      </c>
      <c r="J15" s="54">
        <v>0.05</v>
      </c>
      <c r="K15" s="54">
        <v>287.01</v>
      </c>
      <c r="L15" s="54">
        <v>21.5</v>
      </c>
      <c r="M15" s="54">
        <v>98.38</v>
      </c>
      <c r="N15" s="54">
        <v>45.80</v>
      </c>
      <c r="O15" s="54">
        <v>0</v>
      </c>
      <c r="P15" s="54">
        <v>0.62</v>
      </c>
      <c r="Q15" s="54">
        <v>15.68</v>
      </c>
      <c r="R15" s="43"/>
      <c r="S15" s="43"/>
      <c r="T15" s="43"/>
      <c r="U15" s="43"/>
    </row>
    <row r="16" spans="1:21" s="11" customFormat="1" ht="15">
      <c r="A16" s="53" t="s">
        <v>141</v>
      </c>
      <c r="B16" s="54">
        <v>17.05</v>
      </c>
      <c r="C16" s="54">
        <v>22.52</v>
      </c>
      <c r="D16" s="54">
        <v>39.57</v>
      </c>
      <c r="E16" s="54">
        <v>1.53</v>
      </c>
      <c r="F16" s="54">
        <v>2.4300000000000002</v>
      </c>
      <c r="G16" s="54">
        <v>28.55</v>
      </c>
      <c r="H16" s="54">
        <v>13.06</v>
      </c>
      <c r="I16" s="54">
        <v>0.12</v>
      </c>
      <c r="J16" s="54">
        <v>0.28999999999999998</v>
      </c>
      <c r="K16" s="54">
        <v>340.96</v>
      </c>
      <c r="L16" s="54">
        <v>21.91</v>
      </c>
      <c r="M16" s="54">
        <v>98.38</v>
      </c>
      <c r="N16" s="54">
        <v>61.90</v>
      </c>
      <c r="O16" s="54">
        <v>0.20</v>
      </c>
      <c r="P16" s="54">
        <v>0.65</v>
      </c>
      <c r="Q16" s="54">
        <v>15.05</v>
      </c>
      <c r="R16" s="43"/>
      <c r="S16" s="43"/>
      <c r="T16" s="43"/>
      <c r="U16" s="43"/>
    </row>
    <row r="17" spans="1:21" s="11" customFormat="1" ht="15">
      <c r="A17" s="53" t="s">
        <v>142</v>
      </c>
      <c r="B17" s="54">
        <v>20.05</v>
      </c>
      <c r="C17" s="54">
        <v>26.89</v>
      </c>
      <c r="D17" s="54">
        <v>46.94</v>
      </c>
      <c r="E17" s="54">
        <v>2.16</v>
      </c>
      <c r="F17" s="54">
        <v>4.25</v>
      </c>
      <c r="G17" s="54">
        <v>36.24</v>
      </c>
      <c r="H17" s="54">
        <v>15.07</v>
      </c>
      <c r="I17" s="54">
        <v>0.12</v>
      </c>
      <c r="J17" s="54">
        <v>0.33</v>
      </c>
      <c r="K17" s="54">
        <v>347.94</v>
      </c>
      <c r="L17" s="54">
        <v>22.27</v>
      </c>
      <c r="M17" s="54">
        <v>98.37</v>
      </c>
      <c r="N17" s="54">
        <v>136.19999999999999</v>
      </c>
      <c r="O17" s="54">
        <v>0</v>
      </c>
      <c r="P17" s="54">
        <v>0.72</v>
      </c>
      <c r="Q17" s="54">
        <v>17.80</v>
      </c>
      <c r="R17" s="43"/>
      <c r="S17" s="43"/>
      <c r="T17" s="43"/>
      <c r="U17" s="43"/>
    </row>
    <row r="18" spans="1:21" s="11" customFormat="1" ht="15">
      <c r="A18" s="53" t="s">
        <v>143</v>
      </c>
      <c r="B18" s="54">
        <v>15.57</v>
      </c>
      <c r="C18" s="54">
        <v>15.57</v>
      </c>
      <c r="D18" s="54">
        <v>29.88</v>
      </c>
      <c r="E18" s="54">
        <v>2.2799999999999998</v>
      </c>
      <c r="F18" s="54">
        <v>1.77</v>
      </c>
      <c r="G18" s="54">
        <v>36.40</v>
      </c>
      <c r="H18" s="54">
        <v>15.57</v>
      </c>
      <c r="I18" s="54">
        <v>0.13</v>
      </c>
      <c r="J18" s="54">
        <v>0.22</v>
      </c>
      <c r="K18" s="54">
        <v>343.84</v>
      </c>
      <c r="L18" s="54">
        <v>23.47</v>
      </c>
      <c r="M18" s="54">
        <v>98.35</v>
      </c>
      <c r="N18" s="54">
        <v>191.5</v>
      </c>
      <c r="O18" s="54">
        <v>0</v>
      </c>
      <c r="P18" s="54">
        <v>0.68</v>
      </c>
      <c r="Q18" s="54">
        <v>17.68</v>
      </c>
      <c r="R18" s="43"/>
      <c r="S18" s="43"/>
      <c r="T18" s="43"/>
      <c r="U18" s="43"/>
    </row>
    <row r="19" spans="1:21" s="11" customFormat="1" ht="15">
      <c r="A19" s="53" t="s">
        <v>144</v>
      </c>
      <c r="B19" s="54">
        <v>16</v>
      </c>
      <c r="C19" s="54">
        <v>24.55</v>
      </c>
      <c r="D19" s="54">
        <v>30.01</v>
      </c>
      <c r="E19" s="54">
        <v>2.23</v>
      </c>
      <c r="F19" s="54">
        <v>9.60</v>
      </c>
      <c r="G19" s="54">
        <v>28.55</v>
      </c>
      <c r="H19" s="54">
        <v>11.55</v>
      </c>
      <c r="I19" s="54">
        <v>0.13</v>
      </c>
      <c r="J19" s="54">
        <v>0.18</v>
      </c>
      <c r="K19" s="54">
        <v>26.59</v>
      </c>
      <c r="L19" s="54">
        <v>23.69</v>
      </c>
      <c r="M19" s="54">
        <v>97.92</v>
      </c>
      <c r="N19" s="54">
        <v>253.30</v>
      </c>
      <c r="O19" s="54">
        <v>0</v>
      </c>
      <c r="P19" s="54">
        <v>0.77</v>
      </c>
      <c r="Q19" s="54">
        <v>16.170000000000002</v>
      </c>
      <c r="R19" s="43"/>
      <c r="S19" s="43"/>
      <c r="T19" s="43"/>
      <c r="U19" s="43"/>
    </row>
    <row r="20" spans="1:21" s="11" customFormat="1" ht="15">
      <c r="A20" s="53" t="s">
        <v>145</v>
      </c>
      <c r="B20" s="54">
        <v>7.93</v>
      </c>
      <c r="C20" s="54">
        <v>23.45</v>
      </c>
      <c r="D20" s="54">
        <v>30.66</v>
      </c>
      <c r="E20" s="54">
        <v>1.65</v>
      </c>
      <c r="F20" s="54">
        <v>3.81</v>
      </c>
      <c r="G20" s="54">
        <v>31.07</v>
      </c>
      <c r="H20" s="54">
        <v>11.65</v>
      </c>
      <c r="I20" s="54">
        <v>0.12</v>
      </c>
      <c r="J20" s="54">
        <v>0.34</v>
      </c>
      <c r="K20" s="54">
        <v>187.12</v>
      </c>
      <c r="L20" s="54">
        <v>24.29</v>
      </c>
      <c r="M20" s="54">
        <v>95.64</v>
      </c>
      <c r="N20" s="54">
        <v>386.70</v>
      </c>
      <c r="O20" s="54">
        <v>0</v>
      </c>
      <c r="P20" s="5" t="s">
        <v>14</v>
      </c>
      <c r="Q20" s="54">
        <v>13.77</v>
      </c>
      <c r="R20" s="43"/>
      <c r="S20" s="43"/>
      <c r="T20" s="43"/>
      <c r="U20" s="43"/>
    </row>
    <row r="21" spans="1:21" s="11" customFormat="1" ht="15">
      <c r="A21" s="53" t="s">
        <v>146</v>
      </c>
      <c r="B21" s="54">
        <v>8.6199999999999992</v>
      </c>
      <c r="C21" s="54">
        <v>17.02</v>
      </c>
      <c r="D21" s="54">
        <v>25.65</v>
      </c>
      <c r="E21" s="54">
        <v>1.64</v>
      </c>
      <c r="F21" s="54">
        <v>3.97</v>
      </c>
      <c r="G21" s="54">
        <v>47.09</v>
      </c>
      <c r="H21" s="54">
        <v>13.09</v>
      </c>
      <c r="I21" s="54">
        <v>0.12</v>
      </c>
      <c r="J21" s="54">
        <v>0.16</v>
      </c>
      <c r="K21" s="54">
        <v>344.26</v>
      </c>
      <c r="L21" s="54">
        <v>27.07</v>
      </c>
      <c r="M21" s="54">
        <v>93.55</v>
      </c>
      <c r="N21" s="54">
        <v>568.90</v>
      </c>
      <c r="O21" s="54">
        <v>0</v>
      </c>
      <c r="P21" s="54">
        <v>0.98</v>
      </c>
      <c r="Q21" s="54">
        <v>13.56</v>
      </c>
      <c r="R21" s="43"/>
      <c r="S21" s="43"/>
      <c r="T21" s="43"/>
      <c r="U21" s="43"/>
    </row>
    <row r="22" spans="1:21" s="11" customFormat="1" ht="15">
      <c r="A22" s="53" t="s">
        <v>147</v>
      </c>
      <c r="B22" s="54">
        <v>6.68</v>
      </c>
      <c r="C22" s="54">
        <v>21.34</v>
      </c>
      <c r="D22" s="54">
        <v>28.03</v>
      </c>
      <c r="E22" s="54">
        <v>2.02</v>
      </c>
      <c r="F22" s="54">
        <v>5.84</v>
      </c>
      <c r="G22" s="54">
        <v>56.71</v>
      </c>
      <c r="H22" s="54">
        <v>13.48</v>
      </c>
      <c r="I22" s="54">
        <v>0.12</v>
      </c>
      <c r="J22" s="54">
        <v>0.38</v>
      </c>
      <c r="K22" s="54">
        <v>341.44</v>
      </c>
      <c r="L22" s="54">
        <v>28.38</v>
      </c>
      <c r="M22" s="54">
        <v>80.84</v>
      </c>
      <c r="N22" s="54">
        <v>431.10</v>
      </c>
      <c r="O22" s="54">
        <v>0</v>
      </c>
      <c r="P22" s="54">
        <v>0.92</v>
      </c>
      <c r="Q22" s="54">
        <v>11.38</v>
      </c>
      <c r="R22" s="43"/>
      <c r="S22" s="43"/>
      <c r="T22" s="43"/>
      <c r="U22" s="43"/>
    </row>
    <row r="23" spans="1:21" s="11" customFormat="1" ht="15">
      <c r="A23" s="53" t="s">
        <v>148</v>
      </c>
      <c r="B23" s="54">
        <v>5.67</v>
      </c>
      <c r="C23" s="54">
        <v>21.36</v>
      </c>
      <c r="D23" s="54">
        <v>26.82</v>
      </c>
      <c r="E23" s="54">
        <v>2.42</v>
      </c>
      <c r="F23" s="54">
        <v>9.2200000000000006</v>
      </c>
      <c r="G23" s="54">
        <v>58.38</v>
      </c>
      <c r="H23" s="54">
        <v>20.27</v>
      </c>
      <c r="I23" s="54">
        <v>0.12</v>
      </c>
      <c r="J23" s="54">
        <v>0.14000000000000001</v>
      </c>
      <c r="K23" s="54">
        <v>351.67</v>
      </c>
      <c r="L23" s="54">
        <v>26.88</v>
      </c>
      <c r="M23" s="54">
        <v>85.35</v>
      </c>
      <c r="N23" s="54">
        <v>400.10</v>
      </c>
      <c r="O23" s="54">
        <v>0</v>
      </c>
      <c r="P23" s="54">
        <v>0.90</v>
      </c>
      <c r="Q23" s="54">
        <v>13.56</v>
      </c>
      <c r="R23" s="43"/>
      <c r="S23" s="43"/>
      <c r="T23" s="43"/>
      <c r="U23" s="43"/>
    </row>
    <row r="24" spans="1:21" s="11" customFormat="1" ht="15">
      <c r="A24" s="53" t="s">
        <v>149</v>
      </c>
      <c r="B24" s="54">
        <v>5.73</v>
      </c>
      <c r="C24" s="54">
        <v>19.91</v>
      </c>
      <c r="D24" s="54">
        <v>25.40</v>
      </c>
      <c r="E24" s="54">
        <v>1.71</v>
      </c>
      <c r="F24" s="54">
        <v>3.5</v>
      </c>
      <c r="G24" s="54">
        <v>68.67</v>
      </c>
      <c r="H24" s="54">
        <v>23.26</v>
      </c>
      <c r="I24" s="54">
        <v>0.12</v>
      </c>
      <c r="J24" s="54">
        <v>0.25</v>
      </c>
      <c r="K24" s="54">
        <v>359.90</v>
      </c>
      <c r="L24" s="54">
        <v>27.18</v>
      </c>
      <c r="M24" s="54">
        <v>88.18</v>
      </c>
      <c r="N24" s="54">
        <v>235.80</v>
      </c>
      <c r="O24" s="54">
        <v>0</v>
      </c>
      <c r="P24" s="54">
        <v>1.03</v>
      </c>
      <c r="Q24" s="54">
        <v>12.46</v>
      </c>
      <c r="R24" s="43"/>
      <c r="S24" s="43"/>
      <c r="T24" s="43"/>
      <c r="U24" s="43"/>
    </row>
    <row r="25" spans="1:21" s="11" customFormat="1" ht="15">
      <c r="A25" s="53" t="s">
        <v>150</v>
      </c>
      <c r="B25" s="54">
        <v>5.68</v>
      </c>
      <c r="C25" s="54">
        <v>25.48</v>
      </c>
      <c r="D25" s="54">
        <v>31.15</v>
      </c>
      <c r="E25" s="54">
        <v>2.33</v>
      </c>
      <c r="F25" s="54">
        <v>12.22</v>
      </c>
      <c r="G25" s="54">
        <v>72.569999999999993</v>
      </c>
      <c r="H25" s="54">
        <v>21.57</v>
      </c>
      <c r="I25" s="54">
        <v>0.12</v>
      </c>
      <c r="J25" s="54">
        <v>0.21</v>
      </c>
      <c r="K25" s="54">
        <v>349</v>
      </c>
      <c r="L25" s="54">
        <v>26.57</v>
      </c>
      <c r="M25" s="54">
        <v>91.61</v>
      </c>
      <c r="N25" s="54">
        <v>134.90</v>
      </c>
      <c r="O25" s="54">
        <v>0</v>
      </c>
      <c r="P25" s="54">
        <v>1.20</v>
      </c>
      <c r="Q25" s="54">
        <v>13.02</v>
      </c>
      <c r="R25" s="43"/>
      <c r="S25" s="43"/>
      <c r="T25" s="43"/>
      <c r="U25" s="43"/>
    </row>
    <row r="26" spans="1:21" s="11" customFormat="1" ht="15">
      <c r="A26" s="53" t="s">
        <v>151</v>
      </c>
      <c r="B26" s="54">
        <v>9</v>
      </c>
      <c r="C26" s="54">
        <v>34.68</v>
      </c>
      <c r="D26" s="54">
        <v>42.53</v>
      </c>
      <c r="E26" s="54">
        <v>3.06</v>
      </c>
      <c r="F26" s="54">
        <v>13.58</v>
      </c>
      <c r="G26" s="54">
        <v>65.989999999999995</v>
      </c>
      <c r="H26" s="54">
        <v>21.78</v>
      </c>
      <c r="I26" s="54">
        <v>0.12</v>
      </c>
      <c r="J26" s="54">
        <v>0.14000000000000001</v>
      </c>
      <c r="K26" s="54">
        <v>205.32</v>
      </c>
      <c r="L26" s="54">
        <v>25.76</v>
      </c>
      <c r="M26" s="54">
        <v>94.02</v>
      </c>
      <c r="N26" s="54">
        <v>68.099999999999994</v>
      </c>
      <c r="O26" s="54">
        <v>0</v>
      </c>
      <c r="P26" s="54">
        <v>1.35</v>
      </c>
      <c r="Q26" s="54">
        <v>14.01</v>
      </c>
      <c r="R26" s="43"/>
      <c r="S26" s="43"/>
      <c r="T26" s="43"/>
      <c r="U26" s="43"/>
    </row>
    <row r="27" spans="1:21" s="11" customFormat="1" ht="15">
      <c r="A27" s="53" t="s">
        <v>152</v>
      </c>
      <c r="B27" s="54">
        <v>6.82</v>
      </c>
      <c r="C27" s="54">
        <v>25.01</v>
      </c>
      <c r="D27" s="54">
        <v>31.62</v>
      </c>
      <c r="E27" s="54">
        <v>2.44</v>
      </c>
      <c r="F27" s="54">
        <v>9.76</v>
      </c>
      <c r="G27" s="54">
        <v>72.95</v>
      </c>
      <c r="H27" s="54">
        <v>21.23</v>
      </c>
      <c r="I27" s="54">
        <v>0.12</v>
      </c>
      <c r="J27" s="54">
        <v>1.96</v>
      </c>
      <c r="K27" s="54">
        <v>356.97</v>
      </c>
      <c r="L27" s="54">
        <v>25.06</v>
      </c>
      <c r="M27" s="54">
        <v>96.70</v>
      </c>
      <c r="N27" s="54">
        <v>13.80</v>
      </c>
      <c r="O27" s="54">
        <v>3.80</v>
      </c>
      <c r="P27" s="54">
        <v>1.1599999999999999</v>
      </c>
      <c r="Q27" s="54">
        <v>12.94</v>
      </c>
      <c r="R27" s="43"/>
      <c r="S27" s="43"/>
      <c r="T27" s="43"/>
      <c r="U27" s="43"/>
    </row>
    <row r="28" spans="1:21" s="11" customFormat="1" ht="15">
      <c r="A28" s="53" t="s">
        <v>153</v>
      </c>
      <c r="B28" s="54">
        <v>8.23</v>
      </c>
      <c r="C28" s="54">
        <v>30.34</v>
      </c>
      <c r="D28" s="54">
        <v>38.57</v>
      </c>
      <c r="E28" s="54">
        <v>1.88</v>
      </c>
      <c r="F28" s="54">
        <v>4.30</v>
      </c>
      <c r="G28" s="54">
        <v>75.5</v>
      </c>
      <c r="H28" s="54">
        <v>21.28</v>
      </c>
      <c r="I28" s="54">
        <v>0.12</v>
      </c>
      <c r="J28" s="54">
        <v>1.06</v>
      </c>
      <c r="K28" s="54">
        <v>339.77</v>
      </c>
      <c r="L28" s="54">
        <v>21.33</v>
      </c>
      <c r="M28" s="54">
        <v>98.38</v>
      </c>
      <c r="N28" s="54">
        <v>7.80</v>
      </c>
      <c r="O28" s="54">
        <v>0.40</v>
      </c>
      <c r="P28" s="54">
        <v>1</v>
      </c>
      <c r="Q28" s="54">
        <v>15.98</v>
      </c>
      <c r="R28" s="43"/>
      <c r="S28" s="43"/>
      <c r="T28" s="43"/>
      <c r="U28" s="43"/>
    </row>
    <row r="29" spans="1:21" s="11" customFormat="1" ht="15">
      <c r="A29" s="53" t="s">
        <v>154</v>
      </c>
      <c r="B29" s="54">
        <v>10.73</v>
      </c>
      <c r="C29" s="54">
        <v>25.99</v>
      </c>
      <c r="D29" s="54">
        <v>36.72</v>
      </c>
      <c r="E29" s="54">
        <v>2.70</v>
      </c>
      <c r="F29" s="54">
        <v>2.63</v>
      </c>
      <c r="G29" s="54">
        <v>52.74</v>
      </c>
      <c r="H29" s="54">
        <v>15.31</v>
      </c>
      <c r="I29" s="54">
        <v>0.12</v>
      </c>
      <c r="J29" s="54">
        <v>1.04</v>
      </c>
      <c r="K29" s="54">
        <v>351.15</v>
      </c>
      <c r="L29" s="54">
        <v>21.36</v>
      </c>
      <c r="M29" s="54">
        <v>98.39</v>
      </c>
      <c r="N29" s="54">
        <v>8.1999999999999993</v>
      </c>
      <c r="O29" s="54">
        <v>0</v>
      </c>
      <c r="P29" s="54">
        <v>1.04</v>
      </c>
      <c r="Q29" s="54">
        <v>17.27</v>
      </c>
      <c r="R29" s="43"/>
      <c r="S29" s="43"/>
      <c r="T29" s="43"/>
      <c r="U29" s="43"/>
    </row>
    <row r="30" spans="1:21" s="11" customFormat="1" ht="15">
      <c r="A30" s="53" t="s">
        <v>155</v>
      </c>
      <c r="B30" s="54">
        <v>9.14</v>
      </c>
      <c r="C30" s="54">
        <v>17.96</v>
      </c>
      <c r="D30" s="54">
        <v>27.08</v>
      </c>
      <c r="E30" s="54">
        <v>2.2599999999999998</v>
      </c>
      <c r="F30" s="54">
        <v>2.17</v>
      </c>
      <c r="G30" s="54">
        <v>39.26</v>
      </c>
      <c r="H30" s="54">
        <v>11.84</v>
      </c>
      <c r="I30" s="54">
        <v>0.13</v>
      </c>
      <c r="J30" s="54">
        <v>2.17</v>
      </c>
      <c r="K30" s="54">
        <v>340.31</v>
      </c>
      <c r="L30" s="54">
        <v>21.22</v>
      </c>
      <c r="M30" s="54">
        <v>98.38</v>
      </c>
      <c r="N30" s="54">
        <v>8.1999999999999993</v>
      </c>
      <c r="O30" s="54">
        <v>0.60</v>
      </c>
      <c r="P30" s="54">
        <v>0.96</v>
      </c>
      <c r="Q30" s="54">
        <v>15.48</v>
      </c>
      <c r="R30" s="43"/>
      <c r="S30" s="43"/>
      <c r="T30" s="43"/>
      <c r="U30" s="43"/>
    </row>
    <row r="31" spans="1:21" s="11" customFormat="1" ht="15">
      <c r="A31" s="53" t="s">
        <v>156</v>
      </c>
      <c r="B31" s="54">
        <v>6.32</v>
      </c>
      <c r="C31" s="54">
        <v>22.95</v>
      </c>
      <c r="D31" s="54">
        <v>29.27</v>
      </c>
      <c r="E31" s="54">
        <v>2.27</v>
      </c>
      <c r="F31" s="54">
        <v>4.4800000000000004</v>
      </c>
      <c r="G31" s="54">
        <v>37.619999999999997</v>
      </c>
      <c r="H31" s="54">
        <v>12.46</v>
      </c>
      <c r="I31" s="54">
        <v>0.13</v>
      </c>
      <c r="J31" s="54">
        <v>0.97</v>
      </c>
      <c r="K31" s="54">
        <v>347.79</v>
      </c>
      <c r="L31" s="54">
        <v>20.86</v>
      </c>
      <c r="M31" s="54">
        <v>98.38</v>
      </c>
      <c r="N31" s="54">
        <v>7.70</v>
      </c>
      <c r="O31" s="54">
        <v>0.20</v>
      </c>
      <c r="P31" s="54">
        <v>0.79</v>
      </c>
      <c r="Q31" s="54">
        <v>15.02</v>
      </c>
      <c r="R31" s="43"/>
      <c r="S31" s="43"/>
      <c r="T31" s="43"/>
      <c r="U31" s="43"/>
    </row>
    <row r="32" spans="1:21" s="11" customFormat="1" ht="15">
      <c r="A32" s="53" t="s">
        <v>157</v>
      </c>
      <c r="B32" s="54">
        <v>8.67</v>
      </c>
      <c r="C32" s="54">
        <v>21.45</v>
      </c>
      <c r="D32" s="54">
        <v>29.30</v>
      </c>
      <c r="E32" s="54">
        <v>2.4700000000000002</v>
      </c>
      <c r="F32" s="54">
        <v>3.09</v>
      </c>
      <c r="G32" s="54">
        <v>35.39</v>
      </c>
      <c r="H32" s="54">
        <v>13.90</v>
      </c>
      <c r="I32" s="54">
        <v>0.13</v>
      </c>
      <c r="J32" s="54">
        <v>0.32</v>
      </c>
      <c r="K32" s="54">
        <v>100.21</v>
      </c>
      <c r="L32" s="54">
        <v>20.85</v>
      </c>
      <c r="M32" s="54">
        <v>98.37</v>
      </c>
      <c r="N32" s="54">
        <v>8</v>
      </c>
      <c r="O32" s="54">
        <v>0</v>
      </c>
      <c r="P32" s="54">
        <v>0.74</v>
      </c>
      <c r="Q32" s="54">
        <v>16.16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3.4700000000000002</v>
      </c>
      <c r="C34" s="28">
        <f t="shared" si="0"/>
        <v>9.3900000000000006</v>
      </c>
      <c r="D34" s="28">
        <f t="shared" si="0"/>
        <v>13.279999999999999</v>
      </c>
      <c r="E34" s="28">
        <f t="shared" si="0"/>
        <v>1.3400000000000001</v>
      </c>
      <c r="F34" s="28">
        <f t="shared" si="0"/>
        <v>1.3899999999999999</v>
      </c>
      <c r="G34" s="28">
        <f t="shared" si="0"/>
        <v>9.2400000000000002</v>
      </c>
      <c r="H34" s="28">
        <f t="shared" si="0"/>
        <v>2.7000000000000002</v>
      </c>
      <c r="I34" s="28">
        <f t="shared" si="0"/>
        <v>0.12</v>
      </c>
      <c r="J34" s="28">
        <f t="shared" si="0"/>
        <v>0.050000000000000003</v>
      </c>
      <c r="K34" s="28">
        <f t="shared" si="0"/>
        <v>26.59</v>
      </c>
      <c r="L34" s="28">
        <f t="shared" si="0"/>
        <v>20.41</v>
      </c>
      <c r="M34" s="28">
        <f t="shared" si="0"/>
        <v>80.840000000000003</v>
      </c>
      <c r="N34" s="28">
        <f t="shared" si="0"/>
        <v>7.2999999999999998</v>
      </c>
      <c r="O34" s="28">
        <f t="shared" si="0"/>
        <v>0</v>
      </c>
      <c r="P34" s="28">
        <f t="shared" si="0"/>
        <v>0.34999999999999998</v>
      </c>
      <c r="Q34" s="28">
        <f t="shared" si="0"/>
        <v>11.380000000000001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20.050000000000001</v>
      </c>
      <c r="C35" s="29">
        <f t="shared" si="1"/>
        <v>34.68</v>
      </c>
      <c r="D35" s="29">
        <f t="shared" si="1"/>
        <v>46.939999999999998</v>
      </c>
      <c r="E35" s="29">
        <f t="shared" si="1"/>
        <v>3.0600000000000001</v>
      </c>
      <c r="F35" s="29">
        <f t="shared" si="1"/>
        <v>13.58</v>
      </c>
      <c r="G35" s="29">
        <f t="shared" si="1"/>
        <v>75.5</v>
      </c>
      <c r="H35" s="29">
        <f t="shared" si="1"/>
        <v>23.260000000000002</v>
      </c>
      <c r="I35" s="29">
        <f t="shared" si="1"/>
        <v>0.14000000000000001</v>
      </c>
      <c r="J35" s="29">
        <f t="shared" si="1"/>
        <v>2.1699999999999999</v>
      </c>
      <c r="K35" s="29">
        <f t="shared" si="1"/>
        <v>359.89999999999998</v>
      </c>
      <c r="L35" s="29">
        <f t="shared" si="1"/>
        <v>28.379999999999999</v>
      </c>
      <c r="M35" s="29">
        <f t="shared" si="1"/>
        <v>98.390000000000001</v>
      </c>
      <c r="N35" s="29">
        <f t="shared" si="1"/>
        <v>568.89999999999998</v>
      </c>
      <c r="O35" s="29">
        <f t="shared" si="1"/>
        <v>3.7999999999999998</v>
      </c>
      <c r="P35" s="29">
        <f t="shared" si="1"/>
        <v>1.3500000000000001</v>
      </c>
      <c r="Q35" s="29">
        <f t="shared" si="1"/>
        <v>18.809999999999999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9.0208333333333321</v>
      </c>
      <c r="C36" s="28">
        <f t="shared" si="2"/>
        <v>20.362916666666667</v>
      </c>
      <c r="D36" s="28">
        <f t="shared" si="2"/>
        <v>28.737916666666667</v>
      </c>
      <c r="E36" s="28">
        <f t="shared" si="2"/>
        <v>2.1029166666666668</v>
      </c>
      <c r="F36" s="28">
        <f t="shared" si="2"/>
        <v>4.7933333333333339</v>
      </c>
      <c r="G36" s="28">
        <f t="shared" si="2"/>
        <v>40.232083333333343</v>
      </c>
      <c r="H36" s="28">
        <f t="shared" si="2"/>
        <v>13.048749999999997</v>
      </c>
      <c r="I36" s="28">
        <f t="shared" si="2"/>
        <v>0.12583333333333335</v>
      </c>
      <c r="J36" s="28">
        <f t="shared" si="2"/>
        <v>0.65625000000000011</v>
      </c>
      <c r="K36" s="28">
        <f t="shared" si="2"/>
        <v>288.58166666666665</v>
      </c>
      <c r="L36" s="28">
        <f t="shared" si="2"/>
        <v>23.183333333333334</v>
      </c>
      <c r="M36" s="28">
        <f t="shared" si="2"/>
        <v>95.810416666666654</v>
      </c>
      <c r="N36" s="28">
        <f t="shared" si="2"/>
        <v>125.99583333333332</v>
      </c>
      <c r="O36" s="28">
        <f t="shared" si="2"/>
        <v>0.38333333333333325</v>
      </c>
      <c r="P36" s="28">
        <f t="shared" si="2"/>
        <v>0.78826086956521735</v>
      </c>
      <c r="Q36" s="28">
        <f t="shared" si="2"/>
        <v>15.36125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4.8340350565067549</v>
      </c>
      <c r="C37" s="28">
        <f t="shared" si="3" ref="C37:Q37">STDEV(C9:C32)</f>
        <v>6.8104577380268134</v>
      </c>
      <c r="D37" s="28">
        <f t="shared" si="3"/>
        <v>9.552857518845471</v>
      </c>
      <c r="E37" s="28">
        <f t="shared" si="3"/>
        <v>0.39817495790349328</v>
      </c>
      <c r="F37" s="28">
        <f t="shared" si="3"/>
        <v>3.5104300079306103</v>
      </c>
      <c r="G37" s="28">
        <f t="shared" si="3"/>
        <v>20.866250049378486</v>
      </c>
      <c r="H37" s="28">
        <f t="shared" si="3"/>
        <v>6.319032199220282</v>
      </c>
      <c r="I37" s="28">
        <f t="shared" si="3"/>
        <v>0.006538625481582949</v>
      </c>
      <c r="J37" s="28">
        <f t="shared" si="3"/>
        <v>0.6375961138117342</v>
      </c>
      <c r="K37" s="28">
        <f t="shared" si="3"/>
        <v>99.66061965563398</v>
      </c>
      <c r="L37" s="28">
        <f t="shared" si="3"/>
        <v>2.5513383813661217</v>
      </c>
      <c r="M37" s="28">
        <f t="shared" si="3"/>
        <v>4.7627216179559468</v>
      </c>
      <c r="N37" s="28">
        <f t="shared" si="3"/>
        <v>167.19577298371868</v>
      </c>
      <c r="O37" s="28">
        <f t="shared" si="3"/>
        <v>0.93607258482340505</v>
      </c>
      <c r="P37" s="28">
        <f t="shared" si="3"/>
        <v>0.27911633569849503</v>
      </c>
      <c r="Q37" s="28">
        <f t="shared" si="3"/>
        <v>1.9562526566171605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>COUNT(P9:P32)+1</f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854ef55-d630-4ae0-b6d9-70b731bb0adb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J61" sqref="J61"/>
    </sheetView>
  </sheetViews>
  <sheetFormatPr defaultColWidth="8.85881696428571" defaultRowHeight="15"/>
  <cols>
    <col min="1" max="1" width="18.2857142857143" style="26" customWidth="1"/>
    <col min="2" max="2" width="13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05-09-2023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158</v>
      </c>
      <c r="B9" s="54">
        <v>6.97</v>
      </c>
      <c r="C9" s="54">
        <v>14.85</v>
      </c>
      <c r="D9" s="54">
        <v>21.80</v>
      </c>
      <c r="E9" s="54">
        <v>1.40</v>
      </c>
      <c r="F9" s="54">
        <v>2.79</v>
      </c>
      <c r="G9" s="54">
        <v>42.52</v>
      </c>
      <c r="H9" s="54">
        <v>14.89</v>
      </c>
      <c r="I9" s="54">
        <v>0.13</v>
      </c>
      <c r="J9" s="54">
        <v>0.20</v>
      </c>
      <c r="K9" s="54">
        <v>350.15</v>
      </c>
      <c r="L9" s="54">
        <v>20.68</v>
      </c>
      <c r="M9" s="54">
        <v>98.36</v>
      </c>
      <c r="N9" s="54">
        <v>8.3000000000000007</v>
      </c>
      <c r="O9" s="54">
        <v>0</v>
      </c>
      <c r="P9" s="54">
        <v>0.70</v>
      </c>
      <c r="Q9" s="54">
        <v>15.49</v>
      </c>
      <c r="R9" s="43"/>
      <c r="S9" s="43"/>
      <c r="T9" s="43"/>
      <c r="U9" s="43"/>
    </row>
    <row r="10" spans="1:21" s="11" customFormat="1" ht="15">
      <c r="A10" s="53" t="s">
        <v>159</v>
      </c>
      <c r="B10" s="54">
        <v>6.25</v>
      </c>
      <c r="C10" s="54">
        <v>13.60</v>
      </c>
      <c r="D10" s="54">
        <v>19.510000000000002</v>
      </c>
      <c r="E10" s="54">
        <v>1.57</v>
      </c>
      <c r="F10" s="54">
        <v>5.44</v>
      </c>
      <c r="G10" s="54">
        <v>22.75</v>
      </c>
      <c r="H10" s="54">
        <v>12.86</v>
      </c>
      <c r="I10" s="54">
        <v>0.13</v>
      </c>
      <c r="J10" s="54">
        <v>0.65</v>
      </c>
      <c r="K10" s="54">
        <v>338.55</v>
      </c>
      <c r="L10" s="54">
        <v>20.88</v>
      </c>
      <c r="M10" s="54">
        <v>98.40</v>
      </c>
      <c r="N10" s="54">
        <v>7.60</v>
      </c>
      <c r="O10" s="54">
        <v>0</v>
      </c>
      <c r="P10" s="54">
        <v>0.61</v>
      </c>
      <c r="Q10" s="54">
        <v>16.41</v>
      </c>
      <c r="R10" s="43"/>
      <c r="S10" s="43"/>
      <c r="T10" s="43"/>
      <c r="U10" s="43"/>
    </row>
    <row r="11" spans="1:21" s="11" customFormat="1" ht="15">
      <c r="A11" s="53" t="s">
        <v>160</v>
      </c>
      <c r="B11" s="54">
        <v>6.58</v>
      </c>
      <c r="C11" s="54">
        <v>13.47</v>
      </c>
      <c r="D11" s="54">
        <v>19.55</v>
      </c>
      <c r="E11" s="54">
        <v>1.87</v>
      </c>
      <c r="F11" s="54">
        <v>4.74</v>
      </c>
      <c r="G11" s="54">
        <v>24.56</v>
      </c>
      <c r="H11" s="54">
        <v>10.78</v>
      </c>
      <c r="I11" s="54">
        <v>0.13</v>
      </c>
      <c r="J11" s="54">
        <v>0.57999999999999996</v>
      </c>
      <c r="K11" s="54">
        <v>321.75</v>
      </c>
      <c r="L11" s="54">
        <v>20.88</v>
      </c>
      <c r="M11" s="54">
        <v>98.40</v>
      </c>
      <c r="N11" s="54">
        <v>7.60</v>
      </c>
      <c r="O11" s="54">
        <v>0.20</v>
      </c>
      <c r="P11" s="54">
        <v>0.56000000000000005</v>
      </c>
      <c r="Q11" s="54">
        <v>16.690000000000001</v>
      </c>
      <c r="R11" s="43"/>
      <c r="S11" s="43"/>
      <c r="T11" s="43"/>
      <c r="U11" s="43"/>
    </row>
    <row r="12" spans="1:21" s="11" customFormat="1" ht="15">
      <c r="A12" s="53" t="s">
        <v>161</v>
      </c>
      <c r="B12" s="54">
        <v>6.19</v>
      </c>
      <c r="C12" s="54">
        <v>12.91</v>
      </c>
      <c r="D12" s="54">
        <v>19.100000000000001</v>
      </c>
      <c r="E12" s="54">
        <v>1.65</v>
      </c>
      <c r="F12" s="54">
        <v>1.82</v>
      </c>
      <c r="G12" s="54">
        <v>31.40</v>
      </c>
      <c r="H12" s="54">
        <v>12.37</v>
      </c>
      <c r="I12" s="54">
        <v>0.13</v>
      </c>
      <c r="J12" s="54">
        <v>0.46</v>
      </c>
      <c r="K12" s="54">
        <v>340.99</v>
      </c>
      <c r="L12" s="54">
        <v>20.86</v>
      </c>
      <c r="M12" s="54">
        <v>98.40</v>
      </c>
      <c r="N12" s="54">
        <v>7.80</v>
      </c>
      <c r="O12" s="54">
        <v>0</v>
      </c>
      <c r="P12" s="54">
        <v>0.56999999999999995</v>
      </c>
      <c r="Q12" s="54">
        <v>15.60</v>
      </c>
      <c r="R12" s="43"/>
      <c r="S12" s="43"/>
      <c r="T12" s="43"/>
      <c r="U12" s="43"/>
    </row>
    <row r="13" spans="1:21" s="11" customFormat="1" ht="15">
      <c r="A13" s="53" t="s">
        <v>162</v>
      </c>
      <c r="B13" s="54">
        <v>6.76</v>
      </c>
      <c r="C13" s="54">
        <v>16.72</v>
      </c>
      <c r="D13" s="54">
        <v>23.48</v>
      </c>
      <c r="E13" s="54">
        <v>2.67</v>
      </c>
      <c r="F13" s="54">
        <v>7.67</v>
      </c>
      <c r="G13" s="54">
        <v>32.86</v>
      </c>
      <c r="H13" s="54">
        <v>12.78</v>
      </c>
      <c r="I13" s="54">
        <v>0.13</v>
      </c>
      <c r="J13" s="54">
        <v>0.26</v>
      </c>
      <c r="K13" s="54">
        <v>355.21</v>
      </c>
      <c r="L13" s="54">
        <v>20.84</v>
      </c>
      <c r="M13" s="54">
        <v>98.40</v>
      </c>
      <c r="N13" s="54">
        <v>7.60</v>
      </c>
      <c r="O13" s="54">
        <v>0</v>
      </c>
      <c r="P13" s="54">
        <v>0.51</v>
      </c>
      <c r="Q13" s="54">
        <v>16.14</v>
      </c>
      <c r="R13" s="43"/>
      <c r="S13" s="43"/>
      <c r="T13" s="43"/>
      <c r="U13" s="43"/>
    </row>
    <row r="14" spans="1:21" s="11" customFormat="1" ht="15">
      <c r="A14" s="53" t="s">
        <v>163</v>
      </c>
      <c r="B14" s="54">
        <v>8.43</v>
      </c>
      <c r="C14" s="54">
        <v>27.12</v>
      </c>
      <c r="D14" s="54">
        <v>35.54</v>
      </c>
      <c r="E14" s="54">
        <v>2.81</v>
      </c>
      <c r="F14" s="54">
        <v>3.85</v>
      </c>
      <c r="G14" s="54">
        <v>32.909999999999997</v>
      </c>
      <c r="H14" s="54">
        <v>12.46</v>
      </c>
      <c r="I14" s="54">
        <v>0.12</v>
      </c>
      <c r="J14" s="54">
        <v>0.44</v>
      </c>
      <c r="K14" s="54">
        <v>103.91</v>
      </c>
      <c r="L14" s="54">
        <v>21</v>
      </c>
      <c r="M14" s="54">
        <v>98.40</v>
      </c>
      <c r="N14" s="54">
        <v>17.899999999999999</v>
      </c>
      <c r="O14" s="54">
        <v>0</v>
      </c>
      <c r="P14" s="54">
        <v>0.5</v>
      </c>
      <c r="Q14" s="54">
        <v>17.079999999999998</v>
      </c>
      <c r="R14" s="43"/>
      <c r="S14" s="43"/>
      <c r="T14" s="43"/>
      <c r="U14" s="43"/>
    </row>
    <row r="15" spans="1:21" s="11" customFormat="1" ht="15">
      <c r="A15" s="53" t="s">
        <v>164</v>
      </c>
      <c r="B15" s="54">
        <v>7.82</v>
      </c>
      <c r="C15" s="54">
        <v>17.41</v>
      </c>
      <c r="D15" s="54">
        <v>25.06</v>
      </c>
      <c r="E15" s="54">
        <v>2.94</v>
      </c>
      <c r="F15" s="54">
        <v>1.42</v>
      </c>
      <c r="G15" s="54">
        <v>47.26</v>
      </c>
      <c r="H15" s="54">
        <v>16.940000000000001</v>
      </c>
      <c r="I15" s="54">
        <v>0.14000000000000001</v>
      </c>
      <c r="J15" s="54">
        <v>0.71</v>
      </c>
      <c r="K15" s="54">
        <v>109.53</v>
      </c>
      <c r="L15" s="54">
        <v>21.40</v>
      </c>
      <c r="M15" s="54">
        <v>98.35</v>
      </c>
      <c r="N15" s="54">
        <v>39.40</v>
      </c>
      <c r="O15" s="54">
        <v>0</v>
      </c>
      <c r="P15" s="54">
        <v>0.54</v>
      </c>
      <c r="Q15" s="54">
        <v>18.09</v>
      </c>
      <c r="R15" s="43"/>
      <c r="S15" s="43"/>
      <c r="T15" s="43"/>
      <c r="U15" s="43"/>
    </row>
    <row r="16" spans="1:21" s="11" customFormat="1" ht="15">
      <c r="A16" s="53" t="s">
        <v>165</v>
      </c>
      <c r="B16" s="54">
        <v>15.95</v>
      </c>
      <c r="C16" s="54">
        <v>25.73</v>
      </c>
      <c r="D16" s="54">
        <v>39.979999999999997</v>
      </c>
      <c r="E16" s="54">
        <v>3.20</v>
      </c>
      <c r="F16" s="54">
        <v>4.13</v>
      </c>
      <c r="G16" s="54">
        <v>51.57</v>
      </c>
      <c r="H16" s="54">
        <v>17.73</v>
      </c>
      <c r="I16" s="54">
        <v>0.13</v>
      </c>
      <c r="J16" s="54">
        <v>0.37</v>
      </c>
      <c r="K16" s="54">
        <v>101</v>
      </c>
      <c r="L16" s="54">
        <v>21.98</v>
      </c>
      <c r="M16" s="54">
        <v>98.37</v>
      </c>
      <c r="N16" s="54">
        <v>81.80</v>
      </c>
      <c r="O16" s="54">
        <v>0</v>
      </c>
      <c r="P16" s="54">
        <v>0.70</v>
      </c>
      <c r="Q16" s="54">
        <v>19.59</v>
      </c>
      <c r="R16" s="43"/>
      <c r="S16" s="43"/>
      <c r="T16" s="43"/>
      <c r="U16" s="43"/>
    </row>
    <row r="17" spans="1:21" s="11" customFormat="1" ht="15">
      <c r="A17" s="53" t="s">
        <v>166</v>
      </c>
      <c r="B17" s="54">
        <v>15.94</v>
      </c>
      <c r="C17" s="54">
        <v>20.60</v>
      </c>
      <c r="D17" s="54">
        <v>36.54</v>
      </c>
      <c r="E17" s="54">
        <v>3.40</v>
      </c>
      <c r="F17" s="54">
        <v>6.59</v>
      </c>
      <c r="G17" s="54">
        <v>51.64</v>
      </c>
      <c r="H17" s="54">
        <v>15.59</v>
      </c>
      <c r="I17" s="54">
        <v>0.13</v>
      </c>
      <c r="J17" s="54">
        <v>0.44</v>
      </c>
      <c r="K17" s="54">
        <v>346.18</v>
      </c>
      <c r="L17" s="54">
        <v>24.19</v>
      </c>
      <c r="M17" s="54">
        <v>98.35</v>
      </c>
      <c r="N17" s="54">
        <v>302.89999999999998</v>
      </c>
      <c r="O17" s="54">
        <v>0</v>
      </c>
      <c r="P17" s="54">
        <v>0.71</v>
      </c>
      <c r="Q17" s="54">
        <v>21.20</v>
      </c>
      <c r="R17" s="43"/>
      <c r="S17" s="43"/>
      <c r="T17" s="43"/>
      <c r="U17" s="43"/>
    </row>
    <row r="18" spans="1:21" s="11" customFormat="1" ht="15">
      <c r="A18" s="53" t="s">
        <v>167</v>
      </c>
      <c r="B18" s="54">
        <v>14.98</v>
      </c>
      <c r="C18" s="54">
        <v>18.25</v>
      </c>
      <c r="D18" s="54">
        <v>31.21</v>
      </c>
      <c r="E18" s="54">
        <v>3.27</v>
      </c>
      <c r="F18" s="54">
        <v>7.76</v>
      </c>
      <c r="G18" s="54">
        <v>49.77</v>
      </c>
      <c r="H18" s="54">
        <v>17.25</v>
      </c>
      <c r="I18" s="54">
        <v>0.13</v>
      </c>
      <c r="J18" s="54">
        <v>0.49</v>
      </c>
      <c r="K18" s="54">
        <v>341.26</v>
      </c>
      <c r="L18" s="54">
        <v>25.19</v>
      </c>
      <c r="M18" s="54">
        <v>91.03</v>
      </c>
      <c r="N18" s="54">
        <v>377.10</v>
      </c>
      <c r="O18" s="54">
        <v>0</v>
      </c>
      <c r="P18" s="54">
        <v>0.70</v>
      </c>
      <c r="Q18" s="54">
        <v>21.15</v>
      </c>
      <c r="R18" s="43"/>
      <c r="S18" s="43"/>
      <c r="T18" s="43"/>
      <c r="U18" s="43"/>
    </row>
    <row r="19" spans="1:21" s="11" customFormat="1" ht="15">
      <c r="A19" s="53" t="s">
        <v>168</v>
      </c>
      <c r="B19" s="54">
        <v>11.31</v>
      </c>
      <c r="C19" s="54">
        <v>23.05</v>
      </c>
      <c r="D19" s="54">
        <v>32.76</v>
      </c>
      <c r="E19" s="54">
        <v>3.96</v>
      </c>
      <c r="F19" s="54">
        <v>13.98</v>
      </c>
      <c r="G19" s="54">
        <v>52.54</v>
      </c>
      <c r="H19" s="54">
        <v>18.059999999999999</v>
      </c>
      <c r="I19" s="54">
        <v>0.14000000000000001</v>
      </c>
      <c r="J19" s="54">
        <v>1.01</v>
      </c>
      <c r="K19" s="54">
        <v>108.56</v>
      </c>
      <c r="L19" s="54">
        <v>25.28</v>
      </c>
      <c r="M19" s="54">
        <v>89.09</v>
      </c>
      <c r="N19" s="54">
        <v>525.10</v>
      </c>
      <c r="O19" s="54">
        <v>0</v>
      </c>
      <c r="P19" s="54">
        <v>0.67</v>
      </c>
      <c r="Q19" s="54">
        <v>22.03</v>
      </c>
      <c r="R19" s="43"/>
      <c r="S19" s="43"/>
      <c r="T19" s="43"/>
      <c r="U19" s="43"/>
    </row>
    <row r="20" spans="1:21" s="11" customFormat="1" ht="15">
      <c r="A20" s="53" t="s">
        <v>169</v>
      </c>
      <c r="B20" s="54">
        <v>8.8000000000000007</v>
      </c>
      <c r="C20" s="54">
        <v>18.28</v>
      </c>
      <c r="D20" s="54">
        <v>27.08</v>
      </c>
      <c r="E20" s="54">
        <v>3.74</v>
      </c>
      <c r="F20" s="54">
        <v>9.5299999999999994</v>
      </c>
      <c r="G20" s="54">
        <v>44.56</v>
      </c>
      <c r="H20" s="54">
        <v>18.64</v>
      </c>
      <c r="I20" s="54">
        <v>0.13</v>
      </c>
      <c r="J20" s="54">
        <v>1.04</v>
      </c>
      <c r="K20" s="54">
        <v>122.54</v>
      </c>
      <c r="L20" s="54">
        <v>27.45</v>
      </c>
      <c r="M20" s="54">
        <v>85.67</v>
      </c>
      <c r="N20" s="54">
        <v>887.10</v>
      </c>
      <c r="O20" s="54">
        <v>0</v>
      </c>
      <c r="P20" s="54">
        <v>0.55000000000000004</v>
      </c>
      <c r="Q20" s="54">
        <v>22.90</v>
      </c>
      <c r="R20" s="43"/>
      <c r="S20" s="43"/>
      <c r="T20" s="43"/>
      <c r="U20" s="43"/>
    </row>
    <row r="21" spans="1:21" s="11" customFormat="1" ht="15">
      <c r="A21" s="53" t="s">
        <v>170</v>
      </c>
      <c r="B21" s="54">
        <v>5.37</v>
      </c>
      <c r="C21" s="54">
        <v>13.97</v>
      </c>
      <c r="D21" s="54">
        <v>19.34</v>
      </c>
      <c r="E21" s="54">
        <v>1.86</v>
      </c>
      <c r="F21" s="54">
        <v>9.14</v>
      </c>
      <c r="G21" s="54">
        <v>48.06</v>
      </c>
      <c r="H21" s="54">
        <v>22.88</v>
      </c>
      <c r="I21" s="54">
        <v>0.13</v>
      </c>
      <c r="J21" s="54">
        <v>1.29</v>
      </c>
      <c r="K21" s="54">
        <v>115.36</v>
      </c>
      <c r="L21" s="54">
        <v>27.72</v>
      </c>
      <c r="M21" s="54">
        <v>75.66</v>
      </c>
      <c r="N21" s="54">
        <v>887.5</v>
      </c>
      <c r="O21" s="54">
        <v>0</v>
      </c>
      <c r="P21" s="54">
        <v>0.52</v>
      </c>
      <c r="Q21" s="54">
        <v>23</v>
      </c>
      <c r="R21" s="43"/>
      <c r="S21" s="43"/>
      <c r="T21" s="43"/>
      <c r="U21" s="43"/>
    </row>
    <row r="22" spans="1:21" s="11" customFormat="1" ht="15">
      <c r="A22" s="53" t="s">
        <v>171</v>
      </c>
      <c r="B22" s="54">
        <v>3.98</v>
      </c>
      <c r="C22" s="54">
        <v>13.60</v>
      </c>
      <c r="D22" s="54">
        <v>17.059999999999999</v>
      </c>
      <c r="E22" s="54">
        <v>2.35</v>
      </c>
      <c r="F22" s="54">
        <v>18.309999999999999</v>
      </c>
      <c r="G22" s="54">
        <v>43.5</v>
      </c>
      <c r="H22" s="54">
        <v>23.71</v>
      </c>
      <c r="I22" s="54">
        <v>0.13</v>
      </c>
      <c r="J22" s="54">
        <v>1.25</v>
      </c>
      <c r="K22" s="54">
        <v>115.83</v>
      </c>
      <c r="L22" s="54">
        <v>27.70</v>
      </c>
      <c r="M22" s="54">
        <v>73.209999999999994</v>
      </c>
      <c r="N22" s="54">
        <v>782.90</v>
      </c>
      <c r="O22" s="54">
        <v>0</v>
      </c>
      <c r="P22" s="54">
        <v>0.41</v>
      </c>
      <c r="Q22" s="54">
        <v>22.22</v>
      </c>
      <c r="R22" s="43"/>
      <c r="S22" s="43"/>
      <c r="T22" s="43"/>
      <c r="U22" s="43"/>
    </row>
    <row r="23" spans="1:21" s="11" customFormat="1" ht="15">
      <c r="A23" s="53" t="s">
        <v>172</v>
      </c>
      <c r="B23" s="54">
        <v>3.83</v>
      </c>
      <c r="C23" s="54">
        <v>12.96</v>
      </c>
      <c r="D23" s="54">
        <v>16.55</v>
      </c>
      <c r="E23" s="54">
        <v>2.4500000000000002</v>
      </c>
      <c r="F23" s="54">
        <v>13.74</v>
      </c>
      <c r="G23" s="54">
        <v>42.87</v>
      </c>
      <c r="H23" s="54">
        <v>21.92</v>
      </c>
      <c r="I23" s="54">
        <v>0.14000000000000001</v>
      </c>
      <c r="J23" s="54">
        <v>0.89</v>
      </c>
      <c r="K23" s="54">
        <v>172.32</v>
      </c>
      <c r="L23" s="54">
        <v>27.57</v>
      </c>
      <c r="M23" s="54">
        <v>73.41</v>
      </c>
      <c r="N23" s="54">
        <v>369.90</v>
      </c>
      <c r="O23" s="54">
        <v>0</v>
      </c>
      <c r="P23" s="54">
        <v>0.36</v>
      </c>
      <c r="Q23" s="54">
        <v>21.08</v>
      </c>
      <c r="R23" s="43"/>
      <c r="S23" s="43"/>
      <c r="T23" s="43"/>
      <c r="U23" s="43"/>
    </row>
    <row r="24" spans="1:21" s="11" customFormat="1" ht="15">
      <c r="A24" s="53" t="s">
        <v>173</v>
      </c>
      <c r="B24" s="54">
        <v>3.83</v>
      </c>
      <c r="C24" s="54">
        <v>11.83</v>
      </c>
      <c r="D24" s="54">
        <v>15.58</v>
      </c>
      <c r="E24" s="54">
        <v>2.4500000000000002</v>
      </c>
      <c r="F24" s="54">
        <v>8.7200000000000006</v>
      </c>
      <c r="G24" s="54">
        <v>39.159999999999997</v>
      </c>
      <c r="H24" s="54">
        <v>21.82</v>
      </c>
      <c r="I24" s="54">
        <v>0.13</v>
      </c>
      <c r="J24" s="54">
        <v>1.47</v>
      </c>
      <c r="K24" s="54">
        <v>105.73</v>
      </c>
      <c r="L24" s="54">
        <v>27.17</v>
      </c>
      <c r="M24" s="54">
        <v>75.319999999999993</v>
      </c>
      <c r="N24" s="54">
        <v>281</v>
      </c>
      <c r="O24" s="54">
        <v>0</v>
      </c>
      <c r="P24" s="54">
        <v>0.35</v>
      </c>
      <c r="Q24" s="54">
        <v>20.05</v>
      </c>
      <c r="R24" s="43"/>
      <c r="S24" s="43"/>
      <c r="T24" s="43"/>
      <c r="U24" s="43"/>
    </row>
    <row r="25" spans="1:21" s="11" customFormat="1" ht="15">
      <c r="A25" s="53" t="s">
        <v>174</v>
      </c>
      <c r="B25" s="54">
        <v>3.74</v>
      </c>
      <c r="C25" s="54">
        <v>15.82</v>
      </c>
      <c r="D25" s="54">
        <v>19.329999999999998</v>
      </c>
      <c r="E25" s="54">
        <v>3.16</v>
      </c>
      <c r="F25" s="54">
        <v>26.15</v>
      </c>
      <c r="G25" s="54">
        <v>38.08</v>
      </c>
      <c r="H25" s="54">
        <v>18.760000000000002</v>
      </c>
      <c r="I25" s="54">
        <v>0.13</v>
      </c>
      <c r="J25" s="54">
        <v>1.08</v>
      </c>
      <c r="K25" s="54">
        <v>107.79</v>
      </c>
      <c r="L25" s="54">
        <v>26.83</v>
      </c>
      <c r="M25" s="54">
        <v>77.650000000000006</v>
      </c>
      <c r="N25" s="54">
        <v>146.40</v>
      </c>
      <c r="O25" s="54">
        <v>0</v>
      </c>
      <c r="P25" s="54">
        <v>0.33</v>
      </c>
      <c r="Q25" s="54">
        <v>21.14</v>
      </c>
      <c r="R25" s="43"/>
      <c r="S25" s="43"/>
      <c r="T25" s="43"/>
      <c r="U25" s="43"/>
    </row>
    <row r="26" spans="1:21" s="11" customFormat="1" ht="15">
      <c r="A26" s="53" t="s">
        <v>175</v>
      </c>
      <c r="B26" s="54">
        <v>17.88</v>
      </c>
      <c r="C26" s="54">
        <v>46.53</v>
      </c>
      <c r="D26" s="54">
        <v>64.41</v>
      </c>
      <c r="E26" s="54">
        <v>3.43</v>
      </c>
      <c r="F26" s="54">
        <v>18.84</v>
      </c>
      <c r="G26" s="54">
        <v>41.88</v>
      </c>
      <c r="H26" s="54">
        <v>19.72</v>
      </c>
      <c r="I26" s="54">
        <v>0.12</v>
      </c>
      <c r="J26" s="54">
        <v>0.69</v>
      </c>
      <c r="K26" s="54">
        <v>331.76</v>
      </c>
      <c r="L26" s="54">
        <v>26.47</v>
      </c>
      <c r="M26" s="54">
        <v>84.30</v>
      </c>
      <c r="N26" s="54">
        <v>61.90</v>
      </c>
      <c r="O26" s="54">
        <v>0</v>
      </c>
      <c r="P26" s="54">
        <v>1.32</v>
      </c>
      <c r="Q26" s="54">
        <v>20.12</v>
      </c>
      <c r="R26" s="43"/>
      <c r="S26" s="43"/>
      <c r="T26" s="43"/>
      <c r="U26" s="43"/>
    </row>
    <row r="27" spans="1:21" s="11" customFormat="1" ht="15">
      <c r="A27" s="53" t="s">
        <v>176</v>
      </c>
      <c r="B27" s="54">
        <v>22.98</v>
      </c>
      <c r="C27" s="54">
        <v>46.39</v>
      </c>
      <c r="D27" s="54">
        <v>64.709999999999994</v>
      </c>
      <c r="E27" s="54">
        <v>3.75</v>
      </c>
      <c r="F27" s="54">
        <v>17.52</v>
      </c>
      <c r="G27" s="54">
        <v>54.73</v>
      </c>
      <c r="H27" s="54">
        <v>22.47</v>
      </c>
      <c r="I27" s="54">
        <v>0.11</v>
      </c>
      <c r="J27" s="54">
        <v>0.31</v>
      </c>
      <c r="K27" s="54">
        <v>345.26</v>
      </c>
      <c r="L27" s="54">
        <v>26.05</v>
      </c>
      <c r="M27" s="54">
        <v>87.89</v>
      </c>
      <c r="N27" s="54">
        <v>9.5</v>
      </c>
      <c r="O27" s="54">
        <v>0</v>
      </c>
      <c r="P27" s="54">
        <v>1.44</v>
      </c>
      <c r="Q27" s="54">
        <v>17.89</v>
      </c>
      <c r="R27" s="43"/>
      <c r="S27" s="43"/>
      <c r="T27" s="43"/>
      <c r="U27" s="43"/>
    </row>
    <row r="28" spans="1:21" s="11" customFormat="1" ht="15">
      <c r="A28" s="53" t="s">
        <v>177</v>
      </c>
      <c r="B28" s="54">
        <v>17.260000000000002</v>
      </c>
      <c r="C28" s="54">
        <v>48.60</v>
      </c>
      <c r="D28" s="54">
        <v>65.86</v>
      </c>
      <c r="E28" s="54">
        <v>3.36</v>
      </c>
      <c r="F28" s="54">
        <v>10.52</v>
      </c>
      <c r="G28" s="54">
        <v>69.040000000000006</v>
      </c>
      <c r="H28" s="54">
        <v>23.20</v>
      </c>
      <c r="I28" s="54">
        <v>0.12</v>
      </c>
      <c r="J28" s="54">
        <v>0.26</v>
      </c>
      <c r="K28" s="54">
        <v>99.14</v>
      </c>
      <c r="L28" s="54">
        <v>25.25</v>
      </c>
      <c r="M28" s="54">
        <v>93.73</v>
      </c>
      <c r="N28" s="54">
        <v>7.60</v>
      </c>
      <c r="O28" s="54">
        <v>0</v>
      </c>
      <c r="P28" s="54">
        <v>1.56</v>
      </c>
      <c r="Q28" s="54">
        <v>19.04</v>
      </c>
      <c r="R28" s="43"/>
      <c r="S28" s="43"/>
      <c r="T28" s="43"/>
      <c r="U28" s="43"/>
    </row>
    <row r="29" spans="1:21" s="11" customFormat="1" ht="15">
      <c r="A29" s="53" t="s">
        <v>178</v>
      </c>
      <c r="B29" s="54">
        <v>19.73</v>
      </c>
      <c r="C29" s="54">
        <v>32.89</v>
      </c>
      <c r="D29" s="54">
        <v>52.60</v>
      </c>
      <c r="E29" s="54">
        <v>1.41</v>
      </c>
      <c r="F29" s="54">
        <v>7.31</v>
      </c>
      <c r="G29" s="54">
        <v>78.459999999999994</v>
      </c>
      <c r="H29" s="54">
        <v>26.31</v>
      </c>
      <c r="I29" s="54">
        <v>0.12</v>
      </c>
      <c r="J29" s="54">
        <v>0.40</v>
      </c>
      <c r="K29" s="54">
        <v>354.21</v>
      </c>
      <c r="L29" s="54">
        <v>24.76</v>
      </c>
      <c r="M29" s="54">
        <v>96.29</v>
      </c>
      <c r="N29" s="54">
        <v>7.5</v>
      </c>
      <c r="O29" s="54">
        <v>0</v>
      </c>
      <c r="P29" s="54">
        <v>1.43</v>
      </c>
      <c r="Q29" s="54">
        <v>18.75</v>
      </c>
      <c r="R29" s="43"/>
      <c r="S29" s="43"/>
      <c r="T29" s="43"/>
      <c r="U29" s="43"/>
    </row>
    <row r="30" spans="1:21" s="11" customFormat="1" ht="15">
      <c r="A30" s="53" t="s">
        <v>179</v>
      </c>
      <c r="B30" s="54">
        <v>28.84</v>
      </c>
      <c r="C30" s="54">
        <v>41.74</v>
      </c>
      <c r="D30" s="54">
        <v>69.06</v>
      </c>
      <c r="E30" s="54">
        <v>1.38</v>
      </c>
      <c r="F30" s="54">
        <v>7.10</v>
      </c>
      <c r="G30" s="54">
        <v>86.04</v>
      </c>
      <c r="H30" s="54">
        <v>27.84</v>
      </c>
      <c r="I30" s="54">
        <v>0.12</v>
      </c>
      <c r="J30" s="54">
        <v>0.28999999999999998</v>
      </c>
      <c r="K30" s="54">
        <v>336.44</v>
      </c>
      <c r="L30" s="54">
        <v>24.62</v>
      </c>
      <c r="M30" s="54">
        <v>97.06</v>
      </c>
      <c r="N30" s="54">
        <v>7.60</v>
      </c>
      <c r="O30" s="54">
        <v>0</v>
      </c>
      <c r="P30" s="54">
        <v>1.65</v>
      </c>
      <c r="Q30" s="54">
        <v>17.93</v>
      </c>
      <c r="R30" s="43"/>
      <c r="S30" s="43"/>
      <c r="T30" s="43"/>
      <c r="U30" s="43"/>
    </row>
    <row r="31" spans="1:21" s="11" customFormat="1" ht="15">
      <c r="A31" s="53" t="s">
        <v>180</v>
      </c>
      <c r="B31" s="54">
        <v>17.829999999999998</v>
      </c>
      <c r="C31" s="54">
        <v>26.83</v>
      </c>
      <c r="D31" s="54">
        <v>44.67</v>
      </c>
      <c r="E31" s="54">
        <v>1.44</v>
      </c>
      <c r="F31" s="54">
        <v>9.74</v>
      </c>
      <c r="G31" s="54">
        <v>89.75</v>
      </c>
      <c r="H31" s="54">
        <v>22.84</v>
      </c>
      <c r="I31" s="54">
        <v>0.12</v>
      </c>
      <c r="J31" s="54">
        <v>0.66</v>
      </c>
      <c r="K31" s="54">
        <v>349.91</v>
      </c>
      <c r="L31" s="54">
        <v>24.44</v>
      </c>
      <c r="M31" s="54">
        <v>98.35</v>
      </c>
      <c r="N31" s="54">
        <v>7.60</v>
      </c>
      <c r="O31" s="54">
        <v>0</v>
      </c>
      <c r="P31" s="54">
        <v>1.17</v>
      </c>
      <c r="Q31" s="54">
        <v>20.149999999999999</v>
      </c>
      <c r="R31" s="43"/>
      <c r="S31" s="43"/>
      <c r="T31" s="43"/>
      <c r="U31" s="43"/>
    </row>
    <row r="32" spans="1:21" s="11" customFormat="1" ht="15">
      <c r="A32" s="53" t="s">
        <v>181</v>
      </c>
      <c r="B32" s="54">
        <v>15.58</v>
      </c>
      <c r="C32" s="54">
        <v>19.45</v>
      </c>
      <c r="D32" s="54">
        <v>35.03</v>
      </c>
      <c r="E32" s="54">
        <v>1.54</v>
      </c>
      <c r="F32" s="54">
        <v>6.16</v>
      </c>
      <c r="G32" s="54">
        <v>89.59</v>
      </c>
      <c r="H32" s="54">
        <v>23.29</v>
      </c>
      <c r="I32" s="54">
        <v>0.13</v>
      </c>
      <c r="J32" s="54">
        <v>1.1000000000000001</v>
      </c>
      <c r="K32" s="54">
        <v>107.78</v>
      </c>
      <c r="L32" s="54">
        <v>24.07</v>
      </c>
      <c r="M32" s="54">
        <v>98.36</v>
      </c>
      <c r="N32" s="54">
        <v>7.70</v>
      </c>
      <c r="O32" s="54">
        <v>0</v>
      </c>
      <c r="P32" s="54">
        <v>1.07</v>
      </c>
      <c r="Q32" s="54">
        <v>21.31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3.7400000000000002</v>
      </c>
      <c r="C34" s="28">
        <f t="shared" si="0"/>
        <v>11.83</v>
      </c>
      <c r="D34" s="28">
        <f t="shared" si="0"/>
        <v>15.58</v>
      </c>
      <c r="E34" s="28">
        <f t="shared" si="0"/>
        <v>1.3799999999999999</v>
      </c>
      <c r="F34" s="28">
        <f t="shared" si="0"/>
        <v>1.4199999999999999</v>
      </c>
      <c r="G34" s="28">
        <f t="shared" si="0"/>
        <v>22.75</v>
      </c>
      <c r="H34" s="28">
        <f t="shared" si="0"/>
        <v>10.779999999999999</v>
      </c>
      <c r="I34" s="28">
        <f t="shared" si="0"/>
        <v>0.11</v>
      </c>
      <c r="J34" s="28">
        <f t="shared" si="0"/>
        <v>0.20000000000000001</v>
      </c>
      <c r="K34" s="28">
        <f t="shared" si="0"/>
        <v>99.140000000000001</v>
      </c>
      <c r="L34" s="28">
        <f t="shared" si="0"/>
        <v>20.68</v>
      </c>
      <c r="M34" s="28">
        <f t="shared" si="0"/>
        <v>73.209999999999994</v>
      </c>
      <c r="N34" s="28">
        <f t="shared" si="0"/>
        <v>7.5</v>
      </c>
      <c r="O34" s="28">
        <f t="shared" si="0"/>
        <v>0</v>
      </c>
      <c r="P34" s="28">
        <f t="shared" si="0"/>
        <v>0.33000000000000002</v>
      </c>
      <c r="Q34" s="28">
        <f t="shared" si="0"/>
        <v>15.49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28.84</v>
      </c>
      <c r="C35" s="29">
        <f t="shared" si="1"/>
        <v>48.600000000000001</v>
      </c>
      <c r="D35" s="29">
        <f t="shared" si="1"/>
        <v>69.060000000000002</v>
      </c>
      <c r="E35" s="29">
        <f t="shared" si="1"/>
        <v>3.96</v>
      </c>
      <c r="F35" s="29">
        <f t="shared" si="1"/>
        <v>26.149999999999999</v>
      </c>
      <c r="G35" s="29">
        <f t="shared" si="1"/>
        <v>89.75</v>
      </c>
      <c r="H35" s="29">
        <f t="shared" si="1"/>
        <v>27.84</v>
      </c>
      <c r="I35" s="29">
        <f t="shared" si="1"/>
        <v>0.14000000000000001</v>
      </c>
      <c r="J35" s="29">
        <f t="shared" si="1"/>
        <v>1.47</v>
      </c>
      <c r="K35" s="29">
        <f t="shared" si="1"/>
        <v>355.20999999999998</v>
      </c>
      <c r="L35" s="29">
        <f t="shared" si="1"/>
        <v>27.719999999999999</v>
      </c>
      <c r="M35" s="29">
        <f t="shared" si="1"/>
        <v>98.400000000000006</v>
      </c>
      <c r="N35" s="29">
        <f t="shared" si="1"/>
        <v>887.5</v>
      </c>
      <c r="O35" s="29">
        <f t="shared" si="1"/>
        <v>0.20000000000000001</v>
      </c>
      <c r="P35" s="29">
        <f t="shared" si="1"/>
        <v>1.6499999999999999</v>
      </c>
      <c r="Q35" s="29">
        <f t="shared" si="1"/>
        <v>23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11.534583333333332</v>
      </c>
      <c r="C36" s="28">
        <f t="shared" si="2"/>
        <v>23.025000000000002</v>
      </c>
      <c r="D36" s="28">
        <f t="shared" si="2"/>
        <v>33.992083333333326</v>
      </c>
      <c r="E36" s="28">
        <f t="shared" si="2"/>
        <v>2.5441666666666665</v>
      </c>
      <c r="F36" s="28">
        <f t="shared" si="2"/>
        <v>9.2904166666666672</v>
      </c>
      <c r="G36" s="28">
        <f t="shared" si="2"/>
        <v>50.229166666666664</v>
      </c>
      <c r="H36" s="28">
        <f t="shared" si="2"/>
        <v>18.962916666666665</v>
      </c>
      <c r="I36" s="28">
        <f t="shared" si="2"/>
        <v>0.12791666666666665</v>
      </c>
      <c r="J36" s="28">
        <f t="shared" si="2"/>
        <v>0.68083333333333351</v>
      </c>
      <c r="K36" s="28">
        <f t="shared" si="2"/>
        <v>228.38166666666666</v>
      </c>
      <c r="L36" s="28">
        <f t="shared" si="2"/>
        <v>24.303333333333338</v>
      </c>
      <c r="M36" s="28">
        <f t="shared" si="2"/>
        <v>90.935416666666683</v>
      </c>
      <c r="N36" s="28">
        <f t="shared" si="2"/>
        <v>201.97083333333333</v>
      </c>
      <c r="O36" s="28">
        <f t="shared" si="2"/>
        <v>0.0083333333333333332</v>
      </c>
      <c r="P36" s="28">
        <f t="shared" si="2"/>
        <v>0.78874999999999995</v>
      </c>
      <c r="Q36" s="28">
        <f t="shared" si="2"/>
        <v>19.377083333333335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6.9396265901087864</v>
      </c>
      <c r="C37" s="28">
        <f t="shared" si="3" ref="C37:Q37">STDEV(C9:C32)</f>
        <v>11.744603941348148</v>
      </c>
      <c r="D37" s="28">
        <f t="shared" si="3"/>
        <v>17.465355764849289</v>
      </c>
      <c r="E37" s="28">
        <f t="shared" si="3"/>
        <v>0.87366253890392997</v>
      </c>
      <c r="F37" s="28">
        <f t="shared" si="3"/>
        <v>6.0826735248692154</v>
      </c>
      <c r="G37" s="28">
        <f t="shared" si="3"/>
        <v>19.211148465469702</v>
      </c>
      <c r="H37" s="28">
        <f t="shared" si="3"/>
        <v>4.7448365337368585</v>
      </c>
      <c r="I37" s="28">
        <f t="shared" si="3"/>
        <v>0.0072106000875924664</v>
      </c>
      <c r="J37" s="28">
        <f t="shared" si="3"/>
        <v>0.37293100733498136</v>
      </c>
      <c r="K37" s="28">
        <f t="shared" si="3"/>
        <v>117.67969178227405</v>
      </c>
      <c r="L37" s="28">
        <f t="shared" si="3"/>
        <v>2.590275571484951</v>
      </c>
      <c r="M37" s="28">
        <f t="shared" si="3"/>
        <v>9.423598490730102</v>
      </c>
      <c r="N37" s="28">
        <f t="shared" si="3"/>
        <v>292.55265966580475</v>
      </c>
      <c r="O37" s="28">
        <f t="shared" si="3"/>
        <v>0.040824829046386311</v>
      </c>
      <c r="P37" s="28">
        <f t="shared" si="3"/>
        <v>0.41373497608346155</v>
      </c>
      <c r="Q37" s="28">
        <f t="shared" si="3"/>
        <v>2.3418526281309719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5e3f246-8cde-4d9b-92f6-a67e87e7c459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64" sqref="H64"/>
    </sheetView>
  </sheetViews>
  <sheetFormatPr defaultColWidth="8.85881696428571" defaultRowHeight="15"/>
  <cols>
    <col min="1" max="1" width="18.2857142857143" style="26" customWidth="1"/>
    <col min="2" max="2" width="13.5714285714286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06-09-2023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182</v>
      </c>
      <c r="B9" s="54">
        <v>12.45</v>
      </c>
      <c r="C9" s="54">
        <v>12.81</v>
      </c>
      <c r="D9" s="54">
        <v>24.87</v>
      </c>
      <c r="E9" s="54">
        <v>2.4500000000000002</v>
      </c>
      <c r="F9" s="54">
        <v>5.66</v>
      </c>
      <c r="G9" s="54">
        <v>68.069999999999993</v>
      </c>
      <c r="H9" s="54">
        <v>19.28</v>
      </c>
      <c r="I9" s="54">
        <v>0.13</v>
      </c>
      <c r="J9" s="54">
        <v>1.05</v>
      </c>
      <c r="K9" s="54">
        <v>118.66</v>
      </c>
      <c r="L9" s="54">
        <v>22.90</v>
      </c>
      <c r="M9" s="54">
        <v>98.35</v>
      </c>
      <c r="N9" s="54">
        <v>7.60</v>
      </c>
      <c r="O9" s="54">
        <v>0</v>
      </c>
      <c r="P9" s="54">
        <v>1.02</v>
      </c>
      <c r="Q9" s="54">
        <v>22.43</v>
      </c>
      <c r="R9" s="43"/>
      <c r="S9" s="43"/>
      <c r="T9" s="43"/>
      <c r="U9" s="43"/>
    </row>
    <row r="10" spans="1:21" s="11" customFormat="1" ht="15">
      <c r="A10" s="53" t="s">
        <v>183</v>
      </c>
      <c r="B10" s="54">
        <v>8.8699999999999992</v>
      </c>
      <c r="C10" s="54">
        <v>11.64</v>
      </c>
      <c r="D10" s="54">
        <v>20.51</v>
      </c>
      <c r="E10" s="54">
        <v>2.5499999999999998</v>
      </c>
      <c r="F10" s="54">
        <v>7.31</v>
      </c>
      <c r="G10" s="54">
        <v>48.85</v>
      </c>
      <c r="H10" s="54">
        <v>15.87</v>
      </c>
      <c r="I10" s="54">
        <v>0.13</v>
      </c>
      <c r="J10" s="54">
        <v>1.0900000000000001</v>
      </c>
      <c r="K10" s="54">
        <v>125.68</v>
      </c>
      <c r="L10" s="54">
        <v>22.66</v>
      </c>
      <c r="M10" s="54">
        <v>98.35</v>
      </c>
      <c r="N10" s="54">
        <v>7.60</v>
      </c>
      <c r="O10" s="54">
        <v>0</v>
      </c>
      <c r="P10" s="54">
        <v>0.67</v>
      </c>
      <c r="Q10" s="54">
        <v>24.05</v>
      </c>
      <c r="R10" s="43"/>
      <c r="S10" s="43"/>
      <c r="T10" s="43"/>
      <c r="U10" s="43"/>
    </row>
    <row r="11" spans="1:21" s="11" customFormat="1" ht="15">
      <c r="A11" s="53" t="s">
        <v>184</v>
      </c>
      <c r="B11" s="54">
        <v>8.10</v>
      </c>
      <c r="C11" s="54">
        <v>10.91</v>
      </c>
      <c r="D11" s="54">
        <v>19</v>
      </c>
      <c r="E11" s="54">
        <v>2.5</v>
      </c>
      <c r="F11" s="54">
        <v>2.69</v>
      </c>
      <c r="G11" s="54">
        <v>31.01</v>
      </c>
      <c r="H11" s="54">
        <v>13.19</v>
      </c>
      <c r="I11" s="54">
        <v>0.14000000000000001</v>
      </c>
      <c r="J11" s="54">
        <v>0.64</v>
      </c>
      <c r="K11" s="54">
        <v>165.26</v>
      </c>
      <c r="L11" s="54">
        <v>22.62</v>
      </c>
      <c r="M11" s="54">
        <v>98.38</v>
      </c>
      <c r="N11" s="54">
        <v>9</v>
      </c>
      <c r="O11" s="54">
        <v>0</v>
      </c>
      <c r="P11" s="54">
        <v>0.65</v>
      </c>
      <c r="Q11" s="54">
        <v>23.82</v>
      </c>
      <c r="R11" s="43"/>
      <c r="S11" s="43"/>
      <c r="T11" s="43"/>
      <c r="U11" s="43"/>
    </row>
    <row r="12" spans="1:21" s="11" customFormat="1" ht="15">
      <c r="A12" s="53" t="s">
        <v>185</v>
      </c>
      <c r="B12" s="54">
        <v>5.45</v>
      </c>
      <c r="C12" s="54">
        <v>10.77</v>
      </c>
      <c r="D12" s="54">
        <v>15.72</v>
      </c>
      <c r="E12" s="54">
        <v>2.29</v>
      </c>
      <c r="F12" s="54">
        <v>8.17</v>
      </c>
      <c r="G12" s="54">
        <v>30.65</v>
      </c>
      <c r="H12" s="54">
        <v>9.6199999999999992</v>
      </c>
      <c r="I12" s="54">
        <v>0.13</v>
      </c>
      <c r="J12" s="54">
        <v>0.28999999999999998</v>
      </c>
      <c r="K12" s="54">
        <v>322.12</v>
      </c>
      <c r="L12" s="54">
        <v>21.38</v>
      </c>
      <c r="M12" s="54">
        <v>98.38</v>
      </c>
      <c r="N12" s="54">
        <v>7.60</v>
      </c>
      <c r="O12" s="54">
        <v>0.20</v>
      </c>
      <c r="P12" s="54">
        <v>0.51</v>
      </c>
      <c r="Q12" s="54">
        <v>21.25</v>
      </c>
      <c r="R12" s="43"/>
      <c r="S12" s="43"/>
      <c r="T12" s="43"/>
      <c r="U12" s="43"/>
    </row>
    <row r="13" spans="1:21" s="11" customFormat="1" ht="15">
      <c r="A13" s="53" t="s">
        <v>186</v>
      </c>
      <c r="B13" s="54">
        <v>7.48</v>
      </c>
      <c r="C13" s="54">
        <v>22.88</v>
      </c>
      <c r="D13" s="54">
        <v>30.27</v>
      </c>
      <c r="E13" s="54">
        <v>2.2200000000000002</v>
      </c>
      <c r="F13" s="54">
        <v>9.8800000000000008</v>
      </c>
      <c r="G13" s="54">
        <v>18.399999999999999</v>
      </c>
      <c r="H13" s="54">
        <v>6.93</v>
      </c>
      <c r="I13" s="54">
        <v>0.13</v>
      </c>
      <c r="J13" s="54">
        <v>0.11</v>
      </c>
      <c r="K13" s="54">
        <v>326.95999999999998</v>
      </c>
      <c r="L13" s="54">
        <v>21.76</v>
      </c>
      <c r="M13" s="54">
        <v>98.38</v>
      </c>
      <c r="N13" s="54">
        <v>7.60</v>
      </c>
      <c r="O13" s="54">
        <v>0</v>
      </c>
      <c r="P13" s="54">
        <v>0.49</v>
      </c>
      <c r="Q13" s="54">
        <v>20.440000000000001</v>
      </c>
      <c r="R13" s="43"/>
      <c r="S13" s="43"/>
      <c r="T13" s="43"/>
      <c r="U13" s="43"/>
    </row>
    <row r="14" spans="1:21" s="11" customFormat="1" ht="15">
      <c r="A14" s="53" t="s">
        <v>187</v>
      </c>
      <c r="B14" s="54">
        <v>5.72</v>
      </c>
      <c r="C14" s="54">
        <v>15.52</v>
      </c>
      <c r="D14" s="54">
        <v>21.25</v>
      </c>
      <c r="E14" s="54">
        <v>2.4900000000000002</v>
      </c>
      <c r="F14" s="54">
        <v>4.8899999999999997</v>
      </c>
      <c r="G14" s="54">
        <v>13.66</v>
      </c>
      <c r="H14" s="54">
        <v>5.29</v>
      </c>
      <c r="I14" s="54">
        <v>0.13</v>
      </c>
      <c r="J14" s="54">
        <v>0.81</v>
      </c>
      <c r="K14" s="54">
        <v>115</v>
      </c>
      <c r="L14" s="54">
        <v>22.57</v>
      </c>
      <c r="M14" s="54">
        <v>98.38</v>
      </c>
      <c r="N14" s="54">
        <v>15.20</v>
      </c>
      <c r="O14" s="54">
        <v>0</v>
      </c>
      <c r="P14" s="54">
        <v>0.42</v>
      </c>
      <c r="Q14" s="54">
        <v>20.75</v>
      </c>
      <c r="R14" s="43"/>
      <c r="S14" s="43"/>
      <c r="T14" s="43"/>
      <c r="U14" s="43"/>
    </row>
    <row r="15" spans="1:21" s="11" customFormat="1" ht="15">
      <c r="A15" s="53" t="s">
        <v>188</v>
      </c>
      <c r="B15" s="54">
        <v>5.86</v>
      </c>
      <c r="C15" s="54">
        <v>11.83</v>
      </c>
      <c r="D15" s="54">
        <v>17.22</v>
      </c>
      <c r="E15" s="54">
        <v>1.96</v>
      </c>
      <c r="F15" s="54">
        <v>6.67</v>
      </c>
      <c r="G15" s="54">
        <v>13.22</v>
      </c>
      <c r="H15" s="54">
        <v>6.41</v>
      </c>
      <c r="I15" s="54">
        <v>0.14000000000000001</v>
      </c>
      <c r="J15" s="54">
        <v>0.91</v>
      </c>
      <c r="K15" s="54">
        <v>115.26</v>
      </c>
      <c r="L15" s="54">
        <v>22.83</v>
      </c>
      <c r="M15" s="54">
        <v>98.40</v>
      </c>
      <c r="N15" s="54">
        <v>150</v>
      </c>
      <c r="O15" s="54">
        <v>1.80</v>
      </c>
      <c r="P15" s="54">
        <v>0.40</v>
      </c>
      <c r="Q15" s="54">
        <v>23.08</v>
      </c>
      <c r="R15" s="43"/>
      <c r="S15" s="43"/>
      <c r="T15" s="43"/>
      <c r="U15" s="43"/>
    </row>
    <row r="16" spans="1:21" s="11" customFormat="1" ht="15">
      <c r="A16" s="53" t="s">
        <v>189</v>
      </c>
      <c r="B16" s="54">
        <v>7.63</v>
      </c>
      <c r="C16" s="54">
        <v>16.05</v>
      </c>
      <c r="D16" s="54">
        <v>23.58</v>
      </c>
      <c r="E16" s="54">
        <v>2.08</v>
      </c>
      <c r="F16" s="54">
        <v>4.3099999999999996</v>
      </c>
      <c r="G16" s="54">
        <v>16.899999999999999</v>
      </c>
      <c r="H16" s="54">
        <v>8.41</v>
      </c>
      <c r="I16" s="54">
        <v>0.13</v>
      </c>
      <c r="J16" s="54">
        <v>1.70</v>
      </c>
      <c r="K16" s="54">
        <v>109.62</v>
      </c>
      <c r="L16" s="54">
        <v>23.75</v>
      </c>
      <c r="M16" s="54">
        <v>98.38</v>
      </c>
      <c r="N16" s="54">
        <v>300.30</v>
      </c>
      <c r="O16" s="54">
        <v>0</v>
      </c>
      <c r="P16" s="54">
        <v>0.45</v>
      </c>
      <c r="Q16" s="54">
        <v>24.68</v>
      </c>
      <c r="R16" s="43"/>
      <c r="S16" s="43"/>
      <c r="T16" s="43"/>
      <c r="U16" s="43"/>
    </row>
    <row r="17" spans="1:21" s="11" customFormat="1" ht="15">
      <c r="A17" s="53" t="s">
        <v>190</v>
      </c>
      <c r="B17" s="54">
        <v>6.78</v>
      </c>
      <c r="C17" s="54">
        <v>9.1199999999999992</v>
      </c>
      <c r="D17" s="54">
        <v>15.90</v>
      </c>
      <c r="E17" s="54">
        <v>1.70</v>
      </c>
      <c r="F17" s="54">
        <v>2.72</v>
      </c>
      <c r="G17" s="54">
        <v>19.329999999999998</v>
      </c>
      <c r="H17" s="54">
        <v>9.10</v>
      </c>
      <c r="I17" s="54">
        <v>0.14000000000000001</v>
      </c>
      <c r="J17" s="54">
        <v>1.67</v>
      </c>
      <c r="K17" s="54">
        <v>112.33</v>
      </c>
      <c r="L17" s="54">
        <v>24.67</v>
      </c>
      <c r="M17" s="54">
        <v>95.92</v>
      </c>
      <c r="N17" s="54">
        <v>483.70</v>
      </c>
      <c r="O17" s="54">
        <v>0</v>
      </c>
      <c r="P17" s="54">
        <v>0.42</v>
      </c>
      <c r="Q17" s="54">
        <v>25.29</v>
      </c>
      <c r="R17" s="43"/>
      <c r="S17" s="43"/>
      <c r="T17" s="43"/>
      <c r="U17" s="43"/>
    </row>
    <row r="18" spans="1:21" s="11" customFormat="1" ht="15">
      <c r="A18" s="53" t="s">
        <v>191</v>
      </c>
      <c r="B18" s="54">
        <v>6.03</v>
      </c>
      <c r="C18" s="54">
        <v>8.8800000000000008</v>
      </c>
      <c r="D18" s="54">
        <v>14.80</v>
      </c>
      <c r="E18" s="54">
        <v>1.06</v>
      </c>
      <c r="F18" s="54">
        <v>1.84</v>
      </c>
      <c r="G18" s="54">
        <v>16.03</v>
      </c>
      <c r="H18" s="54">
        <v>8.26</v>
      </c>
      <c r="I18" s="54">
        <v>0.13</v>
      </c>
      <c r="J18" s="54">
        <v>2.29</v>
      </c>
      <c r="K18" s="54">
        <v>112.17</v>
      </c>
      <c r="L18" s="54">
        <v>25.91</v>
      </c>
      <c r="M18" s="54">
        <v>88.92</v>
      </c>
      <c r="N18" s="54">
        <v>845.40</v>
      </c>
      <c r="O18" s="54">
        <v>0</v>
      </c>
      <c r="P18" s="54">
        <v>0.40</v>
      </c>
      <c r="Q18" s="54">
        <v>25.31</v>
      </c>
      <c r="R18" s="43"/>
      <c r="S18" s="43"/>
      <c r="T18" s="43"/>
      <c r="U18" s="43"/>
    </row>
    <row r="19" spans="1:21" s="11" customFormat="1" ht="15">
      <c r="A19" s="53" t="s">
        <v>192</v>
      </c>
      <c r="B19" s="54">
        <v>5.65</v>
      </c>
      <c r="C19" s="54">
        <v>9.15</v>
      </c>
      <c r="D19" s="54">
        <v>14.77</v>
      </c>
      <c r="E19" s="54">
        <v>1.70</v>
      </c>
      <c r="F19" s="54">
        <v>2.86</v>
      </c>
      <c r="G19" s="54">
        <v>15.44</v>
      </c>
      <c r="H19" s="54">
        <v>7.63</v>
      </c>
      <c r="I19" s="54">
        <v>0.13</v>
      </c>
      <c r="J19" s="54">
        <v>1.71</v>
      </c>
      <c r="K19" s="54">
        <v>109.90</v>
      </c>
      <c r="L19" s="54">
        <v>26.81</v>
      </c>
      <c r="M19" s="54">
        <v>82.22</v>
      </c>
      <c r="N19" s="54">
        <v>907.40</v>
      </c>
      <c r="O19" s="54">
        <v>0</v>
      </c>
      <c r="P19" s="54">
        <v>0.34</v>
      </c>
      <c r="Q19" s="54">
        <v>25.24</v>
      </c>
      <c r="R19" s="43"/>
      <c r="S19" s="43"/>
      <c r="T19" s="43"/>
      <c r="U19" s="43"/>
    </row>
    <row r="20" spans="1:21" s="11" customFormat="1" ht="15">
      <c r="A20" s="53" t="s">
        <v>193</v>
      </c>
      <c r="B20" s="54">
        <v>8.5399999999999991</v>
      </c>
      <c r="C20" s="54">
        <v>12.57</v>
      </c>
      <c r="D20" s="54">
        <v>21.11</v>
      </c>
      <c r="E20" s="54">
        <v>1.58</v>
      </c>
      <c r="F20" s="54">
        <v>5.46</v>
      </c>
      <c r="G20" s="54">
        <v>15.21</v>
      </c>
      <c r="H20" s="54">
        <v>6.77</v>
      </c>
      <c r="I20" s="54">
        <v>0.12</v>
      </c>
      <c r="J20" s="54">
        <v>1.37</v>
      </c>
      <c r="K20" s="54">
        <v>110.92</v>
      </c>
      <c r="L20" s="54">
        <v>27.61</v>
      </c>
      <c r="M20" s="54">
        <v>77.89</v>
      </c>
      <c r="N20" s="54">
        <v>530.10</v>
      </c>
      <c r="O20" s="54">
        <v>0</v>
      </c>
      <c r="P20" s="54">
        <v>0.37</v>
      </c>
      <c r="Q20" s="54">
        <v>23.99</v>
      </c>
      <c r="R20" s="43"/>
      <c r="S20" s="43"/>
      <c r="T20" s="43"/>
      <c r="U20" s="43"/>
    </row>
    <row r="21" spans="1:21" s="11" customFormat="1" ht="15">
      <c r="A21" s="53" t="s">
        <v>194</v>
      </c>
      <c r="B21" s="54">
        <v>7.28</v>
      </c>
      <c r="C21" s="54">
        <v>15.34</v>
      </c>
      <c r="D21" s="54">
        <v>22.62</v>
      </c>
      <c r="E21" s="54">
        <v>2.0299999999999998</v>
      </c>
      <c r="F21" s="54">
        <v>6.70</v>
      </c>
      <c r="G21" s="54">
        <v>20.079999999999998</v>
      </c>
      <c r="H21" s="54">
        <v>7.77</v>
      </c>
      <c r="I21" s="54">
        <v>0.12</v>
      </c>
      <c r="J21" s="54">
        <v>1.21</v>
      </c>
      <c r="K21" s="54">
        <v>108.29</v>
      </c>
      <c r="L21" s="54">
        <v>28.23</v>
      </c>
      <c r="M21" s="54">
        <v>76.87</v>
      </c>
      <c r="N21" s="54">
        <v>882.10</v>
      </c>
      <c r="O21" s="54">
        <v>0</v>
      </c>
      <c r="P21" s="54">
        <v>0.43</v>
      </c>
      <c r="Q21" s="54">
        <v>22.75</v>
      </c>
      <c r="R21" s="43"/>
      <c r="S21" s="43"/>
      <c r="T21" s="43"/>
      <c r="U21" s="43"/>
    </row>
    <row r="22" spans="1:21" s="11" customFormat="1" ht="15">
      <c r="A22" s="53" t="s">
        <v>195</v>
      </c>
      <c r="B22" s="54">
        <v>8.9499999999999993</v>
      </c>
      <c r="C22" s="54">
        <v>15.38</v>
      </c>
      <c r="D22" s="54">
        <v>23.61</v>
      </c>
      <c r="E22" s="54">
        <v>2.42</v>
      </c>
      <c r="F22" s="54">
        <v>4.5199999999999996</v>
      </c>
      <c r="G22" s="54">
        <v>25.59</v>
      </c>
      <c r="H22" s="54">
        <v>6.57</v>
      </c>
      <c r="I22" s="54">
        <v>0.12</v>
      </c>
      <c r="J22" s="54">
        <v>0.62</v>
      </c>
      <c r="K22" s="54">
        <v>89.14</v>
      </c>
      <c r="L22" s="54">
        <v>27.95</v>
      </c>
      <c r="M22" s="54">
        <v>75.95</v>
      </c>
      <c r="N22" s="54">
        <v>674.90</v>
      </c>
      <c r="O22" s="54">
        <v>0</v>
      </c>
      <c r="P22" s="54">
        <v>0.45</v>
      </c>
      <c r="Q22" s="54">
        <v>22.83</v>
      </c>
      <c r="R22" s="43"/>
      <c r="S22" s="43"/>
      <c r="T22" s="43"/>
      <c r="U22" s="43"/>
    </row>
    <row r="23" spans="1:21" s="11" customFormat="1" ht="15">
      <c r="A23" s="53" t="s">
        <v>196</v>
      </c>
      <c r="B23" s="54">
        <v>7.27</v>
      </c>
      <c r="C23" s="54">
        <v>11.82</v>
      </c>
      <c r="D23" s="54">
        <v>19.09</v>
      </c>
      <c r="E23" s="54">
        <v>1.89</v>
      </c>
      <c r="F23" s="54">
        <v>3.74</v>
      </c>
      <c r="G23" s="54">
        <v>30.54</v>
      </c>
      <c r="H23" s="54">
        <v>6.63</v>
      </c>
      <c r="I23" s="54">
        <v>0.13</v>
      </c>
      <c r="J23" s="54">
        <v>0.91</v>
      </c>
      <c r="K23" s="54">
        <v>107.90</v>
      </c>
      <c r="L23" s="54">
        <v>27.82</v>
      </c>
      <c r="M23" s="54">
        <v>76.12</v>
      </c>
      <c r="N23" s="54">
        <v>566.29999999999995</v>
      </c>
      <c r="O23" s="54">
        <v>0</v>
      </c>
      <c r="P23" s="54">
        <v>0.43</v>
      </c>
      <c r="Q23" s="54">
        <v>21.87</v>
      </c>
      <c r="R23" s="43"/>
      <c r="S23" s="43"/>
      <c r="T23" s="43"/>
      <c r="U23" s="43"/>
    </row>
    <row r="24" spans="1:21" s="11" customFormat="1" ht="15">
      <c r="A24" s="53" t="s">
        <v>197</v>
      </c>
      <c r="B24" s="54">
        <v>9.2799999999999994</v>
      </c>
      <c r="C24" s="54">
        <v>20.77</v>
      </c>
      <c r="D24" s="54">
        <v>30.05</v>
      </c>
      <c r="E24" s="54">
        <v>2.27</v>
      </c>
      <c r="F24" s="54">
        <v>12.24</v>
      </c>
      <c r="G24" s="54">
        <v>32.47</v>
      </c>
      <c r="H24" s="54">
        <v>7.37</v>
      </c>
      <c r="I24" s="54">
        <v>0.13</v>
      </c>
      <c r="J24" s="54">
        <v>1.43</v>
      </c>
      <c r="K24" s="54">
        <v>112.59</v>
      </c>
      <c r="L24" s="54">
        <v>27.66</v>
      </c>
      <c r="M24" s="54">
        <v>78.73</v>
      </c>
      <c r="N24" s="54">
        <v>266.10000000000002</v>
      </c>
      <c r="O24" s="54">
        <v>0</v>
      </c>
      <c r="P24" s="54">
        <v>0.52</v>
      </c>
      <c r="Q24" s="54">
        <v>22.36</v>
      </c>
      <c r="R24" s="43"/>
      <c r="S24" s="43"/>
      <c r="T24" s="43"/>
      <c r="U24" s="43"/>
    </row>
    <row r="25" spans="1:21" s="11" customFormat="1" ht="15">
      <c r="A25" s="53" t="s">
        <v>198</v>
      </c>
      <c r="B25" s="54">
        <v>8.27</v>
      </c>
      <c r="C25" s="54">
        <v>21.42</v>
      </c>
      <c r="D25" s="54">
        <v>29.69</v>
      </c>
      <c r="E25" s="54">
        <v>2.35</v>
      </c>
      <c r="F25" s="54">
        <v>12.48</v>
      </c>
      <c r="G25" s="54">
        <v>39.42</v>
      </c>
      <c r="H25" s="54">
        <v>9.86</v>
      </c>
      <c r="I25" s="54">
        <v>0.12</v>
      </c>
      <c r="J25" s="54">
        <v>0.98</v>
      </c>
      <c r="K25" s="54">
        <v>113.52</v>
      </c>
      <c r="L25" s="54">
        <v>27.16</v>
      </c>
      <c r="M25" s="54">
        <v>82.11</v>
      </c>
      <c r="N25" s="54">
        <v>170.5</v>
      </c>
      <c r="O25" s="54">
        <v>0</v>
      </c>
      <c r="P25" s="54">
        <v>0.56000000000000005</v>
      </c>
      <c r="Q25" s="54">
        <v>22.58</v>
      </c>
      <c r="R25" s="43"/>
      <c r="S25" s="43"/>
      <c r="T25" s="43"/>
      <c r="U25" s="43"/>
    </row>
    <row r="26" spans="1:21" s="11" customFormat="1" ht="15">
      <c r="A26" s="53" t="s">
        <v>199</v>
      </c>
      <c r="B26" s="54">
        <v>8.74</v>
      </c>
      <c r="C26" s="54">
        <v>20.11</v>
      </c>
      <c r="D26" s="54">
        <v>26.31</v>
      </c>
      <c r="E26" s="54">
        <v>2.39</v>
      </c>
      <c r="F26" s="54">
        <v>15.52</v>
      </c>
      <c r="G26" s="54">
        <v>45.44</v>
      </c>
      <c r="H26" s="54">
        <v>10.63</v>
      </c>
      <c r="I26" s="54">
        <v>0.12</v>
      </c>
      <c r="J26" s="54">
        <v>0.69</v>
      </c>
      <c r="K26" s="54">
        <v>136.37</v>
      </c>
      <c r="L26" s="54">
        <v>26.18</v>
      </c>
      <c r="M26" s="54">
        <v>85.73</v>
      </c>
      <c r="N26" s="54">
        <v>70.400000000000006</v>
      </c>
      <c r="O26" s="54">
        <v>0</v>
      </c>
      <c r="P26" s="54">
        <v>0.52</v>
      </c>
      <c r="Q26" s="54">
        <v>22.03</v>
      </c>
      <c r="R26" s="43"/>
      <c r="S26" s="43"/>
      <c r="T26" s="43"/>
      <c r="U26" s="43"/>
    </row>
    <row r="27" spans="1:21" s="11" customFormat="1" ht="15">
      <c r="A27" s="53" t="s">
        <v>200</v>
      </c>
      <c r="B27" s="54">
        <v>5.84</v>
      </c>
      <c r="C27" s="54">
        <v>25.35</v>
      </c>
      <c r="D27" s="54">
        <v>29.82</v>
      </c>
      <c r="E27" s="54">
        <v>2.77</v>
      </c>
      <c r="F27" s="54">
        <v>14.92</v>
      </c>
      <c r="G27" s="54">
        <v>40.29</v>
      </c>
      <c r="H27" s="54">
        <v>9.10</v>
      </c>
      <c r="I27" s="54">
        <v>0.12</v>
      </c>
      <c r="J27" s="54">
        <v>0.81</v>
      </c>
      <c r="K27" s="54">
        <v>136.36000000000001</v>
      </c>
      <c r="L27" s="54">
        <v>25.69</v>
      </c>
      <c r="M27" s="54">
        <v>87.18</v>
      </c>
      <c r="N27" s="54">
        <v>9.90</v>
      </c>
      <c r="O27" s="54">
        <v>0</v>
      </c>
      <c r="P27" s="54">
        <v>0.46</v>
      </c>
      <c r="Q27" s="54">
        <v>21.54</v>
      </c>
      <c r="R27" s="43"/>
      <c r="S27" s="43"/>
      <c r="T27" s="43"/>
      <c r="U27" s="43"/>
    </row>
    <row r="28" spans="1:21" s="11" customFormat="1" ht="15">
      <c r="A28" s="53" t="s">
        <v>201</v>
      </c>
      <c r="B28" s="54">
        <v>8.74</v>
      </c>
      <c r="C28" s="54">
        <v>30.77</v>
      </c>
      <c r="D28" s="54">
        <v>39.51</v>
      </c>
      <c r="E28" s="54">
        <v>2.23</v>
      </c>
      <c r="F28" s="54">
        <v>14.37</v>
      </c>
      <c r="G28" s="54">
        <v>34.35</v>
      </c>
      <c r="H28" s="54">
        <v>9.67</v>
      </c>
      <c r="I28" s="54">
        <v>0.12</v>
      </c>
      <c r="J28" s="54">
        <v>0.43</v>
      </c>
      <c r="K28" s="54">
        <v>183.44</v>
      </c>
      <c r="L28" s="54">
        <v>25.40</v>
      </c>
      <c r="M28" s="54">
        <v>94.83</v>
      </c>
      <c r="N28" s="54">
        <v>9.10</v>
      </c>
      <c r="O28" s="54">
        <v>0</v>
      </c>
      <c r="P28" s="54">
        <v>0.69</v>
      </c>
      <c r="Q28" s="54">
        <v>21.90</v>
      </c>
      <c r="R28" s="43"/>
      <c r="S28" s="43"/>
      <c r="T28" s="43"/>
      <c r="U28" s="43"/>
    </row>
    <row r="29" spans="1:21" s="11" customFormat="1" ht="15">
      <c r="A29" s="53" t="s">
        <v>202</v>
      </c>
      <c r="B29" s="54">
        <v>8.86</v>
      </c>
      <c r="C29" s="54">
        <v>29.88</v>
      </c>
      <c r="D29" s="54">
        <v>38.729999999999997</v>
      </c>
      <c r="E29" s="54">
        <v>1.24</v>
      </c>
      <c r="F29" s="54">
        <v>7.51</v>
      </c>
      <c r="G29" s="54">
        <v>34.06</v>
      </c>
      <c r="H29" s="54">
        <v>12.01</v>
      </c>
      <c r="I29" s="54">
        <v>0.12</v>
      </c>
      <c r="J29" s="54">
        <v>0.53</v>
      </c>
      <c r="K29" s="54">
        <v>181.68</v>
      </c>
      <c r="L29" s="54">
        <v>25.05</v>
      </c>
      <c r="M29" s="54">
        <v>98.37</v>
      </c>
      <c r="N29" s="54">
        <v>9.10</v>
      </c>
      <c r="O29" s="54">
        <v>0</v>
      </c>
      <c r="P29" s="54">
        <v>0.63</v>
      </c>
      <c r="Q29" s="54">
        <v>20.16</v>
      </c>
      <c r="R29" s="43"/>
      <c r="S29" s="43"/>
      <c r="T29" s="43"/>
      <c r="U29" s="43"/>
    </row>
    <row r="30" spans="1:21" s="11" customFormat="1" ht="15">
      <c r="A30" s="53" t="s">
        <v>203</v>
      </c>
      <c r="B30" s="54">
        <v>9.68</v>
      </c>
      <c r="C30" s="54">
        <v>21.19</v>
      </c>
      <c r="D30" s="54">
        <v>30.56</v>
      </c>
      <c r="E30" s="54">
        <v>1.65</v>
      </c>
      <c r="F30" s="54">
        <v>11.57</v>
      </c>
      <c r="G30" s="54">
        <v>35.590000000000003</v>
      </c>
      <c r="H30" s="54">
        <v>12.49</v>
      </c>
      <c r="I30" s="54">
        <v>0.12</v>
      </c>
      <c r="J30" s="54">
        <v>0.37</v>
      </c>
      <c r="K30" s="54">
        <v>192.94</v>
      </c>
      <c r="L30" s="54">
        <v>24.73</v>
      </c>
      <c r="M30" s="54">
        <v>98.42</v>
      </c>
      <c r="N30" s="54">
        <v>9</v>
      </c>
      <c r="O30" s="54">
        <v>0</v>
      </c>
      <c r="P30" s="54">
        <v>0.64</v>
      </c>
      <c r="Q30" s="54">
        <v>20.440000000000001</v>
      </c>
      <c r="R30" s="43"/>
      <c r="S30" s="43"/>
      <c r="T30" s="43"/>
      <c r="U30" s="43"/>
    </row>
    <row r="31" spans="1:21" s="11" customFormat="1" ht="15">
      <c r="A31" s="53" t="s">
        <v>204</v>
      </c>
      <c r="B31" s="54">
        <v>6.12</v>
      </c>
      <c r="C31" s="54">
        <v>17.02</v>
      </c>
      <c r="D31" s="54">
        <v>21.68</v>
      </c>
      <c r="E31" s="54">
        <v>1.64</v>
      </c>
      <c r="F31" s="54">
        <v>9.35</v>
      </c>
      <c r="G31" s="54">
        <v>36.36</v>
      </c>
      <c r="H31" s="54">
        <v>11.65</v>
      </c>
      <c r="I31" s="54">
        <v>0.12</v>
      </c>
      <c r="J31" s="54">
        <v>1.33</v>
      </c>
      <c r="K31" s="54">
        <v>210.05</v>
      </c>
      <c r="L31" s="54">
        <v>24.41</v>
      </c>
      <c r="M31" s="54">
        <v>98.39</v>
      </c>
      <c r="N31" s="54">
        <v>12.10</v>
      </c>
      <c r="O31" s="54">
        <v>3.80</v>
      </c>
      <c r="P31" s="54">
        <v>0.56000000000000005</v>
      </c>
      <c r="Q31" s="54">
        <v>20.79</v>
      </c>
      <c r="R31" s="43"/>
      <c r="S31" s="43"/>
      <c r="T31" s="43"/>
      <c r="U31" s="43"/>
    </row>
    <row r="32" spans="1:21" s="11" customFormat="1" ht="15">
      <c r="A32" s="53" t="s">
        <v>205</v>
      </c>
      <c r="B32" s="54">
        <v>6.33</v>
      </c>
      <c r="C32" s="54">
        <v>10.65</v>
      </c>
      <c r="D32" s="54">
        <v>16.09</v>
      </c>
      <c r="E32" s="54">
        <v>1.1399999999999999</v>
      </c>
      <c r="F32" s="54">
        <v>8.86</v>
      </c>
      <c r="G32" s="54">
        <v>26.53</v>
      </c>
      <c r="H32" s="54">
        <v>9.59</v>
      </c>
      <c r="I32" s="54">
        <v>0.13</v>
      </c>
      <c r="J32" s="54">
        <v>0.86</v>
      </c>
      <c r="K32" s="54">
        <v>137.80000000000001</v>
      </c>
      <c r="L32" s="54">
        <v>22.37</v>
      </c>
      <c r="M32" s="54">
        <v>98.45</v>
      </c>
      <c r="N32" s="54">
        <v>10</v>
      </c>
      <c r="O32" s="54">
        <v>5.60</v>
      </c>
      <c r="P32" s="54">
        <v>0.51</v>
      </c>
      <c r="Q32" s="54">
        <v>20.32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5.4500000000000002</v>
      </c>
      <c r="C34" s="28">
        <f t="shared" si="0"/>
        <v>8.8800000000000008</v>
      </c>
      <c r="D34" s="28">
        <f t="shared" si="0"/>
        <v>14.77</v>
      </c>
      <c r="E34" s="28">
        <f t="shared" si="0"/>
        <v>1.0600000000000001</v>
      </c>
      <c r="F34" s="28">
        <f t="shared" si="0"/>
        <v>1.8400000000000001</v>
      </c>
      <c r="G34" s="28">
        <f t="shared" si="0"/>
        <v>13.220000000000001</v>
      </c>
      <c r="H34" s="28">
        <f t="shared" si="0"/>
        <v>5.29</v>
      </c>
      <c r="I34" s="28">
        <f t="shared" si="0"/>
        <v>0.12</v>
      </c>
      <c r="J34" s="28">
        <f t="shared" si="0"/>
        <v>0.11</v>
      </c>
      <c r="K34" s="28">
        <f t="shared" si="0"/>
        <v>89.140000000000001</v>
      </c>
      <c r="L34" s="28">
        <f t="shared" si="0"/>
        <v>21.379999999999999</v>
      </c>
      <c r="M34" s="28">
        <f t="shared" si="0"/>
        <v>75.950000000000003</v>
      </c>
      <c r="N34" s="28">
        <f t="shared" si="0"/>
        <v>7.5999999999999996</v>
      </c>
      <c r="O34" s="28">
        <f t="shared" si="0"/>
        <v>0</v>
      </c>
      <c r="P34" s="28">
        <f t="shared" si="0"/>
        <v>0.34000000000000002</v>
      </c>
      <c r="Q34" s="28">
        <f t="shared" si="0"/>
        <v>20.16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12.449999999999999</v>
      </c>
      <c r="C35" s="29">
        <f t="shared" si="1"/>
        <v>30.77</v>
      </c>
      <c r="D35" s="29">
        <f t="shared" si="1"/>
        <v>39.509999999999998</v>
      </c>
      <c r="E35" s="29">
        <f t="shared" si="1"/>
        <v>2.77</v>
      </c>
      <c r="F35" s="29">
        <f t="shared" si="1"/>
        <v>15.52</v>
      </c>
      <c r="G35" s="29">
        <f t="shared" si="1"/>
        <v>68.069999999999993</v>
      </c>
      <c r="H35" s="29">
        <f t="shared" si="1"/>
        <v>19.280000000000001</v>
      </c>
      <c r="I35" s="29">
        <f t="shared" si="1"/>
        <v>0.14000000000000001</v>
      </c>
      <c r="J35" s="29">
        <f t="shared" si="1"/>
        <v>2.29</v>
      </c>
      <c r="K35" s="29">
        <f t="shared" si="1"/>
        <v>326.95999999999998</v>
      </c>
      <c r="L35" s="29">
        <f t="shared" si="1"/>
        <v>28.23</v>
      </c>
      <c r="M35" s="29">
        <f t="shared" si="1"/>
        <v>98.450000000000003</v>
      </c>
      <c r="N35" s="29">
        <f t="shared" si="1"/>
        <v>907.39999999999998</v>
      </c>
      <c r="O35" s="29">
        <f t="shared" si="1"/>
        <v>5.5999999999999996</v>
      </c>
      <c r="P35" s="29">
        <f t="shared" si="1"/>
        <v>1.02</v>
      </c>
      <c r="Q35" s="29">
        <f t="shared" si="1"/>
        <v>25.309999999999999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7.6633333333333349</v>
      </c>
      <c r="C36" s="28">
        <f t="shared" si="2"/>
        <v>16.326249999999998</v>
      </c>
      <c r="D36" s="28">
        <f t="shared" si="2"/>
        <v>23.614999999999998</v>
      </c>
      <c r="E36" s="28">
        <f t="shared" si="2"/>
        <v>2.0250000000000004</v>
      </c>
      <c r="F36" s="28">
        <f t="shared" si="2"/>
        <v>7.676666666666665</v>
      </c>
      <c r="G36" s="28">
        <f t="shared" si="2"/>
        <v>29.478750000000002</v>
      </c>
      <c r="H36" s="28">
        <f t="shared" si="2"/>
        <v>9.5874999999999986</v>
      </c>
      <c r="I36" s="28">
        <f t="shared" si="2"/>
        <v>0.12708333333333335</v>
      </c>
      <c r="J36" s="28">
        <f t="shared" si="2"/>
        <v>0.99208333333333343</v>
      </c>
      <c r="K36" s="28">
        <f t="shared" si="2"/>
        <v>148.08166666666668</v>
      </c>
      <c r="L36" s="28">
        <f t="shared" si="2"/>
        <v>24.921666666666667</v>
      </c>
      <c r="M36" s="28">
        <f t="shared" si="2"/>
        <v>90.962499999999991</v>
      </c>
      <c r="N36" s="28">
        <f t="shared" si="2"/>
        <v>248.37500000000003</v>
      </c>
      <c r="O36" s="28">
        <f t="shared" si="2"/>
        <v>0.47499999999999992</v>
      </c>
      <c r="P36" s="28">
        <f t="shared" si="2"/>
        <v>0.52250000000000008</v>
      </c>
      <c r="Q36" s="28">
        <f t="shared" si="2"/>
        <v>22.495833333333337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1.681504674693012</v>
      </c>
      <c r="C37" s="28">
        <f t="shared" si="3" ref="C37:Q37">STDEV(C9:C32)</f>
        <v>6.405524662012648</v>
      </c>
      <c r="D37" s="28">
        <f t="shared" si="3"/>
        <v>7.0483485577335347</v>
      </c>
      <c r="E37" s="28">
        <f t="shared" si="3"/>
        <v>0.47147317688468482</v>
      </c>
      <c r="F37" s="28">
        <f t="shared" si="3"/>
        <v>4.1152480686669062</v>
      </c>
      <c r="G37" s="28">
        <f t="shared" si="3"/>
        <v>13.303246518605249</v>
      </c>
      <c r="H37" s="28">
        <f t="shared" si="3"/>
        <v>3.2517717578602285</v>
      </c>
      <c r="I37" s="28">
        <f t="shared" si="3"/>
        <v>0.0069025305168635065</v>
      </c>
      <c r="J37" s="28">
        <f t="shared" si="3"/>
        <v>0.52371564776140134</v>
      </c>
      <c r="K37" s="28">
        <f t="shared" si="3"/>
        <v>62.812657452394681</v>
      </c>
      <c r="L37" s="28">
        <f t="shared" si="3"/>
        <v>2.1909312426785386</v>
      </c>
      <c r="M37" s="28">
        <f t="shared" si="3"/>
        <v>9.007888933788994</v>
      </c>
      <c r="N37" s="28">
        <f t="shared" si="3"/>
        <v>319.33491924963965</v>
      </c>
      <c r="O37" s="28">
        <f t="shared" si="3"/>
        <v>1.3778527718408689</v>
      </c>
      <c r="P37" s="28">
        <f t="shared" si="3"/>
        <v>0.14480121306241786</v>
      </c>
      <c r="Q37" s="28">
        <f t="shared" si="3"/>
        <v>1.655126204741858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4f63677-bdc7-4988-8015-9a977d01dad8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I70" sqref="I70"/>
    </sheetView>
  </sheetViews>
  <sheetFormatPr defaultColWidth="8.85881696428571" defaultRowHeight="15"/>
  <cols>
    <col min="1" max="1" width="18.2857142857143" style="26" customWidth="1"/>
    <col min="2" max="2" width="15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07-09-2023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206</v>
      </c>
      <c r="B9" s="54">
        <v>5.73</v>
      </c>
      <c r="C9" s="54">
        <v>11.56</v>
      </c>
      <c r="D9" s="54">
        <v>16.28</v>
      </c>
      <c r="E9" s="54">
        <v>2.46</v>
      </c>
      <c r="F9" s="54">
        <v>8.31</v>
      </c>
      <c r="G9" s="54">
        <v>17.78</v>
      </c>
      <c r="H9" s="54">
        <v>9.7799999999999994</v>
      </c>
      <c r="I9" s="54">
        <v>0.12</v>
      </c>
      <c r="J9" s="54">
        <v>0.74</v>
      </c>
      <c r="K9" s="54">
        <v>156.78</v>
      </c>
      <c r="L9" s="54">
        <v>21.93</v>
      </c>
      <c r="M9" s="54">
        <v>98.45</v>
      </c>
      <c r="N9" s="54">
        <v>9.60</v>
      </c>
      <c r="O9" s="54">
        <v>1</v>
      </c>
      <c r="P9" s="54">
        <v>0.47</v>
      </c>
      <c r="Q9" s="54">
        <v>21</v>
      </c>
      <c r="R9" s="43"/>
      <c r="S9" s="43"/>
      <c r="T9" s="43"/>
      <c r="U9" s="43"/>
    </row>
    <row r="10" spans="1:21" s="11" customFormat="1" ht="15">
      <c r="A10" s="53" t="s">
        <v>207</v>
      </c>
      <c r="B10" s="54">
        <v>5.60</v>
      </c>
      <c r="C10" s="54">
        <v>9.2899999999999991</v>
      </c>
      <c r="D10" s="54">
        <v>14.75</v>
      </c>
      <c r="E10" s="54">
        <v>2.25</v>
      </c>
      <c r="F10" s="54">
        <v>6.93</v>
      </c>
      <c r="G10" s="54">
        <v>12.91</v>
      </c>
      <c r="H10" s="54">
        <v>8.09</v>
      </c>
      <c r="I10" s="54">
        <v>0.13</v>
      </c>
      <c r="J10" s="54">
        <v>0.38</v>
      </c>
      <c r="K10" s="54">
        <v>181.01</v>
      </c>
      <c r="L10" s="54">
        <v>21.71</v>
      </c>
      <c r="M10" s="54">
        <v>98.46</v>
      </c>
      <c r="N10" s="54">
        <v>9.60</v>
      </c>
      <c r="O10" s="54">
        <v>0.60</v>
      </c>
      <c r="P10" s="54">
        <v>0.42</v>
      </c>
      <c r="Q10" s="54">
        <v>21.13</v>
      </c>
      <c r="R10" s="43"/>
      <c r="S10" s="43"/>
      <c r="T10" s="43"/>
      <c r="U10" s="43"/>
    </row>
    <row r="11" spans="1:21" s="11" customFormat="1" ht="15">
      <c r="A11" s="53" t="s">
        <v>208</v>
      </c>
      <c r="B11" s="54">
        <v>5.0999999999999996</v>
      </c>
      <c r="C11" s="54">
        <v>10.66</v>
      </c>
      <c r="D11" s="54">
        <v>14.93</v>
      </c>
      <c r="E11" s="54">
        <v>2.29</v>
      </c>
      <c r="F11" s="54">
        <v>5.86</v>
      </c>
      <c r="G11" s="54">
        <v>9.2100000000000009</v>
      </c>
      <c r="H11" s="54">
        <v>5.78</v>
      </c>
      <c r="I11" s="54">
        <v>0.14000000000000001</v>
      </c>
      <c r="J11" s="54">
        <v>0.24</v>
      </c>
      <c r="K11" s="54">
        <v>319.43</v>
      </c>
      <c r="L11" s="54">
        <v>21.66</v>
      </c>
      <c r="M11" s="54">
        <v>98.58</v>
      </c>
      <c r="N11" s="54">
        <v>9.1999999999999993</v>
      </c>
      <c r="O11" s="54">
        <v>0.20</v>
      </c>
      <c r="P11" s="54">
        <v>0.41</v>
      </c>
      <c r="Q11" s="54">
        <v>19.29</v>
      </c>
      <c r="R11" s="43"/>
      <c r="S11" s="43"/>
      <c r="T11" s="43"/>
      <c r="U11" s="43"/>
    </row>
    <row r="12" spans="1:21" s="11" customFormat="1" ht="15">
      <c r="A12" s="53" t="s">
        <v>209</v>
      </c>
      <c r="B12" s="54">
        <v>4.66</v>
      </c>
      <c r="C12" s="54">
        <v>8.89</v>
      </c>
      <c r="D12" s="54">
        <v>13.55</v>
      </c>
      <c r="E12" s="54">
        <v>2.46</v>
      </c>
      <c r="F12" s="54">
        <v>9.84</v>
      </c>
      <c r="G12" s="54">
        <v>7.04</v>
      </c>
      <c r="H12" s="54">
        <v>4.34</v>
      </c>
      <c r="I12" s="54">
        <v>0.13</v>
      </c>
      <c r="J12" s="54">
        <v>0.21</v>
      </c>
      <c r="K12" s="54">
        <v>164.81</v>
      </c>
      <c r="L12" s="54">
        <v>21.54</v>
      </c>
      <c r="M12" s="54">
        <v>98.63</v>
      </c>
      <c r="N12" s="54">
        <v>9.10</v>
      </c>
      <c r="O12" s="54">
        <v>0</v>
      </c>
      <c r="P12" s="54">
        <v>0.39</v>
      </c>
      <c r="Q12" s="54">
        <v>19.940000000000001</v>
      </c>
      <c r="R12" s="43"/>
      <c r="S12" s="43"/>
      <c r="T12" s="43"/>
      <c r="U12" s="43"/>
    </row>
    <row r="13" spans="1:21" s="11" customFormat="1" ht="15">
      <c r="A13" s="53" t="s">
        <v>210</v>
      </c>
      <c r="B13" s="54">
        <v>5.01</v>
      </c>
      <c r="C13" s="54">
        <v>9.39</v>
      </c>
      <c r="D13" s="54">
        <v>14.15</v>
      </c>
      <c r="E13" s="54">
        <v>2.19</v>
      </c>
      <c r="F13" s="54">
        <v>6.59</v>
      </c>
      <c r="G13" s="54">
        <v>5.18</v>
      </c>
      <c r="H13" s="54">
        <v>3.34</v>
      </c>
      <c r="I13" s="54">
        <v>0.12</v>
      </c>
      <c r="J13" s="54">
        <v>0.10</v>
      </c>
      <c r="K13" s="54">
        <v>187.21</v>
      </c>
      <c r="L13" s="54">
        <v>21.75</v>
      </c>
      <c r="M13" s="54">
        <v>98.63</v>
      </c>
      <c r="N13" s="54">
        <v>9.60</v>
      </c>
      <c r="O13" s="54">
        <v>0</v>
      </c>
      <c r="P13" s="54">
        <v>0.35</v>
      </c>
      <c r="Q13" s="54">
        <v>20.170000000000002</v>
      </c>
      <c r="R13" s="43"/>
      <c r="S13" s="43"/>
      <c r="T13" s="43"/>
      <c r="U13" s="43"/>
    </row>
    <row r="14" spans="1:21" s="11" customFormat="1" ht="15">
      <c r="A14" s="53" t="s">
        <v>211</v>
      </c>
      <c r="B14" s="54">
        <v>4.76</v>
      </c>
      <c r="C14" s="54">
        <v>10.10</v>
      </c>
      <c r="D14" s="54">
        <v>14.60</v>
      </c>
      <c r="E14" s="54">
        <v>2.38</v>
      </c>
      <c r="F14" s="54">
        <v>4.05</v>
      </c>
      <c r="G14" s="54">
        <v>4.17</v>
      </c>
      <c r="H14" s="54">
        <v>2.4900000000000002</v>
      </c>
      <c r="I14" s="54">
        <v>0.13</v>
      </c>
      <c r="J14" s="54">
        <v>0.070000000000000007</v>
      </c>
      <c r="K14" s="54">
        <v>225.63</v>
      </c>
      <c r="L14" s="54">
        <v>21.86</v>
      </c>
      <c r="M14" s="54">
        <v>98.63</v>
      </c>
      <c r="N14" s="54">
        <v>18.20</v>
      </c>
      <c r="O14" s="54">
        <v>0</v>
      </c>
      <c r="P14" s="54">
        <v>0.33</v>
      </c>
      <c r="Q14" s="54">
        <v>18.48</v>
      </c>
      <c r="R14" s="43"/>
      <c r="S14" s="43"/>
      <c r="T14" s="43"/>
      <c r="U14" s="43"/>
    </row>
    <row r="15" spans="1:21" s="11" customFormat="1" ht="15">
      <c r="A15" s="53" t="s">
        <v>212</v>
      </c>
      <c r="B15" s="54">
        <v>6.55</v>
      </c>
      <c r="C15" s="54">
        <v>15.72</v>
      </c>
      <c r="D15" s="54">
        <v>22.27</v>
      </c>
      <c r="E15" s="54">
        <v>2.38</v>
      </c>
      <c r="F15" s="54">
        <v>5.40</v>
      </c>
      <c r="G15" s="54">
        <v>4.51</v>
      </c>
      <c r="H15" s="54">
        <v>2.02</v>
      </c>
      <c r="I15" s="54">
        <v>0.13</v>
      </c>
      <c r="J15" s="54">
        <v>0.47</v>
      </c>
      <c r="K15" s="54">
        <v>181.92</v>
      </c>
      <c r="L15" s="54">
        <v>22.59</v>
      </c>
      <c r="M15" s="54">
        <v>98.63</v>
      </c>
      <c r="N15" s="54">
        <v>134.60</v>
      </c>
      <c r="O15" s="54">
        <v>0</v>
      </c>
      <c r="P15" s="54">
        <v>0.35</v>
      </c>
      <c r="Q15" s="54">
        <v>19.61</v>
      </c>
      <c r="R15" s="43"/>
      <c r="S15" s="43"/>
      <c r="T15" s="43"/>
      <c r="U15" s="43"/>
    </row>
    <row r="16" spans="1:21" s="11" customFormat="1" ht="15">
      <c r="A16" s="53" t="s">
        <v>213</v>
      </c>
      <c r="B16" s="54">
        <v>6.17</v>
      </c>
      <c r="C16" s="54">
        <v>11.92</v>
      </c>
      <c r="D16" s="54">
        <v>17.809999999999999</v>
      </c>
      <c r="E16" s="54">
        <v>2.2999999999999998</v>
      </c>
      <c r="F16" s="54">
        <v>4.4800000000000004</v>
      </c>
      <c r="G16" s="54">
        <v>7.70</v>
      </c>
      <c r="H16" s="54">
        <v>2.09</v>
      </c>
      <c r="I16" s="54">
        <v>0.13</v>
      </c>
      <c r="J16" s="54">
        <v>0.46</v>
      </c>
      <c r="K16" s="54">
        <v>232.95</v>
      </c>
      <c r="L16" s="54">
        <v>23.23</v>
      </c>
      <c r="M16" s="54">
        <v>98.58</v>
      </c>
      <c r="N16" s="54">
        <v>143</v>
      </c>
      <c r="O16" s="54">
        <v>0</v>
      </c>
      <c r="P16" s="54">
        <v>0.37</v>
      </c>
      <c r="Q16" s="54">
        <v>20.20</v>
      </c>
      <c r="R16" s="43"/>
      <c r="S16" s="43"/>
      <c r="T16" s="43"/>
      <c r="U16" s="43"/>
    </row>
    <row r="17" spans="1:21" s="11" customFormat="1" ht="15">
      <c r="A17" s="53" t="s">
        <v>214</v>
      </c>
      <c r="B17" s="54">
        <v>7.53</v>
      </c>
      <c r="C17" s="54">
        <v>13.65</v>
      </c>
      <c r="D17" s="54">
        <v>21.18</v>
      </c>
      <c r="E17" s="54">
        <v>1.58</v>
      </c>
      <c r="F17" s="54">
        <v>3.84</v>
      </c>
      <c r="G17" s="54">
        <v>11.29</v>
      </c>
      <c r="H17" s="54">
        <v>2.17</v>
      </c>
      <c r="I17" s="54">
        <v>0.13</v>
      </c>
      <c r="J17" s="54">
        <v>0.81</v>
      </c>
      <c r="K17" s="54">
        <v>154.07</v>
      </c>
      <c r="L17" s="54">
        <v>23.51</v>
      </c>
      <c r="M17" s="54">
        <v>98.55</v>
      </c>
      <c r="N17" s="54">
        <v>146</v>
      </c>
      <c r="O17" s="54">
        <v>0</v>
      </c>
      <c r="P17" s="54">
        <v>0.39</v>
      </c>
      <c r="Q17" s="54">
        <v>20.46</v>
      </c>
      <c r="R17" s="43"/>
      <c r="S17" s="43"/>
      <c r="T17" s="43"/>
      <c r="U17" s="43"/>
    </row>
    <row r="18" spans="1:21" s="11" customFormat="1" ht="15">
      <c r="A18" s="53" t="s">
        <v>215</v>
      </c>
      <c r="B18" s="54">
        <v>6.90</v>
      </c>
      <c r="C18" s="54">
        <v>12.54</v>
      </c>
      <c r="D18" s="54">
        <v>19.440000000000001</v>
      </c>
      <c r="E18" s="54">
        <v>2.29</v>
      </c>
      <c r="F18" s="54">
        <v>3.55</v>
      </c>
      <c r="G18" s="54">
        <v>11.87</v>
      </c>
      <c r="H18" s="54">
        <v>3.27</v>
      </c>
      <c r="I18" s="54">
        <v>0.13</v>
      </c>
      <c r="J18" s="54">
        <v>1.18</v>
      </c>
      <c r="K18" s="54">
        <v>155.13999999999999</v>
      </c>
      <c r="L18" s="54">
        <v>24.59</v>
      </c>
      <c r="M18" s="54">
        <v>98.55</v>
      </c>
      <c r="N18" s="54">
        <v>529.90</v>
      </c>
      <c r="O18" s="54">
        <v>0</v>
      </c>
      <c r="P18" s="54">
        <v>0.42</v>
      </c>
      <c r="Q18" s="54">
        <v>21.41</v>
      </c>
      <c r="R18" s="43"/>
      <c r="S18" s="43"/>
      <c r="T18" s="43"/>
      <c r="U18" s="43"/>
    </row>
    <row r="19" spans="1:21" s="11" customFormat="1" ht="15">
      <c r="A19" s="53" t="s">
        <v>216</v>
      </c>
      <c r="B19" s="54">
        <v>6.63</v>
      </c>
      <c r="C19" s="54">
        <v>10.58</v>
      </c>
      <c r="D19" s="54">
        <v>17.13</v>
      </c>
      <c r="E19" s="54">
        <v>1.94</v>
      </c>
      <c r="F19" s="54">
        <v>4.16</v>
      </c>
      <c r="G19" s="54">
        <v>13.06</v>
      </c>
      <c r="H19" s="54">
        <v>5.61</v>
      </c>
      <c r="I19" s="54">
        <v>0.14000000000000001</v>
      </c>
      <c r="J19" s="54">
        <v>1.1000000000000001</v>
      </c>
      <c r="K19" s="54">
        <v>150.82</v>
      </c>
      <c r="L19" s="54">
        <v>25.69</v>
      </c>
      <c r="M19" s="54">
        <v>93.09</v>
      </c>
      <c r="N19" s="54">
        <v>738</v>
      </c>
      <c r="O19" s="54">
        <v>0</v>
      </c>
      <c r="P19" s="54">
        <v>0.46</v>
      </c>
      <c r="Q19" s="54">
        <v>21.26</v>
      </c>
      <c r="R19" s="43"/>
      <c r="S19" s="43"/>
      <c r="T19" s="43"/>
      <c r="U19" s="43"/>
    </row>
    <row r="20" spans="1:21" s="11" customFormat="1" ht="15">
      <c r="A20" s="53" t="s">
        <v>217</v>
      </c>
      <c r="B20" s="54">
        <v>5.64</v>
      </c>
      <c r="C20" s="54">
        <v>10.66</v>
      </c>
      <c r="D20" s="54">
        <v>15.87</v>
      </c>
      <c r="E20" s="54">
        <v>1.73</v>
      </c>
      <c r="F20" s="54">
        <v>3.88</v>
      </c>
      <c r="G20" s="54">
        <v>15.02</v>
      </c>
      <c r="H20" s="54">
        <v>6.36</v>
      </c>
      <c r="I20" s="54">
        <v>0.14000000000000001</v>
      </c>
      <c r="J20" s="54">
        <v>1.06</v>
      </c>
      <c r="K20" s="54">
        <v>152.19999999999999</v>
      </c>
      <c r="L20" s="54">
        <v>27.87</v>
      </c>
      <c r="M20" s="54">
        <v>86.65</v>
      </c>
      <c r="N20" s="54">
        <v>950.40</v>
      </c>
      <c r="O20" s="54">
        <v>0</v>
      </c>
      <c r="P20" s="54">
        <v>0.44</v>
      </c>
      <c r="Q20" s="54">
        <v>20.99</v>
      </c>
      <c r="R20" s="43"/>
      <c r="S20" s="43"/>
      <c r="T20" s="43"/>
      <c r="U20" s="43"/>
    </row>
    <row r="21" spans="1:21" s="11" customFormat="1" ht="15">
      <c r="A21" s="53" t="s">
        <v>218</v>
      </c>
      <c r="B21" s="54">
        <v>7.25</v>
      </c>
      <c r="C21" s="54">
        <v>12.10</v>
      </c>
      <c r="D21" s="54">
        <v>17.88</v>
      </c>
      <c r="E21" s="54">
        <v>1.41</v>
      </c>
      <c r="F21" s="54">
        <v>6.15</v>
      </c>
      <c r="G21" s="54">
        <v>14.99</v>
      </c>
      <c r="H21" s="54">
        <v>5.60</v>
      </c>
      <c r="I21" s="54">
        <v>0.13</v>
      </c>
      <c r="J21" s="54">
        <v>0.44</v>
      </c>
      <c r="K21" s="54">
        <v>141.32</v>
      </c>
      <c r="L21" s="54">
        <v>30.29</v>
      </c>
      <c r="M21" s="54">
        <v>74.319999999999993</v>
      </c>
      <c r="N21" s="54">
        <v>1072.0999999999999</v>
      </c>
      <c r="O21" s="54">
        <v>0</v>
      </c>
      <c r="P21" s="54">
        <v>0.42</v>
      </c>
      <c r="Q21" s="54">
        <v>19.98</v>
      </c>
      <c r="R21" s="43"/>
      <c r="S21" s="43"/>
      <c r="T21" s="43"/>
      <c r="U21" s="43"/>
    </row>
    <row r="22" spans="1:21" s="11" customFormat="1" ht="15">
      <c r="A22" s="53" t="s">
        <v>219</v>
      </c>
      <c r="B22" s="54">
        <v>6.91</v>
      </c>
      <c r="C22" s="54">
        <v>10.30</v>
      </c>
      <c r="D22" s="54">
        <v>17.21</v>
      </c>
      <c r="E22" s="54">
        <v>1.37</v>
      </c>
      <c r="F22" s="54">
        <v>6.81</v>
      </c>
      <c r="G22" s="54">
        <v>15.11</v>
      </c>
      <c r="H22" s="54">
        <v>7.15</v>
      </c>
      <c r="I22" s="54">
        <v>0.14000000000000001</v>
      </c>
      <c r="J22" s="54">
        <v>0.48</v>
      </c>
      <c r="K22" s="54">
        <v>351.70</v>
      </c>
      <c r="L22" s="54">
        <v>31.94</v>
      </c>
      <c r="M22" s="54">
        <v>68.91</v>
      </c>
      <c r="N22" s="54">
        <v>879.40</v>
      </c>
      <c r="O22" s="54">
        <v>0</v>
      </c>
      <c r="P22" s="54">
        <v>0.45</v>
      </c>
      <c r="Q22" s="54">
        <v>19.73</v>
      </c>
      <c r="R22" s="43"/>
      <c r="S22" s="43"/>
      <c r="T22" s="43"/>
      <c r="U22" s="43"/>
    </row>
    <row r="23" spans="1:21" s="11" customFormat="1" ht="15">
      <c r="A23" s="53" t="s">
        <v>220</v>
      </c>
      <c r="B23" s="54">
        <v>5.87</v>
      </c>
      <c r="C23" s="54">
        <v>15.98</v>
      </c>
      <c r="D23" s="54">
        <v>21.85</v>
      </c>
      <c r="E23" s="54">
        <v>1.05</v>
      </c>
      <c r="F23" s="54">
        <v>10.88</v>
      </c>
      <c r="G23" s="54">
        <v>16.29</v>
      </c>
      <c r="H23" s="54">
        <v>9.23</v>
      </c>
      <c r="I23" s="54">
        <v>0.13</v>
      </c>
      <c r="J23" s="54">
        <v>2.31</v>
      </c>
      <c r="K23" s="54">
        <v>120.34</v>
      </c>
      <c r="L23" s="54">
        <v>27.15</v>
      </c>
      <c r="M23" s="54">
        <v>98.63</v>
      </c>
      <c r="N23" s="54">
        <v>82.5</v>
      </c>
      <c r="O23" s="54">
        <v>3.60</v>
      </c>
      <c r="P23" s="54">
        <v>0.45</v>
      </c>
      <c r="Q23" s="54">
        <v>21.39</v>
      </c>
      <c r="R23" s="43"/>
      <c r="S23" s="43"/>
      <c r="T23" s="43"/>
      <c r="U23" s="43"/>
    </row>
    <row r="24" spans="1:21" s="11" customFormat="1" ht="15">
      <c r="A24" s="53" t="s">
        <v>221</v>
      </c>
      <c r="B24" s="54">
        <v>5.35</v>
      </c>
      <c r="C24" s="54">
        <v>15.86</v>
      </c>
      <c r="D24" s="54">
        <v>20.71</v>
      </c>
      <c r="E24" s="54">
        <v>1.64</v>
      </c>
      <c r="F24" s="54">
        <v>7.55</v>
      </c>
      <c r="G24" s="54">
        <v>17.170000000000002</v>
      </c>
      <c r="H24" s="54">
        <v>9.5399999999999991</v>
      </c>
      <c r="I24" s="54">
        <v>0.12</v>
      </c>
      <c r="J24" s="54">
        <v>1.77</v>
      </c>
      <c r="K24" s="54">
        <v>159.69999999999999</v>
      </c>
      <c r="L24" s="54">
        <v>23.80</v>
      </c>
      <c r="M24" s="54">
        <v>98.61</v>
      </c>
      <c r="N24" s="54">
        <v>35.90</v>
      </c>
      <c r="O24" s="54">
        <v>0</v>
      </c>
      <c r="P24" s="54">
        <v>0.41</v>
      </c>
      <c r="Q24" s="54">
        <v>22.10</v>
      </c>
      <c r="R24" s="43"/>
      <c r="S24" s="43"/>
      <c r="T24" s="43"/>
      <c r="U24" s="43"/>
    </row>
    <row r="25" spans="1:21" s="11" customFormat="1" ht="15">
      <c r="A25" s="53" t="s">
        <v>222</v>
      </c>
      <c r="B25" s="54">
        <v>5.65</v>
      </c>
      <c r="C25" s="54">
        <v>11.88</v>
      </c>
      <c r="D25" s="54">
        <v>17.37</v>
      </c>
      <c r="E25" s="54">
        <v>0.98</v>
      </c>
      <c r="F25" s="54">
        <v>1.96</v>
      </c>
      <c r="G25" s="54">
        <v>17.850000000000001</v>
      </c>
      <c r="H25" s="54">
        <v>6.68</v>
      </c>
      <c r="I25" s="54">
        <v>0.13</v>
      </c>
      <c r="J25" s="54">
        <v>0.24</v>
      </c>
      <c r="K25" s="54">
        <v>29.55</v>
      </c>
      <c r="L25" s="54">
        <v>22.82</v>
      </c>
      <c r="M25" s="54">
        <v>98.61</v>
      </c>
      <c r="N25" s="54">
        <v>104.40</v>
      </c>
      <c r="O25" s="54">
        <v>0</v>
      </c>
      <c r="P25" s="54">
        <v>0.44</v>
      </c>
      <c r="Q25" s="54">
        <v>20.309999999999999</v>
      </c>
      <c r="R25" s="43"/>
      <c r="S25" s="43"/>
      <c r="T25" s="43"/>
      <c r="U25" s="43"/>
    </row>
    <row r="26" spans="1:21" s="11" customFormat="1" ht="15">
      <c r="A26" s="53" t="s">
        <v>223</v>
      </c>
      <c r="B26" s="54">
        <v>5.54</v>
      </c>
      <c r="C26" s="54">
        <v>14.54</v>
      </c>
      <c r="D26" s="54">
        <v>19.38</v>
      </c>
      <c r="E26" s="54">
        <v>1.25</v>
      </c>
      <c r="F26" s="54">
        <v>9.48</v>
      </c>
      <c r="G26" s="54">
        <v>16.46</v>
      </c>
      <c r="H26" s="54">
        <v>5.70</v>
      </c>
      <c r="I26" s="54">
        <v>0.13</v>
      </c>
      <c r="J26" s="54">
        <v>0.11</v>
      </c>
      <c r="K26" s="54">
        <v>213.10</v>
      </c>
      <c r="L26" s="54">
        <v>22.60</v>
      </c>
      <c r="M26" s="54">
        <v>98.60</v>
      </c>
      <c r="N26" s="54">
        <v>30.90</v>
      </c>
      <c r="O26" s="54">
        <v>0</v>
      </c>
      <c r="P26" s="54">
        <v>0.45</v>
      </c>
      <c r="Q26" s="54">
        <v>17.829999999999998</v>
      </c>
      <c r="R26" s="43"/>
      <c r="S26" s="43"/>
      <c r="T26" s="43"/>
      <c r="U26" s="43"/>
    </row>
    <row r="27" spans="1:21" s="11" customFormat="1" ht="15">
      <c r="A27" s="53" t="s">
        <v>224</v>
      </c>
      <c r="B27" s="54">
        <v>6.58</v>
      </c>
      <c r="C27" s="54">
        <v>18.43</v>
      </c>
      <c r="D27" s="54">
        <v>25.01</v>
      </c>
      <c r="E27" s="54">
        <v>1.74</v>
      </c>
      <c r="F27" s="54">
        <v>10.24</v>
      </c>
      <c r="G27" s="54">
        <v>17.32</v>
      </c>
      <c r="H27" s="54">
        <v>6.64</v>
      </c>
      <c r="I27" s="54">
        <v>0.12</v>
      </c>
      <c r="J27" s="54">
        <v>0.33</v>
      </c>
      <c r="K27" s="54">
        <v>184.76</v>
      </c>
      <c r="L27" s="54">
        <v>22.65</v>
      </c>
      <c r="M27" s="54">
        <v>98.61</v>
      </c>
      <c r="N27" s="54">
        <v>10</v>
      </c>
      <c r="O27" s="54">
        <v>0</v>
      </c>
      <c r="P27" s="54">
        <v>0.47</v>
      </c>
      <c r="Q27" s="54">
        <v>18.46</v>
      </c>
      <c r="R27" s="43"/>
      <c r="S27" s="43"/>
      <c r="T27" s="43"/>
      <c r="U27" s="43"/>
    </row>
    <row r="28" spans="1:21" s="11" customFormat="1" ht="15">
      <c r="A28" s="53" t="s">
        <v>225</v>
      </c>
      <c r="B28" s="54">
        <v>5.35</v>
      </c>
      <c r="C28" s="54">
        <v>13.49</v>
      </c>
      <c r="D28" s="54">
        <v>18.84</v>
      </c>
      <c r="E28" s="54">
        <v>1.63</v>
      </c>
      <c r="F28" s="54">
        <v>6.32</v>
      </c>
      <c r="G28" s="54">
        <v>17.98</v>
      </c>
      <c r="H28" s="54">
        <v>7.08</v>
      </c>
      <c r="I28" s="54">
        <v>0.12</v>
      </c>
      <c r="J28" s="54">
        <v>0.99</v>
      </c>
      <c r="K28" s="54">
        <v>178.58</v>
      </c>
      <c r="L28" s="54">
        <v>22.71</v>
      </c>
      <c r="M28" s="54">
        <v>98.60</v>
      </c>
      <c r="N28" s="54">
        <v>9.1999999999999993</v>
      </c>
      <c r="O28" s="54">
        <v>0.20</v>
      </c>
      <c r="P28" s="54">
        <v>0.46</v>
      </c>
      <c r="Q28" s="54">
        <v>18.149999999999999</v>
      </c>
      <c r="R28" s="43"/>
      <c r="S28" s="43"/>
      <c r="T28" s="43"/>
      <c r="U28" s="43"/>
    </row>
    <row r="29" spans="1:21" s="11" customFormat="1" ht="15">
      <c r="A29" s="53" t="s">
        <v>226</v>
      </c>
      <c r="B29" s="54">
        <v>5.26</v>
      </c>
      <c r="C29" s="54">
        <v>13.74</v>
      </c>
      <c r="D29" s="54">
        <v>18.71</v>
      </c>
      <c r="E29" s="54">
        <v>1.73</v>
      </c>
      <c r="F29" s="54">
        <v>6.99</v>
      </c>
      <c r="G29" s="54">
        <v>13.53</v>
      </c>
      <c r="H29" s="54">
        <v>5.85</v>
      </c>
      <c r="I29" s="54">
        <v>0.14000000000000001</v>
      </c>
      <c r="J29" s="54">
        <v>0.94</v>
      </c>
      <c r="K29" s="54">
        <v>328.98</v>
      </c>
      <c r="L29" s="54">
        <v>22.88</v>
      </c>
      <c r="M29" s="54">
        <v>98.62</v>
      </c>
      <c r="N29" s="54">
        <v>9.1999999999999993</v>
      </c>
      <c r="O29" s="54">
        <v>0</v>
      </c>
      <c r="P29" s="54">
        <v>0.48</v>
      </c>
      <c r="Q29" s="54">
        <v>18.32</v>
      </c>
      <c r="R29" s="43"/>
      <c r="S29" s="43"/>
      <c r="T29" s="43"/>
      <c r="U29" s="43"/>
    </row>
    <row r="30" spans="1:21" s="11" customFormat="1" ht="15">
      <c r="A30" s="53" t="s">
        <v>227</v>
      </c>
      <c r="B30" s="54">
        <v>6.44</v>
      </c>
      <c r="C30" s="54">
        <v>16.43</v>
      </c>
      <c r="D30" s="54">
        <v>22.86</v>
      </c>
      <c r="E30" s="54">
        <v>2.64</v>
      </c>
      <c r="F30" s="54">
        <v>6.38</v>
      </c>
      <c r="G30" s="54">
        <v>16.64</v>
      </c>
      <c r="H30" s="54">
        <v>7.89</v>
      </c>
      <c r="I30" s="54">
        <v>0.12</v>
      </c>
      <c r="J30" s="54">
        <v>0.52</v>
      </c>
      <c r="K30" s="54">
        <v>174.05</v>
      </c>
      <c r="L30" s="54">
        <v>22.99</v>
      </c>
      <c r="M30" s="54">
        <v>98.63</v>
      </c>
      <c r="N30" s="54">
        <v>9.5</v>
      </c>
      <c r="O30" s="54">
        <v>0</v>
      </c>
      <c r="P30" s="54">
        <v>0.5</v>
      </c>
      <c r="Q30" s="54">
        <v>18.77</v>
      </c>
      <c r="R30" s="43"/>
      <c r="S30" s="43"/>
      <c r="T30" s="43"/>
      <c r="U30" s="43"/>
    </row>
    <row r="31" spans="1:21" s="11" customFormat="1" ht="15">
      <c r="A31" s="53" t="s">
        <v>228</v>
      </c>
      <c r="B31" s="54">
        <v>5.45</v>
      </c>
      <c r="C31" s="54">
        <v>11.82</v>
      </c>
      <c r="D31" s="54">
        <v>16.28</v>
      </c>
      <c r="E31" s="54">
        <v>2.17</v>
      </c>
      <c r="F31" s="54">
        <v>6.30</v>
      </c>
      <c r="G31" s="54">
        <v>18.71</v>
      </c>
      <c r="H31" s="54">
        <v>8.8699999999999992</v>
      </c>
      <c r="I31" s="54">
        <v>0.12</v>
      </c>
      <c r="J31" s="54">
        <v>0.17</v>
      </c>
      <c r="K31" s="54">
        <v>213.99</v>
      </c>
      <c r="L31" s="54">
        <v>22.77</v>
      </c>
      <c r="M31" s="54">
        <v>98.62</v>
      </c>
      <c r="N31" s="54">
        <v>8.8000000000000007</v>
      </c>
      <c r="O31" s="54">
        <v>0</v>
      </c>
      <c r="P31" s="54">
        <v>0.43</v>
      </c>
      <c r="Q31" s="54">
        <v>18.21</v>
      </c>
      <c r="R31" s="43"/>
      <c r="S31" s="43"/>
      <c r="T31" s="43"/>
      <c r="U31" s="43"/>
    </row>
    <row r="32" spans="1:21" s="11" customFormat="1" ht="15">
      <c r="A32" s="53" t="s">
        <v>229</v>
      </c>
      <c r="B32" s="54">
        <v>4.80</v>
      </c>
      <c r="C32" s="54">
        <v>10</v>
      </c>
      <c r="D32" s="54">
        <v>14.80</v>
      </c>
      <c r="E32" s="54">
        <v>2.13</v>
      </c>
      <c r="F32" s="54">
        <v>6.58</v>
      </c>
      <c r="G32" s="54">
        <v>13.70</v>
      </c>
      <c r="H32" s="54">
        <v>7.65</v>
      </c>
      <c r="I32" s="54">
        <v>0.13</v>
      </c>
      <c r="J32" s="54">
        <v>0.27</v>
      </c>
      <c r="K32" s="54">
        <v>211.89</v>
      </c>
      <c r="L32" s="54">
        <v>22.83</v>
      </c>
      <c r="M32" s="54">
        <v>98.63</v>
      </c>
      <c r="N32" s="54">
        <v>9</v>
      </c>
      <c r="O32" s="54">
        <v>0</v>
      </c>
      <c r="P32" s="54">
        <v>0.44</v>
      </c>
      <c r="Q32" s="54">
        <v>17.329999999999998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4.6600000000000001</v>
      </c>
      <c r="C34" s="28">
        <f t="shared" si="0"/>
        <v>8.8900000000000006</v>
      </c>
      <c r="D34" s="28">
        <f t="shared" si="0"/>
        <v>13.550000000000001</v>
      </c>
      <c r="E34" s="28">
        <f t="shared" si="0"/>
        <v>0.97999999999999998</v>
      </c>
      <c r="F34" s="28">
        <f t="shared" si="0"/>
        <v>1.96</v>
      </c>
      <c r="G34" s="28">
        <f t="shared" si="0"/>
        <v>4.1699999999999999</v>
      </c>
      <c r="H34" s="28">
        <f t="shared" si="0"/>
        <v>2.02</v>
      </c>
      <c r="I34" s="28">
        <f t="shared" si="0"/>
        <v>0.12</v>
      </c>
      <c r="J34" s="28">
        <f t="shared" si="0"/>
        <v>0.070000000000000007</v>
      </c>
      <c r="K34" s="28">
        <f t="shared" si="0"/>
        <v>29.550000000000001</v>
      </c>
      <c r="L34" s="28">
        <f t="shared" si="0"/>
        <v>21.539999999999999</v>
      </c>
      <c r="M34" s="28">
        <f t="shared" si="0"/>
        <v>68.909999999999997</v>
      </c>
      <c r="N34" s="28">
        <f t="shared" si="0"/>
        <v>8.8000000000000007</v>
      </c>
      <c r="O34" s="28">
        <f t="shared" si="0"/>
        <v>0</v>
      </c>
      <c r="P34" s="28">
        <f t="shared" si="0"/>
        <v>0.33000000000000002</v>
      </c>
      <c r="Q34" s="28">
        <f t="shared" si="0"/>
        <v>17.329999999999998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7.5300000000000002</v>
      </c>
      <c r="C35" s="29">
        <f t="shared" si="1"/>
        <v>18.43</v>
      </c>
      <c r="D35" s="29">
        <f t="shared" si="1"/>
        <v>25.010000000000002</v>
      </c>
      <c r="E35" s="29">
        <f t="shared" si="1"/>
        <v>2.6400000000000001</v>
      </c>
      <c r="F35" s="29">
        <f t="shared" si="1"/>
        <v>10.880000000000001</v>
      </c>
      <c r="G35" s="29">
        <f t="shared" si="1"/>
        <v>18.710000000000001</v>
      </c>
      <c r="H35" s="29">
        <f t="shared" si="1"/>
        <v>9.7799999999999994</v>
      </c>
      <c r="I35" s="29">
        <f t="shared" si="1"/>
        <v>0.14000000000000001</v>
      </c>
      <c r="J35" s="29">
        <f t="shared" si="1"/>
        <v>2.3100000000000001</v>
      </c>
      <c r="K35" s="29">
        <f t="shared" si="1"/>
        <v>351.69999999999999</v>
      </c>
      <c r="L35" s="29">
        <f t="shared" si="1"/>
        <v>31.940000000000001</v>
      </c>
      <c r="M35" s="29">
        <f t="shared" si="1"/>
        <v>98.629999999999995</v>
      </c>
      <c r="N35" s="29">
        <f t="shared" si="1"/>
        <v>1072.0999999999999</v>
      </c>
      <c r="O35" s="29">
        <f t="shared" si="1"/>
        <v>3.6000000000000001</v>
      </c>
      <c r="P35" s="29">
        <f t="shared" si="1"/>
        <v>0.5</v>
      </c>
      <c r="Q35" s="29">
        <f t="shared" si="1"/>
        <v>22.100000000000001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5.8637500000000005</v>
      </c>
      <c r="C36" s="28">
        <f t="shared" si="2"/>
        <v>12.480416666666668</v>
      </c>
      <c r="D36" s="28">
        <f t="shared" si="2"/>
        <v>18.035833333333333</v>
      </c>
      <c r="E36" s="28">
        <f t="shared" si="2"/>
        <v>1.9162500000000005</v>
      </c>
      <c r="F36" s="28">
        <f t="shared" si="2"/>
        <v>6.3554166666666667</v>
      </c>
      <c r="G36" s="28">
        <f t="shared" si="2"/>
        <v>13.145416666666662</v>
      </c>
      <c r="H36" s="28">
        <f t="shared" si="2"/>
        <v>5.9675000000000011</v>
      </c>
      <c r="I36" s="28">
        <f t="shared" si="2"/>
        <v>0.12916666666666668</v>
      </c>
      <c r="J36" s="28">
        <f t="shared" si="2"/>
        <v>0.64124999999999999</v>
      </c>
      <c r="K36" s="28">
        <f t="shared" si="2"/>
        <v>190.41374999999996</v>
      </c>
      <c r="L36" s="28">
        <f t="shared" si="2"/>
        <v>23.889999999999997</v>
      </c>
      <c r="M36" s="28">
        <f t="shared" si="2"/>
        <v>95.617499999999993</v>
      </c>
      <c r="N36" s="28">
        <f t="shared" si="2"/>
        <v>207.00416666666661</v>
      </c>
      <c r="O36" s="28">
        <f t="shared" si="2"/>
        <v>0.23333333333333336</v>
      </c>
      <c r="P36" s="28">
        <f t="shared" si="2"/>
        <v>0.42500000000000004</v>
      </c>
      <c r="Q36" s="28">
        <f t="shared" si="2"/>
        <v>19.771666666666665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0.81630563596262051</v>
      </c>
      <c r="C37" s="28">
        <f t="shared" si="3" ref="C37:Q37">STDEV(C9:C32)</f>
        <v>2.5952724229404796</v>
      </c>
      <c r="D37" s="28">
        <f t="shared" si="3"/>
        <v>3.0724794076030877</v>
      </c>
      <c r="E37" s="28">
        <f t="shared" si="3"/>
        <v>0.47850139702671735</v>
      </c>
      <c r="F37" s="28">
        <f t="shared" si="3"/>
        <v>2.2675594602561366</v>
      </c>
      <c r="G37" s="28">
        <f t="shared" si="3"/>
        <v>4.5779138776318815</v>
      </c>
      <c r="H37" s="28">
        <f t="shared" si="3"/>
        <v>2.4271315150408173</v>
      </c>
      <c r="I37" s="28">
        <f t="shared" si="3"/>
        <v>0.007172815023567731</v>
      </c>
      <c r="J37" s="28">
        <f t="shared" si="3"/>
        <v>0.55410964618927194</v>
      </c>
      <c r="K37" s="28">
        <f t="shared" si="3"/>
        <v>68.705979539313276</v>
      </c>
      <c r="L37" s="28">
        <f t="shared" si="3"/>
        <v>2.7660645407290136</v>
      </c>
      <c r="M37" s="28">
        <f t="shared" si="3"/>
        <v>7.8870974712969746</v>
      </c>
      <c r="N37" s="28">
        <f t="shared" si="3"/>
        <v>342.88723394036617</v>
      </c>
      <c r="O37" s="28">
        <f t="shared" si="3"/>
        <v>0.75450338787764271</v>
      </c>
      <c r="P37" s="28">
        <f t="shared" si="3"/>
        <v>0.043738352486814729</v>
      </c>
      <c r="Q37" s="28">
        <f t="shared" si="3"/>
        <v>1.3272222272775991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46aa8a9-c95f-4364-8a56-008273497895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I63" sqref="I63"/>
    </sheetView>
  </sheetViews>
  <sheetFormatPr defaultColWidth="8.85881696428571" defaultRowHeight="15"/>
  <cols>
    <col min="1" max="1" width="18.2857142857143" style="26" customWidth="1"/>
    <col min="2" max="2" width="13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08-09-2023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230</v>
      </c>
      <c r="B9" s="54">
        <v>4.54</v>
      </c>
      <c r="C9" s="54">
        <v>9.1199999999999992</v>
      </c>
      <c r="D9" s="54">
        <v>13.57</v>
      </c>
      <c r="E9" s="54">
        <v>1.62</v>
      </c>
      <c r="F9" s="54">
        <v>5.85</v>
      </c>
      <c r="G9" s="54">
        <v>11.81</v>
      </c>
      <c r="H9" s="54">
        <v>5.47</v>
      </c>
      <c r="I9" s="54">
        <v>0.13</v>
      </c>
      <c r="J9" s="54">
        <v>0.24</v>
      </c>
      <c r="K9" s="54">
        <v>194.28</v>
      </c>
      <c r="L9" s="54">
        <v>22.57</v>
      </c>
      <c r="M9" s="54">
        <v>98.63</v>
      </c>
      <c r="N9" s="54">
        <v>9.1999999999999993</v>
      </c>
      <c r="O9" s="54">
        <v>0</v>
      </c>
      <c r="P9" s="54">
        <v>0.38</v>
      </c>
      <c r="Q9" s="54">
        <v>18.34</v>
      </c>
      <c r="R9" s="43"/>
      <c r="S9" s="43"/>
      <c r="T9" s="43"/>
      <c r="U9" s="43"/>
    </row>
    <row r="10" spans="1:21" s="11" customFormat="1" ht="15">
      <c r="A10" s="53" t="s">
        <v>231</v>
      </c>
      <c r="B10" s="54">
        <v>4.71</v>
      </c>
      <c r="C10" s="54">
        <v>7.87</v>
      </c>
      <c r="D10" s="54">
        <v>12.59</v>
      </c>
      <c r="E10" s="54">
        <v>1.63</v>
      </c>
      <c r="F10" s="54">
        <v>4.1399999999999997</v>
      </c>
      <c r="G10" s="54">
        <v>9.43</v>
      </c>
      <c r="H10" s="54">
        <v>6.89</v>
      </c>
      <c r="I10" s="54">
        <v>0.13</v>
      </c>
      <c r="J10" s="54">
        <v>0.18</v>
      </c>
      <c r="K10" s="54">
        <v>247.40</v>
      </c>
      <c r="L10" s="54">
        <v>22.43</v>
      </c>
      <c r="M10" s="54">
        <v>98.63</v>
      </c>
      <c r="N10" s="54">
        <v>8.8000000000000007</v>
      </c>
      <c r="O10" s="54">
        <v>0</v>
      </c>
      <c r="P10" s="54">
        <v>0.32</v>
      </c>
      <c r="Q10" s="54">
        <v>17.170000000000002</v>
      </c>
      <c r="R10" s="43"/>
      <c r="S10" s="43"/>
      <c r="T10" s="43"/>
      <c r="U10" s="43"/>
    </row>
    <row r="11" spans="1:21" s="11" customFormat="1" ht="15">
      <c r="A11" s="53" t="s">
        <v>232</v>
      </c>
      <c r="B11" s="54">
        <v>4.54</v>
      </c>
      <c r="C11" s="54">
        <v>8.33</v>
      </c>
      <c r="D11" s="54">
        <v>12.45</v>
      </c>
      <c r="E11" s="54">
        <v>1.36</v>
      </c>
      <c r="F11" s="54">
        <v>5.40</v>
      </c>
      <c r="G11" s="54">
        <v>8.66</v>
      </c>
      <c r="H11" s="54">
        <v>7.63</v>
      </c>
      <c r="I11" s="54">
        <v>0.13</v>
      </c>
      <c r="J11" s="54">
        <v>0.26</v>
      </c>
      <c r="K11" s="54">
        <v>220.16</v>
      </c>
      <c r="L11" s="54">
        <v>22.32</v>
      </c>
      <c r="M11" s="54">
        <v>98.63</v>
      </c>
      <c r="N11" s="54">
        <v>8.8000000000000007</v>
      </c>
      <c r="O11" s="54">
        <v>0</v>
      </c>
      <c r="P11" s="54">
        <v>0.30</v>
      </c>
      <c r="Q11" s="54">
        <v>17.63</v>
      </c>
      <c r="R11" s="43"/>
      <c r="S11" s="43"/>
      <c r="T11" s="43"/>
      <c r="U11" s="43"/>
    </row>
    <row r="12" spans="1:21" s="11" customFormat="1" ht="15">
      <c r="A12" s="53" t="s">
        <v>233</v>
      </c>
      <c r="B12" s="54">
        <v>5.0999999999999996</v>
      </c>
      <c r="C12" s="54">
        <v>8.10</v>
      </c>
      <c r="D12" s="54">
        <v>13.20</v>
      </c>
      <c r="E12" s="54">
        <v>1.35</v>
      </c>
      <c r="F12" s="54">
        <v>3.55</v>
      </c>
      <c r="G12" s="54">
        <v>9.6999999999999993</v>
      </c>
      <c r="H12" s="54">
        <v>5.80</v>
      </c>
      <c r="I12" s="54">
        <v>0.12</v>
      </c>
      <c r="J12" s="54">
        <v>0.5</v>
      </c>
      <c r="K12" s="54">
        <v>185.19</v>
      </c>
      <c r="L12" s="54">
        <v>22.33</v>
      </c>
      <c r="M12" s="54">
        <v>98.63</v>
      </c>
      <c r="N12" s="54">
        <v>9.10</v>
      </c>
      <c r="O12" s="54">
        <v>0</v>
      </c>
      <c r="P12" s="54">
        <v>0.27</v>
      </c>
      <c r="Q12" s="54">
        <v>18.34</v>
      </c>
      <c r="R12" s="43"/>
      <c r="S12" s="43"/>
      <c r="T12" s="43"/>
      <c r="U12" s="43"/>
    </row>
    <row r="13" spans="1:21" s="11" customFormat="1" ht="15">
      <c r="A13" s="53" t="s">
        <v>234</v>
      </c>
      <c r="B13" s="54">
        <v>5.13</v>
      </c>
      <c r="C13" s="54">
        <v>7.90</v>
      </c>
      <c r="D13" s="54">
        <v>12.86</v>
      </c>
      <c r="E13" s="54">
        <v>2.11</v>
      </c>
      <c r="F13" s="54">
        <v>2.90</v>
      </c>
      <c r="G13" s="54">
        <v>9.9700000000000006</v>
      </c>
      <c r="H13" s="54">
        <v>4.5199999999999996</v>
      </c>
      <c r="I13" s="54">
        <v>0.13</v>
      </c>
      <c r="J13" s="54">
        <v>0.23</v>
      </c>
      <c r="K13" s="54">
        <v>283.33</v>
      </c>
      <c r="L13" s="54">
        <v>22.33</v>
      </c>
      <c r="M13" s="54">
        <v>98.63</v>
      </c>
      <c r="N13" s="54">
        <v>9.10</v>
      </c>
      <c r="O13" s="54">
        <v>0</v>
      </c>
      <c r="P13" s="54">
        <v>0.26</v>
      </c>
      <c r="Q13" s="54">
        <v>17.329999999999998</v>
      </c>
      <c r="R13" s="43"/>
      <c r="S13" s="43"/>
      <c r="T13" s="43"/>
      <c r="U13" s="43"/>
    </row>
    <row r="14" spans="1:21" s="11" customFormat="1" ht="15">
      <c r="A14" s="53" t="s">
        <v>235</v>
      </c>
      <c r="B14" s="54">
        <v>5.21</v>
      </c>
      <c r="C14" s="54">
        <v>10.74</v>
      </c>
      <c r="D14" s="54">
        <v>15.83</v>
      </c>
      <c r="E14" s="54">
        <v>1.93</v>
      </c>
      <c r="F14" s="54">
        <v>3.64</v>
      </c>
      <c r="G14" s="54">
        <v>9.19</v>
      </c>
      <c r="H14" s="54">
        <v>3.27</v>
      </c>
      <c r="I14" s="54">
        <v>0.12</v>
      </c>
      <c r="J14" s="54">
        <v>0.20</v>
      </c>
      <c r="K14" s="54">
        <v>228</v>
      </c>
      <c r="L14" s="54">
        <v>22.31</v>
      </c>
      <c r="M14" s="54">
        <v>98.63</v>
      </c>
      <c r="N14" s="54">
        <v>19.399999999999999</v>
      </c>
      <c r="O14" s="54">
        <v>0</v>
      </c>
      <c r="P14" s="54">
        <v>0.25</v>
      </c>
      <c r="Q14" s="54">
        <v>17.309999999999999</v>
      </c>
      <c r="R14" s="43"/>
      <c r="S14" s="43"/>
      <c r="T14" s="43"/>
      <c r="U14" s="43"/>
    </row>
    <row r="15" spans="1:21" s="11" customFormat="1" ht="15">
      <c r="A15" s="53" t="s">
        <v>236</v>
      </c>
      <c r="B15" s="54">
        <v>6.54</v>
      </c>
      <c r="C15" s="54">
        <v>10.98</v>
      </c>
      <c r="D15" s="54">
        <v>17.100000000000001</v>
      </c>
      <c r="E15" s="54">
        <v>2.44</v>
      </c>
      <c r="F15" s="54">
        <v>3.83</v>
      </c>
      <c r="G15" s="54">
        <v>10.64</v>
      </c>
      <c r="H15" s="54">
        <v>2.74</v>
      </c>
      <c r="I15" s="54">
        <v>0.12</v>
      </c>
      <c r="J15" s="54">
        <v>0.26</v>
      </c>
      <c r="K15" s="54">
        <v>164</v>
      </c>
      <c r="L15" s="54">
        <v>22.87</v>
      </c>
      <c r="M15" s="54">
        <v>98.60</v>
      </c>
      <c r="N15" s="54">
        <v>104.30</v>
      </c>
      <c r="O15" s="54">
        <v>0</v>
      </c>
      <c r="P15" s="54">
        <v>0.25</v>
      </c>
      <c r="Q15" s="54">
        <v>18.13</v>
      </c>
      <c r="R15" s="43"/>
      <c r="S15" s="43"/>
      <c r="T15" s="43"/>
      <c r="U15" s="43"/>
    </row>
    <row r="16" spans="1:21" s="11" customFormat="1" ht="15">
      <c r="A16" s="53" t="s">
        <v>237</v>
      </c>
      <c r="B16" s="54">
        <v>6.65</v>
      </c>
      <c r="C16" s="54">
        <v>9.39</v>
      </c>
      <c r="D16" s="54">
        <v>16.04</v>
      </c>
      <c r="E16" s="54">
        <v>2.2000000000000002</v>
      </c>
      <c r="F16" s="54">
        <v>2.5099999999999998</v>
      </c>
      <c r="G16" s="54">
        <v>10.90</v>
      </c>
      <c r="H16" s="54">
        <v>4.24</v>
      </c>
      <c r="I16" s="54">
        <v>0.13</v>
      </c>
      <c r="J16" s="54">
        <v>0.57999999999999996</v>
      </c>
      <c r="K16" s="54">
        <v>184.04</v>
      </c>
      <c r="L16" s="54">
        <v>23.08</v>
      </c>
      <c r="M16" s="54">
        <v>98.58</v>
      </c>
      <c r="N16" s="54">
        <v>119</v>
      </c>
      <c r="O16" s="54">
        <v>0</v>
      </c>
      <c r="P16" s="54">
        <v>0.26</v>
      </c>
      <c r="Q16" s="54">
        <v>17.440000000000001</v>
      </c>
      <c r="R16" s="43"/>
      <c r="S16" s="43"/>
      <c r="T16" s="43"/>
      <c r="U16" s="43"/>
    </row>
    <row r="17" spans="1:21" s="11" customFormat="1" ht="15">
      <c r="A17" s="53" t="s">
        <v>238</v>
      </c>
      <c r="B17" s="54">
        <v>9.19</v>
      </c>
      <c r="C17" s="54">
        <v>15.24</v>
      </c>
      <c r="D17" s="54">
        <v>24.43</v>
      </c>
      <c r="E17" s="54">
        <v>2.0299999999999998</v>
      </c>
      <c r="F17" s="54">
        <v>3.15</v>
      </c>
      <c r="G17" s="54">
        <v>11.26</v>
      </c>
      <c r="H17" s="54">
        <v>4.82</v>
      </c>
      <c r="I17" s="54">
        <v>0.13</v>
      </c>
      <c r="J17" s="54">
        <v>0.72</v>
      </c>
      <c r="K17" s="54">
        <v>184.5</v>
      </c>
      <c r="L17" s="54">
        <v>23.33</v>
      </c>
      <c r="M17" s="54">
        <v>98.59</v>
      </c>
      <c r="N17" s="54">
        <v>167.30</v>
      </c>
      <c r="O17" s="54">
        <v>0</v>
      </c>
      <c r="P17" s="54">
        <v>0.28999999999999998</v>
      </c>
      <c r="Q17" s="54">
        <v>18</v>
      </c>
      <c r="R17" s="43"/>
      <c r="S17" s="43"/>
      <c r="T17" s="43"/>
      <c r="U17" s="43"/>
    </row>
    <row r="18" spans="1:21" s="11" customFormat="1" ht="15">
      <c r="A18" s="53" t="s">
        <v>239</v>
      </c>
      <c r="B18" s="54">
        <v>7.31</v>
      </c>
      <c r="C18" s="54">
        <v>10.31</v>
      </c>
      <c r="D18" s="54">
        <v>17.63</v>
      </c>
      <c r="E18" s="54">
        <v>2.17</v>
      </c>
      <c r="F18" s="54">
        <v>2.59</v>
      </c>
      <c r="G18" s="54">
        <v>12.78</v>
      </c>
      <c r="H18" s="54">
        <v>3.67</v>
      </c>
      <c r="I18" s="54">
        <v>0.13</v>
      </c>
      <c r="J18" s="54">
        <v>0.87</v>
      </c>
      <c r="K18" s="54">
        <v>152.5</v>
      </c>
      <c r="L18" s="54">
        <v>25.70</v>
      </c>
      <c r="M18" s="54">
        <v>95.44</v>
      </c>
      <c r="N18" s="54">
        <v>529.90</v>
      </c>
      <c r="O18" s="54">
        <v>0</v>
      </c>
      <c r="P18" s="54">
        <v>0.27</v>
      </c>
      <c r="Q18" s="54">
        <v>19.02</v>
      </c>
      <c r="R18" s="43"/>
      <c r="S18" s="43"/>
      <c r="T18" s="43"/>
      <c r="U18" s="43"/>
    </row>
    <row r="19" spans="1:21" s="11" customFormat="1" ht="15">
      <c r="A19" s="53" t="s">
        <v>240</v>
      </c>
      <c r="B19" s="54">
        <v>6.5</v>
      </c>
      <c r="C19" s="54">
        <v>11.02</v>
      </c>
      <c r="D19" s="54">
        <v>16.670000000000002</v>
      </c>
      <c r="E19" s="54">
        <v>1.72</v>
      </c>
      <c r="F19" s="54">
        <v>1.97</v>
      </c>
      <c r="G19" s="54">
        <v>12.57</v>
      </c>
      <c r="H19" s="54">
        <v>3.76</v>
      </c>
      <c r="I19" s="54">
        <v>0.13</v>
      </c>
      <c r="J19" s="54">
        <v>1.43</v>
      </c>
      <c r="K19" s="54">
        <v>156.40</v>
      </c>
      <c r="L19" s="54">
        <v>24.72</v>
      </c>
      <c r="M19" s="54">
        <v>96.74</v>
      </c>
      <c r="N19" s="54">
        <v>771</v>
      </c>
      <c r="O19" s="54">
        <v>0</v>
      </c>
      <c r="P19" s="54">
        <v>0.28000000000000003</v>
      </c>
      <c r="Q19" s="54">
        <v>17.96</v>
      </c>
      <c r="R19" s="43"/>
      <c r="S19" s="43"/>
      <c r="T19" s="43"/>
      <c r="U19" s="43"/>
    </row>
    <row r="20" spans="1:21" s="11" customFormat="1" ht="15">
      <c r="A20" s="53" t="s">
        <v>241</v>
      </c>
      <c r="B20" s="54">
        <v>6.06</v>
      </c>
      <c r="C20" s="54">
        <v>11.76</v>
      </c>
      <c r="D20" s="54">
        <v>17.53</v>
      </c>
      <c r="E20" s="54">
        <v>2.37</v>
      </c>
      <c r="F20" s="54">
        <v>2.58</v>
      </c>
      <c r="G20" s="54">
        <v>8.8000000000000007</v>
      </c>
      <c r="H20" s="54">
        <v>3.07</v>
      </c>
      <c r="I20" s="54">
        <v>0.12</v>
      </c>
      <c r="J20" s="54">
        <v>1.23</v>
      </c>
      <c r="K20" s="54">
        <v>175.80</v>
      </c>
      <c r="L20" s="54">
        <v>24.27</v>
      </c>
      <c r="M20" s="54">
        <v>98.37</v>
      </c>
      <c r="N20" s="54">
        <v>244.30</v>
      </c>
      <c r="O20" s="54">
        <v>0</v>
      </c>
      <c r="P20" s="54">
        <v>0.28000000000000003</v>
      </c>
      <c r="Q20" s="54">
        <v>17.079999999999998</v>
      </c>
      <c r="R20" s="43"/>
      <c r="S20" s="43"/>
      <c r="T20" s="43"/>
      <c r="U20" s="43"/>
    </row>
    <row r="21" spans="1:21" s="11" customFormat="1" ht="15">
      <c r="A21" s="53" t="s">
        <v>242</v>
      </c>
      <c r="B21" s="54">
        <v>6.31</v>
      </c>
      <c r="C21" s="54">
        <v>11.34</v>
      </c>
      <c r="D21" s="54">
        <v>17.52</v>
      </c>
      <c r="E21" s="54">
        <v>2.92</v>
      </c>
      <c r="F21" s="54">
        <v>2.64</v>
      </c>
      <c r="G21" s="54">
        <v>7.05</v>
      </c>
      <c r="H21" s="54">
        <v>3.18</v>
      </c>
      <c r="I21" s="54">
        <v>0.13</v>
      </c>
      <c r="J21" s="54">
        <v>0.33</v>
      </c>
      <c r="K21" s="54">
        <v>239.71</v>
      </c>
      <c r="L21" s="54">
        <v>25.15</v>
      </c>
      <c r="M21" s="54">
        <v>96.69</v>
      </c>
      <c r="N21" s="54">
        <v>402.10</v>
      </c>
      <c r="O21" s="54">
        <v>0</v>
      </c>
      <c r="P21" s="54">
        <v>0.27</v>
      </c>
      <c r="Q21" s="54">
        <v>16.88</v>
      </c>
      <c r="R21" s="43"/>
      <c r="S21" s="43"/>
      <c r="T21" s="43"/>
      <c r="U21" s="43"/>
    </row>
    <row r="22" spans="1:21" s="11" customFormat="1" ht="15">
      <c r="A22" s="53" t="s">
        <v>243</v>
      </c>
      <c r="B22" s="54">
        <v>4.58</v>
      </c>
      <c r="C22" s="54">
        <v>12.41</v>
      </c>
      <c r="D22" s="54">
        <v>16.87</v>
      </c>
      <c r="E22" s="54">
        <v>2.08</v>
      </c>
      <c r="F22" s="54">
        <v>3.10</v>
      </c>
      <c r="G22" s="54">
        <v>7.39</v>
      </c>
      <c r="H22" s="54">
        <v>2.89</v>
      </c>
      <c r="I22" s="54">
        <v>0.12</v>
      </c>
      <c r="J22" s="54">
        <v>0.32</v>
      </c>
      <c r="K22" s="54">
        <v>215.98</v>
      </c>
      <c r="L22" s="54">
        <v>24.95</v>
      </c>
      <c r="M22" s="54">
        <v>96.25</v>
      </c>
      <c r="N22" s="54">
        <v>326.5</v>
      </c>
      <c r="O22" s="54">
        <v>0</v>
      </c>
      <c r="P22" s="54">
        <v>0.27</v>
      </c>
      <c r="Q22" s="54">
        <v>11.59</v>
      </c>
      <c r="R22" s="43"/>
      <c r="S22" s="43"/>
      <c r="T22" s="43"/>
      <c r="U22" s="43"/>
    </row>
    <row r="23" spans="1:21" s="11" customFormat="1" ht="15">
      <c r="A23" s="53" t="s">
        <v>244</v>
      </c>
      <c r="B23" s="54">
        <v>4.58</v>
      </c>
      <c r="C23" s="54">
        <v>11.47</v>
      </c>
      <c r="D23" s="54">
        <v>15.98</v>
      </c>
      <c r="E23" s="54">
        <v>2.0699999999999998</v>
      </c>
      <c r="F23" s="54">
        <v>2.5299999999999998</v>
      </c>
      <c r="G23" s="54">
        <v>10.97</v>
      </c>
      <c r="H23" s="54">
        <v>5.73</v>
      </c>
      <c r="I23" s="54">
        <v>0.12</v>
      </c>
      <c r="J23" s="54">
        <v>0.54</v>
      </c>
      <c r="K23" s="54">
        <v>262.22000000000003</v>
      </c>
      <c r="L23" s="54">
        <v>24.80</v>
      </c>
      <c r="M23" s="54">
        <v>94.25</v>
      </c>
      <c r="N23" s="54">
        <v>259.39999999999998</v>
      </c>
      <c r="O23" s="54">
        <v>0</v>
      </c>
      <c r="P23" s="54">
        <v>0.25</v>
      </c>
      <c r="Q23" s="54">
        <v>11</v>
      </c>
      <c r="R23" s="43"/>
      <c r="S23" s="43"/>
      <c r="T23" s="43"/>
      <c r="U23" s="43"/>
    </row>
    <row r="24" spans="1:21" s="11" customFormat="1" ht="15">
      <c r="A24" s="53" t="s">
        <v>245</v>
      </c>
      <c r="B24" s="54">
        <v>5.57</v>
      </c>
      <c r="C24" s="54">
        <v>10.90</v>
      </c>
      <c r="D24" s="54">
        <v>16.23</v>
      </c>
      <c r="E24" s="54">
        <v>2.14</v>
      </c>
      <c r="F24" s="54">
        <v>2.65</v>
      </c>
      <c r="G24" s="54">
        <v>12.60</v>
      </c>
      <c r="H24" s="54">
        <v>6.79</v>
      </c>
      <c r="I24" s="54">
        <v>0.12</v>
      </c>
      <c r="J24" s="54">
        <v>0.56000000000000005</v>
      </c>
      <c r="K24" s="54">
        <v>188.32</v>
      </c>
      <c r="L24" s="54">
        <v>24.41</v>
      </c>
      <c r="M24" s="54">
        <v>94.71</v>
      </c>
      <c r="N24" s="54">
        <v>202.5</v>
      </c>
      <c r="O24" s="54">
        <v>0</v>
      </c>
      <c r="P24" s="54">
        <v>0.25</v>
      </c>
      <c r="Q24" s="54">
        <v>11.5</v>
      </c>
      <c r="R24" s="43"/>
      <c r="S24" s="43"/>
      <c r="T24" s="43"/>
      <c r="U24" s="43"/>
    </row>
    <row r="25" spans="1:21" s="11" customFormat="1" ht="15">
      <c r="A25" s="53" t="s">
        <v>246</v>
      </c>
      <c r="B25" s="54">
        <v>5.32</v>
      </c>
      <c r="C25" s="54">
        <v>10.89</v>
      </c>
      <c r="D25" s="54">
        <v>15.70</v>
      </c>
      <c r="E25" s="54">
        <v>1.44</v>
      </c>
      <c r="F25" s="54">
        <v>2.66</v>
      </c>
      <c r="G25" s="54">
        <v>11.24</v>
      </c>
      <c r="H25" s="54">
        <v>5.03</v>
      </c>
      <c r="I25" s="54">
        <v>0.12</v>
      </c>
      <c r="J25" s="54">
        <v>0.20</v>
      </c>
      <c r="K25" s="54">
        <v>185.64</v>
      </c>
      <c r="L25" s="54">
        <v>24.24</v>
      </c>
      <c r="M25" s="54">
        <v>91.95</v>
      </c>
      <c r="N25" s="54">
        <v>113.80</v>
      </c>
      <c r="O25" s="54">
        <v>0</v>
      </c>
      <c r="P25" s="54">
        <v>0.25</v>
      </c>
      <c r="Q25" s="54">
        <v>9.17</v>
      </c>
      <c r="R25" s="43"/>
      <c r="S25" s="43"/>
      <c r="T25" s="43"/>
      <c r="U25" s="43"/>
    </row>
    <row r="26" spans="1:21" s="11" customFormat="1" ht="15">
      <c r="A26" s="53" t="s">
        <v>247</v>
      </c>
      <c r="B26" s="54">
        <v>4.78</v>
      </c>
      <c r="C26" s="54">
        <v>12.09</v>
      </c>
      <c r="D26" s="54">
        <v>16.850000000000001</v>
      </c>
      <c r="E26" s="54">
        <v>1.61</v>
      </c>
      <c r="F26" s="54">
        <v>3.37</v>
      </c>
      <c r="G26" s="54">
        <v>11.72</v>
      </c>
      <c r="H26" s="54">
        <v>3.65</v>
      </c>
      <c r="I26" s="54">
        <v>0.11</v>
      </c>
      <c r="J26" s="54">
        <v>0.36</v>
      </c>
      <c r="K26" s="54">
        <v>193.05</v>
      </c>
      <c r="L26" s="54">
        <v>24.21</v>
      </c>
      <c r="M26" s="54">
        <v>93.82</v>
      </c>
      <c r="N26" s="54">
        <v>71.30</v>
      </c>
      <c r="O26" s="54">
        <v>0</v>
      </c>
      <c r="P26" s="54">
        <v>0.27</v>
      </c>
      <c r="Q26" s="54">
        <v>11.54</v>
      </c>
      <c r="R26" s="43"/>
      <c r="S26" s="43"/>
      <c r="T26" s="43"/>
      <c r="U26" s="43"/>
    </row>
    <row r="27" spans="1:21" s="11" customFormat="1" ht="15">
      <c r="A27" s="53" t="s">
        <v>248</v>
      </c>
      <c r="B27" s="54">
        <v>5.63</v>
      </c>
      <c r="C27" s="54">
        <v>12.33</v>
      </c>
      <c r="D27" s="54">
        <v>17.27</v>
      </c>
      <c r="E27" s="54">
        <v>2.09</v>
      </c>
      <c r="F27" s="54">
        <v>3.45</v>
      </c>
      <c r="G27" s="54">
        <v>15.12</v>
      </c>
      <c r="H27" s="54">
        <v>3.71</v>
      </c>
      <c r="I27" s="54">
        <v>0.12</v>
      </c>
      <c r="J27" s="54">
        <v>0.31</v>
      </c>
      <c r="K27" s="54">
        <v>191.08</v>
      </c>
      <c r="L27" s="54">
        <v>23.72</v>
      </c>
      <c r="M27" s="54">
        <v>96.33</v>
      </c>
      <c r="N27" s="54">
        <v>10.5</v>
      </c>
      <c r="O27" s="54">
        <v>0</v>
      </c>
      <c r="P27" s="54">
        <v>0.27</v>
      </c>
      <c r="Q27" s="54">
        <v>12.72</v>
      </c>
      <c r="R27" s="43"/>
      <c r="S27" s="43"/>
      <c r="T27" s="43"/>
      <c r="U27" s="43"/>
    </row>
    <row r="28" spans="1:21" s="11" customFormat="1" ht="15">
      <c r="A28" s="53" t="s">
        <v>249</v>
      </c>
      <c r="B28" s="54">
        <v>5.75</v>
      </c>
      <c r="C28" s="54">
        <v>14.61</v>
      </c>
      <c r="D28" s="54">
        <v>20.350000000000001</v>
      </c>
      <c r="E28" s="54">
        <v>1.93</v>
      </c>
      <c r="F28" s="54">
        <v>4.34</v>
      </c>
      <c r="G28" s="54">
        <v>16.11</v>
      </c>
      <c r="H28" s="54">
        <v>4.17</v>
      </c>
      <c r="I28" s="54">
        <v>0.12</v>
      </c>
      <c r="J28" s="54">
        <v>0.46</v>
      </c>
      <c r="K28" s="54">
        <v>184.85</v>
      </c>
      <c r="L28" s="54">
        <v>23.34</v>
      </c>
      <c r="M28" s="54">
        <v>96.12</v>
      </c>
      <c r="N28" s="54">
        <v>9</v>
      </c>
      <c r="O28" s="54">
        <v>0</v>
      </c>
      <c r="P28" s="54">
        <v>0.33</v>
      </c>
      <c r="Q28" s="54">
        <v>10.27</v>
      </c>
      <c r="R28" s="43"/>
      <c r="S28" s="43"/>
      <c r="T28" s="43"/>
      <c r="U28" s="43"/>
    </row>
    <row r="29" spans="1:21" s="11" customFormat="1" ht="15">
      <c r="A29" s="53" t="s">
        <v>250</v>
      </c>
      <c r="B29" s="54">
        <v>5.20</v>
      </c>
      <c r="C29" s="54">
        <v>11.77</v>
      </c>
      <c r="D29" s="54">
        <v>16.78</v>
      </c>
      <c r="E29" s="54">
        <v>1.65</v>
      </c>
      <c r="F29" s="54">
        <v>5.51</v>
      </c>
      <c r="G29" s="54">
        <v>17.03</v>
      </c>
      <c r="H29" s="54">
        <v>4.12</v>
      </c>
      <c r="I29" s="54">
        <v>0.12</v>
      </c>
      <c r="J29" s="54">
        <v>0.30</v>
      </c>
      <c r="K29" s="54">
        <v>192.71</v>
      </c>
      <c r="L29" s="54">
        <v>23.43</v>
      </c>
      <c r="M29" s="54">
        <v>95.91</v>
      </c>
      <c r="N29" s="54">
        <v>9.10</v>
      </c>
      <c r="O29" s="54">
        <v>0</v>
      </c>
      <c r="P29" s="54">
        <v>0.31</v>
      </c>
      <c r="Q29" s="54">
        <v>13.20</v>
      </c>
      <c r="R29" s="43"/>
      <c r="S29" s="43"/>
      <c r="T29" s="43"/>
      <c r="U29" s="43"/>
    </row>
    <row r="30" spans="1:21" s="11" customFormat="1" ht="15">
      <c r="A30" s="53" t="s">
        <v>251</v>
      </c>
      <c r="B30" s="54">
        <v>5.30</v>
      </c>
      <c r="C30" s="54">
        <v>11.89</v>
      </c>
      <c r="D30" s="54">
        <v>17.20</v>
      </c>
      <c r="E30" s="54">
        <v>1.87</v>
      </c>
      <c r="F30" s="54">
        <v>3.85</v>
      </c>
      <c r="G30" s="54">
        <v>17.170000000000002</v>
      </c>
      <c r="H30" s="54">
        <v>4.83</v>
      </c>
      <c r="I30" s="54">
        <v>0.12</v>
      </c>
      <c r="J30" s="54">
        <v>0.28999999999999998</v>
      </c>
      <c r="K30" s="54">
        <v>198.40</v>
      </c>
      <c r="L30" s="54">
        <v>23.37</v>
      </c>
      <c r="M30" s="54">
        <v>98.47</v>
      </c>
      <c r="N30" s="54">
        <v>9.10</v>
      </c>
      <c r="O30" s="54">
        <v>0</v>
      </c>
      <c r="P30" s="54">
        <v>0.31</v>
      </c>
      <c r="Q30" s="54">
        <v>13.76</v>
      </c>
      <c r="R30" s="43"/>
      <c r="S30" s="43"/>
      <c r="T30" s="43"/>
      <c r="U30" s="43"/>
    </row>
    <row r="31" spans="1:21" s="11" customFormat="1" ht="15">
      <c r="A31" s="53" t="s">
        <v>252</v>
      </c>
      <c r="B31" s="54">
        <v>4.8899999999999997</v>
      </c>
      <c r="C31" s="54">
        <v>10.16</v>
      </c>
      <c r="D31" s="54">
        <v>15.05</v>
      </c>
      <c r="E31" s="54">
        <v>2.13</v>
      </c>
      <c r="F31" s="54">
        <v>2.93</v>
      </c>
      <c r="G31" s="54">
        <v>18.29</v>
      </c>
      <c r="H31" s="54">
        <v>7.03</v>
      </c>
      <c r="I31" s="54">
        <v>0.12</v>
      </c>
      <c r="J31" s="54">
        <v>0.31</v>
      </c>
      <c r="K31" s="54">
        <v>192.47</v>
      </c>
      <c r="L31" s="54">
        <v>22.89</v>
      </c>
      <c r="M31" s="54">
        <v>98.60</v>
      </c>
      <c r="N31" s="54">
        <v>9.10</v>
      </c>
      <c r="O31" s="54">
        <v>0</v>
      </c>
      <c r="P31" s="54">
        <v>0.30</v>
      </c>
      <c r="Q31" s="54">
        <v>12.33</v>
      </c>
      <c r="R31" s="43"/>
      <c r="S31" s="43"/>
      <c r="T31" s="43"/>
      <c r="U31" s="43"/>
    </row>
    <row r="32" spans="1:21" s="11" customFormat="1" ht="15">
      <c r="A32" s="53" t="s">
        <v>253</v>
      </c>
      <c r="B32" s="54">
        <v>4.5999999999999996</v>
      </c>
      <c r="C32" s="54">
        <v>8.91</v>
      </c>
      <c r="D32" s="54">
        <v>13.47</v>
      </c>
      <c r="E32" s="54">
        <v>1.79</v>
      </c>
      <c r="F32" s="54">
        <v>4.12</v>
      </c>
      <c r="G32" s="54">
        <v>19.21</v>
      </c>
      <c r="H32" s="54">
        <v>7.87</v>
      </c>
      <c r="I32" s="54">
        <v>0.12</v>
      </c>
      <c r="J32" s="54">
        <v>0.38</v>
      </c>
      <c r="K32" s="54">
        <v>205.04</v>
      </c>
      <c r="L32" s="54">
        <v>22.64</v>
      </c>
      <c r="M32" s="54">
        <v>98.58</v>
      </c>
      <c r="N32" s="54">
        <v>9.10</v>
      </c>
      <c r="O32" s="54">
        <v>0</v>
      </c>
      <c r="P32" s="54">
        <v>0.28000000000000003</v>
      </c>
      <c r="Q32" s="54">
        <v>14.31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4.54</v>
      </c>
      <c r="C34" s="28">
        <f t="shared" si="0"/>
        <v>7.8700000000000001</v>
      </c>
      <c r="D34" s="28">
        <f t="shared" si="0"/>
        <v>12.449999999999999</v>
      </c>
      <c r="E34" s="28">
        <f t="shared" si="0"/>
        <v>1.3500000000000001</v>
      </c>
      <c r="F34" s="28">
        <f t="shared" si="0"/>
        <v>1.97</v>
      </c>
      <c r="G34" s="28">
        <f t="shared" si="0"/>
        <v>7.0499999999999998</v>
      </c>
      <c r="H34" s="28">
        <f t="shared" si="0"/>
        <v>2.7400000000000002</v>
      </c>
      <c r="I34" s="28">
        <f t="shared" si="0"/>
        <v>0.11</v>
      </c>
      <c r="J34" s="28">
        <f t="shared" si="0"/>
        <v>0.17999999999999999</v>
      </c>
      <c r="K34" s="28">
        <f t="shared" si="0"/>
        <v>152.5</v>
      </c>
      <c r="L34" s="28">
        <f t="shared" si="0"/>
        <v>22.309999999999999</v>
      </c>
      <c r="M34" s="28">
        <f t="shared" si="0"/>
        <v>91.950000000000003</v>
      </c>
      <c r="N34" s="28">
        <f t="shared" si="0"/>
        <v>8.8000000000000007</v>
      </c>
      <c r="O34" s="28">
        <f t="shared" si="0"/>
        <v>0</v>
      </c>
      <c r="P34" s="28">
        <f t="shared" si="0"/>
        <v>0.25</v>
      </c>
      <c r="Q34" s="28">
        <f t="shared" si="0"/>
        <v>9.1699999999999999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9.1899999999999995</v>
      </c>
      <c r="C35" s="29">
        <f t="shared" si="1"/>
        <v>15.24</v>
      </c>
      <c r="D35" s="29">
        <f t="shared" si="1"/>
        <v>24.43</v>
      </c>
      <c r="E35" s="29">
        <f t="shared" si="1"/>
        <v>2.9199999999999999</v>
      </c>
      <c r="F35" s="29">
        <f t="shared" si="1"/>
        <v>5.8499999999999996</v>
      </c>
      <c r="G35" s="29">
        <f t="shared" si="1"/>
        <v>19.210000000000001</v>
      </c>
      <c r="H35" s="29">
        <f t="shared" si="1"/>
        <v>7.8700000000000001</v>
      </c>
      <c r="I35" s="29">
        <f t="shared" si="1"/>
        <v>0.13</v>
      </c>
      <c r="J35" s="29">
        <f t="shared" si="1"/>
        <v>1.4299999999999999</v>
      </c>
      <c r="K35" s="29">
        <f t="shared" si="1"/>
        <v>283.32999999999998</v>
      </c>
      <c r="L35" s="29">
        <f t="shared" si="1"/>
        <v>25.699999999999999</v>
      </c>
      <c r="M35" s="29">
        <f t="shared" si="1"/>
        <v>98.629999999999995</v>
      </c>
      <c r="N35" s="29">
        <f t="shared" si="1"/>
        <v>771</v>
      </c>
      <c r="O35" s="29">
        <f t="shared" si="1"/>
        <v>0</v>
      </c>
      <c r="P35" s="29">
        <f t="shared" si="1"/>
        <v>0.38</v>
      </c>
      <c r="Q35" s="29">
        <f t="shared" si="1"/>
        <v>19.02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5.5829166666666659</v>
      </c>
      <c r="C36" s="28">
        <f t="shared" si="2"/>
        <v>10.813750000000001</v>
      </c>
      <c r="D36" s="28">
        <f t="shared" si="2"/>
        <v>16.21541666666667</v>
      </c>
      <c r="E36" s="28">
        <f t="shared" si="2"/>
        <v>1.9437499999999999</v>
      </c>
      <c r="F36" s="28">
        <f t="shared" si="2"/>
        <v>3.4691666666666663</v>
      </c>
      <c r="G36" s="28">
        <f t="shared" si="2"/>
        <v>12.067083333333334</v>
      </c>
      <c r="H36" s="28">
        <f t="shared" si="2"/>
        <v>4.786666666666668</v>
      </c>
      <c r="I36" s="28">
        <f t="shared" si="2"/>
        <v>0.12333333333333336</v>
      </c>
      <c r="J36" s="28">
        <f t="shared" si="2"/>
        <v>0.46083333333333337</v>
      </c>
      <c r="K36" s="28">
        <f t="shared" si="2"/>
        <v>201.04458333333332</v>
      </c>
      <c r="L36" s="28">
        <f t="shared" si="2"/>
        <v>23.55875</v>
      </c>
      <c r="M36" s="28">
        <f t="shared" si="2"/>
        <v>97.074166666666656</v>
      </c>
      <c r="N36" s="28">
        <f t="shared" si="2"/>
        <v>142.98750000000001</v>
      </c>
      <c r="O36" s="28">
        <f t="shared" si="2"/>
        <v>0</v>
      </c>
      <c r="P36" s="28">
        <f t="shared" si="2"/>
        <v>0.2820833333333333</v>
      </c>
      <c r="Q36" s="28">
        <f t="shared" si="2"/>
        <v>15.084166666666668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1.0952326700063701</v>
      </c>
      <c r="C37" s="28">
        <f t="shared" si="3" ref="C37:Q37">STDEV(C9:C32)</f>
        <v>1.9125894409321671</v>
      </c>
      <c r="D37" s="28">
        <f t="shared" si="3"/>
        <v>2.6234212298590704</v>
      </c>
      <c r="E37" s="28">
        <f t="shared" si="3"/>
        <v>0.36650894170241749</v>
      </c>
      <c r="F37" s="28">
        <f t="shared" si="3"/>
        <v>1.0213755288895929</v>
      </c>
      <c r="G37" s="28">
        <f t="shared" si="3"/>
        <v>3.4123311924059583</v>
      </c>
      <c r="H37" s="28">
        <f t="shared" si="3"/>
        <v>1.5473530461001306</v>
      </c>
      <c r="I37" s="28">
        <f t="shared" si="3"/>
        <v>0.0056465970257328036</v>
      </c>
      <c r="J37" s="28">
        <f t="shared" si="3"/>
        <v>0.31959099767844129</v>
      </c>
      <c r="K37" s="28">
        <f t="shared" si="3"/>
        <v>32.088306007446725</v>
      </c>
      <c r="L37" s="28">
        <f t="shared" si="3"/>
        <v>1.0341781551172597</v>
      </c>
      <c r="M37" s="28">
        <f t="shared" si="3"/>
        <v>1.9390807249753714</v>
      </c>
      <c r="N37" s="28">
        <f t="shared" si="3"/>
        <v>197.06272078684248</v>
      </c>
      <c r="O37" s="28">
        <f t="shared" si="3"/>
        <v>0</v>
      </c>
      <c r="P37" s="28">
        <f t="shared" si="3"/>
        <v>0.031343700104357421</v>
      </c>
      <c r="Q37" s="28">
        <f t="shared" si="3"/>
        <v>3.1475165043137423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38643f5-431f-4f76-97f9-380d913f545e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68" sqref="H68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09-09-2023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254</v>
      </c>
      <c r="B9" s="54">
        <v>4.6900000000000004</v>
      </c>
      <c r="C9" s="54">
        <v>8.75</v>
      </c>
      <c r="D9" s="54">
        <v>13.40</v>
      </c>
      <c r="E9" s="54">
        <v>1.1499999999999999</v>
      </c>
      <c r="F9" s="54">
        <v>3.26</v>
      </c>
      <c r="G9" s="54">
        <v>15.93</v>
      </c>
      <c r="H9" s="54">
        <v>5.99</v>
      </c>
      <c r="I9" s="54">
        <v>0.12</v>
      </c>
      <c r="J9" s="54">
        <v>0.23</v>
      </c>
      <c r="K9" s="54">
        <v>202.84</v>
      </c>
      <c r="L9" s="54">
        <v>22.58</v>
      </c>
      <c r="M9" s="54">
        <v>98.59</v>
      </c>
      <c r="N9" s="54">
        <v>9.10</v>
      </c>
      <c r="O9" s="54">
        <v>0</v>
      </c>
      <c r="P9" s="54">
        <v>0.26</v>
      </c>
      <c r="Q9" s="54">
        <v>14.71</v>
      </c>
      <c r="R9" s="43"/>
      <c r="S9" s="43"/>
      <c r="T9" s="43"/>
      <c r="U9" s="43"/>
    </row>
    <row r="10" spans="1:21" s="11" customFormat="1" ht="15">
      <c r="A10" s="53" t="s">
        <v>255</v>
      </c>
      <c r="B10" s="54">
        <v>4.57</v>
      </c>
      <c r="C10" s="54">
        <v>8.24</v>
      </c>
      <c r="D10" s="54">
        <v>12.72</v>
      </c>
      <c r="E10" s="54">
        <v>1.20</v>
      </c>
      <c r="F10" s="54">
        <v>4.8899999999999997</v>
      </c>
      <c r="G10" s="54">
        <v>11.39</v>
      </c>
      <c r="H10" s="54">
        <v>4.63</v>
      </c>
      <c r="I10" s="54">
        <v>0.12</v>
      </c>
      <c r="J10" s="54">
        <v>0.77</v>
      </c>
      <c r="K10" s="54">
        <v>174.75</v>
      </c>
      <c r="L10" s="54">
        <v>22.57</v>
      </c>
      <c r="M10" s="54">
        <v>98.60</v>
      </c>
      <c r="N10" s="54">
        <v>9.10</v>
      </c>
      <c r="O10" s="54">
        <v>0</v>
      </c>
      <c r="P10" s="54">
        <v>0.24</v>
      </c>
      <c r="Q10" s="54">
        <v>14.37</v>
      </c>
      <c r="R10" s="43"/>
      <c r="S10" s="43"/>
      <c r="T10" s="43"/>
      <c r="U10" s="43"/>
    </row>
    <row r="11" spans="1:21" s="11" customFormat="1" ht="15">
      <c r="A11" s="53" t="s">
        <v>256</v>
      </c>
      <c r="B11" s="54">
        <v>4.83</v>
      </c>
      <c r="C11" s="54">
        <v>8.90</v>
      </c>
      <c r="D11" s="54">
        <v>13.59</v>
      </c>
      <c r="E11" s="54">
        <v>1.51</v>
      </c>
      <c r="F11" s="54">
        <v>5.26</v>
      </c>
      <c r="G11" s="54">
        <v>11.25</v>
      </c>
      <c r="H11" s="54">
        <v>4.80</v>
      </c>
      <c r="I11" s="54">
        <v>0.12</v>
      </c>
      <c r="J11" s="54">
        <v>0.68</v>
      </c>
      <c r="K11" s="54">
        <v>158.22</v>
      </c>
      <c r="L11" s="54">
        <v>22.53</v>
      </c>
      <c r="M11" s="54">
        <v>98.62</v>
      </c>
      <c r="N11" s="54">
        <v>9.10</v>
      </c>
      <c r="O11" s="54">
        <v>0</v>
      </c>
      <c r="P11" s="54">
        <v>0.23</v>
      </c>
      <c r="Q11" s="54">
        <v>17.41</v>
      </c>
      <c r="R11" s="43"/>
      <c r="S11" s="43"/>
      <c r="T11" s="43"/>
      <c r="U11" s="43"/>
    </row>
    <row r="12" spans="1:21" s="11" customFormat="1" ht="15">
      <c r="A12" s="53" t="s">
        <v>257</v>
      </c>
      <c r="B12" s="54">
        <v>5.55</v>
      </c>
      <c r="C12" s="54">
        <v>8.11</v>
      </c>
      <c r="D12" s="54">
        <v>13.5</v>
      </c>
      <c r="E12" s="54">
        <v>1.75</v>
      </c>
      <c r="F12" s="54">
        <v>2.21</v>
      </c>
      <c r="G12" s="54">
        <v>12.85</v>
      </c>
      <c r="H12" s="54">
        <v>5.36</v>
      </c>
      <c r="I12" s="54">
        <v>0.13</v>
      </c>
      <c r="J12" s="54">
        <v>0.84</v>
      </c>
      <c r="K12" s="54">
        <v>157.16</v>
      </c>
      <c r="L12" s="54">
        <v>22.54</v>
      </c>
      <c r="M12" s="54">
        <v>98.62</v>
      </c>
      <c r="N12" s="54">
        <v>9.10</v>
      </c>
      <c r="O12" s="54">
        <v>0</v>
      </c>
      <c r="P12" s="54">
        <v>0.24</v>
      </c>
      <c r="Q12" s="54">
        <v>17.63</v>
      </c>
      <c r="R12" s="43"/>
      <c r="S12" s="43"/>
      <c r="T12" s="43"/>
      <c r="U12" s="43"/>
    </row>
    <row r="13" spans="1:21" s="11" customFormat="1" ht="15">
      <c r="A13" s="53" t="s">
        <v>258</v>
      </c>
      <c r="B13" s="54">
        <v>5.64</v>
      </c>
      <c r="C13" s="54">
        <v>7.82</v>
      </c>
      <c r="D13" s="54">
        <v>13.18</v>
      </c>
      <c r="E13" s="54">
        <v>0.79</v>
      </c>
      <c r="F13" s="54">
        <v>2.76</v>
      </c>
      <c r="G13" s="54">
        <v>9.59</v>
      </c>
      <c r="H13" s="54">
        <v>4.1100000000000003</v>
      </c>
      <c r="I13" s="54">
        <v>0.12</v>
      </c>
      <c r="J13" s="54">
        <v>0.96</v>
      </c>
      <c r="K13" s="54">
        <v>158.97</v>
      </c>
      <c r="L13" s="54">
        <v>22.43</v>
      </c>
      <c r="M13" s="54">
        <v>98.60</v>
      </c>
      <c r="N13" s="54">
        <v>9.10</v>
      </c>
      <c r="O13" s="54">
        <v>0</v>
      </c>
      <c r="P13" s="54">
        <v>0.22</v>
      </c>
      <c r="Q13" s="54">
        <v>16.420000000000002</v>
      </c>
      <c r="R13" s="43"/>
      <c r="S13" s="43"/>
      <c r="T13" s="43"/>
      <c r="U13" s="43"/>
    </row>
    <row r="14" spans="1:21" s="11" customFormat="1" ht="15">
      <c r="A14" s="53" t="s">
        <v>259</v>
      </c>
      <c r="B14" s="54">
        <v>7.47</v>
      </c>
      <c r="C14" s="54">
        <v>12.32</v>
      </c>
      <c r="D14" s="54">
        <v>19.79</v>
      </c>
      <c r="E14" s="54">
        <v>0.54</v>
      </c>
      <c r="F14" s="54">
        <v>2.69</v>
      </c>
      <c r="G14" s="54">
        <v>10.72</v>
      </c>
      <c r="H14" s="54">
        <v>3.79</v>
      </c>
      <c r="I14" s="54">
        <v>0.13</v>
      </c>
      <c r="J14" s="54">
        <v>1</v>
      </c>
      <c r="K14" s="54">
        <v>171.73</v>
      </c>
      <c r="L14" s="54">
        <v>22.47</v>
      </c>
      <c r="M14" s="54">
        <v>98.62</v>
      </c>
      <c r="N14" s="54">
        <v>16.899999999999999</v>
      </c>
      <c r="O14" s="54">
        <v>0</v>
      </c>
      <c r="P14" s="54">
        <v>0.23</v>
      </c>
      <c r="Q14" s="54">
        <v>18.059999999999999</v>
      </c>
      <c r="R14" s="43"/>
      <c r="S14" s="43"/>
      <c r="T14" s="43"/>
      <c r="U14" s="43"/>
    </row>
    <row r="15" spans="1:21" s="11" customFormat="1" ht="15">
      <c r="A15" s="53" t="s">
        <v>260</v>
      </c>
      <c r="B15" s="54">
        <v>7.62</v>
      </c>
      <c r="C15" s="54">
        <v>10.52</v>
      </c>
      <c r="D15" s="54">
        <v>17.97</v>
      </c>
      <c r="E15" s="54">
        <v>0.96</v>
      </c>
      <c r="F15" s="54">
        <v>1.59</v>
      </c>
      <c r="G15" s="54">
        <v>11.80</v>
      </c>
      <c r="H15" s="54">
        <v>4.91</v>
      </c>
      <c r="I15" s="54">
        <v>0.12</v>
      </c>
      <c r="J15" s="54">
        <v>1.05</v>
      </c>
      <c r="K15" s="54">
        <v>156.19999999999999</v>
      </c>
      <c r="L15" s="54">
        <v>22.91</v>
      </c>
      <c r="M15" s="54">
        <v>98.60</v>
      </c>
      <c r="N15" s="54">
        <v>117</v>
      </c>
      <c r="O15" s="54">
        <v>0</v>
      </c>
      <c r="P15" s="54">
        <v>0.23</v>
      </c>
      <c r="Q15" s="54">
        <v>17.82</v>
      </c>
      <c r="R15" s="43"/>
      <c r="S15" s="43"/>
      <c r="T15" s="43"/>
      <c r="U15" s="43"/>
    </row>
    <row r="16" spans="1:21" s="11" customFormat="1" ht="15">
      <c r="A16" s="53" t="s">
        <v>261</v>
      </c>
      <c r="B16" s="54">
        <v>7.59</v>
      </c>
      <c r="C16" s="54">
        <v>9.35</v>
      </c>
      <c r="D16" s="54">
        <v>16.45</v>
      </c>
      <c r="E16" s="54">
        <v>1.76</v>
      </c>
      <c r="F16" s="54">
        <v>2.27</v>
      </c>
      <c r="G16" s="54">
        <v>11.02</v>
      </c>
      <c r="H16" s="54">
        <v>5.14</v>
      </c>
      <c r="I16" s="54">
        <v>0.12</v>
      </c>
      <c r="J16" s="54">
        <v>0.42</v>
      </c>
      <c r="K16" s="54">
        <v>182.08</v>
      </c>
      <c r="L16" s="54">
        <v>23.46</v>
      </c>
      <c r="M16" s="54">
        <v>97.74</v>
      </c>
      <c r="N16" s="54">
        <v>149.19999999999999</v>
      </c>
      <c r="O16" s="54">
        <v>0</v>
      </c>
      <c r="P16" s="54">
        <v>0.24</v>
      </c>
      <c r="Q16" s="54">
        <v>16.809999999999999</v>
      </c>
      <c r="R16" s="43"/>
      <c r="S16" s="43"/>
      <c r="T16" s="43"/>
      <c r="U16" s="43"/>
    </row>
    <row r="17" spans="1:21" s="11" customFormat="1" ht="15">
      <c r="A17" s="53" t="s">
        <v>262</v>
      </c>
      <c r="B17" s="54">
        <v>7</v>
      </c>
      <c r="C17" s="54">
        <v>9.7100000000000009</v>
      </c>
      <c r="D17" s="54">
        <v>16.71</v>
      </c>
      <c r="E17" s="54">
        <v>3.24</v>
      </c>
      <c r="F17" s="54">
        <v>2.27</v>
      </c>
      <c r="G17" s="54">
        <v>14.60</v>
      </c>
      <c r="H17" s="54">
        <v>4.2300000000000004</v>
      </c>
      <c r="I17" s="54">
        <v>0.12</v>
      </c>
      <c r="J17" s="54">
        <v>0.28999999999999998</v>
      </c>
      <c r="K17" s="54">
        <v>195.33</v>
      </c>
      <c r="L17" s="54">
        <v>24.53</v>
      </c>
      <c r="M17" s="54">
        <v>92.93</v>
      </c>
      <c r="N17" s="54">
        <v>318.39999999999998</v>
      </c>
      <c r="O17" s="54">
        <v>0</v>
      </c>
      <c r="P17" s="54">
        <v>0.26</v>
      </c>
      <c r="Q17" s="54">
        <v>17.52</v>
      </c>
      <c r="R17" s="43"/>
      <c r="S17" s="43"/>
      <c r="T17" s="43"/>
      <c r="U17" s="43"/>
    </row>
    <row r="18" spans="1:21" s="11" customFormat="1" ht="15">
      <c r="A18" s="53" t="s">
        <v>263</v>
      </c>
      <c r="B18" s="54">
        <v>5.57</v>
      </c>
      <c r="C18" s="54">
        <v>10.84</v>
      </c>
      <c r="D18" s="54">
        <v>15.79</v>
      </c>
      <c r="E18" s="54">
        <v>2.82</v>
      </c>
      <c r="F18" s="54">
        <v>2.66</v>
      </c>
      <c r="G18" s="54">
        <v>17.25</v>
      </c>
      <c r="H18" s="54">
        <v>4.91</v>
      </c>
      <c r="I18" s="54">
        <v>0.12</v>
      </c>
      <c r="J18" s="54">
        <v>0.39</v>
      </c>
      <c r="K18" s="54">
        <v>178.84</v>
      </c>
      <c r="L18" s="54">
        <v>24.88</v>
      </c>
      <c r="M18" s="54">
        <v>88.15</v>
      </c>
      <c r="N18" s="54">
        <v>357.10</v>
      </c>
      <c r="O18" s="54">
        <v>0</v>
      </c>
      <c r="P18" s="54">
        <v>0.25</v>
      </c>
      <c r="Q18" s="54">
        <v>15.43</v>
      </c>
      <c r="R18" s="43"/>
      <c r="S18" s="43"/>
      <c r="T18" s="43"/>
      <c r="U18" s="43"/>
    </row>
    <row r="19" spans="1:21" s="11" customFormat="1" ht="15">
      <c r="A19" s="53" t="s">
        <v>264</v>
      </c>
      <c r="B19" s="54">
        <v>4.6399999999999997</v>
      </c>
      <c r="C19" s="54">
        <v>9.86</v>
      </c>
      <c r="D19" s="54">
        <v>14.41</v>
      </c>
      <c r="E19" s="54">
        <v>2.58</v>
      </c>
      <c r="F19" s="54">
        <v>3.42</v>
      </c>
      <c r="G19" s="54">
        <v>13.46</v>
      </c>
      <c r="H19" s="54">
        <v>5.14</v>
      </c>
      <c r="I19" s="54">
        <v>0.12</v>
      </c>
      <c r="J19" s="54">
        <v>0.32</v>
      </c>
      <c r="K19" s="54">
        <v>191.25</v>
      </c>
      <c r="L19" s="54">
        <v>25.67</v>
      </c>
      <c r="M19" s="54">
        <v>86.82</v>
      </c>
      <c r="N19" s="54">
        <v>316.80</v>
      </c>
      <c r="O19" s="54">
        <v>0</v>
      </c>
      <c r="P19" s="54">
        <v>0.26</v>
      </c>
      <c r="Q19" s="54">
        <v>12.16</v>
      </c>
      <c r="R19" s="43"/>
      <c r="S19" s="43"/>
      <c r="T19" s="43"/>
      <c r="U19" s="43"/>
    </row>
    <row r="20" spans="1:21" s="11" customFormat="1" ht="15">
      <c r="A20" s="53" t="s">
        <v>265</v>
      </c>
      <c r="B20" s="54">
        <v>4.6399999999999997</v>
      </c>
      <c r="C20" s="54">
        <v>10.32</v>
      </c>
      <c r="D20" s="54">
        <v>14.96</v>
      </c>
      <c r="E20" s="54">
        <v>2.71</v>
      </c>
      <c r="F20" s="54">
        <v>4.99</v>
      </c>
      <c r="G20" s="54">
        <v>14.47</v>
      </c>
      <c r="H20" s="54">
        <v>4.13</v>
      </c>
      <c r="I20" s="54">
        <v>0.12</v>
      </c>
      <c r="J20" s="54">
        <v>0.56999999999999995</v>
      </c>
      <c r="K20" s="54">
        <v>183.90</v>
      </c>
      <c r="L20" s="54">
        <v>25.65</v>
      </c>
      <c r="M20" s="54">
        <v>90.25</v>
      </c>
      <c r="N20" s="54">
        <v>321.89999999999998</v>
      </c>
      <c r="O20" s="54">
        <v>0</v>
      </c>
      <c r="P20" s="54">
        <v>0.28000000000000003</v>
      </c>
      <c r="Q20" s="54">
        <v>14</v>
      </c>
      <c r="R20" s="43"/>
      <c r="S20" s="43"/>
      <c r="T20" s="43"/>
      <c r="U20" s="43"/>
    </row>
    <row r="21" spans="1:21" s="11" customFormat="1" ht="15">
      <c r="A21" s="53" t="s">
        <v>266</v>
      </c>
      <c r="B21" s="54">
        <v>5.99</v>
      </c>
      <c r="C21" s="54">
        <v>13.11</v>
      </c>
      <c r="D21" s="54">
        <v>19.100000000000001</v>
      </c>
      <c r="E21" s="54">
        <v>0.80</v>
      </c>
      <c r="F21" s="54">
        <v>5.93</v>
      </c>
      <c r="G21" s="54">
        <v>15.24</v>
      </c>
      <c r="H21" s="54">
        <v>4.24</v>
      </c>
      <c r="I21" s="54">
        <v>0.12</v>
      </c>
      <c r="J21" s="54">
        <v>0.40</v>
      </c>
      <c r="K21" s="54">
        <v>153.91999999999999</v>
      </c>
      <c r="L21" s="54">
        <v>26.35</v>
      </c>
      <c r="M21" s="54">
        <v>87.47</v>
      </c>
      <c r="N21" s="54">
        <v>398.70</v>
      </c>
      <c r="O21" s="54">
        <v>0</v>
      </c>
      <c r="P21" s="54">
        <v>0.28000000000000003</v>
      </c>
      <c r="Q21" s="54">
        <v>13.47</v>
      </c>
      <c r="R21" s="43"/>
      <c r="S21" s="43"/>
      <c r="T21" s="43"/>
      <c r="U21" s="43"/>
    </row>
    <row r="22" spans="1:21" s="11" customFormat="1" ht="15">
      <c r="A22" s="53" t="s">
        <v>267</v>
      </c>
      <c r="B22" s="54">
        <v>4.51</v>
      </c>
      <c r="C22" s="54">
        <v>9.74</v>
      </c>
      <c r="D22" s="54">
        <v>14.04</v>
      </c>
      <c r="E22" s="54">
        <v>0.99</v>
      </c>
      <c r="F22" s="54">
        <v>5.1100000000000003</v>
      </c>
      <c r="G22" s="54">
        <v>16.68</v>
      </c>
      <c r="H22" s="54">
        <v>4.0199999999999996</v>
      </c>
      <c r="I22" s="54">
        <v>0.12</v>
      </c>
      <c r="J22" s="54">
        <v>0.53</v>
      </c>
      <c r="K22" s="54">
        <v>179.93</v>
      </c>
      <c r="L22" s="54">
        <v>27.49</v>
      </c>
      <c r="M22" s="54">
        <v>80.959999999999994</v>
      </c>
      <c r="N22" s="54">
        <v>529.40</v>
      </c>
      <c r="O22" s="54">
        <v>0</v>
      </c>
      <c r="P22" s="54">
        <v>0.28000000000000003</v>
      </c>
      <c r="Q22" s="54">
        <v>13.08</v>
      </c>
      <c r="R22" s="43"/>
      <c r="S22" s="43"/>
      <c r="T22" s="43"/>
      <c r="U22" s="43"/>
    </row>
    <row r="23" spans="1:21" s="11" customFormat="1" ht="15">
      <c r="A23" s="53" t="s">
        <v>268</v>
      </c>
      <c r="B23" s="54">
        <v>4.55</v>
      </c>
      <c r="C23" s="54">
        <v>10.07</v>
      </c>
      <c r="D23" s="54">
        <v>14.62</v>
      </c>
      <c r="E23" s="54">
        <v>0.96</v>
      </c>
      <c r="F23" s="54">
        <v>4.2300000000000004</v>
      </c>
      <c r="G23" s="54">
        <v>13.05</v>
      </c>
      <c r="H23" s="54">
        <v>4.3099999999999996</v>
      </c>
      <c r="I23" s="54">
        <v>0.12</v>
      </c>
      <c r="J23" s="54">
        <v>0.21</v>
      </c>
      <c r="K23" s="54">
        <v>236.26</v>
      </c>
      <c r="L23" s="54">
        <v>27.30</v>
      </c>
      <c r="M23" s="54">
        <v>76.70</v>
      </c>
      <c r="N23" s="54">
        <v>337.80</v>
      </c>
      <c r="O23" s="54">
        <v>0</v>
      </c>
      <c r="P23" s="54">
        <v>0.28999999999999998</v>
      </c>
      <c r="Q23" s="54">
        <v>14.12</v>
      </c>
      <c r="R23" s="43"/>
      <c r="S23" s="43"/>
      <c r="T23" s="43"/>
      <c r="U23" s="43"/>
    </row>
    <row r="24" spans="1:21" s="11" customFormat="1" ht="15">
      <c r="A24" s="53" t="s">
        <v>269</v>
      </c>
      <c r="B24" s="54">
        <v>4.6399999999999997</v>
      </c>
      <c r="C24" s="54">
        <v>11.72</v>
      </c>
      <c r="D24" s="54">
        <v>16.350000000000001</v>
      </c>
      <c r="E24" s="54">
        <v>1.17</v>
      </c>
      <c r="F24" s="54">
        <v>3.47</v>
      </c>
      <c r="G24" s="54">
        <v>15.17</v>
      </c>
      <c r="H24" s="54">
        <v>6.30</v>
      </c>
      <c r="I24" s="54">
        <v>0.12</v>
      </c>
      <c r="J24" s="54">
        <v>0.22</v>
      </c>
      <c r="K24" s="54">
        <v>198.62</v>
      </c>
      <c r="L24" s="54">
        <v>26.70</v>
      </c>
      <c r="M24" s="54">
        <v>82.62</v>
      </c>
      <c r="N24" s="54">
        <v>186.40</v>
      </c>
      <c r="O24" s="54">
        <v>0</v>
      </c>
      <c r="P24" s="54">
        <v>0.28000000000000003</v>
      </c>
      <c r="Q24" s="54">
        <v>12.39</v>
      </c>
      <c r="R24" s="43"/>
      <c r="S24" s="43"/>
      <c r="T24" s="43"/>
      <c r="U24" s="43"/>
    </row>
    <row r="25" spans="1:21" s="11" customFormat="1" ht="15">
      <c r="A25" s="53" t="s">
        <v>270</v>
      </c>
      <c r="B25" s="54">
        <v>4.49</v>
      </c>
      <c r="C25" s="54">
        <v>13.12</v>
      </c>
      <c r="D25" s="54">
        <v>17.600000000000001</v>
      </c>
      <c r="E25" s="54">
        <v>1.95</v>
      </c>
      <c r="F25" s="54">
        <v>6.86</v>
      </c>
      <c r="G25" s="54">
        <v>17.66</v>
      </c>
      <c r="H25" s="54">
        <v>7.44</v>
      </c>
      <c r="I25" s="54">
        <v>0.12</v>
      </c>
      <c r="J25" s="54">
        <v>0.14000000000000001</v>
      </c>
      <c r="K25" s="54">
        <v>131.47999999999999</v>
      </c>
      <c r="L25" s="54">
        <v>25.88</v>
      </c>
      <c r="M25" s="54">
        <v>85.30</v>
      </c>
      <c r="N25" s="54">
        <v>79.80</v>
      </c>
      <c r="O25" s="54">
        <v>0</v>
      </c>
      <c r="P25" s="54">
        <v>0.32</v>
      </c>
      <c r="Q25" s="54">
        <v>10.89</v>
      </c>
      <c r="R25" s="43"/>
      <c r="S25" s="43"/>
      <c r="T25" s="43"/>
      <c r="U25" s="43"/>
    </row>
    <row r="26" spans="1:21" s="11" customFormat="1" ht="15">
      <c r="A26" s="53" t="s">
        <v>271</v>
      </c>
      <c r="B26" s="54">
        <v>4.7300000000000004</v>
      </c>
      <c r="C26" s="54">
        <v>14.57</v>
      </c>
      <c r="D26" s="54">
        <v>19.05</v>
      </c>
      <c r="E26" s="54">
        <v>2.84</v>
      </c>
      <c r="F26" s="54">
        <v>8.8800000000000008</v>
      </c>
      <c r="G26" s="54">
        <v>21.43</v>
      </c>
      <c r="H26" s="54">
        <v>6</v>
      </c>
      <c r="I26" s="54">
        <v>0.12</v>
      </c>
      <c r="J26" s="54">
        <v>0.10</v>
      </c>
      <c r="K26" s="54">
        <v>195.21</v>
      </c>
      <c r="L26" s="54">
        <v>25.46</v>
      </c>
      <c r="M26" s="54">
        <v>87.60</v>
      </c>
      <c r="N26" s="54">
        <v>47.70</v>
      </c>
      <c r="O26" s="54">
        <v>0</v>
      </c>
      <c r="P26" s="54">
        <v>0.36</v>
      </c>
      <c r="Q26" s="54">
        <v>13.67</v>
      </c>
      <c r="R26" s="43"/>
      <c r="S26" s="43"/>
      <c r="T26" s="43"/>
      <c r="U26" s="43"/>
    </row>
    <row r="27" spans="1:21" s="11" customFormat="1" ht="15">
      <c r="A27" s="53" t="s">
        <v>272</v>
      </c>
      <c r="B27" s="54">
        <v>6.09</v>
      </c>
      <c r="C27" s="54">
        <v>13.99</v>
      </c>
      <c r="D27" s="54">
        <v>19.66</v>
      </c>
      <c r="E27" s="54">
        <v>2.54</v>
      </c>
      <c r="F27" s="54">
        <v>3.39</v>
      </c>
      <c r="G27" s="54">
        <v>24.32</v>
      </c>
      <c r="H27" s="54">
        <v>10.199999999999999</v>
      </c>
      <c r="I27" s="54">
        <v>0.12</v>
      </c>
      <c r="J27" s="54">
        <v>0.18</v>
      </c>
      <c r="K27" s="54">
        <v>30.59</v>
      </c>
      <c r="L27" s="54">
        <v>24.91</v>
      </c>
      <c r="M27" s="54">
        <v>89.71</v>
      </c>
      <c r="N27" s="54">
        <v>10.199999999999999</v>
      </c>
      <c r="O27" s="54">
        <v>0</v>
      </c>
      <c r="P27" s="54">
        <v>0.44</v>
      </c>
      <c r="Q27" s="54">
        <v>12.32</v>
      </c>
      <c r="R27" s="43"/>
      <c r="S27" s="43"/>
      <c r="T27" s="43"/>
      <c r="U27" s="43"/>
    </row>
    <row r="28" spans="1:21" s="11" customFormat="1" ht="15">
      <c r="A28" s="53" t="s">
        <v>273</v>
      </c>
      <c r="B28" s="54">
        <v>5.70</v>
      </c>
      <c r="C28" s="54">
        <v>22.40</v>
      </c>
      <c r="D28" s="54">
        <v>28.10</v>
      </c>
      <c r="E28" s="54">
        <v>2.1800000000000002</v>
      </c>
      <c r="F28" s="54">
        <v>9.90</v>
      </c>
      <c r="G28" s="54">
        <v>25.86</v>
      </c>
      <c r="H28" s="54">
        <v>12.11</v>
      </c>
      <c r="I28" s="54">
        <v>0.12</v>
      </c>
      <c r="J28" s="54">
        <v>0.14000000000000001</v>
      </c>
      <c r="K28" s="54">
        <v>194.77</v>
      </c>
      <c r="L28" s="54">
        <v>24.58</v>
      </c>
      <c r="M28" s="54">
        <v>90.49</v>
      </c>
      <c r="N28" s="54">
        <v>9.10</v>
      </c>
      <c r="O28" s="54">
        <v>0</v>
      </c>
      <c r="P28" s="54">
        <v>0.48</v>
      </c>
      <c r="Q28" s="54">
        <v>12.10</v>
      </c>
      <c r="R28" s="43"/>
      <c r="S28" s="43"/>
      <c r="T28" s="43"/>
      <c r="U28" s="43"/>
    </row>
    <row r="29" spans="1:21" s="11" customFormat="1" ht="15">
      <c r="A29" s="53" t="s">
        <v>274</v>
      </c>
      <c r="B29" s="54">
        <v>6.92</v>
      </c>
      <c r="C29" s="54">
        <v>20.23</v>
      </c>
      <c r="D29" s="54">
        <v>27.15</v>
      </c>
      <c r="E29" s="54">
        <v>2.4700000000000002</v>
      </c>
      <c r="F29" s="54">
        <v>7.55</v>
      </c>
      <c r="G29" s="54">
        <v>27.96</v>
      </c>
      <c r="H29" s="54">
        <v>12.24</v>
      </c>
      <c r="I29" s="54">
        <v>0.12</v>
      </c>
      <c r="J29" s="54">
        <v>0.16</v>
      </c>
      <c r="K29" s="54">
        <v>198.79</v>
      </c>
      <c r="L29" s="54">
        <v>24.08</v>
      </c>
      <c r="M29" s="54">
        <v>93.93</v>
      </c>
      <c r="N29" s="54">
        <v>9.10</v>
      </c>
      <c r="O29" s="54">
        <v>0</v>
      </c>
      <c r="P29" s="54">
        <v>0.5</v>
      </c>
      <c r="Q29" s="54">
        <v>15.42</v>
      </c>
      <c r="R29" s="43"/>
      <c r="S29" s="43"/>
      <c r="T29" s="43"/>
      <c r="U29" s="43"/>
    </row>
    <row r="30" spans="1:21" s="11" customFormat="1" ht="15">
      <c r="A30" s="53" t="s">
        <v>275</v>
      </c>
      <c r="B30" s="54">
        <v>5.57</v>
      </c>
      <c r="C30" s="54">
        <v>14.34</v>
      </c>
      <c r="D30" s="54">
        <v>19.38</v>
      </c>
      <c r="E30" s="54">
        <v>2.39</v>
      </c>
      <c r="F30" s="54">
        <v>5.76</v>
      </c>
      <c r="G30" s="54">
        <v>29.16</v>
      </c>
      <c r="H30" s="54">
        <v>10.99</v>
      </c>
      <c r="I30" s="54">
        <v>0.13</v>
      </c>
      <c r="J30" s="54">
        <v>0.13</v>
      </c>
      <c r="K30" s="54">
        <v>196.76</v>
      </c>
      <c r="L30" s="54">
        <v>23.61</v>
      </c>
      <c r="M30" s="54">
        <v>95.38</v>
      </c>
      <c r="N30" s="54">
        <v>8.90</v>
      </c>
      <c r="O30" s="54">
        <v>0</v>
      </c>
      <c r="P30" s="54">
        <v>0.45</v>
      </c>
      <c r="Q30" s="54">
        <v>14.84</v>
      </c>
      <c r="R30" s="43"/>
      <c r="S30" s="43"/>
      <c r="T30" s="43"/>
      <c r="U30" s="43"/>
    </row>
    <row r="31" spans="1:21" s="11" customFormat="1" ht="15">
      <c r="A31" s="53" t="s">
        <v>276</v>
      </c>
      <c r="B31" s="54">
        <v>6.11</v>
      </c>
      <c r="C31" s="54">
        <v>11.02</v>
      </c>
      <c r="D31" s="54">
        <v>16.93</v>
      </c>
      <c r="E31" s="54">
        <v>2.23</v>
      </c>
      <c r="F31" s="54">
        <v>8.06</v>
      </c>
      <c r="G31" s="54">
        <v>27.32</v>
      </c>
      <c r="H31" s="54">
        <v>10.86</v>
      </c>
      <c r="I31" s="54">
        <v>0.12</v>
      </c>
      <c r="J31" s="54">
        <v>0.16</v>
      </c>
      <c r="K31" s="54">
        <v>326.70999999999998</v>
      </c>
      <c r="L31" s="54">
        <v>23.60</v>
      </c>
      <c r="M31" s="54">
        <v>94.48</v>
      </c>
      <c r="N31" s="54">
        <v>9.10</v>
      </c>
      <c r="O31" s="54">
        <v>0</v>
      </c>
      <c r="P31" s="54">
        <v>0.44</v>
      </c>
      <c r="Q31" s="54">
        <v>14.32</v>
      </c>
      <c r="R31" s="43"/>
      <c r="S31" s="43"/>
      <c r="T31" s="43"/>
      <c r="U31" s="43"/>
    </row>
    <row r="32" spans="1:21" s="11" customFormat="1" ht="15">
      <c r="A32" s="53" t="s">
        <v>277</v>
      </c>
      <c r="B32" s="54">
        <v>5.56</v>
      </c>
      <c r="C32" s="54">
        <v>12.65</v>
      </c>
      <c r="D32" s="54">
        <v>18.05</v>
      </c>
      <c r="E32" s="54">
        <v>2.4900000000000002</v>
      </c>
      <c r="F32" s="54">
        <v>7.09</v>
      </c>
      <c r="G32" s="54">
        <v>25.03</v>
      </c>
      <c r="H32" s="54">
        <v>9.61</v>
      </c>
      <c r="I32" s="54">
        <v>0.12</v>
      </c>
      <c r="J32" s="54">
        <v>0.14000000000000001</v>
      </c>
      <c r="K32" s="54">
        <v>250.90</v>
      </c>
      <c r="L32" s="54">
        <v>23.44</v>
      </c>
      <c r="M32" s="54">
        <v>96.93</v>
      </c>
      <c r="N32" s="54">
        <v>9.10</v>
      </c>
      <c r="O32" s="54">
        <v>0</v>
      </c>
      <c r="P32" s="54">
        <v>0.38</v>
      </c>
      <c r="Q32" s="54">
        <v>17.260000000000002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4.4900000000000002</v>
      </c>
      <c r="C34" s="28">
        <f t="shared" si="0"/>
        <v>7.8200000000000003</v>
      </c>
      <c r="D34" s="28">
        <f t="shared" si="0"/>
        <v>12.720000000000001</v>
      </c>
      <c r="E34" s="28">
        <f t="shared" si="0"/>
        <v>0.54000000000000004</v>
      </c>
      <c r="F34" s="28">
        <f t="shared" si="0"/>
        <v>1.5900000000000001</v>
      </c>
      <c r="G34" s="28">
        <f t="shared" si="0"/>
        <v>9.5899999999999999</v>
      </c>
      <c r="H34" s="28">
        <f t="shared" si="0"/>
        <v>3.79</v>
      </c>
      <c r="I34" s="28">
        <f t="shared" si="0"/>
        <v>0.12</v>
      </c>
      <c r="J34" s="28">
        <f t="shared" si="0"/>
        <v>0.10000000000000001</v>
      </c>
      <c r="K34" s="28">
        <f t="shared" si="0"/>
        <v>30.59</v>
      </c>
      <c r="L34" s="28">
        <f t="shared" si="0"/>
        <v>22.43</v>
      </c>
      <c r="M34" s="28">
        <f t="shared" si="0"/>
        <v>76.700000000000003</v>
      </c>
      <c r="N34" s="28">
        <f t="shared" si="0"/>
        <v>8.9000000000000004</v>
      </c>
      <c r="O34" s="28">
        <f t="shared" si="0"/>
        <v>0</v>
      </c>
      <c r="P34" s="28">
        <f t="shared" si="0"/>
        <v>0.22</v>
      </c>
      <c r="Q34" s="28">
        <f t="shared" si="0"/>
        <v>10.890000000000001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7.6200000000000001</v>
      </c>
      <c r="C35" s="29">
        <f t="shared" si="1"/>
        <v>22.399999999999999</v>
      </c>
      <c r="D35" s="29">
        <f t="shared" si="1"/>
        <v>28.100000000000001</v>
      </c>
      <c r="E35" s="29">
        <f t="shared" si="1"/>
        <v>3.2400000000000002</v>
      </c>
      <c r="F35" s="29">
        <f t="shared" si="1"/>
        <v>9.9000000000000004</v>
      </c>
      <c r="G35" s="29">
        <f t="shared" si="1"/>
        <v>29.16</v>
      </c>
      <c r="H35" s="29">
        <f t="shared" si="1"/>
        <v>12.24</v>
      </c>
      <c r="I35" s="29">
        <f t="shared" si="1"/>
        <v>0.13</v>
      </c>
      <c r="J35" s="29">
        <f t="shared" si="1"/>
        <v>1.05</v>
      </c>
      <c r="K35" s="29">
        <f t="shared" si="1"/>
        <v>326.70999999999998</v>
      </c>
      <c r="L35" s="29">
        <f t="shared" si="1"/>
        <v>27.489999999999998</v>
      </c>
      <c r="M35" s="29">
        <f t="shared" si="1"/>
        <v>98.620000000000005</v>
      </c>
      <c r="N35" s="29">
        <f t="shared" si="1"/>
        <v>529.39999999999998</v>
      </c>
      <c r="O35" s="29">
        <f t="shared" si="1"/>
        <v>0</v>
      </c>
      <c r="P35" s="29">
        <f t="shared" si="1"/>
        <v>0.5</v>
      </c>
      <c r="Q35" s="29">
        <f t="shared" si="1"/>
        <v>18.059999999999999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5.611250000000001</v>
      </c>
      <c r="C36" s="28">
        <f t="shared" si="2"/>
        <v>11.737499999999997</v>
      </c>
      <c r="D36" s="28">
        <f t="shared" si="2"/>
        <v>17.187500000000004</v>
      </c>
      <c r="E36" s="28">
        <f t="shared" si="2"/>
        <v>1.8341666666666665</v>
      </c>
      <c r="F36" s="28">
        <f t="shared" si="2"/>
        <v>4.770833333333333</v>
      </c>
      <c r="G36" s="28">
        <f t="shared" si="2"/>
        <v>17.217083333333335</v>
      </c>
      <c r="H36" s="28">
        <f t="shared" si="2"/>
        <v>6.4775000000000018</v>
      </c>
      <c r="I36" s="28">
        <f t="shared" si="2"/>
        <v>0.12125000000000007</v>
      </c>
      <c r="J36" s="28">
        <f t="shared" si="2"/>
        <v>0.41791666666666688</v>
      </c>
      <c r="K36" s="28">
        <f t="shared" si="2"/>
        <v>183.55041666666668</v>
      </c>
      <c r="L36" s="28">
        <f t="shared" si="2"/>
        <v>24.400833333333338</v>
      </c>
      <c r="M36" s="28">
        <f t="shared" si="2"/>
        <v>91.987916666666663</v>
      </c>
      <c r="N36" s="28">
        <f t="shared" si="2"/>
        <v>136.58750000000001</v>
      </c>
      <c r="O36" s="28">
        <f t="shared" si="2"/>
        <v>0</v>
      </c>
      <c r="P36" s="28">
        <f t="shared" si="2"/>
        <v>0.31000000000000011</v>
      </c>
      <c r="Q36" s="28">
        <f t="shared" si="2"/>
        <v>14.842500000000001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1.0515591426233573</v>
      </c>
      <c r="C37" s="28">
        <f t="shared" si="3" ref="C37:Q37">STDEV(C9:C32)</f>
        <v>3.5709068997884272</v>
      </c>
      <c r="D37" s="28">
        <f t="shared" si="3"/>
        <v>3.9245683783725274</v>
      </c>
      <c r="E37" s="28">
        <f t="shared" si="3"/>
        <v>0.79997780766320248</v>
      </c>
      <c r="F37" s="28">
        <f t="shared" si="3"/>
        <v>2.3240648734989913</v>
      </c>
      <c r="G37" s="28">
        <f t="shared" si="3"/>
        <v>6.1747638428115348</v>
      </c>
      <c r="H37" s="28">
        <f t="shared" si="3"/>
        <v>2.8337642042374265</v>
      </c>
      <c r="I37" s="28">
        <f t="shared" si="3"/>
        <v>0.0033783196234608843</v>
      </c>
      <c r="J37" s="28">
        <f t="shared" si="3"/>
        <v>0.30848830809592098</v>
      </c>
      <c r="K37" s="28">
        <f t="shared" si="3"/>
        <v>50.736305882488665</v>
      </c>
      <c r="L37" s="28">
        <f t="shared" si="3"/>
        <v>1.6244756121569672</v>
      </c>
      <c r="M37" s="28">
        <f t="shared" si="3"/>
        <v>6.4806179114720814</v>
      </c>
      <c r="N37" s="28">
        <f t="shared" si="3"/>
        <v>164.05464442890872</v>
      </c>
      <c r="O37" s="28">
        <f t="shared" si="3"/>
        <v>0</v>
      </c>
      <c r="P37" s="28">
        <f t="shared" si="3"/>
        <v>0.089199337100285506</v>
      </c>
      <c r="Q37" s="28">
        <f t="shared" si="3"/>
        <v>2.1311279928101658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d00bc24-0577-4cfe-af8d-aabadbf70372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7" sqref="G67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10-09-2023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278</v>
      </c>
      <c r="B9" s="54">
        <v>5.05</v>
      </c>
      <c r="C9" s="54">
        <v>9.1999999999999993</v>
      </c>
      <c r="D9" s="54">
        <v>14</v>
      </c>
      <c r="E9" s="54">
        <v>0.62</v>
      </c>
      <c r="F9" s="54">
        <v>6.95</v>
      </c>
      <c r="G9" s="54">
        <v>23.34</v>
      </c>
      <c r="H9" s="54">
        <v>7.05</v>
      </c>
      <c r="I9" s="54">
        <v>0.12</v>
      </c>
      <c r="J9" s="54">
        <v>0.88</v>
      </c>
      <c r="K9" s="54">
        <v>158.41</v>
      </c>
      <c r="L9" s="54">
        <v>23.07</v>
      </c>
      <c r="M9" s="54">
        <v>98.33</v>
      </c>
      <c r="N9" s="54">
        <v>8.90</v>
      </c>
      <c r="O9" s="54">
        <v>0</v>
      </c>
      <c r="P9" s="54">
        <v>0.36</v>
      </c>
      <c r="Q9" s="54">
        <v>18.829999999999998</v>
      </c>
      <c r="R9" s="43"/>
      <c r="S9" s="43"/>
      <c r="T9" s="43"/>
      <c r="U9" s="43"/>
    </row>
    <row r="10" spans="1:21" s="11" customFormat="1" ht="15">
      <c r="A10" s="53" t="s">
        <v>279</v>
      </c>
      <c r="B10" s="54">
        <v>4.83</v>
      </c>
      <c r="C10" s="54">
        <v>8.1300000000000008</v>
      </c>
      <c r="D10" s="54">
        <v>12.94</v>
      </c>
      <c r="E10" s="54">
        <v>1.1200000000000001</v>
      </c>
      <c r="F10" s="54">
        <v>6.25</v>
      </c>
      <c r="G10" s="54">
        <v>16.34</v>
      </c>
      <c r="H10" s="54">
        <v>7.01</v>
      </c>
      <c r="I10" s="54">
        <v>0.12</v>
      </c>
      <c r="J10" s="54">
        <v>0.72</v>
      </c>
      <c r="K10" s="54">
        <v>161.32</v>
      </c>
      <c r="L10" s="54">
        <v>22.97</v>
      </c>
      <c r="M10" s="54">
        <v>98.63</v>
      </c>
      <c r="N10" s="54">
        <v>9.10</v>
      </c>
      <c r="O10" s="54">
        <v>0</v>
      </c>
      <c r="P10" s="54">
        <v>0.33</v>
      </c>
      <c r="Q10" s="54">
        <v>24.49</v>
      </c>
      <c r="R10" s="43"/>
      <c r="S10" s="43"/>
      <c r="T10" s="43"/>
      <c r="U10" s="43"/>
    </row>
    <row r="11" spans="1:21" s="11" customFormat="1" ht="15">
      <c r="A11" s="53" t="s">
        <v>280</v>
      </c>
      <c r="B11" s="54">
        <v>5.22</v>
      </c>
      <c r="C11" s="54">
        <v>8.32</v>
      </c>
      <c r="D11" s="54">
        <v>13.22</v>
      </c>
      <c r="E11" s="54">
        <v>1.42</v>
      </c>
      <c r="F11" s="54">
        <v>4.53</v>
      </c>
      <c r="G11" s="54">
        <v>14.93</v>
      </c>
      <c r="H11" s="54">
        <v>6.35</v>
      </c>
      <c r="I11" s="54">
        <v>0.13</v>
      </c>
      <c r="J11" s="54">
        <v>0.62</v>
      </c>
      <c r="K11" s="54">
        <v>169.60</v>
      </c>
      <c r="L11" s="54">
        <v>22.77</v>
      </c>
      <c r="M11" s="54">
        <v>98.63</v>
      </c>
      <c r="N11" s="54">
        <v>9.10</v>
      </c>
      <c r="O11" s="54">
        <v>0</v>
      </c>
      <c r="P11" s="54">
        <v>0.32</v>
      </c>
      <c r="Q11" s="54">
        <v>23.47</v>
      </c>
      <c r="R11" s="43"/>
      <c r="S11" s="43"/>
      <c r="T11" s="43"/>
      <c r="U11" s="43"/>
    </row>
    <row r="12" spans="1:21" s="11" customFormat="1" ht="15">
      <c r="A12" s="53" t="s">
        <v>281</v>
      </c>
      <c r="B12" s="54">
        <v>5.0599999999999996</v>
      </c>
      <c r="C12" s="54">
        <v>7.69</v>
      </c>
      <c r="D12" s="54">
        <v>12.52</v>
      </c>
      <c r="E12" s="54">
        <v>1.24</v>
      </c>
      <c r="F12" s="54">
        <v>3.68</v>
      </c>
      <c r="G12" s="54">
        <v>14.28</v>
      </c>
      <c r="H12" s="54">
        <v>4.76</v>
      </c>
      <c r="I12" s="54">
        <v>0.13</v>
      </c>
      <c r="J12" s="54">
        <v>0.37</v>
      </c>
      <c r="K12" s="54">
        <v>204.99</v>
      </c>
      <c r="L12" s="54">
        <v>22.48</v>
      </c>
      <c r="M12" s="54">
        <v>98.65</v>
      </c>
      <c r="N12" s="54">
        <v>9.10</v>
      </c>
      <c r="O12" s="54">
        <v>0</v>
      </c>
      <c r="P12" s="54">
        <v>0.28999999999999998</v>
      </c>
      <c r="Q12" s="54">
        <v>21.97</v>
      </c>
      <c r="R12" s="43"/>
      <c r="S12" s="43"/>
      <c r="T12" s="43"/>
      <c r="U12" s="43"/>
    </row>
    <row r="13" spans="1:21" s="11" customFormat="1" ht="15">
      <c r="A13" s="53" t="s">
        <v>282</v>
      </c>
      <c r="B13" s="54">
        <v>4.82</v>
      </c>
      <c r="C13" s="54">
        <v>10.76</v>
      </c>
      <c r="D13" s="54">
        <v>15.15</v>
      </c>
      <c r="E13" s="54">
        <v>1.52</v>
      </c>
      <c r="F13" s="54">
        <v>6.52</v>
      </c>
      <c r="G13" s="54">
        <v>12.16</v>
      </c>
      <c r="H13" s="54">
        <v>4.16</v>
      </c>
      <c r="I13" s="54">
        <v>0.13</v>
      </c>
      <c r="J13" s="54">
        <v>0.88</v>
      </c>
      <c r="K13" s="54">
        <v>169.78</v>
      </c>
      <c r="L13" s="54">
        <v>22.56</v>
      </c>
      <c r="M13" s="54">
        <v>98.65</v>
      </c>
      <c r="N13" s="54">
        <v>9.10</v>
      </c>
      <c r="O13" s="54">
        <v>0</v>
      </c>
      <c r="P13" s="54">
        <v>0.28000000000000003</v>
      </c>
      <c r="Q13" s="54">
        <v>22.16</v>
      </c>
      <c r="R13" s="43"/>
      <c r="S13" s="43"/>
      <c r="T13" s="43"/>
      <c r="U13" s="43"/>
    </row>
    <row r="14" spans="1:21" s="11" customFormat="1" ht="15">
      <c r="A14" s="53" t="s">
        <v>283</v>
      </c>
      <c r="B14" s="54">
        <v>6.19</v>
      </c>
      <c r="C14" s="54">
        <v>10.71</v>
      </c>
      <c r="D14" s="54">
        <v>15.69</v>
      </c>
      <c r="E14" s="54">
        <v>1.81</v>
      </c>
      <c r="F14" s="54">
        <v>6.09</v>
      </c>
      <c r="G14" s="54">
        <v>13.15</v>
      </c>
      <c r="H14" s="54">
        <v>5.09</v>
      </c>
      <c r="I14" s="54">
        <v>0.12</v>
      </c>
      <c r="J14" s="54">
        <v>1.07</v>
      </c>
      <c r="K14" s="54">
        <v>164.49</v>
      </c>
      <c r="L14" s="54">
        <v>22.59</v>
      </c>
      <c r="M14" s="54">
        <v>98.62</v>
      </c>
      <c r="N14" s="54">
        <v>15</v>
      </c>
      <c r="O14" s="54">
        <v>0</v>
      </c>
      <c r="P14" s="54">
        <v>0.28000000000000003</v>
      </c>
      <c r="Q14" s="54">
        <v>22.06</v>
      </c>
      <c r="R14" s="43"/>
      <c r="S14" s="43"/>
      <c r="T14" s="43"/>
      <c r="U14" s="43"/>
    </row>
    <row r="15" spans="1:21" s="11" customFormat="1" ht="15">
      <c r="A15" s="53" t="s">
        <v>284</v>
      </c>
      <c r="B15" s="54">
        <v>6.51</v>
      </c>
      <c r="C15" s="54">
        <v>9.25</v>
      </c>
      <c r="D15" s="54">
        <v>15.76</v>
      </c>
      <c r="E15" s="54">
        <v>1.41</v>
      </c>
      <c r="F15" s="54">
        <v>2.67</v>
      </c>
      <c r="G15" s="54">
        <v>9.89</v>
      </c>
      <c r="H15" s="54">
        <v>6.82</v>
      </c>
      <c r="I15" s="54">
        <v>0.13</v>
      </c>
      <c r="J15" s="54">
        <v>1.19</v>
      </c>
      <c r="K15" s="54">
        <v>155.37</v>
      </c>
      <c r="L15" s="54">
        <v>22.73</v>
      </c>
      <c r="M15" s="54">
        <v>98.62</v>
      </c>
      <c r="N15" s="54">
        <v>34.200000000000003</v>
      </c>
      <c r="O15" s="54">
        <v>0</v>
      </c>
      <c r="P15" s="54">
        <v>0.28000000000000003</v>
      </c>
      <c r="Q15" s="54">
        <v>21.63</v>
      </c>
      <c r="R15" s="43"/>
      <c r="S15" s="43"/>
      <c r="T15" s="43"/>
      <c r="U15" s="43"/>
    </row>
    <row r="16" spans="1:21" s="11" customFormat="1" ht="15">
      <c r="A16" s="53" t="s">
        <v>285</v>
      </c>
      <c r="B16" s="54">
        <v>7.19</v>
      </c>
      <c r="C16" s="54">
        <v>10.27</v>
      </c>
      <c r="D16" s="54">
        <v>17.23</v>
      </c>
      <c r="E16" s="54">
        <v>2.11</v>
      </c>
      <c r="F16" s="54">
        <v>1.95</v>
      </c>
      <c r="G16" s="54">
        <v>9.2799999999999994</v>
      </c>
      <c r="H16" s="54">
        <v>5.79</v>
      </c>
      <c r="I16" s="54">
        <v>0.12</v>
      </c>
      <c r="J16" s="54">
        <v>1.45</v>
      </c>
      <c r="K16" s="54">
        <v>156.02000000000001</v>
      </c>
      <c r="L16" s="54">
        <v>23.22</v>
      </c>
      <c r="M16" s="54">
        <v>98.58</v>
      </c>
      <c r="N16" s="54">
        <v>252.30</v>
      </c>
      <c r="O16" s="54">
        <v>0</v>
      </c>
      <c r="P16" s="54">
        <v>0.28999999999999998</v>
      </c>
      <c r="Q16" s="54">
        <v>22.27</v>
      </c>
      <c r="R16" s="43"/>
      <c r="S16" s="43"/>
      <c r="T16" s="43"/>
      <c r="U16" s="43"/>
    </row>
    <row r="17" spans="1:21" s="11" customFormat="1" ht="15">
      <c r="A17" s="53" t="s">
        <v>286</v>
      </c>
      <c r="B17" s="54">
        <v>7.40</v>
      </c>
      <c r="C17" s="54">
        <v>9.4499999999999993</v>
      </c>
      <c r="D17" s="54">
        <v>16.82</v>
      </c>
      <c r="E17" s="54">
        <v>1.80</v>
      </c>
      <c r="F17" s="54">
        <v>1.46</v>
      </c>
      <c r="G17" s="54">
        <v>11.24</v>
      </c>
      <c r="H17" s="54">
        <v>7.35</v>
      </c>
      <c r="I17" s="54">
        <v>0.12</v>
      </c>
      <c r="J17" s="54">
        <v>0.89</v>
      </c>
      <c r="K17" s="54">
        <v>170.44</v>
      </c>
      <c r="L17" s="54">
        <v>24.49</v>
      </c>
      <c r="M17" s="54">
        <v>96.79</v>
      </c>
      <c r="N17" s="54">
        <v>278</v>
      </c>
      <c r="O17" s="54">
        <v>0</v>
      </c>
      <c r="P17" s="54">
        <v>0.30</v>
      </c>
      <c r="Q17" s="54">
        <v>22.28</v>
      </c>
      <c r="R17" s="43"/>
      <c r="S17" s="43"/>
      <c r="T17" s="43"/>
      <c r="U17" s="43"/>
    </row>
    <row r="18" spans="1:21" s="11" customFormat="1" ht="15">
      <c r="A18" s="53" t="s">
        <v>287</v>
      </c>
      <c r="B18" s="54">
        <v>6.43</v>
      </c>
      <c r="C18" s="54">
        <v>9.64</v>
      </c>
      <c r="D18" s="54">
        <v>15.63</v>
      </c>
      <c r="E18" s="54">
        <v>1.49</v>
      </c>
      <c r="F18" s="54">
        <v>2.64</v>
      </c>
      <c r="G18" s="54">
        <v>13.05</v>
      </c>
      <c r="H18" s="54">
        <v>8.08</v>
      </c>
      <c r="I18" s="54">
        <v>0.13</v>
      </c>
      <c r="J18" s="54">
        <v>1.01</v>
      </c>
      <c r="K18" s="54">
        <v>153.54</v>
      </c>
      <c r="L18" s="54">
        <v>25.71</v>
      </c>
      <c r="M18" s="54">
        <v>91.58</v>
      </c>
      <c r="N18" s="54">
        <v>403.30</v>
      </c>
      <c r="O18" s="54">
        <v>0</v>
      </c>
      <c r="P18" s="54">
        <v>0.30</v>
      </c>
      <c r="Q18" s="54">
        <v>19.46</v>
      </c>
      <c r="R18" s="43"/>
      <c r="S18" s="43"/>
      <c r="T18" s="43"/>
      <c r="U18" s="43"/>
    </row>
    <row r="19" spans="1:21" s="11" customFormat="1" ht="15">
      <c r="A19" s="53" t="s">
        <v>288</v>
      </c>
      <c r="B19" s="54">
        <v>5.91</v>
      </c>
      <c r="C19" s="54">
        <v>10.91</v>
      </c>
      <c r="D19" s="54">
        <v>16.82</v>
      </c>
      <c r="E19" s="54">
        <v>1.54</v>
      </c>
      <c r="F19" s="54">
        <v>3.51</v>
      </c>
      <c r="G19" s="54">
        <v>13.95</v>
      </c>
      <c r="H19" s="54">
        <v>8.16</v>
      </c>
      <c r="I19" s="54">
        <v>0.13</v>
      </c>
      <c r="J19" s="54">
        <v>1.06</v>
      </c>
      <c r="K19" s="54">
        <v>165.84</v>
      </c>
      <c r="L19" s="54">
        <v>26.22</v>
      </c>
      <c r="M19" s="54">
        <v>86.44</v>
      </c>
      <c r="N19" s="54">
        <v>570.60</v>
      </c>
      <c r="O19" s="54">
        <v>0</v>
      </c>
      <c r="P19" s="54">
        <v>0.33</v>
      </c>
      <c r="Q19" s="54">
        <v>17.989999999999998</v>
      </c>
      <c r="R19" s="43"/>
      <c r="S19" s="43"/>
      <c r="T19" s="43"/>
      <c r="U19" s="43"/>
    </row>
    <row r="20" spans="1:21" s="11" customFormat="1" ht="15">
      <c r="A20" s="53" t="s">
        <v>289</v>
      </c>
      <c r="B20" s="54">
        <v>6.82</v>
      </c>
      <c r="C20" s="54">
        <v>11.70</v>
      </c>
      <c r="D20" s="54">
        <v>18.52</v>
      </c>
      <c r="E20" s="54">
        <v>1.5</v>
      </c>
      <c r="F20" s="54">
        <v>3.06</v>
      </c>
      <c r="G20" s="54">
        <v>15.02</v>
      </c>
      <c r="H20" s="54">
        <v>7.55</v>
      </c>
      <c r="I20" s="54">
        <v>0.12</v>
      </c>
      <c r="J20" s="54">
        <v>0.56999999999999995</v>
      </c>
      <c r="K20" s="54">
        <v>351.18</v>
      </c>
      <c r="L20" s="54">
        <v>25.58</v>
      </c>
      <c r="M20" s="54">
        <v>98.66</v>
      </c>
      <c r="N20" s="54">
        <v>215</v>
      </c>
      <c r="O20" s="54">
        <v>2.60</v>
      </c>
      <c r="P20" s="54">
        <v>0.36</v>
      </c>
      <c r="Q20" s="54">
        <v>18.670000000000002</v>
      </c>
      <c r="R20" s="43"/>
      <c r="S20" s="43"/>
      <c r="T20" s="43"/>
      <c r="U20" s="43"/>
    </row>
    <row r="21" spans="1:21" s="11" customFormat="1" ht="15">
      <c r="A21" s="53" t="s">
        <v>290</v>
      </c>
      <c r="B21" s="54">
        <v>7.62</v>
      </c>
      <c r="C21" s="54">
        <v>13.46</v>
      </c>
      <c r="D21" s="54">
        <v>21.08</v>
      </c>
      <c r="E21" s="54">
        <v>1.85</v>
      </c>
      <c r="F21" s="54">
        <v>3.38</v>
      </c>
      <c r="G21" s="54">
        <v>18.57</v>
      </c>
      <c r="H21" s="54">
        <v>6.41</v>
      </c>
      <c r="I21" s="54">
        <v>0.12</v>
      </c>
      <c r="J21" s="54">
        <v>0.30</v>
      </c>
      <c r="K21" s="54">
        <v>148.15</v>
      </c>
      <c r="L21" s="54">
        <v>26.93</v>
      </c>
      <c r="M21" s="54">
        <v>98.65</v>
      </c>
      <c r="N21" s="54">
        <v>758.40</v>
      </c>
      <c r="O21" s="54">
        <v>0</v>
      </c>
      <c r="P21" s="54">
        <v>0.40</v>
      </c>
      <c r="Q21" s="54">
        <v>18.440000000000001</v>
      </c>
      <c r="R21" s="43"/>
      <c r="S21" s="43"/>
      <c r="T21" s="43"/>
      <c r="U21" s="43"/>
    </row>
    <row r="22" spans="1:21" s="11" customFormat="1" ht="15">
      <c r="A22" s="53" t="s">
        <v>291</v>
      </c>
      <c r="B22" s="54">
        <v>5.23</v>
      </c>
      <c r="C22" s="54">
        <v>12.25</v>
      </c>
      <c r="D22" s="54">
        <v>16.97</v>
      </c>
      <c r="E22" s="54">
        <v>1.85</v>
      </c>
      <c r="F22" s="54">
        <v>2.4500000000000002</v>
      </c>
      <c r="G22" s="54">
        <v>26.58</v>
      </c>
      <c r="H22" s="54">
        <v>8.4499999999999993</v>
      </c>
      <c r="I22" s="54">
        <v>0.13</v>
      </c>
      <c r="J22" s="54">
        <v>0.33</v>
      </c>
      <c r="K22" s="54">
        <v>28.93</v>
      </c>
      <c r="L22" s="54">
        <v>27.94</v>
      </c>
      <c r="M22" s="54">
        <v>84.36</v>
      </c>
      <c r="N22" s="54">
        <v>507.10</v>
      </c>
      <c r="O22" s="54">
        <v>0</v>
      </c>
      <c r="P22" s="54">
        <v>0.39</v>
      </c>
      <c r="Q22" s="54">
        <v>17.68</v>
      </c>
      <c r="R22" s="43"/>
      <c r="S22" s="43"/>
      <c r="T22" s="43"/>
      <c r="U22" s="43"/>
    </row>
    <row r="23" spans="1:21" s="11" customFormat="1" ht="15">
      <c r="A23" s="53" t="s">
        <v>292</v>
      </c>
      <c r="B23" s="54">
        <v>4.5599999999999996</v>
      </c>
      <c r="C23" s="54">
        <v>12.32</v>
      </c>
      <c r="D23" s="54">
        <v>16.87</v>
      </c>
      <c r="E23" s="54">
        <v>1.96</v>
      </c>
      <c r="F23" s="54">
        <v>2.29</v>
      </c>
      <c r="G23" s="54">
        <v>31.63</v>
      </c>
      <c r="H23" s="54">
        <v>9.19</v>
      </c>
      <c r="I23" s="54">
        <v>0.12</v>
      </c>
      <c r="J23" s="54">
        <v>0.16</v>
      </c>
      <c r="K23" s="54">
        <v>206.99</v>
      </c>
      <c r="L23" s="54">
        <v>27.36</v>
      </c>
      <c r="M23" s="54">
        <v>83.55</v>
      </c>
      <c r="N23" s="54">
        <v>455.60</v>
      </c>
      <c r="O23" s="54">
        <v>0</v>
      </c>
      <c r="P23" s="54">
        <v>0.39</v>
      </c>
      <c r="Q23" s="54">
        <v>15.56</v>
      </c>
      <c r="R23" s="43"/>
      <c r="S23" s="43"/>
      <c r="T23" s="43"/>
      <c r="U23" s="43"/>
    </row>
    <row r="24" spans="1:21" s="11" customFormat="1" ht="15">
      <c r="A24" s="53" t="s">
        <v>293</v>
      </c>
      <c r="B24" s="54">
        <v>3.72</v>
      </c>
      <c r="C24" s="54">
        <v>10.61</v>
      </c>
      <c r="D24" s="54">
        <v>14.24</v>
      </c>
      <c r="E24" s="54">
        <v>1.17</v>
      </c>
      <c r="F24" s="54">
        <v>2.77</v>
      </c>
      <c r="G24" s="54">
        <v>27.5</v>
      </c>
      <c r="H24" s="54">
        <v>9.09</v>
      </c>
      <c r="I24" s="54">
        <v>0.12</v>
      </c>
      <c r="J24" s="54">
        <v>0.22</v>
      </c>
      <c r="K24" s="54">
        <v>50.77</v>
      </c>
      <c r="L24" s="54">
        <v>27</v>
      </c>
      <c r="M24" s="54">
        <v>82.93</v>
      </c>
      <c r="N24" s="54">
        <v>187.10</v>
      </c>
      <c r="O24" s="54">
        <v>0</v>
      </c>
      <c r="P24" s="54">
        <v>0.36</v>
      </c>
      <c r="Q24" s="54">
        <v>12.51</v>
      </c>
      <c r="R24" s="43"/>
      <c r="S24" s="43"/>
      <c r="T24" s="43"/>
      <c r="U24" s="43"/>
    </row>
    <row r="25" spans="1:21" s="11" customFormat="1" ht="15">
      <c r="A25" s="53" t="s">
        <v>294</v>
      </c>
      <c r="B25" s="54">
        <v>4.01</v>
      </c>
      <c r="C25" s="54">
        <v>12.76</v>
      </c>
      <c r="D25" s="54">
        <v>16.77</v>
      </c>
      <c r="E25" s="54">
        <v>1.62</v>
      </c>
      <c r="F25" s="54">
        <v>3.59</v>
      </c>
      <c r="G25" s="54">
        <v>28.53</v>
      </c>
      <c r="H25" s="54">
        <v>10.56</v>
      </c>
      <c r="I25" s="54">
        <v>0.12</v>
      </c>
      <c r="J25" s="54">
        <v>0.36</v>
      </c>
      <c r="K25" s="54">
        <v>346.59</v>
      </c>
      <c r="L25" s="54">
        <v>26.74</v>
      </c>
      <c r="M25" s="54">
        <v>85.49</v>
      </c>
      <c r="N25" s="54">
        <v>168.80</v>
      </c>
      <c r="O25" s="54">
        <v>0</v>
      </c>
      <c r="P25" s="54">
        <v>0.36</v>
      </c>
      <c r="Q25" s="54">
        <v>11.12</v>
      </c>
      <c r="R25" s="43"/>
      <c r="S25" s="43"/>
      <c r="T25" s="43"/>
      <c r="U25" s="43"/>
    </row>
    <row r="26" spans="1:21" s="11" customFormat="1" ht="15">
      <c r="A26" s="53" t="s">
        <v>295</v>
      </c>
      <c r="B26" s="54">
        <v>4</v>
      </c>
      <c r="C26" s="54">
        <v>10.75</v>
      </c>
      <c r="D26" s="54">
        <v>14.73</v>
      </c>
      <c r="E26" s="54">
        <v>1.86</v>
      </c>
      <c r="F26" s="54">
        <v>1.93</v>
      </c>
      <c r="G26" s="54">
        <v>30.21</v>
      </c>
      <c r="H26" s="54">
        <v>10.87</v>
      </c>
      <c r="I26" s="54">
        <v>0.12</v>
      </c>
      <c r="J26" s="54">
        <v>0.17</v>
      </c>
      <c r="K26" s="54">
        <v>109.83</v>
      </c>
      <c r="L26" s="54">
        <v>25.73</v>
      </c>
      <c r="M26" s="54">
        <v>90.07</v>
      </c>
      <c r="N26" s="54">
        <v>85.20</v>
      </c>
      <c r="O26" s="54">
        <v>0</v>
      </c>
      <c r="P26" s="54">
        <v>0.37</v>
      </c>
      <c r="Q26" s="54">
        <v>11.19</v>
      </c>
      <c r="R26" s="43"/>
      <c r="S26" s="43"/>
      <c r="T26" s="43"/>
      <c r="U26" s="43"/>
    </row>
    <row r="27" spans="1:21" s="11" customFormat="1" ht="15">
      <c r="A27" s="53" t="s">
        <v>296</v>
      </c>
      <c r="B27" s="54">
        <v>4.70</v>
      </c>
      <c r="C27" s="54">
        <v>13.15</v>
      </c>
      <c r="D27" s="54">
        <v>17.86</v>
      </c>
      <c r="E27" s="54">
        <v>1.90</v>
      </c>
      <c r="F27" s="54">
        <v>2.5099999999999998</v>
      </c>
      <c r="G27" s="54">
        <v>33.14</v>
      </c>
      <c r="H27" s="54">
        <v>12.76</v>
      </c>
      <c r="I27" s="54">
        <v>0.12</v>
      </c>
      <c r="J27" s="54">
        <v>0.28000000000000003</v>
      </c>
      <c r="K27" s="54">
        <v>32.44</v>
      </c>
      <c r="L27" s="54">
        <v>24.75</v>
      </c>
      <c r="M27" s="54">
        <v>94.12</v>
      </c>
      <c r="N27" s="54">
        <v>10.10</v>
      </c>
      <c r="O27" s="54">
        <v>0</v>
      </c>
      <c r="P27" s="54">
        <v>0.45</v>
      </c>
      <c r="Q27" s="54">
        <v>9.25</v>
      </c>
      <c r="R27" s="43"/>
      <c r="S27" s="43"/>
      <c r="T27" s="43"/>
      <c r="U27" s="43"/>
    </row>
    <row r="28" spans="1:21" s="11" customFormat="1" ht="15">
      <c r="A28" s="53" t="s">
        <v>297</v>
      </c>
      <c r="B28" s="54">
        <v>7.63</v>
      </c>
      <c r="C28" s="54">
        <v>18.03</v>
      </c>
      <c r="D28" s="54">
        <v>25.66</v>
      </c>
      <c r="E28" s="54">
        <v>1.79</v>
      </c>
      <c r="F28" s="54">
        <v>3.11</v>
      </c>
      <c r="G28" s="54">
        <v>35.64</v>
      </c>
      <c r="H28" s="54">
        <v>13.95</v>
      </c>
      <c r="I28" s="54">
        <v>0.11</v>
      </c>
      <c r="J28" s="54">
        <v>0.20</v>
      </c>
      <c r="K28" s="54">
        <v>354.89</v>
      </c>
      <c r="L28" s="54">
        <v>24.18</v>
      </c>
      <c r="M28" s="54">
        <v>96.75</v>
      </c>
      <c r="N28" s="54">
        <v>8.40</v>
      </c>
      <c r="O28" s="54">
        <v>0</v>
      </c>
      <c r="P28" s="54">
        <v>0.56999999999999995</v>
      </c>
      <c r="Q28" s="54">
        <v>11.67</v>
      </c>
      <c r="R28" s="43"/>
      <c r="S28" s="43"/>
      <c r="T28" s="43"/>
      <c r="U28" s="43"/>
    </row>
    <row r="29" spans="1:21" s="11" customFormat="1" ht="15">
      <c r="A29" s="53" t="s">
        <v>298</v>
      </c>
      <c r="B29" s="54">
        <v>5.80</v>
      </c>
      <c r="C29" s="54">
        <v>12.20</v>
      </c>
      <c r="D29" s="54">
        <v>17.989999999999998</v>
      </c>
      <c r="E29" s="54">
        <v>1.1200000000000001</v>
      </c>
      <c r="F29" s="54">
        <v>2.58</v>
      </c>
      <c r="G29" s="54">
        <v>37.08</v>
      </c>
      <c r="H29" s="54">
        <v>14.82</v>
      </c>
      <c r="I29" s="54">
        <v>0.12</v>
      </c>
      <c r="J29" s="54">
        <v>0.24</v>
      </c>
      <c r="K29" s="54">
        <v>113.09</v>
      </c>
      <c r="L29" s="54">
        <v>24.03</v>
      </c>
      <c r="M29" s="54">
        <v>97.69</v>
      </c>
      <c r="N29" s="54">
        <v>9</v>
      </c>
      <c r="O29" s="54">
        <v>0</v>
      </c>
      <c r="P29" s="54">
        <v>0.53</v>
      </c>
      <c r="Q29" s="54">
        <v>12.46</v>
      </c>
      <c r="R29" s="43"/>
      <c r="S29" s="43"/>
      <c r="T29" s="43"/>
      <c r="U29" s="43"/>
    </row>
    <row r="30" spans="1:21" s="11" customFormat="1" ht="15">
      <c r="A30" s="53" t="s">
        <v>299</v>
      </c>
      <c r="B30" s="54">
        <v>5.49</v>
      </c>
      <c r="C30" s="54">
        <v>11.59</v>
      </c>
      <c r="D30" s="54">
        <v>16.559999999999999</v>
      </c>
      <c r="E30" s="54">
        <v>1.49</v>
      </c>
      <c r="F30" s="54">
        <v>7.59</v>
      </c>
      <c r="G30" s="54">
        <v>37.65</v>
      </c>
      <c r="H30" s="54">
        <v>15.15</v>
      </c>
      <c r="I30" s="54">
        <v>0.12</v>
      </c>
      <c r="J30" s="54">
        <v>0.24</v>
      </c>
      <c r="K30" s="54">
        <v>224.03</v>
      </c>
      <c r="L30" s="54">
        <v>23.77</v>
      </c>
      <c r="M30" s="54">
        <v>98.61</v>
      </c>
      <c r="N30" s="54">
        <v>8.90</v>
      </c>
      <c r="O30" s="54">
        <v>0</v>
      </c>
      <c r="P30" s="54">
        <v>0.51</v>
      </c>
      <c r="Q30" s="54">
        <v>13.26</v>
      </c>
      <c r="R30" s="43"/>
      <c r="S30" s="43"/>
      <c r="T30" s="43"/>
      <c r="U30" s="43"/>
    </row>
    <row r="31" spans="1:21" s="11" customFormat="1" ht="15">
      <c r="A31" s="53" t="s">
        <v>300</v>
      </c>
      <c r="B31" s="54">
        <v>5.67</v>
      </c>
      <c r="C31" s="54">
        <v>12.75</v>
      </c>
      <c r="D31" s="54">
        <v>17.80</v>
      </c>
      <c r="E31" s="54">
        <v>1.68</v>
      </c>
      <c r="F31" s="54">
        <v>5.94</v>
      </c>
      <c r="G31" s="54">
        <v>36.07</v>
      </c>
      <c r="H31" s="54">
        <v>14.32</v>
      </c>
      <c r="I31" s="54">
        <v>0.12</v>
      </c>
      <c r="J31" s="54">
        <v>0.27</v>
      </c>
      <c r="K31" s="54">
        <v>28.93</v>
      </c>
      <c r="L31" s="54">
        <v>23.5</v>
      </c>
      <c r="M31" s="54">
        <v>98.63</v>
      </c>
      <c r="N31" s="54">
        <v>8.8000000000000007</v>
      </c>
      <c r="O31" s="54">
        <v>0</v>
      </c>
      <c r="P31" s="54">
        <v>0.49</v>
      </c>
      <c r="Q31" s="54">
        <v>14.11</v>
      </c>
      <c r="R31" s="43"/>
      <c r="S31" s="43"/>
      <c r="T31" s="43"/>
      <c r="U31" s="43"/>
    </row>
    <row r="32" spans="1:21" s="11" customFormat="1" ht="15">
      <c r="A32" s="53" t="s">
        <v>301</v>
      </c>
      <c r="B32" s="54">
        <v>5.36</v>
      </c>
      <c r="C32" s="54">
        <v>10.36</v>
      </c>
      <c r="D32" s="54">
        <v>15.73</v>
      </c>
      <c r="E32" s="54">
        <v>1.80</v>
      </c>
      <c r="F32" s="54">
        <v>1.99</v>
      </c>
      <c r="G32" s="54">
        <v>34</v>
      </c>
      <c r="H32" s="54">
        <v>14.29</v>
      </c>
      <c r="I32" s="54">
        <v>0.12</v>
      </c>
      <c r="J32" s="54">
        <v>0.19</v>
      </c>
      <c r="K32" s="54">
        <v>25.36</v>
      </c>
      <c r="L32" s="54">
        <v>23.16</v>
      </c>
      <c r="M32" s="54">
        <v>98.63</v>
      </c>
      <c r="N32" s="54">
        <v>8.8000000000000007</v>
      </c>
      <c r="O32" s="54">
        <v>0</v>
      </c>
      <c r="P32" s="54">
        <v>0.45</v>
      </c>
      <c r="Q32" s="54">
        <v>13.23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3.7200000000000002</v>
      </c>
      <c r="C34" s="28">
        <f t="shared" si="0"/>
        <v>7.6900000000000004</v>
      </c>
      <c r="D34" s="28">
        <f t="shared" si="0"/>
        <v>12.52</v>
      </c>
      <c r="E34" s="28">
        <f t="shared" si="0"/>
        <v>0.62</v>
      </c>
      <c r="F34" s="28">
        <f t="shared" si="0"/>
        <v>1.46</v>
      </c>
      <c r="G34" s="28">
        <f t="shared" si="0"/>
        <v>9.2799999999999994</v>
      </c>
      <c r="H34" s="28">
        <f t="shared" si="0"/>
        <v>4.1600000000000001</v>
      </c>
      <c r="I34" s="28">
        <f t="shared" si="0"/>
        <v>0.11</v>
      </c>
      <c r="J34" s="28">
        <f t="shared" si="0"/>
        <v>0.16</v>
      </c>
      <c r="K34" s="28">
        <f t="shared" si="0"/>
        <v>25.359999999999999</v>
      </c>
      <c r="L34" s="28">
        <f t="shared" si="0"/>
        <v>22.48</v>
      </c>
      <c r="M34" s="28">
        <f t="shared" si="0"/>
        <v>82.930000000000007</v>
      </c>
      <c r="N34" s="28">
        <f t="shared" si="0"/>
        <v>8.4000000000000004</v>
      </c>
      <c r="O34" s="28">
        <f t="shared" si="0"/>
        <v>0</v>
      </c>
      <c r="P34" s="28">
        <f t="shared" si="0"/>
        <v>0.28000000000000003</v>
      </c>
      <c r="Q34" s="28">
        <f t="shared" si="0"/>
        <v>9.25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7.6299999999999999</v>
      </c>
      <c r="C35" s="29">
        <f t="shared" si="1"/>
        <v>18.030000000000001</v>
      </c>
      <c r="D35" s="29">
        <f t="shared" si="1"/>
        <v>25.66</v>
      </c>
      <c r="E35" s="29">
        <f t="shared" si="1"/>
        <v>2.1099999999999999</v>
      </c>
      <c r="F35" s="29">
        <f t="shared" si="1"/>
        <v>7.5899999999999999</v>
      </c>
      <c r="G35" s="29">
        <f t="shared" si="1"/>
        <v>37.649999999999999</v>
      </c>
      <c r="H35" s="29">
        <f t="shared" si="1"/>
        <v>15.15</v>
      </c>
      <c r="I35" s="29">
        <f t="shared" si="1"/>
        <v>0.13</v>
      </c>
      <c r="J35" s="29">
        <f t="shared" si="1"/>
        <v>1.45</v>
      </c>
      <c r="K35" s="29">
        <f t="shared" si="1"/>
        <v>354.88999999999999</v>
      </c>
      <c r="L35" s="29">
        <f t="shared" si="1"/>
        <v>27.940000000000001</v>
      </c>
      <c r="M35" s="29">
        <f t="shared" si="1"/>
        <v>98.659999999999997</v>
      </c>
      <c r="N35" s="29">
        <f t="shared" si="1"/>
        <v>758.39999999999998</v>
      </c>
      <c r="O35" s="29">
        <f t="shared" si="1"/>
        <v>2.6000000000000001</v>
      </c>
      <c r="P35" s="29">
        <f t="shared" si="1"/>
        <v>0.56999999999999995</v>
      </c>
      <c r="Q35" s="29">
        <f t="shared" si="1"/>
        <v>24.489999999999998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5.6341666666666681</v>
      </c>
      <c r="C36" s="28">
        <f t="shared" si="2"/>
        <v>11.094166666666666</v>
      </c>
      <c r="D36" s="28">
        <f t="shared" si="2"/>
        <v>16.523333333333337</v>
      </c>
      <c r="E36" s="28">
        <f t="shared" si="2"/>
        <v>1.5695833333333333</v>
      </c>
      <c r="F36" s="28">
        <f t="shared" si="2"/>
        <v>3.726666666666667</v>
      </c>
      <c r="G36" s="28">
        <f t="shared" si="2"/>
        <v>22.634583333333325</v>
      </c>
      <c r="H36" s="28">
        <f t="shared" si="2"/>
        <v>9.084583333333331</v>
      </c>
      <c r="I36" s="28">
        <f t="shared" si="2"/>
        <v>0.12250000000000004</v>
      </c>
      <c r="J36" s="28">
        <f t="shared" si="2"/>
        <v>0.56958333333333333</v>
      </c>
      <c r="K36" s="28">
        <f t="shared" si="2"/>
        <v>160.45750000000001</v>
      </c>
      <c r="L36" s="28">
        <f t="shared" si="2"/>
        <v>24.561666666666667</v>
      </c>
      <c r="M36" s="28">
        <f t="shared" si="2"/>
        <v>94.652500000000018</v>
      </c>
      <c r="N36" s="28">
        <f t="shared" si="2"/>
        <v>167.91249999999999</v>
      </c>
      <c r="O36" s="28">
        <f t="shared" si="2"/>
        <v>0.10833333333333334</v>
      </c>
      <c r="P36" s="28">
        <f t="shared" si="2"/>
        <v>0.37458333333333332</v>
      </c>
      <c r="Q36" s="28">
        <f t="shared" si="2"/>
        <v>17.323333333333334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1.1439136356373605</v>
      </c>
      <c r="C37" s="28">
        <f t="shared" si="3" ref="C37:Q37">STDEV(C9:C32)</f>
        <v>2.1855472236185336</v>
      </c>
      <c r="D37" s="28">
        <f t="shared" si="3"/>
        <v>2.7506515697141292</v>
      </c>
      <c r="E37" s="28">
        <f t="shared" si="3"/>
        <v>0.34042785313250401</v>
      </c>
      <c r="F37" s="28">
        <f t="shared" si="3"/>
        <v>1.8161992484705323</v>
      </c>
      <c r="G37" s="28">
        <f t="shared" si="3"/>
        <v>10.036818298543194</v>
      </c>
      <c r="H37" s="28">
        <f t="shared" si="3"/>
        <v>3.4410880220305842</v>
      </c>
      <c r="I37" s="28">
        <f t="shared" si="3"/>
        <v>0.0053160953307119525</v>
      </c>
      <c r="J37" s="28">
        <f t="shared" si="3"/>
        <v>0.39012237953556667</v>
      </c>
      <c r="K37" s="28">
        <f t="shared" si="3"/>
        <v>94.099028052550977</v>
      </c>
      <c r="L37" s="28">
        <f t="shared" si="3"/>
        <v>1.7637994233464023</v>
      </c>
      <c r="M37" s="28">
        <f t="shared" si="3"/>
        <v>5.7871967006637961</v>
      </c>
      <c r="N37" s="28">
        <f t="shared" si="3"/>
        <v>219.84905159934269</v>
      </c>
      <c r="O37" s="28">
        <f t="shared" si="3"/>
        <v>0.530722777603022</v>
      </c>
      <c r="P37" s="28">
        <f t="shared" si="3"/>
        <v>0.085107561952209893</v>
      </c>
      <c r="Q37" s="28">
        <f t="shared" si="3"/>
        <v>4.668933093532603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0085701-bcdc-4983-9edd-73c6e6df836d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58" sqref="H58"/>
    </sheetView>
  </sheetViews>
  <sheetFormatPr defaultColWidth="8.85881696428571" defaultRowHeight="15"/>
  <cols>
    <col min="1" max="1" width="18.2857142857143" style="26" customWidth="1"/>
    <col min="2" max="2" width="14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5.5" customHeight="1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11-09-2023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302</v>
      </c>
      <c r="B9" s="54">
        <v>4.2699999999999996</v>
      </c>
      <c r="C9" s="54">
        <v>9.2100000000000009</v>
      </c>
      <c r="D9" s="54">
        <v>13.48</v>
      </c>
      <c r="E9" s="54">
        <v>1.42</v>
      </c>
      <c r="F9" s="54">
        <v>1.87</v>
      </c>
      <c r="G9" s="54">
        <v>27.95</v>
      </c>
      <c r="H9" s="54">
        <v>10.37</v>
      </c>
      <c r="I9" s="54">
        <v>0.12</v>
      </c>
      <c r="J9" s="54">
        <v>0.18</v>
      </c>
      <c r="K9" s="54">
        <v>31.22</v>
      </c>
      <c r="L9" s="54">
        <v>22.77</v>
      </c>
      <c r="M9" s="54">
        <v>98.67</v>
      </c>
      <c r="N9" s="54">
        <v>8.8000000000000007</v>
      </c>
      <c r="O9" s="54">
        <v>0</v>
      </c>
      <c r="P9" s="54">
        <v>0.39</v>
      </c>
      <c r="Q9" s="54">
        <v>12.48</v>
      </c>
      <c r="R9" s="43"/>
      <c r="S9" s="43"/>
      <c r="T9" s="43"/>
      <c r="U9" s="43"/>
    </row>
    <row r="10" spans="1:21" s="11" customFormat="1" ht="15">
      <c r="A10" s="53" t="s">
        <v>303</v>
      </c>
      <c r="B10" s="54">
        <v>4.1100000000000003</v>
      </c>
      <c r="C10" s="54">
        <v>8.89</v>
      </c>
      <c r="D10" s="54">
        <v>12.59</v>
      </c>
      <c r="E10" s="54">
        <v>1.59</v>
      </c>
      <c r="F10" s="54">
        <v>6.48</v>
      </c>
      <c r="G10" s="54">
        <v>24.05</v>
      </c>
      <c r="H10" s="54">
        <v>7.97</v>
      </c>
      <c r="I10" s="54">
        <v>0.12</v>
      </c>
      <c r="J10" s="54">
        <v>0.69</v>
      </c>
      <c r="K10" s="54">
        <v>164.15</v>
      </c>
      <c r="L10" s="54">
        <v>22.72</v>
      </c>
      <c r="M10" s="54">
        <v>98.68</v>
      </c>
      <c r="N10" s="54">
        <v>9.10</v>
      </c>
      <c r="O10" s="54">
        <v>0</v>
      </c>
      <c r="P10" s="54">
        <v>0.31</v>
      </c>
      <c r="Q10" s="54">
        <v>16.559999999999999</v>
      </c>
      <c r="R10" s="43"/>
      <c r="S10" s="43"/>
      <c r="T10" s="43"/>
      <c r="U10" s="43"/>
    </row>
    <row r="11" spans="1:21" s="11" customFormat="1" ht="15">
      <c r="A11" s="53" t="s">
        <v>304</v>
      </c>
      <c r="B11" s="54">
        <v>4.16</v>
      </c>
      <c r="C11" s="54">
        <v>8.24</v>
      </c>
      <c r="D11" s="54">
        <v>12.39</v>
      </c>
      <c r="E11" s="54">
        <v>1.58</v>
      </c>
      <c r="F11" s="54">
        <v>4.17</v>
      </c>
      <c r="G11" s="54">
        <v>20.61</v>
      </c>
      <c r="H11" s="54">
        <v>8.06</v>
      </c>
      <c r="I11" s="54">
        <v>0.12</v>
      </c>
      <c r="J11" s="54">
        <v>0.31</v>
      </c>
      <c r="K11" s="54">
        <v>195.20</v>
      </c>
      <c r="L11" s="54">
        <v>22.81</v>
      </c>
      <c r="M11" s="54">
        <v>98.68</v>
      </c>
      <c r="N11" s="54">
        <v>9.10</v>
      </c>
      <c r="O11" s="54">
        <v>0</v>
      </c>
      <c r="P11" s="54">
        <v>0.28999999999999998</v>
      </c>
      <c r="Q11" s="54">
        <v>17.68</v>
      </c>
      <c r="R11" s="43"/>
      <c r="S11" s="43"/>
      <c r="T11" s="43"/>
      <c r="U11" s="43"/>
    </row>
    <row r="12" spans="1:21" s="11" customFormat="1" ht="15">
      <c r="A12" s="53" t="s">
        <v>305</v>
      </c>
      <c r="B12" s="54">
        <v>4.08</v>
      </c>
      <c r="C12" s="54">
        <v>8.2899999999999991</v>
      </c>
      <c r="D12" s="54">
        <v>12.33</v>
      </c>
      <c r="E12" s="54">
        <v>1.86</v>
      </c>
      <c r="F12" s="54">
        <v>4.18</v>
      </c>
      <c r="G12" s="54">
        <v>20.61</v>
      </c>
      <c r="H12" s="54">
        <v>5.93</v>
      </c>
      <c r="I12" s="54">
        <v>0.12</v>
      </c>
      <c r="J12" s="54">
        <v>0.31</v>
      </c>
      <c r="K12" s="54">
        <v>191.24</v>
      </c>
      <c r="L12" s="54">
        <v>22.73</v>
      </c>
      <c r="M12" s="54">
        <v>98.68</v>
      </c>
      <c r="N12" s="54">
        <v>9.10</v>
      </c>
      <c r="O12" s="54">
        <v>0</v>
      </c>
      <c r="P12" s="54">
        <v>0.28000000000000003</v>
      </c>
      <c r="Q12" s="54">
        <v>15.81</v>
      </c>
      <c r="R12" s="43"/>
      <c r="S12" s="43"/>
      <c r="T12" s="43"/>
      <c r="U12" s="43"/>
    </row>
    <row r="13" spans="1:21" s="11" customFormat="1" ht="15">
      <c r="A13" s="53" t="s">
        <v>306</v>
      </c>
      <c r="B13" s="54">
        <v>4.80</v>
      </c>
      <c r="C13" s="54">
        <v>8.85</v>
      </c>
      <c r="D13" s="54">
        <v>13.40</v>
      </c>
      <c r="E13" s="54">
        <v>0.67</v>
      </c>
      <c r="F13" s="54">
        <v>4.63</v>
      </c>
      <c r="G13" s="54">
        <v>19.61</v>
      </c>
      <c r="H13" s="54">
        <v>8.52</v>
      </c>
      <c r="I13" s="54">
        <v>0.12</v>
      </c>
      <c r="J13" s="54">
        <v>0.06</v>
      </c>
      <c r="K13" s="54">
        <v>188.95</v>
      </c>
      <c r="L13" s="54">
        <v>22.65</v>
      </c>
      <c r="M13" s="54">
        <v>98.68</v>
      </c>
      <c r="N13" s="54">
        <v>9.10</v>
      </c>
      <c r="O13" s="54">
        <v>0</v>
      </c>
      <c r="P13" s="54">
        <v>0.27</v>
      </c>
      <c r="Q13" s="54">
        <v>14.38</v>
      </c>
      <c r="R13" s="43"/>
      <c r="S13" s="43"/>
      <c r="T13" s="43"/>
      <c r="U13" s="43"/>
    </row>
    <row r="14" spans="1:21" s="11" customFormat="1" ht="15">
      <c r="A14" s="53" t="s">
        <v>307</v>
      </c>
      <c r="B14" s="54">
        <v>5.16</v>
      </c>
      <c r="C14" s="54">
        <v>9.44</v>
      </c>
      <c r="D14" s="54">
        <v>14.60</v>
      </c>
      <c r="E14" s="54">
        <v>1</v>
      </c>
      <c r="F14" s="54">
        <v>1.71</v>
      </c>
      <c r="G14" s="54">
        <v>21.21</v>
      </c>
      <c r="H14" s="54">
        <v>9.7899999999999991</v>
      </c>
      <c r="I14" s="54">
        <v>0.12</v>
      </c>
      <c r="J14" s="54">
        <v>0.19</v>
      </c>
      <c r="K14" s="54">
        <v>193.30</v>
      </c>
      <c r="L14" s="54">
        <v>22.72</v>
      </c>
      <c r="M14" s="54">
        <v>98.68</v>
      </c>
      <c r="N14" s="54">
        <v>20.80</v>
      </c>
      <c r="O14" s="54">
        <v>0</v>
      </c>
      <c r="P14" s="54">
        <v>0.26</v>
      </c>
      <c r="Q14" s="54">
        <v>17.71</v>
      </c>
      <c r="R14" s="43"/>
      <c r="S14" s="43"/>
      <c r="T14" s="43"/>
      <c r="U14" s="43"/>
    </row>
    <row r="15" spans="1:21" s="11" customFormat="1" ht="15">
      <c r="A15" s="53" t="s">
        <v>308</v>
      </c>
      <c r="B15" s="54">
        <v>10.78</v>
      </c>
      <c r="C15" s="54">
        <v>12.59</v>
      </c>
      <c r="D15" s="54">
        <v>23.37</v>
      </c>
      <c r="E15" s="54">
        <v>0.80</v>
      </c>
      <c r="F15" s="54">
        <v>1.37</v>
      </c>
      <c r="G15" s="54">
        <v>23.40</v>
      </c>
      <c r="H15" s="54">
        <v>9.93</v>
      </c>
      <c r="I15" s="54">
        <v>0.12</v>
      </c>
      <c r="J15" s="54">
        <v>0.18</v>
      </c>
      <c r="K15" s="54">
        <v>24.70</v>
      </c>
      <c r="L15" s="54">
        <v>23.45</v>
      </c>
      <c r="M15" s="54">
        <v>98.68</v>
      </c>
      <c r="N15" s="54">
        <v>103.10</v>
      </c>
      <c r="O15" s="54">
        <v>0</v>
      </c>
      <c r="P15" s="54">
        <v>0.33</v>
      </c>
      <c r="Q15" s="54">
        <v>17.760000000000002</v>
      </c>
      <c r="R15" s="43"/>
      <c r="S15" s="43"/>
      <c r="T15" s="43"/>
      <c r="U15" s="43"/>
    </row>
    <row r="16" spans="1:21" s="11" customFormat="1" ht="15">
      <c r="A16" s="53" t="s">
        <v>309</v>
      </c>
      <c r="B16" s="54">
        <v>9.01</v>
      </c>
      <c r="C16" s="54">
        <v>12.05</v>
      </c>
      <c r="D16" s="54">
        <v>20.66</v>
      </c>
      <c r="E16" s="54">
        <v>0.69</v>
      </c>
      <c r="F16" s="54">
        <v>1.07</v>
      </c>
      <c r="G16" s="54">
        <v>28</v>
      </c>
      <c r="H16" s="54">
        <v>9.10</v>
      </c>
      <c r="I16" s="54">
        <v>0.13</v>
      </c>
      <c r="J16" s="54">
        <v>0.30</v>
      </c>
      <c r="K16" s="54">
        <v>27.22</v>
      </c>
      <c r="L16" s="54">
        <v>24.15</v>
      </c>
      <c r="M16" s="54">
        <v>98.63</v>
      </c>
      <c r="N16" s="54">
        <v>143.5</v>
      </c>
      <c r="O16" s="54">
        <v>0</v>
      </c>
      <c r="P16" s="54">
        <v>0.39</v>
      </c>
      <c r="Q16" s="54">
        <v>15.59</v>
      </c>
      <c r="R16" s="43"/>
      <c r="S16" s="43"/>
      <c r="T16" s="43"/>
      <c r="U16" s="43"/>
    </row>
    <row r="17" spans="1:21" s="11" customFormat="1" ht="15">
      <c r="A17" s="53" t="s">
        <v>310</v>
      </c>
      <c r="B17" s="54">
        <v>10.5</v>
      </c>
      <c r="C17" s="54">
        <v>12.92</v>
      </c>
      <c r="D17" s="54">
        <v>22.90</v>
      </c>
      <c r="E17" s="54">
        <v>1.58</v>
      </c>
      <c r="F17" s="54">
        <v>1.1499999999999999</v>
      </c>
      <c r="G17" s="54">
        <v>32.369999999999997</v>
      </c>
      <c r="H17" s="54">
        <v>10.32</v>
      </c>
      <c r="I17" s="54">
        <v>0.12</v>
      </c>
      <c r="J17" s="54">
        <v>0.25</v>
      </c>
      <c r="K17" s="54">
        <v>25.01</v>
      </c>
      <c r="L17" s="54">
        <v>24.40</v>
      </c>
      <c r="M17" s="54">
        <v>97.41</v>
      </c>
      <c r="N17" s="54">
        <v>181.70</v>
      </c>
      <c r="O17" s="54">
        <v>0</v>
      </c>
      <c r="P17" s="54">
        <v>0.46</v>
      </c>
      <c r="Q17" s="54">
        <v>14.33</v>
      </c>
      <c r="R17" s="43"/>
      <c r="S17" s="43"/>
      <c r="T17" s="43"/>
      <c r="U17" s="43"/>
    </row>
    <row r="18" spans="1:21" s="11" customFormat="1" ht="15">
      <c r="A18" s="53" t="s">
        <v>311</v>
      </c>
      <c r="B18" s="54">
        <v>12.49</v>
      </c>
      <c r="C18" s="54">
        <v>17.70</v>
      </c>
      <c r="D18" s="54">
        <v>30.19</v>
      </c>
      <c r="E18" s="54">
        <v>1.30</v>
      </c>
      <c r="F18" s="54">
        <v>2.63</v>
      </c>
      <c r="G18" s="54">
        <v>35.479999999999997</v>
      </c>
      <c r="H18" s="54">
        <v>11.19</v>
      </c>
      <c r="I18" s="54">
        <v>0.12</v>
      </c>
      <c r="J18" s="54">
        <v>0.24</v>
      </c>
      <c r="K18" s="54">
        <v>348.43</v>
      </c>
      <c r="L18" s="54">
        <v>25.54</v>
      </c>
      <c r="M18" s="54">
        <v>98.65</v>
      </c>
      <c r="N18" s="54">
        <v>256.89999999999998</v>
      </c>
      <c r="O18" s="54">
        <v>0.20</v>
      </c>
      <c r="P18" s="54">
        <v>0.59</v>
      </c>
      <c r="Q18" s="54">
        <v>18.13</v>
      </c>
      <c r="R18" s="43"/>
      <c r="S18" s="43"/>
      <c r="T18" s="43"/>
      <c r="U18" s="43"/>
    </row>
    <row r="19" spans="1:21" s="11" customFormat="1" ht="15">
      <c r="A19" s="53" t="s">
        <v>312</v>
      </c>
      <c r="B19" s="54">
        <v>12.29</v>
      </c>
      <c r="C19" s="54">
        <v>17.850000000000001</v>
      </c>
      <c r="D19" s="54">
        <v>28.16</v>
      </c>
      <c r="E19" s="54">
        <v>1.32</v>
      </c>
      <c r="F19" s="54">
        <v>2.74</v>
      </c>
      <c r="G19" s="54">
        <v>36.049999999999997</v>
      </c>
      <c r="H19" s="54">
        <v>11.47</v>
      </c>
      <c r="I19" s="54">
        <v>0.12</v>
      </c>
      <c r="J19" s="54">
        <v>0.40</v>
      </c>
      <c r="K19" s="54">
        <v>345.58</v>
      </c>
      <c r="L19" s="54">
        <v>27.12</v>
      </c>
      <c r="M19" s="54">
        <v>93</v>
      </c>
      <c r="N19" s="54">
        <v>321.10000000000002</v>
      </c>
      <c r="O19" s="54">
        <v>0</v>
      </c>
      <c r="P19" s="54">
        <v>0.66</v>
      </c>
      <c r="Q19" s="54">
        <v>15.84</v>
      </c>
      <c r="R19" s="43"/>
      <c r="S19" s="43"/>
      <c r="T19" s="43"/>
      <c r="U19" s="43"/>
    </row>
    <row r="20" spans="1:21" s="11" customFormat="1" ht="15">
      <c r="A20" s="53" t="s">
        <v>313</v>
      </c>
      <c r="B20" s="54">
        <v>8.7799999999999994</v>
      </c>
      <c r="C20" s="54">
        <v>21.02</v>
      </c>
      <c r="D20" s="54">
        <v>29.27</v>
      </c>
      <c r="E20" s="54">
        <v>1.53</v>
      </c>
      <c r="F20" s="54">
        <v>2.41</v>
      </c>
      <c r="G20" s="18" t="s">
        <v>12</v>
      </c>
      <c r="H20" s="18" t="s">
        <v>12</v>
      </c>
      <c r="I20" s="54">
        <v>0.12</v>
      </c>
      <c r="J20" s="54">
        <v>0.62</v>
      </c>
      <c r="K20" s="54">
        <v>345.61</v>
      </c>
      <c r="L20" s="54">
        <v>27.65</v>
      </c>
      <c r="M20" s="54">
        <v>84.43</v>
      </c>
      <c r="N20" s="54">
        <v>357.60</v>
      </c>
      <c r="O20" s="54">
        <v>0</v>
      </c>
      <c r="P20" s="54">
        <v>0.68</v>
      </c>
      <c r="Q20" s="54">
        <v>19.64</v>
      </c>
      <c r="R20" s="43"/>
      <c r="S20" s="43"/>
      <c r="T20" s="43"/>
      <c r="U20" s="43"/>
    </row>
    <row r="21" spans="1:21" s="11" customFormat="1" ht="15">
      <c r="A21" s="53" t="s">
        <v>314</v>
      </c>
      <c r="B21" s="18" t="s">
        <v>12</v>
      </c>
      <c r="C21" s="18" t="s">
        <v>12</v>
      </c>
      <c r="D21" s="18" t="s">
        <v>12</v>
      </c>
      <c r="E21" s="54">
        <v>2.38</v>
      </c>
      <c r="F21" s="54">
        <v>5.22</v>
      </c>
      <c r="G21" s="54">
        <v>48.96</v>
      </c>
      <c r="H21" s="54">
        <v>26.68</v>
      </c>
      <c r="I21" s="54">
        <v>0.12</v>
      </c>
      <c r="J21" s="54">
        <v>0.59</v>
      </c>
      <c r="K21" s="54">
        <v>350.93</v>
      </c>
      <c r="L21" s="54">
        <v>27.87</v>
      </c>
      <c r="M21" s="54">
        <v>81.42</v>
      </c>
      <c r="N21" s="54">
        <v>419.60</v>
      </c>
      <c r="O21" s="54">
        <v>0</v>
      </c>
      <c r="P21" s="54">
        <v>0.64</v>
      </c>
      <c r="Q21" s="54">
        <v>7.95</v>
      </c>
      <c r="R21" s="43"/>
      <c r="S21" s="43"/>
      <c r="T21" s="43"/>
      <c r="U21" s="43"/>
    </row>
    <row r="22" spans="1:21" s="11" customFormat="1" ht="15">
      <c r="A22" s="53" t="s">
        <v>315</v>
      </c>
      <c r="B22" s="54">
        <v>10.35</v>
      </c>
      <c r="C22" s="54">
        <v>18.05</v>
      </c>
      <c r="D22" s="54">
        <v>28.41</v>
      </c>
      <c r="E22" s="54">
        <v>3.34</v>
      </c>
      <c r="F22" s="54">
        <v>3.27</v>
      </c>
      <c r="G22" s="54">
        <v>60.71</v>
      </c>
      <c r="H22" s="54">
        <v>26.68</v>
      </c>
      <c r="I22" s="54">
        <v>0.11</v>
      </c>
      <c r="J22" s="54">
        <v>0.74</v>
      </c>
      <c r="K22" s="54">
        <v>342.59</v>
      </c>
      <c r="L22" s="54">
        <v>28.21</v>
      </c>
      <c r="M22" s="54">
        <v>78.430000000000007</v>
      </c>
      <c r="N22" s="54">
        <v>315.20</v>
      </c>
      <c r="O22" s="54">
        <v>0</v>
      </c>
      <c r="P22" s="54">
        <v>0.56000000000000005</v>
      </c>
      <c r="Q22" s="54">
        <v>9.26</v>
      </c>
      <c r="R22" s="43"/>
      <c r="S22" s="43"/>
      <c r="T22" s="43"/>
      <c r="U22" s="43"/>
    </row>
    <row r="23" spans="1:21" s="11" customFormat="1" ht="15">
      <c r="A23" s="53" t="s">
        <v>316</v>
      </c>
      <c r="B23" s="54">
        <v>6.80</v>
      </c>
      <c r="C23" s="54">
        <v>18.73</v>
      </c>
      <c r="D23" s="54">
        <v>25.53</v>
      </c>
      <c r="E23" s="54">
        <v>2.2999999999999998</v>
      </c>
      <c r="F23" s="54">
        <v>2.38</v>
      </c>
      <c r="G23" s="54">
        <v>60.71</v>
      </c>
      <c r="H23" s="54">
        <v>24.11</v>
      </c>
      <c r="I23" s="54">
        <v>0.11</v>
      </c>
      <c r="J23" s="54">
        <v>0.42</v>
      </c>
      <c r="K23" s="54">
        <v>345.06</v>
      </c>
      <c r="L23" s="54">
        <v>27.95</v>
      </c>
      <c r="M23" s="54">
        <v>86.79</v>
      </c>
      <c r="N23" s="54">
        <v>381.30</v>
      </c>
      <c r="O23" s="54">
        <v>0</v>
      </c>
      <c r="P23" s="54">
        <v>0.5</v>
      </c>
      <c r="Q23" s="54">
        <v>7.91</v>
      </c>
      <c r="R23" s="43"/>
      <c r="S23" s="43"/>
      <c r="T23" s="43"/>
      <c r="U23" s="43"/>
    </row>
    <row r="24" spans="1:21" s="11" customFormat="1" ht="15">
      <c r="A24" s="53" t="s">
        <v>317</v>
      </c>
      <c r="B24" s="54">
        <v>9.2799999999999994</v>
      </c>
      <c r="C24" s="54">
        <v>33.479999999999997</v>
      </c>
      <c r="D24" s="54">
        <v>42.27</v>
      </c>
      <c r="E24" s="54">
        <v>2.69</v>
      </c>
      <c r="F24" s="54">
        <v>5.51</v>
      </c>
      <c r="G24" s="54">
        <v>54.27</v>
      </c>
      <c r="H24" s="54">
        <v>18.30</v>
      </c>
      <c r="I24" s="54">
        <v>0.11</v>
      </c>
      <c r="J24" s="54">
        <v>0.38</v>
      </c>
      <c r="K24" s="54">
        <v>359.14</v>
      </c>
      <c r="L24" s="54">
        <v>27.43</v>
      </c>
      <c r="M24" s="54">
        <v>88.14</v>
      </c>
      <c r="N24" s="54">
        <v>255.10</v>
      </c>
      <c r="O24" s="54">
        <v>0</v>
      </c>
      <c r="P24" s="54">
        <v>0.74</v>
      </c>
      <c r="Q24" s="54">
        <v>13.64</v>
      </c>
      <c r="R24" s="43"/>
      <c r="S24" s="43"/>
      <c r="T24" s="43"/>
      <c r="U24" s="43"/>
    </row>
    <row r="25" spans="1:21" s="11" customFormat="1" ht="15">
      <c r="A25" s="53" t="s">
        <v>318</v>
      </c>
      <c r="B25" s="54">
        <v>9.69</v>
      </c>
      <c r="C25" s="54">
        <v>23.67</v>
      </c>
      <c r="D25" s="54">
        <v>31.23</v>
      </c>
      <c r="E25" s="54">
        <v>1.38</v>
      </c>
      <c r="F25" s="54">
        <v>3.88</v>
      </c>
      <c r="G25" s="54">
        <v>42.21</v>
      </c>
      <c r="H25" s="54">
        <v>17.04</v>
      </c>
      <c r="I25" s="54">
        <v>0.10</v>
      </c>
      <c r="J25" s="54">
        <v>0.49</v>
      </c>
      <c r="K25" s="54">
        <v>354.72</v>
      </c>
      <c r="L25" s="54">
        <v>27</v>
      </c>
      <c r="M25" s="54">
        <v>83.14</v>
      </c>
      <c r="N25" s="54">
        <v>155.69999999999999</v>
      </c>
      <c r="O25" s="54">
        <v>0</v>
      </c>
      <c r="P25" s="54">
        <v>0.69</v>
      </c>
      <c r="Q25" s="54">
        <v>11.91</v>
      </c>
      <c r="R25" s="43"/>
      <c r="S25" s="43"/>
      <c r="T25" s="43"/>
      <c r="U25" s="43"/>
    </row>
    <row r="26" spans="1:21" s="11" customFormat="1" ht="15">
      <c r="A26" s="53" t="s">
        <v>319</v>
      </c>
      <c r="B26" s="54">
        <v>9.48</v>
      </c>
      <c r="C26" s="54">
        <v>20.05</v>
      </c>
      <c r="D26" s="54">
        <v>29.53</v>
      </c>
      <c r="E26" s="54">
        <v>0.74</v>
      </c>
      <c r="F26" s="54">
        <v>2.56</v>
      </c>
      <c r="G26" s="54">
        <v>46.72</v>
      </c>
      <c r="H26" s="54">
        <v>17.399999999999999</v>
      </c>
      <c r="I26" s="54">
        <v>0.11</v>
      </c>
      <c r="J26" s="54">
        <v>0.33</v>
      </c>
      <c r="K26" s="54">
        <v>359.93</v>
      </c>
      <c r="L26" s="54">
        <v>26.59</v>
      </c>
      <c r="M26" s="54">
        <v>86.22</v>
      </c>
      <c r="N26" s="54">
        <v>75.20</v>
      </c>
      <c r="O26" s="54">
        <v>0</v>
      </c>
      <c r="P26" s="54">
        <v>0.72</v>
      </c>
      <c r="Q26" s="54">
        <v>9.3699999999999992</v>
      </c>
      <c r="R26" s="43"/>
      <c r="S26" s="43"/>
      <c r="T26" s="43"/>
      <c r="U26" s="43"/>
    </row>
    <row r="27" spans="1:21" s="11" customFormat="1" ht="15">
      <c r="A27" s="53" t="s">
        <v>320</v>
      </c>
      <c r="B27" s="54">
        <v>11.54</v>
      </c>
      <c r="C27" s="54">
        <v>26.38</v>
      </c>
      <c r="D27" s="54">
        <v>37.78</v>
      </c>
      <c r="E27" s="54">
        <v>1.34</v>
      </c>
      <c r="F27" s="54">
        <v>4.21</v>
      </c>
      <c r="G27" s="54">
        <v>53.40</v>
      </c>
      <c r="H27" s="54">
        <v>17.399999999999999</v>
      </c>
      <c r="I27" s="54">
        <v>0.11</v>
      </c>
      <c r="J27" s="54">
        <v>0.20</v>
      </c>
      <c r="K27" s="54">
        <v>31.70</v>
      </c>
      <c r="L27" s="54">
        <v>25.37</v>
      </c>
      <c r="M27" s="54">
        <v>96.40</v>
      </c>
      <c r="N27" s="54">
        <v>10.40</v>
      </c>
      <c r="O27" s="54">
        <v>0</v>
      </c>
      <c r="P27" s="54">
        <v>0.94</v>
      </c>
      <c r="Q27" s="54">
        <v>12.03</v>
      </c>
      <c r="R27" s="43"/>
      <c r="S27" s="43"/>
      <c r="T27" s="43"/>
      <c r="U27" s="43"/>
    </row>
    <row r="28" spans="1:21" s="11" customFormat="1" ht="15">
      <c r="A28" s="53" t="s">
        <v>321</v>
      </c>
      <c r="B28" s="54">
        <v>11.20</v>
      </c>
      <c r="C28" s="54">
        <v>21.44</v>
      </c>
      <c r="D28" s="54">
        <v>30.62</v>
      </c>
      <c r="E28" s="54">
        <v>1.51</v>
      </c>
      <c r="F28" s="54">
        <v>4.3600000000000003</v>
      </c>
      <c r="G28" s="54">
        <v>53.40</v>
      </c>
      <c r="H28" s="54">
        <v>18.23</v>
      </c>
      <c r="I28" s="54">
        <v>0.11</v>
      </c>
      <c r="J28" s="54">
        <v>0.14000000000000001</v>
      </c>
      <c r="K28" s="54">
        <v>28.19</v>
      </c>
      <c r="L28" s="54">
        <v>24.52</v>
      </c>
      <c r="M28" s="54">
        <v>98.25</v>
      </c>
      <c r="N28" s="54">
        <v>9</v>
      </c>
      <c r="O28" s="54">
        <v>0</v>
      </c>
      <c r="P28" s="54">
        <v>0.95</v>
      </c>
      <c r="Q28" s="54">
        <v>12.82</v>
      </c>
      <c r="R28" s="43"/>
      <c r="S28" s="43"/>
      <c r="T28" s="43"/>
      <c r="U28" s="43"/>
    </row>
    <row r="29" spans="1:21" s="11" customFormat="1" ht="15">
      <c r="A29" s="53" t="s">
        <v>322</v>
      </c>
      <c r="B29" s="54">
        <v>11.42</v>
      </c>
      <c r="C29" s="54">
        <v>20.97</v>
      </c>
      <c r="D29" s="54">
        <v>32.39</v>
      </c>
      <c r="E29" s="54">
        <v>1.19</v>
      </c>
      <c r="F29" s="54">
        <v>5.14</v>
      </c>
      <c r="G29" s="54">
        <v>51.20</v>
      </c>
      <c r="H29" s="54">
        <v>18.23</v>
      </c>
      <c r="I29" s="54">
        <v>0.12</v>
      </c>
      <c r="J29" s="54">
        <v>0.22</v>
      </c>
      <c r="K29" s="54">
        <v>176.32</v>
      </c>
      <c r="L29" s="54">
        <v>24.34</v>
      </c>
      <c r="M29" s="54">
        <v>98.65</v>
      </c>
      <c r="N29" s="54">
        <v>8.8000000000000007</v>
      </c>
      <c r="O29" s="54">
        <v>0</v>
      </c>
      <c r="P29" s="54">
        <v>0.88</v>
      </c>
      <c r="Q29" s="54">
        <v>11.54</v>
      </c>
      <c r="R29" s="43"/>
      <c r="S29" s="43"/>
      <c r="T29" s="43"/>
      <c r="U29" s="43"/>
    </row>
    <row r="30" spans="1:21" s="11" customFormat="1" ht="15">
      <c r="A30" s="53" t="s">
        <v>323</v>
      </c>
      <c r="B30" s="54">
        <v>9.94</v>
      </c>
      <c r="C30" s="54">
        <v>17.89</v>
      </c>
      <c r="D30" s="54">
        <v>27.56</v>
      </c>
      <c r="E30" s="54">
        <v>1.85</v>
      </c>
      <c r="F30" s="54">
        <v>2.08</v>
      </c>
      <c r="G30" s="54">
        <v>51.20</v>
      </c>
      <c r="H30" s="54">
        <v>17.760000000000002</v>
      </c>
      <c r="I30" s="54">
        <v>0.11</v>
      </c>
      <c r="J30" s="54">
        <v>0.21</v>
      </c>
      <c r="K30" s="54">
        <v>33.69</v>
      </c>
      <c r="L30" s="54">
        <v>24.05</v>
      </c>
      <c r="M30" s="54">
        <v>98.31</v>
      </c>
      <c r="N30" s="54">
        <v>9</v>
      </c>
      <c r="O30" s="54">
        <v>0</v>
      </c>
      <c r="P30" s="54">
        <v>0.81</v>
      </c>
      <c r="Q30" s="54">
        <v>16.510000000000002</v>
      </c>
      <c r="R30" s="43"/>
      <c r="S30" s="43"/>
      <c r="T30" s="43"/>
      <c r="U30" s="43"/>
    </row>
    <row r="31" spans="1:21" s="11" customFormat="1" ht="15">
      <c r="A31" s="53" t="s">
        <v>324</v>
      </c>
      <c r="B31" s="54">
        <v>11.10</v>
      </c>
      <c r="C31" s="54">
        <v>14.71</v>
      </c>
      <c r="D31" s="54">
        <v>25.81</v>
      </c>
      <c r="E31" s="54">
        <v>1.1299999999999999</v>
      </c>
      <c r="F31" s="54">
        <v>1.38</v>
      </c>
      <c r="G31" s="54">
        <v>48.53</v>
      </c>
      <c r="H31" s="54">
        <v>12.43</v>
      </c>
      <c r="I31" s="54">
        <v>0.12</v>
      </c>
      <c r="J31" s="54">
        <v>0.26</v>
      </c>
      <c r="K31" s="54">
        <v>31.45</v>
      </c>
      <c r="L31" s="54">
        <v>24.03</v>
      </c>
      <c r="M31" s="54">
        <v>96.77</v>
      </c>
      <c r="N31" s="54">
        <v>9.10</v>
      </c>
      <c r="O31" s="54">
        <v>0</v>
      </c>
      <c r="P31" s="54">
        <v>0.79</v>
      </c>
      <c r="Q31" s="54">
        <v>17.27</v>
      </c>
      <c r="R31" s="43"/>
      <c r="S31" s="43"/>
      <c r="T31" s="43"/>
      <c r="U31" s="43"/>
    </row>
    <row r="32" spans="1:21" s="11" customFormat="1" ht="15">
      <c r="A32" s="53" t="s">
        <v>325</v>
      </c>
      <c r="B32" s="54">
        <v>7.75</v>
      </c>
      <c r="C32" s="54">
        <v>12.26</v>
      </c>
      <c r="D32" s="54">
        <v>19.68</v>
      </c>
      <c r="E32" s="54">
        <v>1.27</v>
      </c>
      <c r="F32" s="54">
        <v>1.87</v>
      </c>
      <c r="G32" s="54">
        <v>42.26</v>
      </c>
      <c r="H32" s="54">
        <v>13.48</v>
      </c>
      <c r="I32" s="54">
        <v>0.12</v>
      </c>
      <c r="J32" s="54">
        <v>0.19</v>
      </c>
      <c r="K32" s="54">
        <v>35.159999999999997</v>
      </c>
      <c r="L32" s="54">
        <v>23.61</v>
      </c>
      <c r="M32" s="54">
        <v>98.65</v>
      </c>
      <c r="N32" s="54">
        <v>9</v>
      </c>
      <c r="O32" s="54">
        <v>0</v>
      </c>
      <c r="P32" s="54">
        <v>0.68</v>
      </c>
      <c r="Q32" s="54">
        <v>15.78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4.0800000000000001</v>
      </c>
      <c r="C34" s="28">
        <f t="shared" si="0"/>
        <v>8.2400000000000002</v>
      </c>
      <c r="D34" s="28">
        <f t="shared" si="0"/>
        <v>12.33</v>
      </c>
      <c r="E34" s="28">
        <f t="shared" si="0"/>
        <v>0.67000000000000004</v>
      </c>
      <c r="F34" s="28">
        <f t="shared" si="0"/>
        <v>1.0700000000000001</v>
      </c>
      <c r="G34" s="28">
        <f t="shared" si="0"/>
        <v>19.609999999999999</v>
      </c>
      <c r="H34" s="28">
        <f t="shared" si="0"/>
        <v>5.9299999999999997</v>
      </c>
      <c r="I34" s="28">
        <f t="shared" si="0"/>
        <v>0.10000000000000001</v>
      </c>
      <c r="J34" s="28">
        <f t="shared" si="0"/>
        <v>0.059999999999999998</v>
      </c>
      <c r="K34" s="28">
        <f t="shared" si="0"/>
        <v>24.699999999999999</v>
      </c>
      <c r="L34" s="28">
        <f t="shared" si="0"/>
        <v>22.649999999999999</v>
      </c>
      <c r="M34" s="28">
        <f t="shared" si="0"/>
        <v>78.430000000000007</v>
      </c>
      <c r="N34" s="28">
        <f t="shared" si="0"/>
        <v>8.8000000000000007</v>
      </c>
      <c r="O34" s="28">
        <f t="shared" si="0"/>
        <v>0</v>
      </c>
      <c r="P34" s="28">
        <f t="shared" si="0"/>
        <v>0.26000000000000001</v>
      </c>
      <c r="Q34" s="28">
        <f t="shared" si="0"/>
        <v>7.9100000000000001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12.49</v>
      </c>
      <c r="C35" s="29">
        <f t="shared" si="1"/>
        <v>33.479999999999997</v>
      </c>
      <c r="D35" s="29">
        <f t="shared" si="1"/>
        <v>42.270000000000003</v>
      </c>
      <c r="E35" s="29">
        <f t="shared" si="1"/>
        <v>3.3399999999999999</v>
      </c>
      <c r="F35" s="29">
        <f t="shared" si="1"/>
        <v>6.4800000000000004</v>
      </c>
      <c r="G35" s="29">
        <f t="shared" si="1"/>
        <v>60.710000000000001</v>
      </c>
      <c r="H35" s="29">
        <f t="shared" si="1"/>
        <v>26.68</v>
      </c>
      <c r="I35" s="29">
        <f t="shared" si="1"/>
        <v>0.13</v>
      </c>
      <c r="J35" s="29">
        <f t="shared" si="1"/>
        <v>0.73999999999999999</v>
      </c>
      <c r="K35" s="29">
        <f t="shared" si="1"/>
        <v>359.93000000000001</v>
      </c>
      <c r="L35" s="29">
        <f t="shared" si="1"/>
        <v>28.210000000000001</v>
      </c>
      <c r="M35" s="29">
        <f t="shared" si="1"/>
        <v>98.680000000000007</v>
      </c>
      <c r="N35" s="29">
        <f t="shared" si="1"/>
        <v>419.60000000000002</v>
      </c>
      <c r="O35" s="29">
        <f t="shared" si="1"/>
        <v>0.20000000000000001</v>
      </c>
      <c r="P35" s="29">
        <f t="shared" si="1"/>
        <v>0.94999999999999996</v>
      </c>
      <c r="Q35" s="29">
        <f t="shared" si="1"/>
        <v>19.640000000000001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8.6513043478260858</v>
      </c>
      <c r="C36" s="28">
        <f t="shared" si="2"/>
        <v>16.290434782608695</v>
      </c>
      <c r="D36" s="28">
        <f t="shared" si="2"/>
        <v>24.528260869565205</v>
      </c>
      <c r="E36" s="28">
        <f t="shared" si="2"/>
        <v>1.519166666666667</v>
      </c>
      <c r="F36" s="28">
        <f t="shared" si="2"/>
        <v>3.1779166666666669</v>
      </c>
      <c r="G36" s="28">
        <f t="shared" si="2"/>
        <v>39.256956521739127</v>
      </c>
      <c r="H36" s="28">
        <f t="shared" si="2"/>
        <v>14.364782608695654</v>
      </c>
      <c r="I36" s="28">
        <f t="shared" si="2"/>
        <v>0.11666666666666668</v>
      </c>
      <c r="J36" s="28">
        <f t="shared" si="2"/>
        <v>0.32916666666666666</v>
      </c>
      <c r="K36" s="28">
        <f t="shared" si="2"/>
        <v>188.72874999999996</v>
      </c>
      <c r="L36" s="28">
        <f t="shared" si="2"/>
        <v>24.986666666666661</v>
      </c>
      <c r="M36" s="28">
        <f t="shared" si="2"/>
        <v>93.918333333333365</v>
      </c>
      <c r="N36" s="28">
        <f t="shared" si="2"/>
        <v>128.63749999999999</v>
      </c>
      <c r="O36" s="28">
        <f t="shared" si="2"/>
        <v>0.0083333333333333332</v>
      </c>
      <c r="P36" s="28">
        <f t="shared" si="2"/>
        <v>0.57541666666666658</v>
      </c>
      <c r="Q36" s="28">
        <f t="shared" si="2"/>
        <v>14.245833333333332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2.8875017581227675</v>
      </c>
      <c r="C37" s="28">
        <f t="shared" si="3" ref="C37:Q37">STDEV(C9:C32)</f>
        <v>6.5728909360278438</v>
      </c>
      <c r="D37" s="28">
        <f t="shared" si="3"/>
        <v>8.47308822748073</v>
      </c>
      <c r="E37" s="28">
        <f t="shared" si="3"/>
        <v>0.64432584699160456</v>
      </c>
      <c r="F37" s="28">
        <f t="shared" si="3"/>
        <v>1.5514592826745714</v>
      </c>
      <c r="G37" s="28">
        <f t="shared" si="3"/>
        <v>13.982310719029179</v>
      </c>
      <c r="H37" s="28">
        <f t="shared" si="3"/>
        <v>5.9937155493864109</v>
      </c>
      <c r="I37" s="28">
        <f t="shared" si="3"/>
        <v>0.0063702205727060581</v>
      </c>
      <c r="J37" s="28">
        <f t="shared" si="3"/>
        <v>0.18035994606599198</v>
      </c>
      <c r="K37" s="28">
        <f t="shared" si="3"/>
        <v>141.92186142572783</v>
      </c>
      <c r="L37" s="28">
        <f t="shared" si="3"/>
        <v>1.9823715851094303</v>
      </c>
      <c r="M37" s="28">
        <f t="shared" si="3"/>
        <v>6.7859353696141049</v>
      </c>
      <c r="N37" s="28">
        <f t="shared" si="3"/>
        <v>144.64438194503398</v>
      </c>
      <c r="O37" s="28">
        <f t="shared" si="3"/>
        <v>0.040824829046386311</v>
      </c>
      <c r="P37" s="28">
        <f t="shared" si="3"/>
        <v>0.22280775817158938</v>
      </c>
      <c r="Q37" s="28">
        <f t="shared" si="3"/>
        <v>3.367016375867856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>COUNT(B9:B32)+1</f>
        <v>24</v>
      </c>
      <c r="C38" s="32">
        <f>COUNT(C9:C32)+1</f>
        <v>24</v>
      </c>
      <c r="D38" s="32">
        <f>COUNT(D9:D32)+1</f>
        <v>24</v>
      </c>
      <c r="E38" s="32">
        <f t="shared" si="4" ref="E38:Q38">COUNT(E9:E32)</f>
        <v>24</v>
      </c>
      <c r="F38" s="32">
        <f t="shared" si="4"/>
        <v>24</v>
      </c>
      <c r="G38" s="32">
        <f>COUNT(G9:G32)+1</f>
        <v>24</v>
      </c>
      <c r="H38" s="32">
        <f>COUNT(H9:H32)+1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landscape" paperSize="9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9b729d8-f2b9-4bdd-9c4c-19483a89e69e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4" sqref="G64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12-09-2023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326</v>
      </c>
      <c r="B9" s="54">
        <v>6.21</v>
      </c>
      <c r="C9" s="54">
        <v>11.51</v>
      </c>
      <c r="D9" s="54">
        <v>17.46</v>
      </c>
      <c r="E9" s="54">
        <v>2.77</v>
      </c>
      <c r="F9" s="54">
        <v>2.5499999999999998</v>
      </c>
      <c r="G9" s="54">
        <v>34.78</v>
      </c>
      <c r="H9" s="54">
        <v>15.14</v>
      </c>
      <c r="I9" s="54">
        <v>0.12</v>
      </c>
      <c r="J9" s="54">
        <v>0.22</v>
      </c>
      <c r="K9" s="54">
        <v>33.53</v>
      </c>
      <c r="L9" s="54">
        <v>23.35</v>
      </c>
      <c r="M9" s="54">
        <v>98.66</v>
      </c>
      <c r="N9" s="54">
        <v>8.8000000000000007</v>
      </c>
      <c r="O9" s="54">
        <v>0</v>
      </c>
      <c r="P9" s="54">
        <v>0.57999999999999996</v>
      </c>
      <c r="Q9" s="54">
        <v>24.18</v>
      </c>
      <c r="R9" s="43"/>
      <c r="S9" s="43"/>
      <c r="T9" s="43"/>
      <c r="U9" s="43"/>
    </row>
    <row r="10" spans="1:21" s="11" customFormat="1" ht="15">
      <c r="A10" s="53" t="s">
        <v>327</v>
      </c>
      <c r="B10" s="54">
        <v>5.53</v>
      </c>
      <c r="C10" s="54">
        <v>10.02</v>
      </c>
      <c r="D10" s="54">
        <v>15.55</v>
      </c>
      <c r="E10" s="54">
        <v>2.0099999999999998</v>
      </c>
      <c r="F10" s="54">
        <v>1.67</v>
      </c>
      <c r="G10" s="54">
        <v>33.89</v>
      </c>
      <c r="H10" s="54">
        <v>15.14</v>
      </c>
      <c r="I10" s="54">
        <v>0.12</v>
      </c>
      <c r="J10" s="54">
        <v>0.19</v>
      </c>
      <c r="K10" s="54">
        <v>30.17</v>
      </c>
      <c r="L10" s="54">
        <v>23.15</v>
      </c>
      <c r="M10" s="54">
        <v>98.70</v>
      </c>
      <c r="N10" s="54">
        <v>8.8000000000000007</v>
      </c>
      <c r="O10" s="54">
        <v>0</v>
      </c>
      <c r="P10" s="54">
        <v>0.49</v>
      </c>
      <c r="Q10" s="54">
        <v>27.47</v>
      </c>
      <c r="R10" s="43"/>
      <c r="S10" s="43"/>
      <c r="T10" s="43"/>
      <c r="U10" s="43"/>
    </row>
    <row r="11" spans="1:21" s="11" customFormat="1" ht="15">
      <c r="A11" s="53" t="s">
        <v>328</v>
      </c>
      <c r="B11" s="54">
        <v>4.9000000000000004</v>
      </c>
      <c r="C11" s="54">
        <v>9.0299999999999994</v>
      </c>
      <c r="D11" s="54">
        <v>13.71</v>
      </c>
      <c r="E11" s="54">
        <v>1.91</v>
      </c>
      <c r="F11" s="54">
        <v>1.07</v>
      </c>
      <c r="G11" s="54">
        <v>31.84</v>
      </c>
      <c r="H11" s="54">
        <v>13.01</v>
      </c>
      <c r="I11" s="54">
        <v>0.12</v>
      </c>
      <c r="J11" s="54">
        <v>0.19</v>
      </c>
      <c r="K11" s="54">
        <v>45.81</v>
      </c>
      <c r="L11" s="54">
        <v>22.96</v>
      </c>
      <c r="M11" s="54">
        <v>98.70</v>
      </c>
      <c r="N11" s="54">
        <v>8.8000000000000007</v>
      </c>
      <c r="O11" s="54">
        <v>0</v>
      </c>
      <c r="P11" s="54">
        <v>0.44</v>
      </c>
      <c r="Q11" s="54">
        <v>18.54</v>
      </c>
      <c r="R11" s="43"/>
      <c r="S11" s="43"/>
      <c r="T11" s="43"/>
      <c r="U11" s="43"/>
    </row>
    <row r="12" spans="1:21" s="11" customFormat="1" ht="15">
      <c r="A12" s="53" t="s">
        <v>329</v>
      </c>
      <c r="B12" s="54">
        <v>5.0999999999999996</v>
      </c>
      <c r="C12" s="54">
        <v>10.45</v>
      </c>
      <c r="D12" s="54">
        <v>15.32</v>
      </c>
      <c r="E12" s="54">
        <v>2.13</v>
      </c>
      <c r="F12" s="54">
        <v>1.34</v>
      </c>
      <c r="G12" s="54">
        <v>31.84</v>
      </c>
      <c r="H12" s="54">
        <v>13.01</v>
      </c>
      <c r="I12" s="54">
        <v>0.12</v>
      </c>
      <c r="J12" s="54">
        <v>0.17</v>
      </c>
      <c r="K12" s="54">
        <v>32.92</v>
      </c>
      <c r="L12" s="54">
        <v>22.99</v>
      </c>
      <c r="M12" s="54">
        <v>98.70</v>
      </c>
      <c r="N12" s="54">
        <v>8.90</v>
      </c>
      <c r="O12" s="54">
        <v>0</v>
      </c>
      <c r="P12" s="54">
        <v>0.49</v>
      </c>
      <c r="Q12" s="54">
        <v>10.83</v>
      </c>
      <c r="R12" s="43"/>
      <c r="S12" s="43"/>
      <c r="T12" s="43"/>
      <c r="U12" s="43"/>
    </row>
    <row r="13" spans="1:21" s="11" customFormat="1" ht="15">
      <c r="A13" s="53" t="s">
        <v>330</v>
      </c>
      <c r="B13" s="54">
        <v>5.36</v>
      </c>
      <c r="C13" s="54">
        <v>9.56</v>
      </c>
      <c r="D13" s="54">
        <v>14.69</v>
      </c>
      <c r="E13" s="54">
        <v>2.60</v>
      </c>
      <c r="F13" s="54">
        <v>0.79</v>
      </c>
      <c r="G13" s="54">
        <v>29.85</v>
      </c>
      <c r="H13" s="54">
        <v>11.03</v>
      </c>
      <c r="I13" s="54">
        <v>0.12</v>
      </c>
      <c r="J13" s="54">
        <v>0.18</v>
      </c>
      <c r="K13" s="54">
        <v>33.590000000000003</v>
      </c>
      <c r="L13" s="54">
        <v>22.77</v>
      </c>
      <c r="M13" s="54">
        <v>98.70</v>
      </c>
      <c r="N13" s="54">
        <v>8.90</v>
      </c>
      <c r="O13" s="54">
        <v>0</v>
      </c>
      <c r="P13" s="54">
        <v>0.46</v>
      </c>
      <c r="Q13" s="54">
        <v>11.25</v>
      </c>
      <c r="R13" s="43"/>
      <c r="S13" s="43"/>
      <c r="T13" s="43"/>
      <c r="U13" s="43"/>
    </row>
    <row r="14" spans="1:21" s="11" customFormat="1" ht="15">
      <c r="A14" s="53" t="s">
        <v>331</v>
      </c>
      <c r="B14" s="54">
        <v>6.35</v>
      </c>
      <c r="C14" s="54">
        <v>8.84</v>
      </c>
      <c r="D14" s="54">
        <v>14.68</v>
      </c>
      <c r="E14" s="54">
        <v>2.3199999999999998</v>
      </c>
      <c r="F14" s="54">
        <v>1.20</v>
      </c>
      <c r="G14" s="54">
        <v>28.16</v>
      </c>
      <c r="H14" s="54">
        <v>10.87</v>
      </c>
      <c r="I14" s="54">
        <v>0.12</v>
      </c>
      <c r="J14" s="54">
        <v>0.19</v>
      </c>
      <c r="K14" s="54">
        <v>33.97</v>
      </c>
      <c r="L14" s="54">
        <v>22.77</v>
      </c>
      <c r="M14" s="54">
        <v>98.70</v>
      </c>
      <c r="N14" s="54">
        <v>20.80</v>
      </c>
      <c r="O14" s="54">
        <v>0</v>
      </c>
      <c r="P14" s="54">
        <v>0.43</v>
      </c>
      <c r="Q14" s="54">
        <v>9.64</v>
      </c>
      <c r="R14" s="43"/>
      <c r="S14" s="43"/>
      <c r="T14" s="43"/>
      <c r="U14" s="43"/>
    </row>
    <row r="15" spans="1:21" s="11" customFormat="1" ht="15">
      <c r="A15" s="53" t="s">
        <v>332</v>
      </c>
      <c r="B15" s="54">
        <v>11.64</v>
      </c>
      <c r="C15" s="54">
        <v>14.06</v>
      </c>
      <c r="D15" s="54">
        <v>25.70</v>
      </c>
      <c r="E15" s="54">
        <v>2.81</v>
      </c>
      <c r="F15" s="54">
        <v>1.77</v>
      </c>
      <c r="G15" s="54">
        <v>33.020000000000003</v>
      </c>
      <c r="H15" s="54">
        <v>9.44</v>
      </c>
      <c r="I15" s="54">
        <v>0.12</v>
      </c>
      <c r="J15" s="54">
        <v>0.08</v>
      </c>
      <c r="K15" s="54">
        <v>162.69</v>
      </c>
      <c r="L15" s="54">
        <v>23.27</v>
      </c>
      <c r="M15" s="54">
        <v>98.70</v>
      </c>
      <c r="N15" s="54">
        <v>63.90</v>
      </c>
      <c r="O15" s="54">
        <v>0</v>
      </c>
      <c r="P15" s="54">
        <v>0.52</v>
      </c>
      <c r="Q15" s="54">
        <v>12.55</v>
      </c>
      <c r="R15" s="43"/>
      <c r="S15" s="43"/>
      <c r="T15" s="43"/>
      <c r="U15" s="43"/>
    </row>
    <row r="16" spans="1:21" s="11" customFormat="1" ht="15">
      <c r="A16" s="53" t="s">
        <v>333</v>
      </c>
      <c r="B16" s="54">
        <v>12.39</v>
      </c>
      <c r="C16" s="54">
        <v>15.40</v>
      </c>
      <c r="D16" s="54">
        <v>27</v>
      </c>
      <c r="E16" s="54">
        <v>2.88</v>
      </c>
      <c r="F16" s="54">
        <v>1.62</v>
      </c>
      <c r="G16" s="54">
        <v>33.78</v>
      </c>
      <c r="H16" s="54">
        <v>8.02</v>
      </c>
      <c r="I16" s="54">
        <v>0.12</v>
      </c>
      <c r="J16" s="54">
        <v>0.14000000000000001</v>
      </c>
      <c r="K16" s="54">
        <v>357.23</v>
      </c>
      <c r="L16" s="54">
        <v>24.32</v>
      </c>
      <c r="M16" s="54">
        <v>98.67</v>
      </c>
      <c r="N16" s="54">
        <v>132.30000000000001</v>
      </c>
      <c r="O16" s="54">
        <v>0</v>
      </c>
      <c r="P16" s="54">
        <v>0.56999999999999995</v>
      </c>
      <c r="Q16" s="54">
        <v>13.69</v>
      </c>
      <c r="R16" s="43"/>
      <c r="S16" s="43"/>
      <c r="T16" s="43"/>
      <c r="U16" s="43"/>
    </row>
    <row r="17" spans="1:21" s="11" customFormat="1" ht="15">
      <c r="A17" s="53" t="s">
        <v>334</v>
      </c>
      <c r="B17" s="54">
        <v>14.87</v>
      </c>
      <c r="C17" s="54">
        <v>14.26</v>
      </c>
      <c r="D17" s="54">
        <v>29.13</v>
      </c>
      <c r="E17" s="54">
        <v>1.72</v>
      </c>
      <c r="F17" s="54">
        <v>2.11</v>
      </c>
      <c r="G17" s="54">
        <v>45.88</v>
      </c>
      <c r="H17" s="54">
        <v>12.43</v>
      </c>
      <c r="I17" s="54">
        <v>0.12</v>
      </c>
      <c r="J17" s="54">
        <v>0.26</v>
      </c>
      <c r="K17" s="54">
        <v>336.44</v>
      </c>
      <c r="L17" s="54">
        <v>25.80</v>
      </c>
      <c r="M17" s="54">
        <v>94.73</v>
      </c>
      <c r="N17" s="54">
        <v>189.40</v>
      </c>
      <c r="O17" s="54">
        <v>0</v>
      </c>
      <c r="P17" s="54">
        <v>0.69</v>
      </c>
      <c r="Q17" s="54">
        <v>12.06</v>
      </c>
      <c r="R17" s="43"/>
      <c r="S17" s="43"/>
      <c r="T17" s="43"/>
      <c r="U17" s="43"/>
    </row>
    <row r="18" spans="1:21" s="11" customFormat="1" ht="15">
      <c r="A18" s="53" t="s">
        <v>335</v>
      </c>
      <c r="B18" s="54">
        <v>13.75</v>
      </c>
      <c r="C18" s="54">
        <v>12.92</v>
      </c>
      <c r="D18" s="54">
        <v>26.67</v>
      </c>
      <c r="E18" s="54">
        <v>2.08</v>
      </c>
      <c r="F18" s="54">
        <v>1.77</v>
      </c>
      <c r="G18" s="54">
        <v>54.42</v>
      </c>
      <c r="H18" s="54">
        <v>14.98</v>
      </c>
      <c r="I18" s="54">
        <v>0.12</v>
      </c>
      <c r="J18" s="54">
        <v>0.39</v>
      </c>
      <c r="K18" s="54">
        <v>341.63</v>
      </c>
      <c r="L18" s="54">
        <v>28.37</v>
      </c>
      <c r="M18" s="54">
        <v>85.81</v>
      </c>
      <c r="N18" s="54">
        <v>445.10</v>
      </c>
      <c r="O18" s="54">
        <v>0</v>
      </c>
      <c r="P18" s="54">
        <v>0.69</v>
      </c>
      <c r="Q18" s="54">
        <v>14.57</v>
      </c>
      <c r="R18" s="43"/>
      <c r="S18" s="43"/>
      <c r="T18" s="43"/>
      <c r="U18" s="43"/>
    </row>
    <row r="19" spans="1:21" s="11" customFormat="1" ht="15">
      <c r="A19" s="53" t="s">
        <v>336</v>
      </c>
      <c r="B19" s="54">
        <v>12.46</v>
      </c>
      <c r="C19" s="54">
        <v>14.74</v>
      </c>
      <c r="D19" s="54">
        <v>25.56</v>
      </c>
      <c r="E19" s="54">
        <v>1.67</v>
      </c>
      <c r="F19" s="54">
        <v>1.74</v>
      </c>
      <c r="G19" s="54">
        <v>54.42</v>
      </c>
      <c r="H19" s="54">
        <v>14.98</v>
      </c>
      <c r="I19" s="54">
        <v>0.12</v>
      </c>
      <c r="J19" s="54">
        <v>0.93</v>
      </c>
      <c r="K19" s="54">
        <v>338.83</v>
      </c>
      <c r="L19" s="54">
        <v>31.44</v>
      </c>
      <c r="M19" s="54">
        <v>70.58</v>
      </c>
      <c r="N19" s="54">
        <v>912.10</v>
      </c>
      <c r="O19" s="54">
        <v>0</v>
      </c>
      <c r="P19" s="54">
        <v>0.69</v>
      </c>
      <c r="Q19" s="54">
        <v>14.25</v>
      </c>
      <c r="R19" s="43"/>
      <c r="S19" s="43"/>
      <c r="T19" s="43"/>
      <c r="U19" s="43"/>
    </row>
    <row r="20" spans="1:21" s="11" customFormat="1" ht="15">
      <c r="A20" s="53" t="s">
        <v>337</v>
      </c>
      <c r="B20" s="54">
        <v>11.12</v>
      </c>
      <c r="C20" s="54">
        <v>15.78</v>
      </c>
      <c r="D20" s="54">
        <v>26.40</v>
      </c>
      <c r="E20" s="54">
        <v>1.99</v>
      </c>
      <c r="F20" s="54">
        <v>2.04</v>
      </c>
      <c r="G20" s="54">
        <v>53.64</v>
      </c>
      <c r="H20" s="54">
        <v>13.86</v>
      </c>
      <c r="I20" s="54">
        <v>0.12</v>
      </c>
      <c r="J20" s="54">
        <v>1.05</v>
      </c>
      <c r="K20" s="54">
        <v>320.41000000000003</v>
      </c>
      <c r="L20" s="54">
        <v>32.26</v>
      </c>
      <c r="M20" s="54">
        <v>64.11</v>
      </c>
      <c r="N20" s="54">
        <v>630.90</v>
      </c>
      <c r="O20" s="54">
        <v>0</v>
      </c>
      <c r="P20" s="54">
        <v>0.65</v>
      </c>
      <c r="Q20" s="54">
        <v>10.68</v>
      </c>
      <c r="R20" s="43"/>
      <c r="S20" s="43"/>
      <c r="T20" s="43"/>
      <c r="U20" s="43"/>
    </row>
    <row r="21" spans="1:21" s="11" customFormat="1" ht="15">
      <c r="A21" s="53" t="s">
        <v>338</v>
      </c>
      <c r="B21" s="54">
        <v>10.82</v>
      </c>
      <c r="C21" s="54">
        <v>16.07</v>
      </c>
      <c r="D21" s="54">
        <v>26.89</v>
      </c>
      <c r="E21" s="54">
        <v>1.19</v>
      </c>
      <c r="F21" s="54">
        <v>1.76</v>
      </c>
      <c r="G21" s="54">
        <v>54.68</v>
      </c>
      <c r="H21" s="54">
        <v>13.86</v>
      </c>
      <c r="I21" s="54">
        <v>0.12</v>
      </c>
      <c r="J21" s="54">
        <v>0.65</v>
      </c>
      <c r="K21" s="54">
        <v>339.03</v>
      </c>
      <c r="L21" s="54">
        <v>29.47</v>
      </c>
      <c r="M21" s="54">
        <v>70.02</v>
      </c>
      <c r="N21" s="54">
        <v>632.10</v>
      </c>
      <c r="O21" s="54">
        <v>0</v>
      </c>
      <c r="P21" s="54">
        <v>0.63</v>
      </c>
      <c r="Q21" s="54">
        <v>11.06</v>
      </c>
      <c r="R21" s="43"/>
      <c r="S21" s="43"/>
      <c r="T21" s="43"/>
      <c r="U21" s="43"/>
    </row>
    <row r="22" spans="1:21" s="11" customFormat="1" ht="15">
      <c r="A22" s="53" t="s">
        <v>339</v>
      </c>
      <c r="B22" s="54">
        <v>9.5399999999999991</v>
      </c>
      <c r="C22" s="54">
        <v>16.829999999999998</v>
      </c>
      <c r="D22" s="54">
        <v>24.71</v>
      </c>
      <c r="E22" s="54">
        <v>1.08</v>
      </c>
      <c r="F22" s="54">
        <v>2</v>
      </c>
      <c r="G22" s="54">
        <v>54.68</v>
      </c>
      <c r="H22" s="54">
        <v>31.71</v>
      </c>
      <c r="I22" s="54">
        <v>0.12</v>
      </c>
      <c r="J22" s="54">
        <v>0.78</v>
      </c>
      <c r="K22" s="54">
        <v>344.83</v>
      </c>
      <c r="L22" s="54">
        <v>29.49</v>
      </c>
      <c r="M22" s="54">
        <v>72.14</v>
      </c>
      <c r="N22" s="54">
        <v>451.60</v>
      </c>
      <c r="O22" s="54">
        <v>0</v>
      </c>
      <c r="P22" s="54">
        <v>0.55000000000000004</v>
      </c>
      <c r="Q22" s="54">
        <v>9.58</v>
      </c>
      <c r="R22" s="43"/>
      <c r="S22" s="43"/>
      <c r="T22" s="43"/>
      <c r="U22" s="43"/>
    </row>
    <row r="23" spans="1:21" s="11" customFormat="1" ht="15">
      <c r="A23" s="53" t="s">
        <v>340</v>
      </c>
      <c r="B23" s="54">
        <v>6.79</v>
      </c>
      <c r="C23" s="54">
        <v>14.71</v>
      </c>
      <c r="D23" s="54">
        <v>21.28</v>
      </c>
      <c r="E23" s="54">
        <v>0.91</v>
      </c>
      <c r="F23" s="54">
        <v>2.2400000000000002</v>
      </c>
      <c r="G23" s="54">
        <v>51.83</v>
      </c>
      <c r="H23" s="54">
        <v>31.71</v>
      </c>
      <c r="I23" s="54">
        <v>0.13</v>
      </c>
      <c r="J23" s="54">
        <v>0.91</v>
      </c>
      <c r="K23" s="54">
        <v>328.16</v>
      </c>
      <c r="L23" s="54">
        <v>30.04</v>
      </c>
      <c r="M23" s="54">
        <v>70.81</v>
      </c>
      <c r="N23" s="54">
        <v>447.60</v>
      </c>
      <c r="O23" s="54">
        <v>0</v>
      </c>
      <c r="P23" s="54">
        <v>0.51</v>
      </c>
      <c r="Q23" s="54">
        <v>8.26</v>
      </c>
      <c r="R23" s="43"/>
      <c r="S23" s="43"/>
      <c r="T23" s="43"/>
      <c r="U23" s="43"/>
    </row>
    <row r="24" spans="1:21" s="11" customFormat="1" ht="15">
      <c r="A24" s="53" t="s">
        <v>341</v>
      </c>
      <c r="B24" s="54">
        <v>7.89</v>
      </c>
      <c r="C24" s="54">
        <v>15.81</v>
      </c>
      <c r="D24" s="54">
        <v>23.70</v>
      </c>
      <c r="E24" s="54">
        <v>1.26</v>
      </c>
      <c r="F24" s="54">
        <v>2.35</v>
      </c>
      <c r="G24" s="54">
        <v>51.58</v>
      </c>
      <c r="H24" s="54">
        <v>25.12</v>
      </c>
      <c r="I24" s="54">
        <v>0.12</v>
      </c>
      <c r="J24" s="54">
        <v>0.76</v>
      </c>
      <c r="K24" s="54">
        <v>345</v>
      </c>
      <c r="L24" s="54">
        <v>28.42</v>
      </c>
      <c r="M24" s="54">
        <v>82.93</v>
      </c>
      <c r="N24" s="54">
        <v>195.20</v>
      </c>
      <c r="O24" s="54">
        <v>0</v>
      </c>
      <c r="P24" s="54">
        <v>0.51</v>
      </c>
      <c r="Q24" s="54">
        <v>9.83</v>
      </c>
      <c r="R24" s="43"/>
      <c r="S24" s="43"/>
      <c r="T24" s="43"/>
      <c r="U24" s="43"/>
    </row>
    <row r="25" spans="1:21" s="11" customFormat="1" ht="15">
      <c r="A25" s="53" t="s">
        <v>342</v>
      </c>
      <c r="B25" s="54">
        <v>6.78</v>
      </c>
      <c r="C25" s="54">
        <v>17.010000000000002</v>
      </c>
      <c r="D25" s="54">
        <v>23.76</v>
      </c>
      <c r="E25" s="54">
        <v>0.5</v>
      </c>
      <c r="F25" s="54">
        <v>2.56</v>
      </c>
      <c r="G25" s="54">
        <v>52.02</v>
      </c>
      <c r="H25" s="54">
        <v>20.12</v>
      </c>
      <c r="I25" s="54">
        <v>0.12</v>
      </c>
      <c r="J25" s="54">
        <v>0.27</v>
      </c>
      <c r="K25" s="54">
        <v>351.37</v>
      </c>
      <c r="L25" s="54">
        <v>26.16</v>
      </c>
      <c r="M25" s="54">
        <v>87.56</v>
      </c>
      <c r="N25" s="54">
        <v>107.60</v>
      </c>
      <c r="O25" s="54">
        <v>0</v>
      </c>
      <c r="P25" s="54">
        <v>0.65</v>
      </c>
      <c r="Q25" s="54">
        <v>9.66</v>
      </c>
      <c r="R25" s="43"/>
      <c r="S25" s="43"/>
      <c r="T25" s="43"/>
      <c r="U25" s="43"/>
    </row>
    <row r="26" spans="1:21" s="11" customFormat="1" ht="15">
      <c r="A26" s="53" t="s">
        <v>343</v>
      </c>
      <c r="B26" s="54">
        <v>7.72</v>
      </c>
      <c r="C26" s="54">
        <v>22.43</v>
      </c>
      <c r="D26" s="54">
        <v>30.01</v>
      </c>
      <c r="E26" s="54">
        <v>1.19</v>
      </c>
      <c r="F26" s="54">
        <v>8.5500000000000007</v>
      </c>
      <c r="G26" s="54">
        <v>52.57</v>
      </c>
      <c r="H26" s="54">
        <v>18.21</v>
      </c>
      <c r="I26" s="54">
        <v>0.12</v>
      </c>
      <c r="J26" s="54">
        <v>0.20</v>
      </c>
      <c r="K26" s="54">
        <v>170.12</v>
      </c>
      <c r="L26" s="54">
        <v>25.92</v>
      </c>
      <c r="M26" s="54">
        <v>93.36</v>
      </c>
      <c r="N26" s="54">
        <v>27.30</v>
      </c>
      <c r="O26" s="54">
        <v>0</v>
      </c>
      <c r="P26" s="54">
        <v>0.71</v>
      </c>
      <c r="Q26" s="54">
        <v>11.81</v>
      </c>
      <c r="R26" s="43"/>
      <c r="S26" s="43"/>
      <c r="T26" s="43"/>
      <c r="U26" s="43"/>
    </row>
    <row r="27" spans="1:21" s="11" customFormat="1" ht="15">
      <c r="A27" s="53" t="s">
        <v>344</v>
      </c>
      <c r="B27" s="54">
        <v>8.0399999999999991</v>
      </c>
      <c r="C27" s="54">
        <v>19.809999999999999</v>
      </c>
      <c r="D27" s="54">
        <v>26.48</v>
      </c>
      <c r="E27" s="54">
        <v>1.42</v>
      </c>
      <c r="F27" s="54">
        <v>5.70</v>
      </c>
      <c r="G27" s="54">
        <v>52.57</v>
      </c>
      <c r="H27" s="54">
        <v>18.21</v>
      </c>
      <c r="I27" s="54">
        <v>0.11</v>
      </c>
      <c r="J27" s="54">
        <v>0.49</v>
      </c>
      <c r="K27" s="54">
        <v>204.39</v>
      </c>
      <c r="L27" s="54">
        <v>25.37</v>
      </c>
      <c r="M27" s="54">
        <v>97.61</v>
      </c>
      <c r="N27" s="54">
        <v>8.3000000000000007</v>
      </c>
      <c r="O27" s="54">
        <v>0</v>
      </c>
      <c r="P27" s="54">
        <v>0.59</v>
      </c>
      <c r="Q27" s="54">
        <v>15.48</v>
      </c>
      <c r="R27" s="43"/>
      <c r="S27" s="43"/>
      <c r="T27" s="43"/>
      <c r="U27" s="43"/>
    </row>
    <row r="28" spans="1:21" s="11" customFormat="1" ht="15">
      <c r="A28" s="53" t="s">
        <v>345</v>
      </c>
      <c r="B28" s="54">
        <v>6.81</v>
      </c>
      <c r="C28" s="54">
        <v>15.04</v>
      </c>
      <c r="D28" s="54">
        <v>21.56</v>
      </c>
      <c r="E28" s="54">
        <v>1.29</v>
      </c>
      <c r="F28" s="54">
        <v>5.75</v>
      </c>
      <c r="G28" s="54">
        <v>45.70</v>
      </c>
      <c r="H28" s="54">
        <v>15.88</v>
      </c>
      <c r="I28" s="54">
        <v>0.11</v>
      </c>
      <c r="J28" s="54">
        <v>0.17</v>
      </c>
      <c r="K28" s="54">
        <v>159.13</v>
      </c>
      <c r="L28" s="54">
        <v>25.11</v>
      </c>
      <c r="M28" s="54">
        <v>98.58</v>
      </c>
      <c r="N28" s="54">
        <v>7.60</v>
      </c>
      <c r="O28" s="54">
        <v>0.20</v>
      </c>
      <c r="P28" s="54">
        <v>0.63</v>
      </c>
      <c r="Q28" s="54">
        <v>14.76</v>
      </c>
      <c r="R28" s="43"/>
      <c r="S28" s="43"/>
      <c r="T28" s="43"/>
      <c r="U28" s="43"/>
    </row>
    <row r="29" spans="1:21" s="11" customFormat="1" ht="15">
      <c r="A29" s="53" t="s">
        <v>346</v>
      </c>
      <c r="B29" s="54">
        <v>6.21</v>
      </c>
      <c r="C29" s="54">
        <v>14.01</v>
      </c>
      <c r="D29" s="54">
        <v>19.850000000000001</v>
      </c>
      <c r="E29" s="54">
        <v>1.62</v>
      </c>
      <c r="F29" s="54">
        <v>4.20</v>
      </c>
      <c r="G29" s="54">
        <v>45.70</v>
      </c>
      <c r="H29" s="54">
        <v>14.76</v>
      </c>
      <c r="I29" s="54">
        <v>0.12</v>
      </c>
      <c r="J29" s="54">
        <v>0.22</v>
      </c>
      <c r="K29" s="54">
        <v>79.290000000000006</v>
      </c>
      <c r="L29" s="54">
        <v>24.30</v>
      </c>
      <c r="M29" s="54">
        <v>98.70</v>
      </c>
      <c r="N29" s="54">
        <v>9.40</v>
      </c>
      <c r="O29" s="54">
        <v>0.80</v>
      </c>
      <c r="P29" s="54">
        <v>0.59</v>
      </c>
      <c r="Q29" s="54">
        <v>14.46</v>
      </c>
      <c r="R29" s="43"/>
      <c r="S29" s="43"/>
      <c r="T29" s="43"/>
      <c r="U29" s="43"/>
    </row>
    <row r="30" spans="1:21" s="11" customFormat="1" ht="15">
      <c r="A30" s="53" t="s">
        <v>347</v>
      </c>
      <c r="B30" s="54">
        <v>7.70</v>
      </c>
      <c r="C30" s="54">
        <v>13.67</v>
      </c>
      <c r="D30" s="54">
        <v>21.28</v>
      </c>
      <c r="E30" s="54">
        <v>1.87</v>
      </c>
      <c r="F30" s="54">
        <v>2.09</v>
      </c>
      <c r="G30" s="54">
        <v>39.729999999999997</v>
      </c>
      <c r="H30" s="54">
        <v>14.76</v>
      </c>
      <c r="I30" s="54">
        <v>0.13</v>
      </c>
      <c r="J30" s="54">
        <v>0.24</v>
      </c>
      <c r="K30" s="54">
        <v>25.59</v>
      </c>
      <c r="L30" s="54">
        <v>23.18</v>
      </c>
      <c r="M30" s="54">
        <v>98.72</v>
      </c>
      <c r="N30" s="54">
        <v>9.1999999999999993</v>
      </c>
      <c r="O30" s="54">
        <v>0.20</v>
      </c>
      <c r="P30" s="54">
        <v>0.60</v>
      </c>
      <c r="Q30" s="54">
        <v>15.84</v>
      </c>
      <c r="R30" s="43"/>
      <c r="S30" s="43"/>
      <c r="T30" s="43"/>
      <c r="U30" s="43"/>
    </row>
    <row r="31" spans="1:21" s="11" customFormat="1" ht="15">
      <c r="A31" s="53" t="s">
        <v>348</v>
      </c>
      <c r="B31" s="54">
        <v>8.27</v>
      </c>
      <c r="C31" s="54">
        <v>13.40</v>
      </c>
      <c r="D31" s="54">
        <v>20.87</v>
      </c>
      <c r="E31" s="54">
        <v>1.54</v>
      </c>
      <c r="F31" s="54">
        <v>1.95</v>
      </c>
      <c r="G31" s="54">
        <v>31.47</v>
      </c>
      <c r="H31" s="54">
        <v>14.49</v>
      </c>
      <c r="I31" s="54">
        <v>0.12</v>
      </c>
      <c r="J31" s="54">
        <v>0.22</v>
      </c>
      <c r="K31" s="54">
        <v>23.19</v>
      </c>
      <c r="L31" s="54">
        <v>22.92</v>
      </c>
      <c r="M31" s="54">
        <v>98.72</v>
      </c>
      <c r="N31" s="54">
        <v>9.3000000000000007</v>
      </c>
      <c r="O31" s="54">
        <v>0.40</v>
      </c>
      <c r="P31" s="54">
        <v>0.57999999999999996</v>
      </c>
      <c r="Q31" s="54">
        <v>14.19</v>
      </c>
      <c r="R31" s="43"/>
      <c r="S31" s="43"/>
      <c r="T31" s="43"/>
      <c r="U31" s="43"/>
    </row>
    <row r="32" spans="1:21" s="11" customFormat="1" ht="15">
      <c r="A32" s="53" t="s">
        <v>349</v>
      </c>
      <c r="B32" s="54">
        <v>7.93</v>
      </c>
      <c r="C32" s="54">
        <v>12.45</v>
      </c>
      <c r="D32" s="54">
        <v>20.05</v>
      </c>
      <c r="E32" s="54">
        <v>1.52</v>
      </c>
      <c r="F32" s="54">
        <v>1.99</v>
      </c>
      <c r="G32" s="54">
        <v>24.25</v>
      </c>
      <c r="H32" s="54">
        <v>12.67</v>
      </c>
      <c r="I32" s="54">
        <v>0.12</v>
      </c>
      <c r="J32" s="54">
        <v>0.23</v>
      </c>
      <c r="K32" s="54">
        <v>12.91</v>
      </c>
      <c r="L32" s="54">
        <v>22.64</v>
      </c>
      <c r="M32" s="54">
        <v>98.73</v>
      </c>
      <c r="N32" s="54">
        <v>9.1999999999999993</v>
      </c>
      <c r="O32" s="54">
        <v>0.20</v>
      </c>
      <c r="P32" s="54">
        <v>0.61</v>
      </c>
      <c r="Q32" s="54">
        <v>13.72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4.9000000000000004</v>
      </c>
      <c r="C34" s="28">
        <f t="shared" si="0"/>
        <v>8.8399999999999999</v>
      </c>
      <c r="D34" s="28">
        <f t="shared" si="0"/>
        <v>13.710000000000001</v>
      </c>
      <c r="E34" s="28">
        <f t="shared" si="0"/>
        <v>0.5</v>
      </c>
      <c r="F34" s="28">
        <f t="shared" si="0"/>
        <v>0.79000000000000004</v>
      </c>
      <c r="G34" s="28">
        <f t="shared" si="0"/>
        <v>24.25</v>
      </c>
      <c r="H34" s="28">
        <f t="shared" si="0"/>
        <v>8.0199999999999996</v>
      </c>
      <c r="I34" s="28">
        <f t="shared" si="0"/>
        <v>0.11</v>
      </c>
      <c r="J34" s="28">
        <f t="shared" si="0"/>
        <v>0.080000000000000002</v>
      </c>
      <c r="K34" s="28">
        <f t="shared" si="0"/>
        <v>12.91</v>
      </c>
      <c r="L34" s="28">
        <f t="shared" si="0"/>
        <v>22.640000000000001</v>
      </c>
      <c r="M34" s="28">
        <f t="shared" si="0"/>
        <v>64.109999999999999</v>
      </c>
      <c r="N34" s="28">
        <f t="shared" si="0"/>
        <v>7.5999999999999996</v>
      </c>
      <c r="O34" s="28">
        <f t="shared" si="0"/>
        <v>0</v>
      </c>
      <c r="P34" s="28">
        <f t="shared" si="0"/>
        <v>0.42999999999999999</v>
      </c>
      <c r="Q34" s="28">
        <f t="shared" si="0"/>
        <v>8.2599999999999998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14.869999999999999</v>
      </c>
      <c r="C35" s="29">
        <f t="shared" si="1"/>
        <v>22.43</v>
      </c>
      <c r="D35" s="29">
        <f t="shared" si="1"/>
        <v>30.010000000000002</v>
      </c>
      <c r="E35" s="29">
        <f t="shared" si="1"/>
        <v>2.8799999999999999</v>
      </c>
      <c r="F35" s="29">
        <f t="shared" si="1"/>
        <v>8.5500000000000007</v>
      </c>
      <c r="G35" s="29">
        <f t="shared" si="1"/>
        <v>54.68</v>
      </c>
      <c r="H35" s="29">
        <f t="shared" si="1"/>
        <v>31.710000000000001</v>
      </c>
      <c r="I35" s="29">
        <f t="shared" si="1"/>
        <v>0.13</v>
      </c>
      <c r="J35" s="29">
        <f t="shared" si="1"/>
        <v>1.05</v>
      </c>
      <c r="K35" s="29">
        <f t="shared" si="1"/>
        <v>357.23000000000002</v>
      </c>
      <c r="L35" s="29">
        <f t="shared" si="1"/>
        <v>32.259999999999998</v>
      </c>
      <c r="M35" s="29">
        <f t="shared" si="1"/>
        <v>98.730000000000004</v>
      </c>
      <c r="N35" s="29">
        <f t="shared" si="1"/>
        <v>912.10000000000002</v>
      </c>
      <c r="O35" s="29">
        <f t="shared" si="1"/>
        <v>0.80000000000000004</v>
      </c>
      <c r="P35" s="29">
        <f t="shared" si="1"/>
        <v>0.70999999999999996</v>
      </c>
      <c r="Q35" s="29">
        <f t="shared" si="1"/>
        <v>27.469999999999999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8.5074999999999985</v>
      </c>
      <c r="C36" s="28">
        <f t="shared" si="2"/>
        <v>14.075416666666667</v>
      </c>
      <c r="D36" s="28">
        <f t="shared" si="2"/>
        <v>22.17958333333333</v>
      </c>
      <c r="E36" s="28">
        <f t="shared" si="2"/>
        <v>1.7616666666666665</v>
      </c>
      <c r="F36" s="28">
        <f t="shared" si="2"/>
        <v>2.5337500000000004</v>
      </c>
      <c r="G36" s="28">
        <f t="shared" si="2"/>
        <v>42.595833333333339</v>
      </c>
      <c r="H36" s="28">
        <f t="shared" si="2"/>
        <v>15.975416666666668</v>
      </c>
      <c r="I36" s="28">
        <f t="shared" si="2"/>
        <v>0.12000000000000004</v>
      </c>
      <c r="J36" s="28">
        <f t="shared" si="2"/>
        <v>0.38041666666666679</v>
      </c>
      <c r="K36" s="28">
        <f t="shared" si="2"/>
        <v>185.42624999999998</v>
      </c>
      <c r="L36" s="28">
        <f t="shared" si="2"/>
        <v>25.686250000000001</v>
      </c>
      <c r="M36" s="28">
        <f t="shared" si="2"/>
        <v>90.526666666666642</v>
      </c>
      <c r="N36" s="28">
        <f t="shared" si="2"/>
        <v>181.37916666666669</v>
      </c>
      <c r="O36" s="28">
        <f t="shared" si="2"/>
        <v>0.074999999999999997</v>
      </c>
      <c r="P36" s="28">
        <f t="shared" si="2"/>
        <v>0.5774999999999999</v>
      </c>
      <c r="Q36" s="28">
        <f t="shared" si="2"/>
        <v>13.681666666666667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2.8847383273689329</v>
      </c>
      <c r="C37" s="28">
        <f t="shared" si="3" ref="C37:Q37">STDEV(C9:C32)</f>
        <v>3.2728686780954108</v>
      </c>
      <c r="D37" s="28">
        <f t="shared" si="3"/>
        <v>4.9236832087960112</v>
      </c>
      <c r="E37" s="28">
        <f t="shared" si="3"/>
        <v>0.62308954389409055</v>
      </c>
      <c r="F37" s="28">
        <f t="shared" si="3"/>
        <v>1.7860225727674277</v>
      </c>
      <c r="G37" s="28">
        <f t="shared" si="3"/>
        <v>10.538875410950405</v>
      </c>
      <c r="H37" s="28">
        <f t="shared" si="3"/>
        <v>5.9747490245027999</v>
      </c>
      <c r="I37" s="28">
        <f t="shared" si="3"/>
        <v>0.0041702882811414967</v>
      </c>
      <c r="J37" s="28">
        <f t="shared" si="3"/>
        <v>0.29367949354276712</v>
      </c>
      <c r="K37" s="28">
        <f t="shared" si="3"/>
        <v>143.17376328790741</v>
      </c>
      <c r="L37" s="28">
        <f t="shared" si="3"/>
        <v>3.0638265538659168</v>
      </c>
      <c r="M37" s="28">
        <f t="shared" si="3"/>
        <v>11.931283930570457</v>
      </c>
      <c r="N37" s="28">
        <f t="shared" si="3"/>
        <v>259.72656353937123</v>
      </c>
      <c r="O37" s="28">
        <f t="shared" si="3"/>
        <v>0.18474424154113359</v>
      </c>
      <c r="P37" s="28">
        <f t="shared" si="3"/>
        <v>0.082475292742999917</v>
      </c>
      <c r="Q37" s="28">
        <f t="shared" si="3"/>
        <v>4.5005977058769551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2a2f906-171e-4c4a-a7d1-99c57c3f3bdc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2" sqref="G62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13-09-2023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350</v>
      </c>
      <c r="B9" s="54">
        <v>6.91</v>
      </c>
      <c r="C9" s="54">
        <v>11.54</v>
      </c>
      <c r="D9" s="54">
        <v>17.70</v>
      </c>
      <c r="E9" s="54">
        <v>1.29</v>
      </c>
      <c r="F9" s="54">
        <v>0.84</v>
      </c>
      <c r="G9" s="54">
        <v>24.18</v>
      </c>
      <c r="H9" s="54">
        <v>13.13</v>
      </c>
      <c r="I9" s="54">
        <v>0.12</v>
      </c>
      <c r="J9" s="54">
        <v>0.34</v>
      </c>
      <c r="K9" s="54">
        <v>25.42</v>
      </c>
      <c r="L9" s="54">
        <v>22.69</v>
      </c>
      <c r="M9" s="54">
        <v>98.72</v>
      </c>
      <c r="N9" s="54">
        <v>9.40</v>
      </c>
      <c r="O9" s="54">
        <v>0</v>
      </c>
      <c r="P9" s="54">
        <v>0.56999999999999995</v>
      </c>
      <c r="Q9" s="54">
        <v>13.23</v>
      </c>
      <c r="R9" s="43"/>
      <c r="S9" s="43"/>
      <c r="T9" s="43"/>
      <c r="U9" s="43"/>
    </row>
    <row r="10" spans="1:21" s="11" customFormat="1" ht="15">
      <c r="A10" s="53" t="s">
        <v>351</v>
      </c>
      <c r="B10" s="54">
        <v>4.45</v>
      </c>
      <c r="C10" s="54">
        <v>12.22</v>
      </c>
      <c r="D10" s="54">
        <v>16.22</v>
      </c>
      <c r="E10" s="54">
        <v>0.45</v>
      </c>
      <c r="F10" s="54">
        <v>1.80</v>
      </c>
      <c r="G10" s="54">
        <v>24.12</v>
      </c>
      <c r="H10" s="54">
        <v>13.13</v>
      </c>
      <c r="I10" s="54">
        <v>0.12</v>
      </c>
      <c r="J10" s="54">
        <v>0.53</v>
      </c>
      <c r="K10" s="54">
        <v>328.14</v>
      </c>
      <c r="L10" s="54">
        <v>22.74</v>
      </c>
      <c r="M10" s="54">
        <v>98.72</v>
      </c>
      <c r="N10" s="54">
        <v>9.8000000000000007</v>
      </c>
      <c r="O10" s="54">
        <v>0</v>
      </c>
      <c r="P10" s="54">
        <v>0.44</v>
      </c>
      <c r="Q10" s="54">
        <v>8.66</v>
      </c>
      <c r="R10" s="43"/>
      <c r="S10" s="43"/>
      <c r="T10" s="43"/>
      <c r="U10" s="43"/>
    </row>
    <row r="11" spans="1:21" s="11" customFormat="1" ht="15">
      <c r="A11" s="53" t="s">
        <v>352</v>
      </c>
      <c r="B11" s="54">
        <v>4.7300000000000004</v>
      </c>
      <c r="C11" s="54">
        <v>9.99</v>
      </c>
      <c r="D11" s="54">
        <v>14.25</v>
      </c>
      <c r="E11" s="54">
        <v>0.53</v>
      </c>
      <c r="F11" s="54">
        <v>5.52</v>
      </c>
      <c r="G11" s="54">
        <v>19.57</v>
      </c>
      <c r="H11" s="54">
        <v>9.41</v>
      </c>
      <c r="I11" s="54">
        <v>0.12</v>
      </c>
      <c r="J11" s="54">
        <v>0.95</v>
      </c>
      <c r="K11" s="54">
        <v>348.40</v>
      </c>
      <c r="L11" s="54">
        <v>22.61</v>
      </c>
      <c r="M11" s="54">
        <v>98.71</v>
      </c>
      <c r="N11" s="54">
        <v>10.60</v>
      </c>
      <c r="O11" s="54">
        <v>0</v>
      </c>
      <c r="P11" s="54">
        <v>0.38</v>
      </c>
      <c r="Q11" s="54">
        <v>8.64</v>
      </c>
      <c r="R11" s="43"/>
      <c r="S11" s="43"/>
      <c r="T11" s="43"/>
      <c r="U11" s="43"/>
    </row>
    <row r="12" spans="1:21" s="11" customFormat="1" ht="15">
      <c r="A12" s="53" t="s">
        <v>353</v>
      </c>
      <c r="B12" s="54">
        <v>5.44</v>
      </c>
      <c r="C12" s="54">
        <v>8.9499999999999993</v>
      </c>
      <c r="D12" s="54">
        <v>13.64</v>
      </c>
      <c r="E12" s="54">
        <v>2.0499999999999998</v>
      </c>
      <c r="F12" s="54">
        <v>5.44</v>
      </c>
      <c r="G12" s="54">
        <v>19.22</v>
      </c>
      <c r="H12" s="54">
        <v>9.33</v>
      </c>
      <c r="I12" s="54">
        <v>0.12</v>
      </c>
      <c r="J12" s="54">
        <v>0.20</v>
      </c>
      <c r="K12" s="54">
        <v>356.95</v>
      </c>
      <c r="L12" s="54">
        <v>22.08</v>
      </c>
      <c r="M12" s="54">
        <v>98.73</v>
      </c>
      <c r="N12" s="54">
        <v>9.90</v>
      </c>
      <c r="O12" s="54">
        <v>0</v>
      </c>
      <c r="P12" s="54">
        <v>0.36</v>
      </c>
      <c r="Q12" s="54">
        <v>10.26</v>
      </c>
      <c r="R12" s="43"/>
      <c r="S12" s="43"/>
      <c r="T12" s="43"/>
      <c r="U12" s="43"/>
    </row>
    <row r="13" spans="1:21" s="11" customFormat="1" ht="15">
      <c r="A13" s="53" t="s">
        <v>354</v>
      </c>
      <c r="B13" s="54">
        <v>4.92</v>
      </c>
      <c r="C13" s="54">
        <v>8.90</v>
      </c>
      <c r="D13" s="54">
        <v>13.55</v>
      </c>
      <c r="E13" s="54">
        <v>2.97</v>
      </c>
      <c r="F13" s="54">
        <v>1.67</v>
      </c>
      <c r="G13" s="54">
        <v>15.13</v>
      </c>
      <c r="H13" s="54">
        <v>8.51</v>
      </c>
      <c r="I13" s="54">
        <v>0.13</v>
      </c>
      <c r="J13" s="54">
        <v>0.20</v>
      </c>
      <c r="K13" s="54">
        <v>28.22</v>
      </c>
      <c r="L13" s="54">
        <v>22.10</v>
      </c>
      <c r="M13" s="54">
        <v>98.73</v>
      </c>
      <c r="N13" s="54">
        <v>9.1999999999999993</v>
      </c>
      <c r="O13" s="54">
        <v>0</v>
      </c>
      <c r="P13" s="54">
        <v>0.34</v>
      </c>
      <c r="Q13" s="54">
        <v>9.5</v>
      </c>
      <c r="R13" s="43"/>
      <c r="S13" s="43"/>
      <c r="T13" s="43"/>
      <c r="U13" s="43"/>
    </row>
    <row r="14" spans="1:21" s="11" customFormat="1" ht="15">
      <c r="A14" s="53" t="s">
        <v>355</v>
      </c>
      <c r="B14" s="54">
        <v>5.82</v>
      </c>
      <c r="C14" s="54">
        <v>10.68</v>
      </c>
      <c r="D14" s="54">
        <v>16.190000000000001</v>
      </c>
      <c r="E14" s="54">
        <v>2.87</v>
      </c>
      <c r="F14" s="54">
        <v>1.45</v>
      </c>
      <c r="G14" s="54">
        <v>18.39</v>
      </c>
      <c r="H14" s="54">
        <v>7.18</v>
      </c>
      <c r="I14" s="54">
        <v>0.12</v>
      </c>
      <c r="J14" s="54">
        <v>0.26</v>
      </c>
      <c r="K14" s="54">
        <v>353.29</v>
      </c>
      <c r="L14" s="54">
        <v>22.27</v>
      </c>
      <c r="M14" s="54">
        <v>98.73</v>
      </c>
      <c r="N14" s="54">
        <v>18.399999999999999</v>
      </c>
      <c r="O14" s="54">
        <v>0</v>
      </c>
      <c r="P14" s="54">
        <v>0.32</v>
      </c>
      <c r="Q14" s="54">
        <v>9.2100000000000009</v>
      </c>
      <c r="R14" s="43"/>
      <c r="S14" s="43"/>
      <c r="T14" s="43"/>
      <c r="U14" s="43"/>
    </row>
    <row r="15" spans="1:21" s="11" customFormat="1" ht="15">
      <c r="A15" s="53" t="s">
        <v>356</v>
      </c>
      <c r="B15" s="54">
        <v>8.76</v>
      </c>
      <c r="C15" s="54">
        <v>13.25</v>
      </c>
      <c r="D15" s="54">
        <v>22.02</v>
      </c>
      <c r="E15" s="54">
        <v>2.94</v>
      </c>
      <c r="F15" s="54">
        <v>1.27</v>
      </c>
      <c r="G15" s="54">
        <v>20</v>
      </c>
      <c r="H15" s="54">
        <v>7.18</v>
      </c>
      <c r="I15" s="54">
        <v>0.12</v>
      </c>
      <c r="J15" s="54">
        <v>0.53</v>
      </c>
      <c r="K15" s="54">
        <v>329.43</v>
      </c>
      <c r="L15" s="54">
        <v>22.92</v>
      </c>
      <c r="M15" s="54">
        <v>98.73</v>
      </c>
      <c r="N15" s="54">
        <v>67.099999999999994</v>
      </c>
      <c r="O15" s="54">
        <v>0</v>
      </c>
      <c r="P15" s="54">
        <v>0.34</v>
      </c>
      <c r="Q15" s="54">
        <v>10.44</v>
      </c>
      <c r="R15" s="43"/>
      <c r="S15" s="43"/>
      <c r="T15" s="43"/>
      <c r="U15" s="43"/>
    </row>
    <row r="16" spans="1:21" s="11" customFormat="1" ht="15">
      <c r="A16" s="53" t="s">
        <v>357</v>
      </c>
      <c r="B16" s="54">
        <v>11.53</v>
      </c>
      <c r="C16" s="54">
        <v>12.48</v>
      </c>
      <c r="D16" s="54">
        <v>21.59</v>
      </c>
      <c r="E16" s="54">
        <v>2.77</v>
      </c>
      <c r="F16" s="54">
        <v>0.89</v>
      </c>
      <c r="G16" s="54">
        <v>34.49</v>
      </c>
      <c r="H16" s="54">
        <v>6.76</v>
      </c>
      <c r="I16" s="54">
        <v>0.12</v>
      </c>
      <c r="J16" s="54">
        <v>0.59</v>
      </c>
      <c r="K16" s="54">
        <v>319.5</v>
      </c>
      <c r="L16" s="54">
        <v>23.95</v>
      </c>
      <c r="M16" s="54">
        <v>98.67</v>
      </c>
      <c r="N16" s="54">
        <v>138.5</v>
      </c>
      <c r="O16" s="54">
        <v>0</v>
      </c>
      <c r="P16" s="54">
        <v>0.39</v>
      </c>
      <c r="Q16" s="54">
        <v>9.64</v>
      </c>
      <c r="R16" s="43"/>
      <c r="S16" s="43"/>
      <c r="T16" s="43"/>
      <c r="U16" s="43"/>
    </row>
    <row r="17" spans="1:21" s="11" customFormat="1" ht="15">
      <c r="A17" s="53" t="s">
        <v>358</v>
      </c>
      <c r="B17" s="54">
        <v>13.35</v>
      </c>
      <c r="C17" s="54">
        <v>14.31</v>
      </c>
      <c r="D17" s="54">
        <v>26.82</v>
      </c>
      <c r="E17" s="54">
        <v>2.0099999999999998</v>
      </c>
      <c r="F17" s="54">
        <v>1.86</v>
      </c>
      <c r="G17" s="54">
        <v>41.45</v>
      </c>
      <c r="H17" s="54">
        <v>12.88</v>
      </c>
      <c r="I17" s="54">
        <v>0.12</v>
      </c>
      <c r="J17" s="54">
        <v>1.01</v>
      </c>
      <c r="K17" s="54">
        <v>326.27</v>
      </c>
      <c r="L17" s="54">
        <v>27.93</v>
      </c>
      <c r="M17" s="54">
        <v>92.62</v>
      </c>
      <c r="N17" s="54">
        <v>439.5</v>
      </c>
      <c r="O17" s="54">
        <v>0</v>
      </c>
      <c r="P17" s="54">
        <v>0.46</v>
      </c>
      <c r="Q17" s="54">
        <v>12.76</v>
      </c>
      <c r="R17" s="43"/>
      <c r="S17" s="43"/>
      <c r="T17" s="43"/>
      <c r="U17" s="43"/>
    </row>
    <row r="18" spans="1:21" s="11" customFormat="1" ht="15">
      <c r="A18" s="53" t="s">
        <v>359</v>
      </c>
      <c r="B18" s="54">
        <v>13.53</v>
      </c>
      <c r="C18" s="54">
        <v>13.64</v>
      </c>
      <c r="D18" s="54">
        <v>26.85</v>
      </c>
      <c r="E18" s="54">
        <v>2.70</v>
      </c>
      <c r="F18" s="54">
        <v>2.0099999999999998</v>
      </c>
      <c r="G18" s="54">
        <v>49.67</v>
      </c>
      <c r="H18" s="54">
        <v>12.88</v>
      </c>
      <c r="I18" s="54">
        <v>0.12</v>
      </c>
      <c r="J18" s="54">
        <v>1.02</v>
      </c>
      <c r="K18" s="54">
        <v>334.68</v>
      </c>
      <c r="L18" s="54">
        <v>28.38</v>
      </c>
      <c r="M18" s="54">
        <v>78.75</v>
      </c>
      <c r="N18" s="54">
        <v>394.30</v>
      </c>
      <c r="O18" s="54">
        <v>0</v>
      </c>
      <c r="P18" s="54">
        <v>0.51</v>
      </c>
      <c r="Q18" s="54">
        <v>14.88</v>
      </c>
      <c r="R18" s="43"/>
      <c r="S18" s="43"/>
      <c r="T18" s="43"/>
      <c r="U18" s="43"/>
    </row>
    <row r="19" spans="1:21" s="11" customFormat="1" ht="15">
      <c r="A19" s="53" t="s">
        <v>360</v>
      </c>
      <c r="B19" s="54">
        <v>12.75</v>
      </c>
      <c r="C19" s="54">
        <v>21.75</v>
      </c>
      <c r="D19" s="54">
        <v>33.18</v>
      </c>
      <c r="E19" s="54">
        <v>1.73</v>
      </c>
      <c r="F19" s="54">
        <v>2.4700000000000002</v>
      </c>
      <c r="G19" s="54">
        <v>52.76</v>
      </c>
      <c r="H19" s="54">
        <v>17.489999999999998</v>
      </c>
      <c r="I19" s="54">
        <v>0.12</v>
      </c>
      <c r="J19" s="54">
        <v>0.81</v>
      </c>
      <c r="K19" s="54">
        <v>324.52999999999997</v>
      </c>
      <c r="L19" s="54">
        <v>29.95</v>
      </c>
      <c r="M19" s="54">
        <v>73.94</v>
      </c>
      <c r="N19" s="54">
        <v>547.10</v>
      </c>
      <c r="O19" s="54">
        <v>0</v>
      </c>
      <c r="P19" s="54">
        <v>0.69</v>
      </c>
      <c r="Q19" s="54">
        <v>14.35</v>
      </c>
      <c r="R19" s="43"/>
      <c r="S19" s="43"/>
      <c r="T19" s="43"/>
      <c r="U19" s="43"/>
    </row>
    <row r="20" spans="1:21" s="11" customFormat="1" ht="15">
      <c r="A20" s="53" t="s">
        <v>361</v>
      </c>
      <c r="B20" s="54">
        <v>11.14</v>
      </c>
      <c r="C20" s="54">
        <v>22.69</v>
      </c>
      <c r="D20" s="54">
        <v>33.35</v>
      </c>
      <c r="E20" s="54">
        <v>1.48</v>
      </c>
      <c r="F20" s="54">
        <v>6.72</v>
      </c>
      <c r="G20" s="54">
        <v>57.47</v>
      </c>
      <c r="H20" s="54">
        <v>17.489999999999998</v>
      </c>
      <c r="I20" s="54">
        <v>0.12</v>
      </c>
      <c r="J20" s="54">
        <v>0.77</v>
      </c>
      <c r="K20" s="54">
        <v>328.93</v>
      </c>
      <c r="L20" s="54">
        <v>30.32</v>
      </c>
      <c r="M20" s="54">
        <v>70.349999999999994</v>
      </c>
      <c r="N20" s="54">
        <v>532.60</v>
      </c>
      <c r="O20" s="54">
        <v>0</v>
      </c>
      <c r="P20" s="54">
        <v>0.69</v>
      </c>
      <c r="Q20" s="54">
        <v>14.07</v>
      </c>
      <c r="R20" s="43"/>
      <c r="S20" s="43"/>
      <c r="T20" s="43"/>
      <c r="U20" s="43"/>
    </row>
    <row r="21" spans="1:21" s="11" customFormat="1" ht="15">
      <c r="A21" s="53" t="s">
        <v>362</v>
      </c>
      <c r="B21" s="54">
        <v>8.8800000000000008</v>
      </c>
      <c r="C21" s="54">
        <v>19.18</v>
      </c>
      <c r="D21" s="54">
        <v>27.76</v>
      </c>
      <c r="E21" s="54">
        <v>2.41</v>
      </c>
      <c r="F21" s="54">
        <v>4.09</v>
      </c>
      <c r="G21" s="54">
        <v>61.16</v>
      </c>
      <c r="H21" s="54">
        <v>18.89</v>
      </c>
      <c r="I21" s="54">
        <v>0.12</v>
      </c>
      <c r="J21" s="54">
        <v>1.03</v>
      </c>
      <c r="K21" s="54">
        <v>325.55</v>
      </c>
      <c r="L21" s="54">
        <v>30.44</v>
      </c>
      <c r="M21" s="54">
        <v>74.239999999999995</v>
      </c>
      <c r="N21" s="54">
        <v>535</v>
      </c>
      <c r="O21" s="54">
        <v>0</v>
      </c>
      <c r="P21" s="54">
        <v>0.64</v>
      </c>
      <c r="Q21" s="54">
        <v>14.66</v>
      </c>
      <c r="R21" s="43"/>
      <c r="S21" s="43"/>
      <c r="T21" s="43"/>
      <c r="U21" s="43"/>
    </row>
    <row r="22" spans="1:21" s="11" customFormat="1" ht="15">
      <c r="A22" s="53" t="s">
        <v>363</v>
      </c>
      <c r="B22" s="54">
        <v>10.63</v>
      </c>
      <c r="C22" s="54">
        <v>21.66</v>
      </c>
      <c r="D22" s="54">
        <v>32.10</v>
      </c>
      <c r="E22" s="54">
        <v>2.2599999999999998</v>
      </c>
      <c r="F22" s="54">
        <v>3.64</v>
      </c>
      <c r="G22" s="54">
        <v>62.07</v>
      </c>
      <c r="H22" s="54">
        <v>18.89</v>
      </c>
      <c r="I22" s="54">
        <v>0.12</v>
      </c>
      <c r="J22" s="54">
        <v>1.22</v>
      </c>
      <c r="K22" s="54">
        <v>324.70999999999998</v>
      </c>
      <c r="L22" s="54">
        <v>30.06</v>
      </c>
      <c r="M22" s="54">
        <v>70.73</v>
      </c>
      <c r="N22" s="54">
        <v>320.5</v>
      </c>
      <c r="O22" s="54">
        <v>0</v>
      </c>
      <c r="P22" s="54">
        <v>0.60</v>
      </c>
      <c r="Q22" s="54">
        <v>18.03</v>
      </c>
      <c r="R22" s="43"/>
      <c r="S22" s="43"/>
      <c r="T22" s="43"/>
      <c r="U22" s="43"/>
    </row>
    <row r="23" spans="1:21" s="11" customFormat="1" ht="15">
      <c r="A23" s="53" t="s">
        <v>364</v>
      </c>
      <c r="B23" s="54">
        <v>10.06</v>
      </c>
      <c r="C23" s="54">
        <v>19.25</v>
      </c>
      <c r="D23" s="54">
        <v>29.16</v>
      </c>
      <c r="E23" s="54">
        <v>2.16</v>
      </c>
      <c r="F23" s="54">
        <v>1.87</v>
      </c>
      <c r="G23" s="54">
        <v>62.07</v>
      </c>
      <c r="H23" s="54">
        <v>16.79</v>
      </c>
      <c r="I23" s="54">
        <v>0.13</v>
      </c>
      <c r="J23" s="54">
        <v>0.35</v>
      </c>
      <c r="K23" s="54">
        <v>24.25</v>
      </c>
      <c r="L23" s="54">
        <v>28.42</v>
      </c>
      <c r="M23" s="54">
        <v>83.97</v>
      </c>
      <c r="N23" s="54">
        <v>302.70</v>
      </c>
      <c r="O23" s="54">
        <v>0</v>
      </c>
      <c r="P23" s="54">
        <v>0.57999999999999996</v>
      </c>
      <c r="Q23" s="54">
        <v>23.25</v>
      </c>
      <c r="R23" s="43"/>
      <c r="S23" s="43"/>
      <c r="T23" s="43"/>
      <c r="U23" s="43"/>
    </row>
    <row r="24" spans="1:21" s="11" customFormat="1" ht="15">
      <c r="A24" s="53" t="s">
        <v>365</v>
      </c>
      <c r="B24" s="54">
        <v>7.23</v>
      </c>
      <c r="C24" s="54">
        <v>15.66</v>
      </c>
      <c r="D24" s="54">
        <v>22.90</v>
      </c>
      <c r="E24" s="54">
        <v>2.11</v>
      </c>
      <c r="F24" s="54">
        <v>3.10</v>
      </c>
      <c r="G24" s="54">
        <v>59.93</v>
      </c>
      <c r="H24" s="54">
        <v>19.30</v>
      </c>
      <c r="I24" s="54">
        <v>0.12</v>
      </c>
      <c r="J24" s="54">
        <v>0.22</v>
      </c>
      <c r="K24" s="54">
        <v>129.04</v>
      </c>
      <c r="L24" s="54">
        <v>27.14</v>
      </c>
      <c r="M24" s="54">
        <v>93.16</v>
      </c>
      <c r="N24" s="54">
        <v>121.30</v>
      </c>
      <c r="O24" s="54">
        <v>0</v>
      </c>
      <c r="P24" s="54">
        <v>0.52</v>
      </c>
      <c r="Q24" s="54">
        <v>23.84</v>
      </c>
      <c r="R24" s="43"/>
      <c r="S24" s="43"/>
      <c r="T24" s="43"/>
      <c r="U24" s="43"/>
    </row>
    <row r="25" spans="1:21" s="11" customFormat="1" ht="15">
      <c r="A25" s="53" t="s">
        <v>366</v>
      </c>
      <c r="B25" s="54">
        <v>5.83</v>
      </c>
      <c r="C25" s="54">
        <v>15.29</v>
      </c>
      <c r="D25" s="54">
        <v>21.13</v>
      </c>
      <c r="E25" s="54">
        <v>0.70</v>
      </c>
      <c r="F25" s="54">
        <v>3.74</v>
      </c>
      <c r="G25" s="54">
        <v>53.80</v>
      </c>
      <c r="H25" s="54">
        <v>19.30</v>
      </c>
      <c r="I25" s="54">
        <v>0.11</v>
      </c>
      <c r="J25" s="54">
        <v>1.45</v>
      </c>
      <c r="K25" s="54">
        <v>171.56</v>
      </c>
      <c r="L25" s="54">
        <v>25.57</v>
      </c>
      <c r="M25" s="54">
        <v>98.70</v>
      </c>
      <c r="N25" s="54">
        <v>23.90</v>
      </c>
      <c r="O25" s="54">
        <v>1.20</v>
      </c>
      <c r="P25" s="54">
        <v>0.45</v>
      </c>
      <c r="Q25" s="54">
        <v>17.14</v>
      </c>
      <c r="R25" s="43"/>
      <c r="S25" s="43"/>
      <c r="T25" s="43"/>
      <c r="U25" s="43"/>
    </row>
    <row r="26" spans="1:21" s="11" customFormat="1" ht="15">
      <c r="A26" s="53" t="s">
        <v>367</v>
      </c>
      <c r="B26" s="54">
        <v>5.57</v>
      </c>
      <c r="C26" s="54">
        <v>17.170000000000002</v>
      </c>
      <c r="D26" s="54">
        <v>22.28</v>
      </c>
      <c r="E26" s="54">
        <v>4.22</v>
      </c>
      <c r="F26" s="54">
        <v>5.39</v>
      </c>
      <c r="G26" s="54">
        <v>35.46</v>
      </c>
      <c r="H26" s="54">
        <v>13.54</v>
      </c>
      <c r="I26" s="54">
        <v>0.12</v>
      </c>
      <c r="J26" s="54">
        <v>2.66</v>
      </c>
      <c r="K26" s="54">
        <v>161.18</v>
      </c>
      <c r="L26" s="54">
        <v>22.47</v>
      </c>
      <c r="M26" s="54">
        <v>98.75</v>
      </c>
      <c r="N26" s="54">
        <v>11.30</v>
      </c>
      <c r="O26" s="54">
        <v>10.199999999999999</v>
      </c>
      <c r="P26" s="54">
        <v>0.39</v>
      </c>
      <c r="Q26" s="54">
        <v>17.62</v>
      </c>
      <c r="R26" s="43"/>
      <c r="S26" s="43"/>
      <c r="T26" s="43"/>
      <c r="U26" s="43"/>
    </row>
    <row r="27" spans="1:21" s="11" customFormat="1" ht="15">
      <c r="A27" s="53" t="s">
        <v>368</v>
      </c>
      <c r="B27" s="54">
        <v>8.36</v>
      </c>
      <c r="C27" s="54">
        <v>17.04</v>
      </c>
      <c r="D27" s="54">
        <v>24.48</v>
      </c>
      <c r="E27" s="54">
        <v>4.3499999999999996</v>
      </c>
      <c r="F27" s="54">
        <v>1.79</v>
      </c>
      <c r="G27" s="54">
        <v>22.40</v>
      </c>
      <c r="H27" s="54">
        <v>10.25</v>
      </c>
      <c r="I27" s="54">
        <v>0.11</v>
      </c>
      <c r="J27" s="54">
        <v>0.86</v>
      </c>
      <c r="K27" s="54">
        <v>343.30</v>
      </c>
      <c r="L27" s="54">
        <v>22.27</v>
      </c>
      <c r="M27" s="54">
        <v>98.75</v>
      </c>
      <c r="N27" s="54">
        <v>10.60</v>
      </c>
      <c r="O27" s="54">
        <v>2.60</v>
      </c>
      <c r="P27" s="54">
        <v>0.38</v>
      </c>
      <c r="Q27" s="54">
        <v>16.29</v>
      </c>
      <c r="R27" s="43"/>
      <c r="S27" s="43"/>
      <c r="T27" s="43"/>
      <c r="U27" s="43"/>
    </row>
    <row r="28" spans="1:21" s="11" customFormat="1" ht="15">
      <c r="A28" s="53" t="s">
        <v>369</v>
      </c>
      <c r="B28" s="54">
        <v>7.43</v>
      </c>
      <c r="C28" s="54">
        <v>14.87</v>
      </c>
      <c r="D28" s="54">
        <v>22.30</v>
      </c>
      <c r="E28" s="54">
        <v>4.49</v>
      </c>
      <c r="F28" s="54">
        <v>1.03</v>
      </c>
      <c r="G28" s="54">
        <v>35.619999999999997</v>
      </c>
      <c r="H28" s="54">
        <v>10.25</v>
      </c>
      <c r="I28" s="54">
        <v>0.11</v>
      </c>
      <c r="J28" s="54">
        <v>2.2200000000000002</v>
      </c>
      <c r="K28" s="54">
        <v>343.29</v>
      </c>
      <c r="L28" s="54">
        <v>21.05</v>
      </c>
      <c r="M28" s="54">
        <v>98.76</v>
      </c>
      <c r="N28" s="54">
        <v>10.80</v>
      </c>
      <c r="O28" s="54">
        <v>0.40</v>
      </c>
      <c r="P28" s="54">
        <v>0.49</v>
      </c>
      <c r="Q28" s="54">
        <v>16.32</v>
      </c>
      <c r="R28" s="43"/>
      <c r="S28" s="43"/>
      <c r="T28" s="43"/>
      <c r="U28" s="43"/>
    </row>
    <row r="29" spans="1:21" s="11" customFormat="1" ht="15">
      <c r="A29" s="53" t="s">
        <v>370</v>
      </c>
      <c r="B29" s="54">
        <v>8.23</v>
      </c>
      <c r="C29" s="54">
        <v>15.63</v>
      </c>
      <c r="D29" s="54">
        <v>23.20</v>
      </c>
      <c r="E29" s="54">
        <v>5.36</v>
      </c>
      <c r="F29" s="54">
        <v>0.86</v>
      </c>
      <c r="G29" s="54">
        <v>35.619999999999997</v>
      </c>
      <c r="H29" s="54">
        <v>8.57</v>
      </c>
      <c r="I29" s="54">
        <v>0.12</v>
      </c>
      <c r="J29" s="54">
        <v>1.52</v>
      </c>
      <c r="K29" s="54">
        <v>342.30</v>
      </c>
      <c r="L29" s="54">
        <v>20.77</v>
      </c>
      <c r="M29" s="54">
        <v>98.78</v>
      </c>
      <c r="N29" s="54">
        <v>9.8000000000000007</v>
      </c>
      <c r="O29" s="54">
        <v>1</v>
      </c>
      <c r="P29" s="54">
        <v>0.52</v>
      </c>
      <c r="Q29" s="54">
        <v>15.88</v>
      </c>
      <c r="R29" s="43"/>
      <c r="S29" s="43"/>
      <c r="T29" s="43"/>
      <c r="U29" s="43"/>
    </row>
    <row r="30" spans="1:21" s="11" customFormat="1" ht="15">
      <c r="A30" s="53" t="s">
        <v>371</v>
      </c>
      <c r="B30" s="54">
        <v>8.58</v>
      </c>
      <c r="C30" s="54">
        <v>14.46</v>
      </c>
      <c r="D30" s="54">
        <v>22.83</v>
      </c>
      <c r="E30" s="54">
        <v>5.43</v>
      </c>
      <c r="F30" s="54">
        <v>1.06</v>
      </c>
      <c r="G30" s="54">
        <v>34.92</v>
      </c>
      <c r="H30" s="54">
        <v>8.60</v>
      </c>
      <c r="I30" s="54">
        <v>0.12</v>
      </c>
      <c r="J30" s="54">
        <v>0.27</v>
      </c>
      <c r="K30" s="54">
        <v>354.56</v>
      </c>
      <c r="L30" s="54">
        <v>20.69</v>
      </c>
      <c r="M30" s="54">
        <v>98.78</v>
      </c>
      <c r="N30" s="54">
        <v>9.3000000000000007</v>
      </c>
      <c r="O30" s="54">
        <v>1</v>
      </c>
      <c r="P30" s="54">
        <v>0.53</v>
      </c>
      <c r="Q30" s="54">
        <v>17.27</v>
      </c>
      <c r="R30" s="43"/>
      <c r="S30" s="43"/>
      <c r="T30" s="43"/>
      <c r="U30" s="43"/>
    </row>
    <row r="31" spans="1:21" s="11" customFormat="1" ht="15">
      <c r="A31" s="53" t="s">
        <v>372</v>
      </c>
      <c r="B31" s="54">
        <v>9.02</v>
      </c>
      <c r="C31" s="54">
        <v>13.10</v>
      </c>
      <c r="D31" s="54">
        <v>21.99</v>
      </c>
      <c r="E31" s="54">
        <v>5.24</v>
      </c>
      <c r="F31" s="54">
        <v>0.67</v>
      </c>
      <c r="G31" s="54">
        <v>22.83</v>
      </c>
      <c r="H31" s="54">
        <v>8.60</v>
      </c>
      <c r="I31" s="54">
        <v>0.12</v>
      </c>
      <c r="J31" s="54">
        <v>0.27</v>
      </c>
      <c r="K31" s="54">
        <v>345.26</v>
      </c>
      <c r="L31" s="54">
        <v>20.80</v>
      </c>
      <c r="M31" s="54">
        <v>98.78</v>
      </c>
      <c r="N31" s="54">
        <v>9.60</v>
      </c>
      <c r="O31" s="54">
        <v>0</v>
      </c>
      <c r="P31" s="54">
        <v>0.53</v>
      </c>
      <c r="Q31" s="54">
        <v>17.72</v>
      </c>
      <c r="R31" s="43"/>
      <c r="S31" s="43"/>
      <c r="T31" s="43"/>
      <c r="U31" s="43"/>
    </row>
    <row r="32" spans="1:21" s="11" customFormat="1" ht="15">
      <c r="A32" s="53" t="s">
        <v>373</v>
      </c>
      <c r="B32" s="56" t="s">
        <v>4</v>
      </c>
      <c r="C32" s="56" t="s">
        <v>4</v>
      </c>
      <c r="D32" s="56" t="s">
        <v>4</v>
      </c>
      <c r="E32" s="56" t="s">
        <v>4</v>
      </c>
      <c r="F32" s="56" t="s">
        <v>4</v>
      </c>
      <c r="G32" s="56" t="s">
        <v>4</v>
      </c>
      <c r="H32" s="56" t="s">
        <v>4</v>
      </c>
      <c r="I32" s="56" t="s">
        <v>4</v>
      </c>
      <c r="J32" s="56" t="s">
        <v>4</v>
      </c>
      <c r="K32" s="56" t="s">
        <v>4</v>
      </c>
      <c r="L32" s="56" t="s">
        <v>4</v>
      </c>
      <c r="M32" s="56" t="s">
        <v>4</v>
      </c>
      <c r="N32" s="56" t="s">
        <v>4</v>
      </c>
      <c r="O32" s="56" t="s">
        <v>4</v>
      </c>
      <c r="P32" s="56" t="s">
        <v>4</v>
      </c>
      <c r="Q32" s="56" t="s">
        <v>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4.4500000000000002</v>
      </c>
      <c r="C34" s="28">
        <f t="shared" si="0"/>
        <v>8.9000000000000004</v>
      </c>
      <c r="D34" s="28">
        <f t="shared" si="0"/>
        <v>13.550000000000001</v>
      </c>
      <c r="E34" s="28">
        <f t="shared" si="0"/>
        <v>0.45000000000000001</v>
      </c>
      <c r="F34" s="28">
        <f t="shared" si="0"/>
        <v>0.67000000000000004</v>
      </c>
      <c r="G34" s="28">
        <f t="shared" si="0"/>
        <v>15.130000000000001</v>
      </c>
      <c r="H34" s="28">
        <f t="shared" si="0"/>
        <v>6.7599999999999998</v>
      </c>
      <c r="I34" s="28">
        <f t="shared" si="0"/>
        <v>0.11</v>
      </c>
      <c r="J34" s="28">
        <f t="shared" si="0"/>
        <v>0.20000000000000001</v>
      </c>
      <c r="K34" s="28">
        <f t="shared" si="0"/>
        <v>24.25</v>
      </c>
      <c r="L34" s="28">
        <f t="shared" si="0"/>
        <v>20.690000000000001</v>
      </c>
      <c r="M34" s="28">
        <f t="shared" si="0"/>
        <v>70.349999999999994</v>
      </c>
      <c r="N34" s="28">
        <f t="shared" si="0"/>
        <v>9.1999999999999993</v>
      </c>
      <c r="O34" s="28">
        <f t="shared" si="0"/>
        <v>0</v>
      </c>
      <c r="P34" s="28">
        <f t="shared" si="0"/>
        <v>0.32000000000000001</v>
      </c>
      <c r="Q34" s="28">
        <f t="shared" si="0"/>
        <v>8.6400000000000006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13.529999999999999</v>
      </c>
      <c r="C35" s="29">
        <f t="shared" si="1"/>
        <v>22.690000000000001</v>
      </c>
      <c r="D35" s="29">
        <f t="shared" si="1"/>
        <v>33.350000000000001</v>
      </c>
      <c r="E35" s="29">
        <f t="shared" si="1"/>
        <v>5.4299999999999997</v>
      </c>
      <c r="F35" s="29">
        <f t="shared" si="1"/>
        <v>6.7199999999999998</v>
      </c>
      <c r="G35" s="29">
        <f t="shared" si="1"/>
        <v>62.07</v>
      </c>
      <c r="H35" s="29">
        <f t="shared" si="1"/>
        <v>19.300000000000001</v>
      </c>
      <c r="I35" s="29">
        <f t="shared" si="1"/>
        <v>0.13</v>
      </c>
      <c r="J35" s="29">
        <f t="shared" si="1"/>
        <v>2.6600000000000001</v>
      </c>
      <c r="K35" s="29">
        <f t="shared" si="1"/>
        <v>356.94999999999999</v>
      </c>
      <c r="L35" s="29">
        <f t="shared" si="1"/>
        <v>30.440000000000001</v>
      </c>
      <c r="M35" s="29">
        <f t="shared" si="1"/>
        <v>98.780000000000001</v>
      </c>
      <c r="N35" s="29">
        <f t="shared" si="1"/>
        <v>547.10000000000002</v>
      </c>
      <c r="O35" s="29">
        <f t="shared" si="1"/>
        <v>10.199999999999999</v>
      </c>
      <c r="P35" s="29">
        <f t="shared" si="1"/>
        <v>0.68999999999999995</v>
      </c>
      <c r="Q35" s="29">
        <f t="shared" si="1"/>
        <v>23.84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8.3978260869565222</v>
      </c>
      <c r="C36" s="28">
        <f t="shared" si="2"/>
        <v>14.943913043478263</v>
      </c>
      <c r="D36" s="28">
        <f t="shared" si="2"/>
        <v>22.847391304347827</v>
      </c>
      <c r="E36" s="28">
        <f t="shared" si="2"/>
        <v>2.718260869565218</v>
      </c>
      <c r="F36" s="28">
        <f t="shared" si="2"/>
        <v>2.5730434782608698</v>
      </c>
      <c r="G36" s="28">
        <f t="shared" si="2"/>
        <v>37.492608695652173</v>
      </c>
      <c r="H36" s="28">
        <f t="shared" si="2"/>
        <v>12.536956521739132</v>
      </c>
      <c r="I36" s="28">
        <f t="shared" si="2"/>
        <v>0.11956521739130437</v>
      </c>
      <c r="J36" s="28">
        <f t="shared" si="2"/>
        <v>0.83826086956521728</v>
      </c>
      <c r="K36" s="28">
        <f t="shared" si="2"/>
        <v>272.55478260869575</v>
      </c>
      <c r="L36" s="28">
        <f t="shared" si="2"/>
        <v>24.679130434782611</v>
      </c>
      <c r="M36" s="28">
        <f t="shared" si="2"/>
        <v>92.12173913043479</v>
      </c>
      <c r="N36" s="28">
        <f t="shared" si="2"/>
        <v>154.40000000000003</v>
      </c>
      <c r="O36" s="28">
        <f t="shared" si="2"/>
        <v>0.71304347826086956</v>
      </c>
      <c r="P36" s="28">
        <f t="shared" si="2"/>
        <v>0.48347826086956508</v>
      </c>
      <c r="Q36" s="28">
        <f t="shared" si="2"/>
        <v>14.506956521739129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2.7906140681703677</v>
      </c>
      <c r="C37" s="28">
        <f t="shared" si="3" ref="C37:Q37">STDEV(C9:C32)</f>
        <v>3.9728393088461305</v>
      </c>
      <c r="D37" s="28">
        <f t="shared" si="3"/>
        <v>5.9072360998965401</v>
      </c>
      <c r="E37" s="28">
        <f t="shared" si="3"/>
        <v>1.4981584215717909</v>
      </c>
      <c r="F37" s="28">
        <f t="shared" si="3"/>
        <v>1.7900442726434773</v>
      </c>
      <c r="G37" s="28">
        <f t="shared" si="3"/>
        <v>16.494425840097197</v>
      </c>
      <c r="H37" s="28">
        <f t="shared" si="3"/>
        <v>4.3980403020008421</v>
      </c>
      <c r="I37" s="28">
        <f t="shared" si="3"/>
        <v>0.0047465402419841242</v>
      </c>
      <c r="J37" s="28">
        <f t="shared" si="3"/>
        <v>0.64828201056129231</v>
      </c>
      <c r="K37" s="28">
        <f t="shared" si="3"/>
        <v>116.49999804407177</v>
      </c>
      <c r="L37" s="28">
        <f t="shared" si="3"/>
        <v>3.5147971789971399</v>
      </c>
      <c r="M37" s="28">
        <f t="shared" si="3"/>
        <v>10.627512174529016</v>
      </c>
      <c r="N37" s="28">
        <f t="shared" si="3"/>
        <v>202.74256852202765</v>
      </c>
      <c r="O37" s="28">
        <f t="shared" si="3"/>
        <v>2.1606615880381903</v>
      </c>
      <c r="P37" s="28">
        <f t="shared" si="3"/>
        <v>0.11150249469904605</v>
      </c>
      <c r="Q37" s="28">
        <f t="shared" si="3"/>
        <v>4.2850272458904781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>COUNT(B9:B32)+1</f>
        <v>24</v>
      </c>
      <c r="C38" s="32">
        <f t="shared" si="4" ref="C38:Q38">COUNT(C9:C32)+1</f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7d5c064-2293-4ad7-ad87-d0dc8c534eb2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E39" sqref="E3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14-09-2023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374</v>
      </c>
      <c r="B9" s="54">
        <v>3.81</v>
      </c>
      <c r="C9" s="54">
        <v>5.82</v>
      </c>
      <c r="D9" s="54">
        <v>9.6300000000000008</v>
      </c>
      <c r="E9" s="54">
        <v>2.0099999999999998</v>
      </c>
      <c r="F9" s="54">
        <v>10.51</v>
      </c>
      <c r="G9" s="54">
        <v>17.46</v>
      </c>
      <c r="H9" s="54">
        <v>6.98</v>
      </c>
      <c r="I9" s="57" t="s">
        <v>8</v>
      </c>
      <c r="J9" s="54">
        <v>0.65</v>
      </c>
      <c r="K9" s="54">
        <v>321.01</v>
      </c>
      <c r="L9" s="54">
        <v>21.17</v>
      </c>
      <c r="M9" s="54">
        <v>98.78</v>
      </c>
      <c r="N9" s="54">
        <v>9.10</v>
      </c>
      <c r="O9" s="54">
        <v>0.40</v>
      </c>
      <c r="P9" s="54">
        <v>0.32</v>
      </c>
      <c r="Q9" s="8" t="s">
        <v>8</v>
      </c>
      <c r="R9" s="43"/>
      <c r="S9" s="43"/>
      <c r="T9" s="43"/>
      <c r="U9" s="43"/>
    </row>
    <row r="10" spans="1:21" s="11" customFormat="1" ht="15">
      <c r="A10" s="53" t="s">
        <v>375</v>
      </c>
      <c r="B10" s="54">
        <v>5.38</v>
      </c>
      <c r="C10" s="54">
        <v>9.67</v>
      </c>
      <c r="D10" s="54">
        <v>15.06</v>
      </c>
      <c r="E10" s="57" t="s">
        <v>8</v>
      </c>
      <c r="F10" s="54">
        <v>1.1599999999999999</v>
      </c>
      <c r="G10" s="54">
        <v>36.94</v>
      </c>
      <c r="H10" s="54">
        <v>8.56</v>
      </c>
      <c r="I10" s="57" t="s">
        <v>8</v>
      </c>
      <c r="J10" s="54">
        <v>0.54</v>
      </c>
      <c r="K10" s="54">
        <v>328.62</v>
      </c>
      <c r="L10" s="54">
        <v>21.48</v>
      </c>
      <c r="M10" s="54">
        <v>98.78</v>
      </c>
      <c r="N10" s="54">
        <v>9.3000000000000007</v>
      </c>
      <c r="O10" s="54">
        <v>0.20</v>
      </c>
      <c r="P10" s="54">
        <v>0.36</v>
      </c>
      <c r="Q10" s="54">
        <v>44.33</v>
      </c>
      <c r="R10" s="43"/>
      <c r="S10" s="43"/>
      <c r="T10" s="43"/>
      <c r="U10" s="43"/>
    </row>
    <row r="11" spans="1:21" s="11" customFormat="1" ht="15">
      <c r="A11" s="53" t="s">
        <v>376</v>
      </c>
      <c r="B11" s="54">
        <v>4.66</v>
      </c>
      <c r="C11" s="54">
        <v>9.0500000000000007</v>
      </c>
      <c r="D11" s="54">
        <v>13.46</v>
      </c>
      <c r="E11" s="57" t="s">
        <v>8</v>
      </c>
      <c r="F11" s="54">
        <v>0.98</v>
      </c>
      <c r="G11" s="54">
        <v>36.94</v>
      </c>
      <c r="H11" s="54">
        <v>8.56</v>
      </c>
      <c r="I11" s="57" t="s">
        <v>8</v>
      </c>
      <c r="J11" s="54">
        <v>0.44</v>
      </c>
      <c r="K11" s="54">
        <v>353.14</v>
      </c>
      <c r="L11" s="54">
        <v>21.52</v>
      </c>
      <c r="M11" s="54">
        <v>98.78</v>
      </c>
      <c r="N11" s="54">
        <v>9.5</v>
      </c>
      <c r="O11" s="54">
        <v>0.40</v>
      </c>
      <c r="P11" s="54">
        <v>0.23</v>
      </c>
      <c r="Q11" s="54">
        <v>31.27</v>
      </c>
      <c r="R11" s="43"/>
      <c r="S11" s="43"/>
      <c r="T11" s="43"/>
      <c r="U11" s="43"/>
    </row>
    <row r="12" spans="1:21" s="11" customFormat="1" ht="15">
      <c r="A12" s="53" t="s">
        <v>377</v>
      </c>
      <c r="B12" s="54">
        <v>4.5199999999999996</v>
      </c>
      <c r="C12" s="54">
        <v>9.02</v>
      </c>
      <c r="D12" s="54">
        <v>13.52</v>
      </c>
      <c r="E12" s="54">
        <v>2.97</v>
      </c>
      <c r="F12" s="54">
        <v>0.90</v>
      </c>
      <c r="G12" s="54">
        <v>25.07</v>
      </c>
      <c r="H12" s="54">
        <v>6.31</v>
      </c>
      <c r="I12" s="57" t="s">
        <v>8</v>
      </c>
      <c r="J12" s="54">
        <v>0.15</v>
      </c>
      <c r="K12" s="54">
        <v>346.84</v>
      </c>
      <c r="L12" s="54">
        <v>21.54</v>
      </c>
      <c r="M12" s="54">
        <v>98.78</v>
      </c>
      <c r="N12" s="54">
        <v>9.1999999999999993</v>
      </c>
      <c r="O12" s="54">
        <v>0.40</v>
      </c>
      <c r="P12" s="54">
        <v>0.18</v>
      </c>
      <c r="Q12" s="54">
        <v>16.23</v>
      </c>
      <c r="R12" s="43"/>
      <c r="S12" s="43"/>
      <c r="T12" s="43"/>
      <c r="U12" s="43"/>
    </row>
    <row r="13" spans="1:21" s="11" customFormat="1" ht="15">
      <c r="A13" s="53" t="s">
        <v>378</v>
      </c>
      <c r="B13" s="54">
        <v>4.2699999999999996</v>
      </c>
      <c r="C13" s="54">
        <v>8.02</v>
      </c>
      <c r="D13" s="54">
        <v>12.29</v>
      </c>
      <c r="E13" s="54">
        <v>4.0199999999999996</v>
      </c>
      <c r="F13" s="54">
        <v>0.61</v>
      </c>
      <c r="G13" s="54">
        <v>16.309999999999999</v>
      </c>
      <c r="H13" s="54">
        <v>4.42</v>
      </c>
      <c r="I13" s="57" t="s">
        <v>8</v>
      </c>
      <c r="J13" s="54">
        <v>0.15</v>
      </c>
      <c r="K13" s="54">
        <v>353.32</v>
      </c>
      <c r="L13" s="54">
        <v>21.64</v>
      </c>
      <c r="M13" s="54">
        <v>98.78</v>
      </c>
      <c r="N13" s="54">
        <v>9.1999999999999993</v>
      </c>
      <c r="O13" s="54">
        <v>0</v>
      </c>
      <c r="P13" s="54">
        <v>0.15</v>
      </c>
      <c r="Q13" s="54">
        <v>15.59</v>
      </c>
      <c r="R13" s="43"/>
      <c r="S13" s="43"/>
      <c r="T13" s="43"/>
      <c r="U13" s="43"/>
    </row>
    <row r="14" spans="1:21" s="11" customFormat="1" ht="15">
      <c r="A14" s="53" t="s">
        <v>379</v>
      </c>
      <c r="B14" s="54">
        <v>4.75</v>
      </c>
      <c r="C14" s="54">
        <v>9.16</v>
      </c>
      <c r="D14" s="54">
        <v>13.91</v>
      </c>
      <c r="E14" s="54">
        <v>4.0199999999999996</v>
      </c>
      <c r="F14" s="54">
        <v>0.63</v>
      </c>
      <c r="G14" s="54">
        <v>14.5</v>
      </c>
      <c r="H14" s="54">
        <v>5.20</v>
      </c>
      <c r="I14" s="57" t="s">
        <v>8</v>
      </c>
      <c r="J14" s="54">
        <v>0.15</v>
      </c>
      <c r="K14" s="54">
        <v>345.84</v>
      </c>
      <c r="L14" s="54">
        <v>21.68</v>
      </c>
      <c r="M14" s="54">
        <v>98.77</v>
      </c>
      <c r="N14" s="54">
        <v>12</v>
      </c>
      <c r="O14" s="54">
        <v>0</v>
      </c>
      <c r="P14" s="54">
        <v>0.13</v>
      </c>
      <c r="Q14" s="54">
        <v>13.92</v>
      </c>
      <c r="R14" s="43"/>
      <c r="S14" s="43"/>
      <c r="T14" s="43"/>
      <c r="U14" s="43"/>
    </row>
    <row r="15" spans="1:21" s="11" customFormat="1" ht="15">
      <c r="A15" s="53" t="s">
        <v>380</v>
      </c>
      <c r="B15" s="54">
        <v>6.90</v>
      </c>
      <c r="C15" s="54">
        <v>10.34</v>
      </c>
      <c r="D15" s="54">
        <v>17.25</v>
      </c>
      <c r="E15" s="54">
        <v>4.04</v>
      </c>
      <c r="F15" s="54">
        <v>0.83</v>
      </c>
      <c r="G15" s="54">
        <v>11.52</v>
      </c>
      <c r="H15" s="54">
        <v>7.57</v>
      </c>
      <c r="I15" s="57" t="s">
        <v>8</v>
      </c>
      <c r="J15" s="54">
        <v>0.14000000000000001</v>
      </c>
      <c r="K15" s="54">
        <v>355.65</v>
      </c>
      <c r="L15" s="54">
        <v>21.81</v>
      </c>
      <c r="M15" s="54">
        <v>98.77</v>
      </c>
      <c r="N15" s="54">
        <v>32.299999999999997</v>
      </c>
      <c r="O15" s="54">
        <v>0</v>
      </c>
      <c r="P15" s="54">
        <v>0.21</v>
      </c>
      <c r="Q15" s="54">
        <v>16.5</v>
      </c>
      <c r="R15" s="43"/>
      <c r="S15" s="43"/>
      <c r="T15" s="43"/>
      <c r="U15" s="43"/>
    </row>
    <row r="16" spans="1:21" s="11" customFormat="1" ht="15">
      <c r="A16" s="53" t="s">
        <v>381</v>
      </c>
      <c r="B16" s="54">
        <v>13.46</v>
      </c>
      <c r="C16" s="54">
        <v>10.130000000000001</v>
      </c>
      <c r="D16" s="54">
        <v>23.59</v>
      </c>
      <c r="E16" s="54">
        <v>3.5</v>
      </c>
      <c r="F16" s="54">
        <v>0.59</v>
      </c>
      <c r="G16" s="54">
        <v>13.86</v>
      </c>
      <c r="H16" s="54">
        <v>7.57</v>
      </c>
      <c r="I16" s="57" t="s">
        <v>8</v>
      </c>
      <c r="J16" s="54">
        <v>0.22</v>
      </c>
      <c r="K16" s="54">
        <v>355.92</v>
      </c>
      <c r="L16" s="54">
        <v>22.48</v>
      </c>
      <c r="M16" s="54">
        <v>98.75</v>
      </c>
      <c r="N16" s="54">
        <v>94.70</v>
      </c>
      <c r="O16" s="54">
        <v>0</v>
      </c>
      <c r="P16" s="54">
        <v>0.59</v>
      </c>
      <c r="Q16" s="54">
        <v>21.20</v>
      </c>
      <c r="R16" s="43"/>
      <c r="S16" s="43"/>
      <c r="T16" s="43"/>
      <c r="U16" s="43"/>
    </row>
    <row r="17" spans="1:21" s="11" customFormat="1" ht="15">
      <c r="A17" s="53" t="s">
        <v>382</v>
      </c>
      <c r="B17" s="54">
        <v>16.760000000000002</v>
      </c>
      <c r="C17" s="54">
        <v>12.99</v>
      </c>
      <c r="D17" s="54">
        <v>29.75</v>
      </c>
      <c r="E17" s="54">
        <v>4.20</v>
      </c>
      <c r="F17" s="54">
        <v>0.79</v>
      </c>
      <c r="G17" s="54">
        <v>20.78</v>
      </c>
      <c r="H17" s="54">
        <v>10.75</v>
      </c>
      <c r="I17" s="57" t="s">
        <v>8</v>
      </c>
      <c r="J17" s="54">
        <v>0.18</v>
      </c>
      <c r="K17" s="54">
        <v>359.70</v>
      </c>
      <c r="L17" s="54">
        <v>23.75</v>
      </c>
      <c r="M17" s="54">
        <v>98.70</v>
      </c>
      <c r="N17" s="54">
        <v>170.60</v>
      </c>
      <c r="O17" s="54">
        <v>0</v>
      </c>
      <c r="P17" s="54">
        <v>0.67</v>
      </c>
      <c r="Q17" s="54">
        <v>17.739999999999998</v>
      </c>
      <c r="R17" s="43"/>
      <c r="S17" s="43"/>
      <c r="T17" s="43"/>
      <c r="U17" s="43"/>
    </row>
    <row r="18" spans="1:21" s="11" customFormat="1" ht="15">
      <c r="A18" s="53" t="s">
        <v>383</v>
      </c>
      <c r="B18" s="54">
        <v>17.010000000000002</v>
      </c>
      <c r="C18" s="54">
        <v>12.19</v>
      </c>
      <c r="D18" s="54">
        <v>28.90</v>
      </c>
      <c r="E18" s="54">
        <v>4.4000000000000004</v>
      </c>
      <c r="F18" s="54">
        <v>0.85</v>
      </c>
      <c r="G18" s="54">
        <v>27.07</v>
      </c>
      <c r="H18" s="54">
        <v>11.77</v>
      </c>
      <c r="I18" s="57" t="s">
        <v>8</v>
      </c>
      <c r="J18" s="54">
        <v>0.33</v>
      </c>
      <c r="K18" s="54">
        <v>348.98</v>
      </c>
      <c r="L18" s="54">
        <v>26.02</v>
      </c>
      <c r="M18" s="54">
        <v>98.66</v>
      </c>
      <c r="N18" s="54">
        <v>298.5</v>
      </c>
      <c r="O18" s="54">
        <v>0</v>
      </c>
      <c r="P18" s="54">
        <v>0.73</v>
      </c>
      <c r="Q18" s="54">
        <v>14.29</v>
      </c>
      <c r="R18" s="43"/>
      <c r="S18" s="43"/>
      <c r="T18" s="43"/>
      <c r="U18" s="43"/>
    </row>
    <row r="19" spans="1:21" s="11" customFormat="1" ht="15">
      <c r="A19" s="53" t="s">
        <v>384</v>
      </c>
      <c r="B19" s="54">
        <v>17.48</v>
      </c>
      <c r="C19" s="54">
        <v>14.44</v>
      </c>
      <c r="D19" s="54">
        <v>31.80</v>
      </c>
      <c r="E19" s="54">
        <v>4.26</v>
      </c>
      <c r="F19" s="54">
        <v>1.38</v>
      </c>
      <c r="G19" s="54">
        <v>46.55</v>
      </c>
      <c r="H19" s="54">
        <v>16.829999999999998</v>
      </c>
      <c r="I19" s="57" t="s">
        <v>8</v>
      </c>
      <c r="J19" s="54">
        <v>0.45</v>
      </c>
      <c r="K19" s="54">
        <v>324.20</v>
      </c>
      <c r="L19" s="54">
        <v>26.66</v>
      </c>
      <c r="M19" s="54">
        <v>90.77</v>
      </c>
      <c r="N19" s="54">
        <v>244.70</v>
      </c>
      <c r="O19" s="54">
        <v>0</v>
      </c>
      <c r="P19" s="54">
        <v>0.85</v>
      </c>
      <c r="Q19" s="54">
        <v>15.26</v>
      </c>
      <c r="R19" s="43"/>
      <c r="S19" s="43"/>
      <c r="T19" s="43"/>
      <c r="U19" s="43"/>
    </row>
    <row r="20" spans="1:21" s="11" customFormat="1" ht="15">
      <c r="A20" s="53" t="s">
        <v>385</v>
      </c>
      <c r="B20" s="54">
        <v>15.70</v>
      </c>
      <c r="C20" s="54">
        <v>22</v>
      </c>
      <c r="D20" s="54">
        <v>36.229999999999997</v>
      </c>
      <c r="E20" s="54">
        <v>4.13</v>
      </c>
      <c r="F20" s="54">
        <v>3.93</v>
      </c>
      <c r="G20" s="54">
        <v>61.19</v>
      </c>
      <c r="H20" s="54">
        <v>16.829999999999998</v>
      </c>
      <c r="I20" s="57" t="s">
        <v>8</v>
      </c>
      <c r="J20" s="54">
        <v>0.51</v>
      </c>
      <c r="K20" s="54">
        <v>321.67</v>
      </c>
      <c r="L20" s="54">
        <v>27.64</v>
      </c>
      <c r="M20" s="54">
        <v>89.16</v>
      </c>
      <c r="N20" s="54">
        <v>292.20</v>
      </c>
      <c r="O20" s="54">
        <v>0</v>
      </c>
      <c r="P20" s="54">
        <v>0.90</v>
      </c>
      <c r="Q20" s="54">
        <v>14.72</v>
      </c>
      <c r="R20" s="43"/>
      <c r="S20" s="43"/>
      <c r="T20" s="43"/>
      <c r="U20" s="43"/>
    </row>
    <row r="21" spans="1:21" s="11" customFormat="1" ht="15">
      <c r="A21" s="53" t="s">
        <v>386</v>
      </c>
      <c r="B21" s="54">
        <v>12.49</v>
      </c>
      <c r="C21" s="54">
        <v>20.57</v>
      </c>
      <c r="D21" s="54">
        <v>29.69</v>
      </c>
      <c r="E21" s="54">
        <v>5.01</v>
      </c>
      <c r="F21" s="54">
        <v>2.48</v>
      </c>
      <c r="G21" s="54">
        <v>62.82</v>
      </c>
      <c r="H21" s="54">
        <v>17.79</v>
      </c>
      <c r="I21" s="57" t="s">
        <v>8</v>
      </c>
      <c r="J21" s="54">
        <v>0.39</v>
      </c>
      <c r="K21" s="54">
        <v>354.62</v>
      </c>
      <c r="L21" s="54">
        <v>28.23</v>
      </c>
      <c r="M21" s="54">
        <v>83.45</v>
      </c>
      <c r="N21" s="54">
        <v>348.30</v>
      </c>
      <c r="O21" s="54">
        <v>0</v>
      </c>
      <c r="P21" s="54">
        <v>0.85</v>
      </c>
      <c r="Q21" s="54">
        <v>16.61</v>
      </c>
      <c r="R21" s="43"/>
      <c r="S21" s="43"/>
      <c r="T21" s="43"/>
      <c r="U21" s="43"/>
    </row>
    <row r="22" spans="1:21" s="11" customFormat="1" ht="15">
      <c r="A22" s="53" t="s">
        <v>387</v>
      </c>
      <c r="B22" s="54">
        <v>7.15</v>
      </c>
      <c r="C22" s="54">
        <v>23.41</v>
      </c>
      <c r="D22" s="54">
        <v>30.56</v>
      </c>
      <c r="E22" s="54">
        <v>5.0199999999999996</v>
      </c>
      <c r="F22" s="54">
        <v>3.36</v>
      </c>
      <c r="G22" s="54">
        <v>62.82</v>
      </c>
      <c r="H22" s="54">
        <v>17.79</v>
      </c>
      <c r="I22" s="54">
        <v>1.85</v>
      </c>
      <c r="J22" s="54">
        <v>0.73</v>
      </c>
      <c r="K22" s="54">
        <v>359.86</v>
      </c>
      <c r="L22" s="54">
        <v>28.62</v>
      </c>
      <c r="M22" s="54">
        <v>83.75</v>
      </c>
      <c r="N22" s="54">
        <v>296.60000000000002</v>
      </c>
      <c r="O22" s="54">
        <v>0</v>
      </c>
      <c r="P22" s="54">
        <v>0.64</v>
      </c>
      <c r="Q22" s="54">
        <v>11.38</v>
      </c>
      <c r="R22" s="43"/>
      <c r="S22" s="43"/>
      <c r="T22" s="43"/>
      <c r="U22" s="43"/>
    </row>
    <row r="23" spans="1:21" s="11" customFormat="1" ht="15">
      <c r="A23" s="53" t="s">
        <v>388</v>
      </c>
      <c r="B23" s="54">
        <v>7.61</v>
      </c>
      <c r="C23" s="54">
        <v>22.94</v>
      </c>
      <c r="D23" s="54">
        <v>30.18</v>
      </c>
      <c r="E23" s="54">
        <v>4.84</v>
      </c>
      <c r="F23" s="54">
        <v>5.41</v>
      </c>
      <c r="G23" s="54">
        <v>59.73</v>
      </c>
      <c r="H23" s="54">
        <v>16.68</v>
      </c>
      <c r="I23" s="54">
        <v>1.82</v>
      </c>
      <c r="J23" s="54">
        <v>0.070000000000000007</v>
      </c>
      <c r="K23" s="54">
        <v>344.35</v>
      </c>
      <c r="L23" s="54">
        <v>26.20</v>
      </c>
      <c r="M23" s="54">
        <v>98.76</v>
      </c>
      <c r="N23" s="54">
        <v>53.40</v>
      </c>
      <c r="O23" s="54">
        <v>3.80</v>
      </c>
      <c r="P23" s="54">
        <v>0.67</v>
      </c>
      <c r="Q23" s="54">
        <v>11.90</v>
      </c>
      <c r="R23" s="43"/>
      <c r="S23" s="43"/>
      <c r="T23" s="43"/>
      <c r="U23" s="43"/>
    </row>
    <row r="24" spans="1:21" s="11" customFormat="1" ht="15">
      <c r="A24" s="53" t="s">
        <v>389</v>
      </c>
      <c r="B24" s="54">
        <v>12.36</v>
      </c>
      <c r="C24" s="54">
        <v>24.66</v>
      </c>
      <c r="D24" s="54">
        <v>37.020000000000003</v>
      </c>
      <c r="E24" s="54">
        <v>5.24</v>
      </c>
      <c r="F24" s="54">
        <v>4.76</v>
      </c>
      <c r="G24" s="54">
        <v>43.20</v>
      </c>
      <c r="H24" s="54">
        <v>16.68</v>
      </c>
      <c r="I24" s="54">
        <v>1.89</v>
      </c>
      <c r="J24" s="54">
        <v>2.35</v>
      </c>
      <c r="K24" s="54">
        <v>355.60</v>
      </c>
      <c r="L24" s="54">
        <v>23.89</v>
      </c>
      <c r="M24" s="54">
        <v>98.78</v>
      </c>
      <c r="N24" s="54">
        <v>21.20</v>
      </c>
      <c r="O24" s="54">
        <v>13.20</v>
      </c>
      <c r="P24" s="54">
        <v>0.60</v>
      </c>
      <c r="Q24" s="54">
        <v>14.64</v>
      </c>
      <c r="R24" s="43"/>
      <c r="S24" s="43"/>
      <c r="T24" s="43"/>
      <c r="U24" s="43"/>
    </row>
    <row r="25" spans="1:21" s="11" customFormat="1" ht="15">
      <c r="A25" s="53" t="s">
        <v>390</v>
      </c>
      <c r="B25" s="54">
        <v>6.75</v>
      </c>
      <c r="C25" s="54">
        <v>20.43</v>
      </c>
      <c r="D25" s="54">
        <v>27.17</v>
      </c>
      <c r="E25" s="54">
        <v>3.35</v>
      </c>
      <c r="F25" s="57" t="s">
        <v>8</v>
      </c>
      <c r="G25" s="54">
        <v>43.20</v>
      </c>
      <c r="H25" s="54">
        <v>12.56</v>
      </c>
      <c r="I25" s="54">
        <v>1.87</v>
      </c>
      <c r="J25" s="54">
        <v>0.31</v>
      </c>
      <c r="K25" s="54">
        <v>190.01</v>
      </c>
      <c r="L25" s="54">
        <v>22.45</v>
      </c>
      <c r="M25" s="54">
        <v>98.78</v>
      </c>
      <c r="N25" s="54">
        <v>57.80</v>
      </c>
      <c r="O25" s="54">
        <v>0</v>
      </c>
      <c r="P25" s="54">
        <v>0.49</v>
      </c>
      <c r="Q25" s="54">
        <v>14.86</v>
      </c>
      <c r="R25" s="43"/>
      <c r="S25" s="43"/>
      <c r="T25" s="43"/>
      <c r="U25" s="43"/>
    </row>
    <row r="26" spans="1:21" s="11" customFormat="1" ht="15">
      <c r="A26" s="53" t="s">
        <v>391</v>
      </c>
      <c r="B26" s="54">
        <v>6.01</v>
      </c>
      <c r="C26" s="54">
        <v>18.03</v>
      </c>
      <c r="D26" s="54">
        <v>22.48</v>
      </c>
      <c r="E26" s="54">
        <v>4.20</v>
      </c>
      <c r="F26" s="57" t="s">
        <v>8</v>
      </c>
      <c r="G26" s="54">
        <v>29.14</v>
      </c>
      <c r="H26" s="54">
        <v>12</v>
      </c>
      <c r="I26" s="54">
        <v>1.79</v>
      </c>
      <c r="J26" s="54">
        <v>0.37</v>
      </c>
      <c r="K26" s="54">
        <v>28.37</v>
      </c>
      <c r="L26" s="54">
        <v>22.39</v>
      </c>
      <c r="M26" s="54">
        <v>98.78</v>
      </c>
      <c r="N26" s="54">
        <v>42.70</v>
      </c>
      <c r="O26" s="54">
        <v>0</v>
      </c>
      <c r="P26" s="54">
        <v>0.51</v>
      </c>
      <c r="Q26" s="54">
        <v>21.22</v>
      </c>
      <c r="R26" s="43"/>
      <c r="S26" s="43"/>
      <c r="T26" s="43"/>
      <c r="U26" s="43"/>
    </row>
    <row r="27" spans="1:21" s="11" customFormat="1" ht="15">
      <c r="A27" s="53" t="s">
        <v>392</v>
      </c>
      <c r="B27" s="54">
        <v>4.16</v>
      </c>
      <c r="C27" s="54">
        <v>17.829999999999998</v>
      </c>
      <c r="D27" s="54">
        <v>21.89</v>
      </c>
      <c r="E27" s="54">
        <v>3.35</v>
      </c>
      <c r="F27" s="57" t="s">
        <v>8</v>
      </c>
      <c r="G27" s="54">
        <v>27.05</v>
      </c>
      <c r="H27" s="54">
        <v>8.41</v>
      </c>
      <c r="I27" s="54">
        <v>1.87</v>
      </c>
      <c r="J27" s="54">
        <v>0.35</v>
      </c>
      <c r="K27" s="54">
        <v>28.59</v>
      </c>
      <c r="L27" s="54">
        <v>22.39</v>
      </c>
      <c r="M27" s="54">
        <v>98.78</v>
      </c>
      <c r="N27" s="54">
        <v>9.8000000000000007</v>
      </c>
      <c r="O27" s="54">
        <v>3.80</v>
      </c>
      <c r="P27" s="54">
        <v>0.51</v>
      </c>
      <c r="Q27" s="54">
        <v>55.89</v>
      </c>
      <c r="R27" s="43"/>
      <c r="S27" s="43"/>
      <c r="T27" s="43"/>
      <c r="U27" s="43"/>
    </row>
    <row r="28" spans="1:21" s="11" customFormat="1" ht="15">
      <c r="A28" s="53" t="s">
        <v>393</v>
      </c>
      <c r="B28" s="54">
        <v>3.13</v>
      </c>
      <c r="C28" s="54">
        <v>13.41</v>
      </c>
      <c r="D28" s="54">
        <v>16.55</v>
      </c>
      <c r="E28" s="54">
        <v>4.3600000000000003</v>
      </c>
      <c r="F28" s="57" t="s">
        <v>8</v>
      </c>
      <c r="G28" s="54">
        <v>27.05</v>
      </c>
      <c r="H28" s="54">
        <v>7.85</v>
      </c>
      <c r="I28" s="54">
        <v>1.81</v>
      </c>
      <c r="J28" s="54">
        <v>0.18</v>
      </c>
      <c r="K28" s="54">
        <v>33</v>
      </c>
      <c r="L28" s="54">
        <v>22.05</v>
      </c>
      <c r="M28" s="54">
        <v>98.78</v>
      </c>
      <c r="N28" s="54">
        <v>9.40</v>
      </c>
      <c r="O28" s="54">
        <v>0.20</v>
      </c>
      <c r="P28" s="54">
        <v>0.54</v>
      </c>
      <c r="Q28" s="54">
        <v>15.55</v>
      </c>
      <c r="R28" s="43"/>
      <c r="S28" s="43"/>
      <c r="T28" s="43"/>
      <c r="U28" s="43"/>
    </row>
    <row r="29" spans="1:21" s="11" customFormat="1" ht="15">
      <c r="A29" s="53" t="s">
        <v>394</v>
      </c>
      <c r="B29" s="54">
        <v>4.62</v>
      </c>
      <c r="C29" s="54">
        <v>15.09</v>
      </c>
      <c r="D29" s="54">
        <v>19.71</v>
      </c>
      <c r="E29" s="54">
        <v>5.63</v>
      </c>
      <c r="F29" s="57" t="s">
        <v>8</v>
      </c>
      <c r="G29" s="54">
        <v>21.16</v>
      </c>
      <c r="H29" s="54">
        <v>9.34</v>
      </c>
      <c r="I29" s="54">
        <v>1.87</v>
      </c>
      <c r="J29" s="54">
        <v>0.40</v>
      </c>
      <c r="K29" s="54">
        <v>33.049999999999997</v>
      </c>
      <c r="L29" s="54">
        <v>22.19</v>
      </c>
      <c r="M29" s="54">
        <v>98.79</v>
      </c>
      <c r="N29" s="54">
        <v>9.6999999999999993</v>
      </c>
      <c r="O29" s="54">
        <v>4.80</v>
      </c>
      <c r="P29" s="54">
        <v>0.66</v>
      </c>
      <c r="Q29" s="54">
        <v>11.94</v>
      </c>
      <c r="R29" s="43"/>
      <c r="S29" s="43"/>
      <c r="T29" s="43"/>
      <c r="U29" s="43"/>
    </row>
    <row r="30" spans="1:21" s="11" customFormat="1" ht="15">
      <c r="A30" s="53" t="s">
        <v>395</v>
      </c>
      <c r="B30" s="54">
        <v>4.95</v>
      </c>
      <c r="C30" s="54">
        <v>16.86</v>
      </c>
      <c r="D30" s="54">
        <v>21.82</v>
      </c>
      <c r="E30" s="54">
        <v>5.48</v>
      </c>
      <c r="F30" s="57" t="s">
        <v>8</v>
      </c>
      <c r="G30" s="54">
        <v>19.190000000000001</v>
      </c>
      <c r="H30" s="54">
        <v>9.7100000000000009</v>
      </c>
      <c r="I30" s="54">
        <v>1.80</v>
      </c>
      <c r="J30" s="54">
        <v>0.68</v>
      </c>
      <c r="K30" s="54">
        <v>321.18</v>
      </c>
      <c r="L30" s="54">
        <v>21.70</v>
      </c>
      <c r="M30" s="54">
        <v>98.78</v>
      </c>
      <c r="N30" s="54">
        <v>9.60</v>
      </c>
      <c r="O30" s="54">
        <v>14.20</v>
      </c>
      <c r="P30" s="54">
        <v>0.84</v>
      </c>
      <c r="Q30" s="54">
        <v>10.95</v>
      </c>
      <c r="R30" s="43"/>
      <c r="S30" s="43"/>
      <c r="T30" s="43"/>
      <c r="U30" s="43"/>
    </row>
    <row r="31" spans="1:21" s="11" customFormat="1" ht="15">
      <c r="A31" s="53" t="s">
        <v>396</v>
      </c>
      <c r="B31" s="54">
        <v>4.21</v>
      </c>
      <c r="C31" s="54">
        <v>17.649999999999999</v>
      </c>
      <c r="D31" s="54">
        <v>21.86</v>
      </c>
      <c r="E31" s="54">
        <v>5.44</v>
      </c>
      <c r="F31" s="54">
        <v>1.67</v>
      </c>
      <c r="G31" s="54">
        <v>19.190000000000001</v>
      </c>
      <c r="H31" s="54">
        <v>9.7100000000000009</v>
      </c>
      <c r="I31" s="54">
        <v>1.84</v>
      </c>
      <c r="J31" s="54">
        <v>0.40</v>
      </c>
      <c r="K31" s="54">
        <v>38.65</v>
      </c>
      <c r="L31" s="54">
        <v>21.55</v>
      </c>
      <c r="M31" s="54">
        <v>98.78</v>
      </c>
      <c r="N31" s="54">
        <v>9.5</v>
      </c>
      <c r="O31" s="54">
        <v>1.60</v>
      </c>
      <c r="P31" s="54">
        <v>0.95</v>
      </c>
      <c r="Q31" s="54">
        <v>8.74</v>
      </c>
      <c r="R31" s="43"/>
      <c r="S31" s="43"/>
      <c r="T31" s="43"/>
      <c r="U31" s="43"/>
    </row>
    <row r="32" spans="1:21" s="11" customFormat="1" ht="15">
      <c r="A32" s="53" t="s">
        <v>397</v>
      </c>
      <c r="B32" s="54">
        <v>3.63</v>
      </c>
      <c r="C32" s="54">
        <v>14.61</v>
      </c>
      <c r="D32" s="54">
        <v>18.03</v>
      </c>
      <c r="E32" s="54">
        <v>5.42</v>
      </c>
      <c r="F32" s="54">
        <v>1.1399999999999999</v>
      </c>
      <c r="G32" s="54">
        <v>17.32</v>
      </c>
      <c r="H32" s="54">
        <v>7.96</v>
      </c>
      <c r="I32" s="54">
        <v>1.84</v>
      </c>
      <c r="J32" s="54">
        <v>0.33</v>
      </c>
      <c r="K32" s="54">
        <v>345.92</v>
      </c>
      <c r="L32" s="54">
        <v>21.79</v>
      </c>
      <c r="M32" s="54">
        <v>98.79</v>
      </c>
      <c r="N32" s="54">
        <v>9.5</v>
      </c>
      <c r="O32" s="54">
        <v>1.40</v>
      </c>
      <c r="P32" s="54">
        <v>0.82</v>
      </c>
      <c r="Q32" s="54">
        <v>8.0399999999999991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3.1299999999999999</v>
      </c>
      <c r="C34" s="28">
        <f t="shared" si="0"/>
        <v>5.8200000000000003</v>
      </c>
      <c r="D34" s="28">
        <f t="shared" si="0"/>
        <v>9.6300000000000008</v>
      </c>
      <c r="E34" s="28">
        <f t="shared" si="0"/>
        <v>2.0099999999999998</v>
      </c>
      <c r="F34" s="28">
        <f t="shared" si="0"/>
        <v>0.58999999999999997</v>
      </c>
      <c r="G34" s="28">
        <f t="shared" si="0"/>
        <v>11.52</v>
      </c>
      <c r="H34" s="28">
        <f t="shared" si="0"/>
        <v>4.4199999999999999</v>
      </c>
      <c r="I34" s="28">
        <f t="shared" si="0"/>
        <v>1.79</v>
      </c>
      <c r="J34" s="28">
        <f t="shared" si="0"/>
        <v>0.070000000000000007</v>
      </c>
      <c r="K34" s="28">
        <f t="shared" si="0"/>
        <v>28.370000000000001</v>
      </c>
      <c r="L34" s="28">
        <f t="shared" si="0"/>
        <v>21.170000000000002</v>
      </c>
      <c r="M34" s="28">
        <f t="shared" si="0"/>
        <v>83.450000000000003</v>
      </c>
      <c r="N34" s="28">
        <f t="shared" si="0"/>
        <v>9.0999999999999996</v>
      </c>
      <c r="O34" s="28">
        <f t="shared" si="0"/>
        <v>0</v>
      </c>
      <c r="P34" s="28">
        <f t="shared" si="0"/>
        <v>0.13</v>
      </c>
      <c r="Q34" s="28">
        <f t="shared" si="0"/>
        <v>8.0399999999999991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17.48</v>
      </c>
      <c r="C35" s="29">
        <f t="shared" si="1"/>
        <v>24.66</v>
      </c>
      <c r="D35" s="29">
        <f t="shared" si="1"/>
        <v>37.020000000000003</v>
      </c>
      <c r="E35" s="29">
        <f t="shared" si="1"/>
        <v>5.6299999999999999</v>
      </c>
      <c r="F35" s="29">
        <f t="shared" si="1"/>
        <v>10.51</v>
      </c>
      <c r="G35" s="29">
        <f t="shared" si="1"/>
        <v>62.82</v>
      </c>
      <c r="H35" s="29">
        <f t="shared" si="1"/>
        <v>17.789999999999999</v>
      </c>
      <c r="I35" s="29">
        <f t="shared" si="1"/>
        <v>1.8899999999999999</v>
      </c>
      <c r="J35" s="29">
        <f t="shared" si="1"/>
        <v>2.3500000000000001</v>
      </c>
      <c r="K35" s="29">
        <f t="shared" si="1"/>
        <v>359.86000000000001</v>
      </c>
      <c r="L35" s="29">
        <f t="shared" si="1"/>
        <v>28.620000000000001</v>
      </c>
      <c r="M35" s="29">
        <f t="shared" si="1"/>
        <v>98.790000000000006</v>
      </c>
      <c r="N35" s="29">
        <f t="shared" si="1"/>
        <v>348.30000000000001</v>
      </c>
      <c r="O35" s="29">
        <f t="shared" si="1"/>
        <v>14.199999999999999</v>
      </c>
      <c r="P35" s="29">
        <f t="shared" si="1"/>
        <v>0.94999999999999996</v>
      </c>
      <c r="Q35" s="29">
        <f t="shared" si="1"/>
        <v>55.890000000000001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7.9904166666666656</v>
      </c>
      <c r="C36" s="28">
        <f t="shared" si="2"/>
        <v>14.93</v>
      </c>
      <c r="D36" s="28">
        <f t="shared" si="2"/>
        <v>22.597916666666666</v>
      </c>
      <c r="E36" s="28">
        <f t="shared" si="2"/>
        <v>4.3131818181818184</v>
      </c>
      <c r="F36" s="28">
        <f t="shared" si="2"/>
        <v>2.3322222222222222</v>
      </c>
      <c r="G36" s="28">
        <f t="shared" si="2"/>
        <v>31.669166666666669</v>
      </c>
      <c r="H36" s="28">
        <f t="shared" si="2"/>
        <v>10.742916666666666</v>
      </c>
      <c r="I36" s="28">
        <f t="shared" si="2"/>
        <v>1.8409090909090908</v>
      </c>
      <c r="J36" s="28">
        <f t="shared" si="2"/>
        <v>0.43624999999999997</v>
      </c>
      <c r="K36" s="28">
        <f t="shared" si="2"/>
        <v>272.83708333333334</v>
      </c>
      <c r="L36" s="28">
        <f t="shared" si="2"/>
        <v>23.368333333333329</v>
      </c>
      <c r="M36" s="28">
        <f t="shared" si="2"/>
        <v>96.769999999999996</v>
      </c>
      <c r="N36" s="28">
        <f t="shared" si="2"/>
        <v>86.200000000000003</v>
      </c>
      <c r="O36" s="28">
        <f t="shared" si="2"/>
        <v>1.8499999999999999</v>
      </c>
      <c r="P36" s="28">
        <f t="shared" si="2"/>
        <v>0.55833333333333324</v>
      </c>
      <c r="Q36" s="28">
        <f t="shared" si="2"/>
        <v>18.381304347826084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4.8833198607421631</v>
      </c>
      <c r="C37" s="28">
        <f t="shared" si="3" ref="C37:Q37">STDEV(C9:C32)</f>
        <v>5.4819553794799125</v>
      </c>
      <c r="D37" s="28">
        <f t="shared" si="3"/>
        <v>7.8881418868790742</v>
      </c>
      <c r="E37" s="28">
        <f t="shared" si="3"/>
        <v>0.91692231775463551</v>
      </c>
      <c r="F37" s="28">
        <f t="shared" si="3"/>
        <v>2.5394014013393362</v>
      </c>
      <c r="G37" s="28">
        <f t="shared" si="3"/>
        <v>16.75714952326102</v>
      </c>
      <c r="H37" s="28">
        <f t="shared" si="3"/>
        <v>4.220547542437</v>
      </c>
      <c r="I37" s="28">
        <f t="shared" si="3"/>
        <v>0.032696955654783963</v>
      </c>
      <c r="J37" s="28">
        <f t="shared" si="3"/>
        <v>0.44580959573810669</v>
      </c>
      <c r="K37" s="28">
        <f t="shared" si="3"/>
        <v>130.44047522943069</v>
      </c>
      <c r="L37" s="28">
        <f t="shared" si="3"/>
        <v>2.417716613498869</v>
      </c>
      <c r="M37" s="28">
        <f t="shared" si="3"/>
        <v>4.7579425586385913</v>
      </c>
      <c r="N37" s="28">
        <f t="shared" si="3"/>
        <v>116.84622373016596</v>
      </c>
      <c r="O37" s="28">
        <f t="shared" si="3"/>
        <v>3.905069169347875</v>
      </c>
      <c r="P37" s="28">
        <f t="shared" si="3"/>
        <v>0.2545698275551313</v>
      </c>
      <c r="Q37" s="28">
        <f t="shared" si="3"/>
        <v>11.208168411048916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P38">COUNT(B9:B32)</f>
        <v>24</v>
      </c>
      <c r="C38" s="32">
        <f t="shared" si="4"/>
        <v>24</v>
      </c>
      <c r="D38" s="32">
        <f t="shared" si="4"/>
        <v>24</v>
      </c>
      <c r="E38" s="32">
        <f>COUNT(E9:E32)+2</f>
        <v>24</v>
      </c>
      <c r="F38" s="32">
        <f>COUNT(F9:F32)+6</f>
        <v>24</v>
      </c>
      <c r="G38" s="32">
        <f t="shared" si="4"/>
        <v>24</v>
      </c>
      <c r="H38" s="32">
        <f t="shared" si="4"/>
        <v>24</v>
      </c>
      <c r="I38" s="32">
        <f>COUNT(I9:I32)+13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>COUNT(Q9:Q32)+1</f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7b28d30-d4c5-4387-bbf9-b932ffe40173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1" sqref="G61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15-09-2023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8"/>
      <c r="B8" s="59" t="s">
        <v>22</v>
      </c>
      <c r="C8" s="59" t="s">
        <v>22</v>
      </c>
      <c r="D8" s="29" t="s">
        <v>61</v>
      </c>
      <c r="E8" s="59" t="s">
        <v>22</v>
      </c>
      <c r="F8" s="59" t="s">
        <v>22</v>
      </c>
      <c r="G8" s="59" t="s">
        <v>23</v>
      </c>
      <c r="H8" s="59" t="s">
        <v>22</v>
      </c>
      <c r="I8" s="59" t="s">
        <v>22</v>
      </c>
      <c r="J8" s="59" t="s">
        <v>24</v>
      </c>
      <c r="K8" s="59" t="s">
        <v>25</v>
      </c>
      <c r="L8" s="58" t="s">
        <v>27</v>
      </c>
      <c r="M8" s="59" t="s">
        <v>26</v>
      </c>
      <c r="N8" s="59" t="s">
        <v>28</v>
      </c>
      <c r="O8" s="58" t="s">
        <v>29</v>
      </c>
      <c r="P8" s="59" t="s">
        <v>22</v>
      </c>
      <c r="Q8" s="59" t="s">
        <v>22</v>
      </c>
      <c r="R8" s="27"/>
      <c r="S8" s="29"/>
      <c r="T8" s="27"/>
      <c r="U8" s="27"/>
    </row>
    <row r="9" spans="1:21" s="11" customFormat="1" ht="15">
      <c r="A9" s="53" t="s">
        <v>398</v>
      </c>
      <c r="B9" s="54">
        <v>3.55</v>
      </c>
      <c r="C9" s="54">
        <v>12.33</v>
      </c>
      <c r="D9" s="54">
        <v>15.88</v>
      </c>
      <c r="E9" s="54">
        <v>3.89</v>
      </c>
      <c r="F9" s="54">
        <v>1.01</v>
      </c>
      <c r="G9" s="54">
        <v>14.23</v>
      </c>
      <c r="H9" s="54">
        <v>7.96</v>
      </c>
      <c r="I9" s="54">
        <v>1.86</v>
      </c>
      <c r="J9" s="54">
        <v>0.60</v>
      </c>
      <c r="K9" s="54">
        <v>337.60</v>
      </c>
      <c r="L9" s="54">
        <v>21.71</v>
      </c>
      <c r="M9" s="54">
        <v>98.78</v>
      </c>
      <c r="N9" s="54">
        <v>9.60</v>
      </c>
      <c r="O9" s="54">
        <v>2.2000000000000002</v>
      </c>
      <c r="P9" s="54">
        <v>0.68</v>
      </c>
      <c r="Q9" s="54">
        <v>6.98</v>
      </c>
      <c r="R9" s="43"/>
      <c r="S9" s="43"/>
      <c r="T9" s="43"/>
      <c r="U9" s="43"/>
    </row>
    <row r="10" spans="1:21" s="11" customFormat="1" ht="15">
      <c r="A10" s="53" t="s">
        <v>399</v>
      </c>
      <c r="B10" s="54">
        <v>3.04</v>
      </c>
      <c r="C10" s="54">
        <v>10.08</v>
      </c>
      <c r="D10" s="54">
        <v>13.12</v>
      </c>
      <c r="E10" s="54">
        <v>3.44</v>
      </c>
      <c r="F10" s="54">
        <v>1.61</v>
      </c>
      <c r="G10" s="54">
        <v>10.029999999999999</v>
      </c>
      <c r="H10" s="54">
        <v>7.23</v>
      </c>
      <c r="I10" s="54">
        <v>1.84</v>
      </c>
      <c r="J10" s="54">
        <v>0.66</v>
      </c>
      <c r="K10" s="54">
        <v>346.57</v>
      </c>
      <c r="L10" s="54">
        <v>21.49</v>
      </c>
      <c r="M10" s="54">
        <v>98.78</v>
      </c>
      <c r="N10" s="54">
        <v>9.60</v>
      </c>
      <c r="O10" s="54">
        <v>3.20</v>
      </c>
      <c r="P10" s="54">
        <v>0.5</v>
      </c>
      <c r="Q10" s="54">
        <v>4.49</v>
      </c>
      <c r="R10" s="43"/>
      <c r="S10" s="43"/>
      <c r="T10" s="43"/>
      <c r="U10" s="43"/>
    </row>
    <row r="11" spans="1:21" s="11" customFormat="1" ht="15">
      <c r="A11" s="53" t="s">
        <v>400</v>
      </c>
      <c r="B11" s="54">
        <v>2.2999999999999998</v>
      </c>
      <c r="C11" s="54">
        <v>9.1199999999999992</v>
      </c>
      <c r="D11" s="54">
        <v>11.26</v>
      </c>
      <c r="E11" s="54">
        <v>3.89</v>
      </c>
      <c r="F11" s="54">
        <v>1.81</v>
      </c>
      <c r="G11" s="54">
        <v>7.5</v>
      </c>
      <c r="H11" s="54">
        <v>5.48</v>
      </c>
      <c r="I11" s="54">
        <v>1.82</v>
      </c>
      <c r="J11" s="54">
        <v>0.36</v>
      </c>
      <c r="K11" s="54">
        <v>357.92</v>
      </c>
      <c r="L11" s="54">
        <v>21.36</v>
      </c>
      <c r="M11" s="54">
        <v>98.79</v>
      </c>
      <c r="N11" s="54">
        <v>9.60</v>
      </c>
      <c r="O11" s="54">
        <v>1.20</v>
      </c>
      <c r="P11" s="54">
        <v>0.42</v>
      </c>
      <c r="Q11" s="54">
        <v>3.56</v>
      </c>
      <c r="R11" s="43"/>
      <c r="S11" s="43"/>
      <c r="T11" s="43"/>
      <c r="U11" s="43"/>
    </row>
    <row r="12" spans="1:21" s="11" customFormat="1" ht="15">
      <c r="A12" s="53" t="s">
        <v>401</v>
      </c>
      <c r="B12" s="54">
        <v>2.31</v>
      </c>
      <c r="C12" s="54">
        <v>9.6999999999999993</v>
      </c>
      <c r="D12" s="54">
        <v>11.97</v>
      </c>
      <c r="E12" s="54">
        <v>4.30</v>
      </c>
      <c r="F12" s="54">
        <v>1.57</v>
      </c>
      <c r="G12" s="54">
        <v>5.79</v>
      </c>
      <c r="H12" s="54">
        <v>3.95</v>
      </c>
      <c r="I12" s="54">
        <v>1.82</v>
      </c>
      <c r="J12" s="54">
        <v>0.34</v>
      </c>
      <c r="K12" s="54">
        <v>30.46</v>
      </c>
      <c r="L12" s="54">
        <v>21.17</v>
      </c>
      <c r="M12" s="54">
        <v>98.79</v>
      </c>
      <c r="N12" s="54">
        <v>9.60</v>
      </c>
      <c r="O12" s="54">
        <v>0.60</v>
      </c>
      <c r="P12" s="54">
        <v>0.34</v>
      </c>
      <c r="Q12" s="54">
        <v>2.4700000000000002</v>
      </c>
      <c r="R12" s="43"/>
      <c r="S12" s="43"/>
      <c r="T12" s="43"/>
      <c r="U12" s="43"/>
    </row>
    <row r="13" spans="1:21" s="11" customFormat="1" ht="15">
      <c r="A13" s="53" t="s">
        <v>402</v>
      </c>
      <c r="B13" s="54">
        <v>2.21</v>
      </c>
      <c r="C13" s="54">
        <v>8.7799999999999994</v>
      </c>
      <c r="D13" s="54">
        <v>10.98</v>
      </c>
      <c r="E13" s="54">
        <v>5.96</v>
      </c>
      <c r="F13" s="54">
        <v>1.79</v>
      </c>
      <c r="G13" s="54">
        <v>4.6100000000000003</v>
      </c>
      <c r="H13" s="54">
        <v>3.88</v>
      </c>
      <c r="I13" s="54">
        <v>1.86</v>
      </c>
      <c r="J13" s="54">
        <v>0.30</v>
      </c>
      <c r="K13" s="54">
        <v>18.190000000000001</v>
      </c>
      <c r="L13" s="54">
        <v>20.74</v>
      </c>
      <c r="M13" s="54">
        <v>98.79</v>
      </c>
      <c r="N13" s="54">
        <v>9.60</v>
      </c>
      <c r="O13" s="54">
        <v>0.40</v>
      </c>
      <c r="P13" s="54">
        <v>0.28000000000000003</v>
      </c>
      <c r="Q13" s="54">
        <v>2.14</v>
      </c>
      <c r="R13" s="43"/>
      <c r="S13" s="43"/>
      <c r="T13" s="43"/>
      <c r="U13" s="43"/>
    </row>
    <row r="14" spans="1:21" s="11" customFormat="1" ht="15">
      <c r="A14" s="53" t="s">
        <v>403</v>
      </c>
      <c r="B14" s="54">
        <v>2.65</v>
      </c>
      <c r="C14" s="54">
        <v>9.6999999999999993</v>
      </c>
      <c r="D14" s="54">
        <v>12.14</v>
      </c>
      <c r="E14" s="54">
        <v>5.40</v>
      </c>
      <c r="F14" s="54">
        <v>1.95</v>
      </c>
      <c r="G14" s="54">
        <v>3.40</v>
      </c>
      <c r="H14" s="54">
        <v>3.71</v>
      </c>
      <c r="I14" s="54">
        <v>1.82</v>
      </c>
      <c r="J14" s="54">
        <v>0.36</v>
      </c>
      <c r="K14" s="54">
        <v>172.37</v>
      </c>
      <c r="L14" s="54">
        <v>20.78</v>
      </c>
      <c r="M14" s="54">
        <v>98.80</v>
      </c>
      <c r="N14" s="54">
        <v>10.199999999999999</v>
      </c>
      <c r="O14" s="54">
        <v>0.60</v>
      </c>
      <c r="P14" s="54">
        <v>0.30</v>
      </c>
      <c r="Q14" s="54">
        <v>3.94</v>
      </c>
      <c r="R14" s="43"/>
      <c r="S14" s="43"/>
      <c r="T14" s="43"/>
      <c r="U14" s="43"/>
    </row>
    <row r="15" spans="1:21" s="11" customFormat="1" ht="15">
      <c r="A15" s="53" t="s">
        <v>404</v>
      </c>
      <c r="B15" s="54">
        <v>3.35</v>
      </c>
      <c r="C15" s="54">
        <v>9.14</v>
      </c>
      <c r="D15" s="54">
        <v>11.91</v>
      </c>
      <c r="E15" s="54">
        <v>5.71</v>
      </c>
      <c r="F15" s="54">
        <v>1.17</v>
      </c>
      <c r="G15" s="54">
        <v>2.74</v>
      </c>
      <c r="H15" s="54">
        <v>3.71</v>
      </c>
      <c r="I15" s="54">
        <v>1.82</v>
      </c>
      <c r="J15" s="54">
        <v>1.23</v>
      </c>
      <c r="K15" s="54">
        <v>221.86</v>
      </c>
      <c r="L15" s="54">
        <v>20.89</v>
      </c>
      <c r="M15" s="54">
        <v>98.80</v>
      </c>
      <c r="N15" s="54">
        <v>70.099999999999994</v>
      </c>
      <c r="O15" s="54">
        <v>0.80</v>
      </c>
      <c r="P15" s="54">
        <v>0.28000000000000003</v>
      </c>
      <c r="Q15" s="54">
        <v>3.53</v>
      </c>
      <c r="R15" s="43"/>
      <c r="S15" s="43"/>
      <c r="T15" s="43"/>
      <c r="U15" s="43"/>
    </row>
    <row r="16" spans="1:21" s="11" customFormat="1" ht="15">
      <c r="A16" s="53" t="s">
        <v>405</v>
      </c>
      <c r="B16" s="54">
        <v>4.29</v>
      </c>
      <c r="C16" s="54">
        <v>10.71</v>
      </c>
      <c r="D16" s="54">
        <v>15</v>
      </c>
      <c r="E16" s="54">
        <v>6.17</v>
      </c>
      <c r="F16" s="54">
        <v>1.1100000000000001</v>
      </c>
      <c r="G16" s="54">
        <v>4.96</v>
      </c>
      <c r="H16" s="54">
        <v>2.87</v>
      </c>
      <c r="I16" s="54">
        <v>1.85</v>
      </c>
      <c r="J16" s="54">
        <v>1.82</v>
      </c>
      <c r="K16" s="54">
        <v>147.37</v>
      </c>
      <c r="L16" s="54">
        <v>21.51</v>
      </c>
      <c r="M16" s="54">
        <v>98.79</v>
      </c>
      <c r="N16" s="54">
        <v>75.099999999999994</v>
      </c>
      <c r="O16" s="54">
        <v>0</v>
      </c>
      <c r="P16" s="54">
        <v>0.37</v>
      </c>
      <c r="Q16" s="54">
        <v>8.11</v>
      </c>
      <c r="R16" s="43"/>
      <c r="S16" s="43"/>
      <c r="T16" s="43"/>
      <c r="U16" s="43"/>
    </row>
    <row r="17" spans="1:21" s="11" customFormat="1" ht="15">
      <c r="A17" s="53" t="s">
        <v>406</v>
      </c>
      <c r="B17" s="54">
        <v>4.79</v>
      </c>
      <c r="C17" s="54">
        <v>11.44</v>
      </c>
      <c r="D17" s="54">
        <v>16.04</v>
      </c>
      <c r="E17" s="54">
        <v>4.6500000000000004</v>
      </c>
      <c r="F17" s="54">
        <v>1.54</v>
      </c>
      <c r="G17" s="54">
        <v>6.53</v>
      </c>
      <c r="H17" s="54">
        <v>2.35</v>
      </c>
      <c r="I17" s="54">
        <v>1.87</v>
      </c>
      <c r="J17" s="54">
        <v>1.67</v>
      </c>
      <c r="K17" s="54">
        <v>156.63</v>
      </c>
      <c r="L17" s="54">
        <v>22.90</v>
      </c>
      <c r="M17" s="54">
        <v>98.80</v>
      </c>
      <c r="N17" s="54">
        <v>264.80</v>
      </c>
      <c r="O17" s="54">
        <v>0</v>
      </c>
      <c r="P17" s="54">
        <v>0.37</v>
      </c>
      <c r="Q17" s="54">
        <v>23.87</v>
      </c>
      <c r="R17" s="43"/>
      <c r="S17" s="43"/>
      <c r="T17" s="43"/>
      <c r="U17" s="43"/>
    </row>
    <row r="18" spans="1:21" s="11" customFormat="1" ht="15">
      <c r="A18" s="53" t="s">
        <v>407</v>
      </c>
      <c r="B18" s="54">
        <v>5.03</v>
      </c>
      <c r="C18" s="54">
        <v>10.29</v>
      </c>
      <c r="D18" s="54">
        <v>15.32</v>
      </c>
      <c r="E18" s="54">
        <v>4.1500000000000004</v>
      </c>
      <c r="F18" s="54">
        <v>2.02</v>
      </c>
      <c r="G18" s="54">
        <v>6.53</v>
      </c>
      <c r="H18" s="54">
        <v>3.03</v>
      </c>
      <c r="I18" s="54">
        <v>1.87</v>
      </c>
      <c r="J18" s="54">
        <v>1.1399999999999999</v>
      </c>
      <c r="K18" s="54">
        <v>166.86</v>
      </c>
      <c r="L18" s="54">
        <v>24.92</v>
      </c>
      <c r="M18" s="54">
        <v>98.73</v>
      </c>
      <c r="N18" s="54">
        <v>387.30</v>
      </c>
      <c r="O18" s="54">
        <v>0</v>
      </c>
      <c r="P18" s="54">
        <v>0.37</v>
      </c>
      <c r="Q18" s="54">
        <v>20.16</v>
      </c>
      <c r="R18" s="43"/>
      <c r="S18" s="43"/>
      <c r="T18" s="43"/>
      <c r="U18" s="43"/>
    </row>
    <row r="19" spans="1:21" s="11" customFormat="1" ht="15">
      <c r="A19" s="53" t="s">
        <v>408</v>
      </c>
      <c r="B19" s="54">
        <v>4.2699999999999996</v>
      </c>
      <c r="C19" s="54">
        <v>9.85</v>
      </c>
      <c r="D19" s="54">
        <v>13.86</v>
      </c>
      <c r="E19" s="54">
        <v>4.24</v>
      </c>
      <c r="F19" s="54">
        <v>2.59</v>
      </c>
      <c r="G19" s="54">
        <v>9.58</v>
      </c>
      <c r="H19" s="54">
        <v>4.9400000000000004</v>
      </c>
      <c r="I19" s="54">
        <v>1.79</v>
      </c>
      <c r="J19" s="54">
        <v>0.60</v>
      </c>
      <c r="K19" s="54">
        <v>173.85</v>
      </c>
      <c r="L19" s="54">
        <v>24.95</v>
      </c>
      <c r="M19" s="54">
        <v>96.25</v>
      </c>
      <c r="N19" s="57" t="s">
        <v>8</v>
      </c>
      <c r="O19" s="54">
        <v>0</v>
      </c>
      <c r="P19" s="54">
        <v>0.37</v>
      </c>
      <c r="Q19" s="54">
        <v>16.62</v>
      </c>
      <c r="R19" s="43"/>
      <c r="S19" s="43"/>
      <c r="T19" s="43"/>
      <c r="U19" s="43"/>
    </row>
    <row r="20" spans="1:21" s="11" customFormat="1" ht="15">
      <c r="A20" s="53" t="s">
        <v>409</v>
      </c>
      <c r="B20" s="54">
        <v>3.08</v>
      </c>
      <c r="C20" s="54">
        <v>10.52</v>
      </c>
      <c r="D20" s="54">
        <v>13.49</v>
      </c>
      <c r="E20" s="54">
        <v>3.93</v>
      </c>
      <c r="F20" s="54">
        <v>2.83</v>
      </c>
      <c r="G20" s="54">
        <v>11.92</v>
      </c>
      <c r="H20" s="54">
        <v>4.9400000000000004</v>
      </c>
      <c r="I20" s="54">
        <v>1.81</v>
      </c>
      <c r="J20" s="54">
        <v>1.04</v>
      </c>
      <c r="K20" s="54">
        <v>177.26</v>
      </c>
      <c r="L20" s="54">
        <v>25.69</v>
      </c>
      <c r="M20" s="54">
        <v>91.11</v>
      </c>
      <c r="N20" s="57" t="s">
        <v>8</v>
      </c>
      <c r="O20" s="54">
        <v>0</v>
      </c>
      <c r="P20" s="54">
        <v>0.35</v>
      </c>
      <c r="Q20" s="54">
        <v>24.21</v>
      </c>
      <c r="R20" s="43"/>
      <c r="S20" s="43"/>
      <c r="T20" s="43"/>
      <c r="U20" s="43"/>
    </row>
    <row r="21" spans="1:21" s="11" customFormat="1" ht="15">
      <c r="A21" s="53" t="s">
        <v>410</v>
      </c>
      <c r="B21" s="54">
        <v>2.93</v>
      </c>
      <c r="C21" s="54">
        <v>10.16</v>
      </c>
      <c r="D21" s="54">
        <v>13</v>
      </c>
      <c r="E21" s="54">
        <v>4.5599999999999996</v>
      </c>
      <c r="F21" s="54">
        <v>2.3199999999999998</v>
      </c>
      <c r="G21" s="54">
        <v>11.92</v>
      </c>
      <c r="H21" s="54">
        <v>3.48</v>
      </c>
      <c r="I21" s="54">
        <v>1.84</v>
      </c>
      <c r="J21" s="54">
        <v>0.46</v>
      </c>
      <c r="K21" s="54">
        <v>174.07</v>
      </c>
      <c r="L21" s="54">
        <v>25.45</v>
      </c>
      <c r="M21" s="54">
        <v>92.66</v>
      </c>
      <c r="N21" s="57" t="s">
        <v>8</v>
      </c>
      <c r="O21" s="54">
        <v>0</v>
      </c>
      <c r="P21" s="54">
        <v>0.34</v>
      </c>
      <c r="Q21" s="54">
        <v>21.10</v>
      </c>
      <c r="R21" s="43"/>
      <c r="S21" s="43"/>
      <c r="T21" s="43"/>
      <c r="U21" s="43"/>
    </row>
    <row r="22" spans="1:21" s="11" customFormat="1" ht="15">
      <c r="A22" s="53" t="s">
        <v>411</v>
      </c>
      <c r="B22" s="54">
        <v>2.85</v>
      </c>
      <c r="C22" s="54">
        <v>9.9499999999999993</v>
      </c>
      <c r="D22" s="54">
        <v>12.80</v>
      </c>
      <c r="E22" s="54">
        <v>4.6100000000000003</v>
      </c>
      <c r="F22" s="54">
        <v>3.27</v>
      </c>
      <c r="G22" s="54">
        <v>12.27</v>
      </c>
      <c r="H22" s="54">
        <v>2.5299999999999998</v>
      </c>
      <c r="I22" s="54">
        <v>1.84</v>
      </c>
      <c r="J22" s="54">
        <v>0.69</v>
      </c>
      <c r="K22" s="54">
        <v>196.76</v>
      </c>
      <c r="L22" s="54">
        <v>25.11</v>
      </c>
      <c r="M22" s="54">
        <v>91.21</v>
      </c>
      <c r="N22" s="57" t="s">
        <v>8</v>
      </c>
      <c r="O22" s="54">
        <v>0</v>
      </c>
      <c r="P22" s="54">
        <v>0.28999999999999998</v>
      </c>
      <c r="Q22" s="54">
        <v>25.69</v>
      </c>
      <c r="R22" s="43"/>
      <c r="S22" s="43"/>
      <c r="T22" s="43"/>
      <c r="U22" s="43"/>
    </row>
    <row r="23" spans="1:21" s="11" customFormat="1" ht="15">
      <c r="A23" s="53" t="s">
        <v>412</v>
      </c>
      <c r="B23" s="54">
        <v>2.88</v>
      </c>
      <c r="C23" s="54">
        <v>10.45</v>
      </c>
      <c r="D23" s="54">
        <v>13.33</v>
      </c>
      <c r="E23" s="54">
        <v>4.87</v>
      </c>
      <c r="F23" s="54">
        <v>3</v>
      </c>
      <c r="G23" s="54">
        <v>12.27</v>
      </c>
      <c r="H23" s="54">
        <v>2.72</v>
      </c>
      <c r="I23" s="54">
        <v>1.78</v>
      </c>
      <c r="J23" s="54">
        <v>0.47</v>
      </c>
      <c r="K23" s="54">
        <v>184.01</v>
      </c>
      <c r="L23" s="54">
        <v>24.87</v>
      </c>
      <c r="M23" s="54">
        <v>93.29</v>
      </c>
      <c r="N23" s="57" t="s">
        <v>8</v>
      </c>
      <c r="O23" s="54">
        <v>0</v>
      </c>
      <c r="P23" s="54">
        <v>0.28000000000000003</v>
      </c>
      <c r="Q23" s="54">
        <v>18.89</v>
      </c>
      <c r="R23" s="43"/>
      <c r="S23" s="43"/>
      <c r="T23" s="43"/>
      <c r="U23" s="43"/>
    </row>
    <row r="24" spans="1:21" s="11" customFormat="1" ht="15">
      <c r="A24" s="53" t="s">
        <v>413</v>
      </c>
      <c r="B24" s="54">
        <v>2.94</v>
      </c>
      <c r="C24" s="54">
        <v>10.79</v>
      </c>
      <c r="D24" s="54">
        <v>13.73</v>
      </c>
      <c r="E24" s="54">
        <v>4.8099999999999996</v>
      </c>
      <c r="F24" s="54">
        <v>2.97</v>
      </c>
      <c r="G24" s="54">
        <v>10.06</v>
      </c>
      <c r="H24" s="54">
        <v>4.83</v>
      </c>
      <c r="I24" s="54">
        <v>1.83</v>
      </c>
      <c r="J24" s="54">
        <v>0.38</v>
      </c>
      <c r="K24" s="54">
        <v>181.48</v>
      </c>
      <c r="L24" s="54">
        <v>24.45</v>
      </c>
      <c r="M24" s="54">
        <v>94.37</v>
      </c>
      <c r="N24" s="57" t="s">
        <v>8</v>
      </c>
      <c r="O24" s="54">
        <v>0</v>
      </c>
      <c r="P24" s="54">
        <v>0.28000000000000003</v>
      </c>
      <c r="Q24" s="54">
        <v>5.16</v>
      </c>
      <c r="R24" s="43"/>
      <c r="S24" s="43"/>
      <c r="T24" s="43"/>
      <c r="U24" s="43"/>
    </row>
    <row r="25" spans="1:21" s="11" customFormat="1" ht="15">
      <c r="A25" s="53" t="s">
        <v>414</v>
      </c>
      <c r="B25" s="54">
        <v>2.73</v>
      </c>
      <c r="C25" s="54">
        <v>11.03</v>
      </c>
      <c r="D25" s="54">
        <v>13.76</v>
      </c>
      <c r="E25" s="54">
        <v>4.8899999999999997</v>
      </c>
      <c r="F25" s="54">
        <v>2.64</v>
      </c>
      <c r="G25" s="54">
        <v>14.89</v>
      </c>
      <c r="H25" s="54">
        <v>5.66</v>
      </c>
      <c r="I25" s="54">
        <v>1.83</v>
      </c>
      <c r="J25" s="54">
        <v>0.99</v>
      </c>
      <c r="K25" s="54">
        <v>208.15</v>
      </c>
      <c r="L25" s="54">
        <v>23.79</v>
      </c>
      <c r="M25" s="54">
        <v>98.23</v>
      </c>
      <c r="N25" s="54">
        <v>0.40</v>
      </c>
      <c r="O25" s="54">
        <v>0</v>
      </c>
      <c r="P25" s="54">
        <v>0.28000000000000003</v>
      </c>
      <c r="Q25" s="54">
        <v>3.58</v>
      </c>
      <c r="R25" s="43"/>
      <c r="S25" s="43"/>
      <c r="T25" s="43"/>
      <c r="U25" s="43"/>
    </row>
    <row r="26" spans="1:21" s="11" customFormat="1" ht="15">
      <c r="A26" s="53" t="s">
        <v>415</v>
      </c>
      <c r="B26" s="54">
        <v>4.03</v>
      </c>
      <c r="C26" s="54">
        <v>12.08</v>
      </c>
      <c r="D26" s="54">
        <v>16.059999999999999</v>
      </c>
      <c r="E26" s="54">
        <v>4.70</v>
      </c>
      <c r="F26" s="54">
        <v>2.2200000000000002</v>
      </c>
      <c r="G26" s="54">
        <v>15.39</v>
      </c>
      <c r="H26" s="54">
        <v>7.21</v>
      </c>
      <c r="I26" s="54">
        <v>1.87</v>
      </c>
      <c r="J26" s="54">
        <v>1.1100000000000001</v>
      </c>
      <c r="K26" s="54">
        <v>165.12</v>
      </c>
      <c r="L26" s="54">
        <v>23.37</v>
      </c>
      <c r="M26" s="54">
        <v>98.73</v>
      </c>
      <c r="N26" s="54">
        <v>9.10</v>
      </c>
      <c r="O26" s="54">
        <v>0</v>
      </c>
      <c r="P26" s="54">
        <v>0.28999999999999998</v>
      </c>
      <c r="Q26" s="54">
        <v>4.0599999999999996</v>
      </c>
      <c r="R26" s="43"/>
      <c r="S26" s="43"/>
      <c r="T26" s="43"/>
      <c r="U26" s="43"/>
    </row>
    <row r="27" spans="1:21" s="11" customFormat="1" ht="15">
      <c r="A27" s="53" t="s">
        <v>416</v>
      </c>
      <c r="B27" s="54">
        <v>4.42</v>
      </c>
      <c r="C27" s="54">
        <v>10.80</v>
      </c>
      <c r="D27" s="54">
        <v>14.78</v>
      </c>
      <c r="E27" s="54">
        <v>4.5599999999999996</v>
      </c>
      <c r="F27" s="54">
        <v>1.77</v>
      </c>
      <c r="G27" s="54">
        <v>15.39</v>
      </c>
      <c r="H27" s="54">
        <v>7.21</v>
      </c>
      <c r="I27" s="54">
        <v>1.85</v>
      </c>
      <c r="J27" s="54">
        <v>1.20</v>
      </c>
      <c r="K27" s="54">
        <v>167.86</v>
      </c>
      <c r="L27" s="54">
        <v>23.20</v>
      </c>
      <c r="M27" s="54">
        <v>98.73</v>
      </c>
      <c r="N27" s="54">
        <v>9.5</v>
      </c>
      <c r="O27" s="54">
        <v>0</v>
      </c>
      <c r="P27" s="54">
        <v>0.32</v>
      </c>
      <c r="Q27" s="54">
        <v>7.48</v>
      </c>
      <c r="R27" s="43"/>
      <c r="S27" s="43"/>
      <c r="T27" s="43"/>
      <c r="U27" s="43"/>
    </row>
    <row r="28" spans="1:21" s="11" customFormat="1" ht="15">
      <c r="A28" s="53" t="s">
        <v>417</v>
      </c>
      <c r="B28" s="54">
        <v>5.24</v>
      </c>
      <c r="C28" s="54">
        <v>10.73</v>
      </c>
      <c r="D28" s="54">
        <v>15.88</v>
      </c>
      <c r="E28" s="54">
        <v>4.9800000000000004</v>
      </c>
      <c r="F28" s="54">
        <v>2.5499999999999998</v>
      </c>
      <c r="G28" s="54">
        <v>15.89</v>
      </c>
      <c r="H28" s="54">
        <v>8.07</v>
      </c>
      <c r="I28" s="54">
        <v>1.81</v>
      </c>
      <c r="J28" s="54">
        <v>1.08</v>
      </c>
      <c r="K28" s="54">
        <v>151.12</v>
      </c>
      <c r="L28" s="54">
        <v>23.12</v>
      </c>
      <c r="M28" s="54">
        <v>98.73</v>
      </c>
      <c r="N28" s="54">
        <v>9.1999999999999993</v>
      </c>
      <c r="O28" s="54">
        <v>0</v>
      </c>
      <c r="P28" s="54">
        <v>0.30</v>
      </c>
      <c r="Q28" s="54">
        <v>8.09</v>
      </c>
      <c r="R28" s="43"/>
      <c r="S28" s="43"/>
      <c r="T28" s="43"/>
      <c r="U28" s="43"/>
    </row>
    <row r="29" spans="1:21" s="11" customFormat="1" ht="15">
      <c r="A29" s="53" t="s">
        <v>418</v>
      </c>
      <c r="B29" s="54">
        <v>5.23</v>
      </c>
      <c r="C29" s="54">
        <v>10.80</v>
      </c>
      <c r="D29" s="54">
        <v>15.97</v>
      </c>
      <c r="E29" s="54">
        <v>4.83</v>
      </c>
      <c r="F29" s="54">
        <v>1.97</v>
      </c>
      <c r="G29" s="54">
        <v>17.72</v>
      </c>
      <c r="H29" s="54">
        <v>10.56</v>
      </c>
      <c r="I29" s="54">
        <v>1.86</v>
      </c>
      <c r="J29" s="54">
        <v>1.37</v>
      </c>
      <c r="K29" s="54">
        <v>154.32</v>
      </c>
      <c r="L29" s="54">
        <v>22.84</v>
      </c>
      <c r="M29" s="54">
        <v>98.73</v>
      </c>
      <c r="N29" s="54">
        <v>9.40</v>
      </c>
      <c r="O29" s="54">
        <v>0</v>
      </c>
      <c r="P29" s="54">
        <v>0.30</v>
      </c>
      <c r="Q29" s="54">
        <v>10.76</v>
      </c>
      <c r="R29" s="43"/>
      <c r="S29" s="43"/>
      <c r="T29" s="43"/>
      <c r="U29" s="43"/>
    </row>
    <row r="30" spans="1:21" s="11" customFormat="1" ht="15">
      <c r="A30" s="53" t="s">
        <v>419</v>
      </c>
      <c r="B30" s="54">
        <v>5.0599999999999996</v>
      </c>
      <c r="C30" s="54">
        <v>9.7100000000000009</v>
      </c>
      <c r="D30" s="54">
        <v>14.66</v>
      </c>
      <c r="E30" s="54">
        <v>4.7699999999999996</v>
      </c>
      <c r="F30" s="54">
        <v>1.69</v>
      </c>
      <c r="G30" s="54">
        <v>17.72</v>
      </c>
      <c r="H30" s="54">
        <v>10.56</v>
      </c>
      <c r="I30" s="54">
        <v>1.81</v>
      </c>
      <c r="J30" s="54">
        <v>1.1200000000000001</v>
      </c>
      <c r="K30" s="54">
        <v>150.63999999999999</v>
      </c>
      <c r="L30" s="54">
        <v>22.37</v>
      </c>
      <c r="M30" s="54">
        <v>98.75</v>
      </c>
      <c r="N30" s="54">
        <v>9.3000000000000007</v>
      </c>
      <c r="O30" s="54">
        <v>0</v>
      </c>
      <c r="P30" s="54">
        <v>0.31</v>
      </c>
      <c r="Q30" s="54">
        <v>11.58</v>
      </c>
      <c r="R30" s="43"/>
      <c r="S30" s="43"/>
      <c r="T30" s="43"/>
      <c r="U30" s="43"/>
    </row>
    <row r="31" spans="1:21" s="11" customFormat="1" ht="15">
      <c r="A31" s="53" t="s">
        <v>420</v>
      </c>
      <c r="B31" s="54">
        <v>4.8600000000000003</v>
      </c>
      <c r="C31" s="54">
        <v>9.57</v>
      </c>
      <c r="D31" s="54">
        <v>14.43</v>
      </c>
      <c r="E31" s="54">
        <v>4.70</v>
      </c>
      <c r="F31" s="54">
        <v>2.56</v>
      </c>
      <c r="G31" s="54">
        <v>14.06</v>
      </c>
      <c r="H31" s="54">
        <v>7.43</v>
      </c>
      <c r="I31" s="54">
        <v>1.79</v>
      </c>
      <c r="J31" s="54">
        <v>0.84</v>
      </c>
      <c r="K31" s="54">
        <v>168.25</v>
      </c>
      <c r="L31" s="54">
        <v>22.37</v>
      </c>
      <c r="M31" s="54">
        <v>98.75</v>
      </c>
      <c r="N31" s="54">
        <v>9.10</v>
      </c>
      <c r="O31" s="54">
        <v>0</v>
      </c>
      <c r="P31" s="54">
        <v>0.30</v>
      </c>
      <c r="Q31" s="54">
        <v>10.96</v>
      </c>
      <c r="R31" s="43"/>
      <c r="S31" s="43"/>
      <c r="T31" s="43"/>
      <c r="U31" s="43"/>
    </row>
    <row r="32" spans="1:21" s="11" customFormat="1" ht="15">
      <c r="A32" s="53" t="s">
        <v>421</v>
      </c>
      <c r="B32" s="54">
        <v>4.18</v>
      </c>
      <c r="C32" s="54">
        <v>9.89</v>
      </c>
      <c r="D32" s="54">
        <v>14.07</v>
      </c>
      <c r="E32" s="54">
        <v>4.9400000000000004</v>
      </c>
      <c r="F32" s="54">
        <v>1.98</v>
      </c>
      <c r="G32" s="54">
        <v>13.15</v>
      </c>
      <c r="H32" s="54">
        <v>6.17</v>
      </c>
      <c r="I32" s="54">
        <v>1.90</v>
      </c>
      <c r="J32" s="54">
        <v>0.41</v>
      </c>
      <c r="K32" s="54">
        <v>178.32</v>
      </c>
      <c r="L32" s="54">
        <v>22.40</v>
      </c>
      <c r="M32" s="54">
        <v>98.75</v>
      </c>
      <c r="N32" s="54">
        <v>9.10</v>
      </c>
      <c r="O32" s="54">
        <v>0</v>
      </c>
      <c r="P32" s="54">
        <v>0.28999999999999998</v>
      </c>
      <c r="Q32" s="54">
        <v>8.1199999999999992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2.21</v>
      </c>
      <c r="C34" s="28">
        <f t="shared" si="0"/>
        <v>8.7799999999999994</v>
      </c>
      <c r="D34" s="28">
        <f t="shared" si="0"/>
        <v>10.98</v>
      </c>
      <c r="E34" s="28">
        <f t="shared" si="0"/>
        <v>3.4399999999999999</v>
      </c>
      <c r="F34" s="28">
        <f t="shared" si="0"/>
        <v>1.01</v>
      </c>
      <c r="G34" s="28">
        <f t="shared" si="0"/>
        <v>2.7400000000000002</v>
      </c>
      <c r="H34" s="28">
        <f t="shared" si="0"/>
        <v>2.3500000000000001</v>
      </c>
      <c r="I34" s="28">
        <f t="shared" si="0"/>
        <v>1.78</v>
      </c>
      <c r="J34" s="28">
        <f t="shared" si="0"/>
        <v>0.29999999999999999</v>
      </c>
      <c r="K34" s="28">
        <f t="shared" si="0"/>
        <v>18.190000000000001</v>
      </c>
      <c r="L34" s="28">
        <f t="shared" si="0"/>
        <v>20.739999999999998</v>
      </c>
      <c r="M34" s="28">
        <f t="shared" si="0"/>
        <v>91.109999999999999</v>
      </c>
      <c r="N34" s="28">
        <f t="shared" si="0"/>
        <v>0.40000000000000002</v>
      </c>
      <c r="O34" s="28">
        <f t="shared" si="0"/>
        <v>0</v>
      </c>
      <c r="P34" s="28">
        <f t="shared" si="0"/>
        <v>0.28000000000000003</v>
      </c>
      <c r="Q34" s="28">
        <f t="shared" si="0"/>
        <v>2.1400000000000001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5.2400000000000002</v>
      </c>
      <c r="C35" s="29">
        <f t="shared" si="1"/>
        <v>12.33</v>
      </c>
      <c r="D35" s="29">
        <f t="shared" si="1"/>
        <v>16.059999999999999</v>
      </c>
      <c r="E35" s="29">
        <f t="shared" si="1"/>
        <v>6.1699999999999999</v>
      </c>
      <c r="F35" s="29">
        <f t="shared" si="1"/>
        <v>3.27</v>
      </c>
      <c r="G35" s="29">
        <f t="shared" si="1"/>
        <v>17.719999999999999</v>
      </c>
      <c r="H35" s="29">
        <f t="shared" si="1"/>
        <v>10.56</v>
      </c>
      <c r="I35" s="29">
        <f t="shared" si="1"/>
        <v>1.8999999999999999</v>
      </c>
      <c r="J35" s="29">
        <f t="shared" si="1"/>
        <v>1.8200000000000001</v>
      </c>
      <c r="K35" s="29">
        <f t="shared" si="1"/>
        <v>357.92000000000002</v>
      </c>
      <c r="L35" s="29">
        <f t="shared" si="1"/>
        <v>25.690000000000001</v>
      </c>
      <c r="M35" s="29">
        <f t="shared" si="1"/>
        <v>98.799999999999997</v>
      </c>
      <c r="N35" s="29">
        <f t="shared" si="1"/>
        <v>387.30000000000001</v>
      </c>
      <c r="O35" s="29">
        <f t="shared" si="1"/>
        <v>3.2000000000000002</v>
      </c>
      <c r="P35" s="29">
        <f t="shared" si="1"/>
        <v>0.68000000000000005</v>
      </c>
      <c r="Q35" s="29">
        <f t="shared" si="1"/>
        <v>25.690000000000001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3.6758333333333333</v>
      </c>
      <c r="C36" s="28">
        <f t="shared" si="2"/>
        <v>10.317500000000001</v>
      </c>
      <c r="D36" s="28">
        <f t="shared" si="2"/>
        <v>13.893333333333333</v>
      </c>
      <c r="E36" s="28">
        <f t="shared" si="2"/>
        <v>4.7062500000000007</v>
      </c>
      <c r="F36" s="28">
        <f t="shared" si="2"/>
        <v>2.0808333333333331</v>
      </c>
      <c r="G36" s="28">
        <f t="shared" si="2"/>
        <v>10.772916666666662</v>
      </c>
      <c r="H36" s="28">
        <f t="shared" si="2"/>
        <v>5.4366666666666665</v>
      </c>
      <c r="I36" s="28">
        <f t="shared" si="2"/>
        <v>1.835</v>
      </c>
      <c r="J36" s="28">
        <f t="shared" si="2"/>
        <v>0.84333333333333338</v>
      </c>
      <c r="K36" s="28">
        <f t="shared" si="2"/>
        <v>182.79333333333338</v>
      </c>
      <c r="L36" s="28">
        <f t="shared" si="2"/>
        <v>22.977083333333329</v>
      </c>
      <c r="M36" s="28">
        <f t="shared" si="2"/>
        <v>97.339166666666657</v>
      </c>
      <c r="N36" s="28">
        <f t="shared" si="2"/>
        <v>51.144444444444446</v>
      </c>
      <c r="O36" s="28">
        <f t="shared" si="2"/>
        <v>0.37500000000000006</v>
      </c>
      <c r="P36" s="28">
        <f t="shared" si="2"/>
        <v>0.34208333333333329</v>
      </c>
      <c r="Q36" s="28">
        <f t="shared" si="2"/>
        <v>10.647916666666667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1.0229408443377812</v>
      </c>
      <c r="C37" s="28">
        <f t="shared" si="3" ref="C37:Q37">STDEV(C9:C32)</f>
        <v>0.8720054347656726</v>
      </c>
      <c r="D37" s="28">
        <f t="shared" si="3"/>
        <v>1.5563074097437168</v>
      </c>
      <c r="E37" s="28">
        <f t="shared" si="3"/>
        <v>0.64972109400880018</v>
      </c>
      <c r="F37" s="28">
        <f t="shared" si="3"/>
        <v>0.62043404629106436</v>
      </c>
      <c r="G37" s="28">
        <f t="shared" si="3"/>
        <v>4.5802187902617444</v>
      </c>
      <c r="H37" s="28">
        <f t="shared" si="3"/>
        <v>2.4037066786738874</v>
      </c>
      <c r="I37" s="28">
        <f t="shared" si="3"/>
        <v>0.029635466413829522</v>
      </c>
      <c r="J37" s="28">
        <f t="shared" si="3"/>
        <v>0.43854172045508977</v>
      </c>
      <c r="K37" s="28">
        <f t="shared" si="3"/>
        <v>78.082335232511483</v>
      </c>
      <c r="L37" s="28">
        <f t="shared" si="3"/>
        <v>1.6078894596621851</v>
      </c>
      <c r="M37" s="28">
        <f t="shared" si="3"/>
        <v>2.6381200761587573</v>
      </c>
      <c r="N37" s="28">
        <f t="shared" si="3"/>
        <v>104.24912030788231</v>
      </c>
      <c r="O37" s="28">
        <f t="shared" si="3"/>
        <v>0.79850403609009635</v>
      </c>
      <c r="P37" s="28">
        <f t="shared" si="3"/>
        <v>0.089538875048369451</v>
      </c>
      <c r="Q37" s="28">
        <f t="shared" si="3"/>
        <v>7.7424279863094867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>COUNT(N9:N32)+6</f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c6b1863-0076-48ae-bb27-9cb90e2cf18a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Q39" sqref="Q3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16-09-2023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8"/>
      <c r="B8" s="59" t="s">
        <v>22</v>
      </c>
      <c r="C8" s="59" t="s">
        <v>22</v>
      </c>
      <c r="D8" s="29" t="s">
        <v>61</v>
      </c>
      <c r="E8" s="59" t="s">
        <v>22</v>
      </c>
      <c r="F8" s="59" t="s">
        <v>22</v>
      </c>
      <c r="G8" s="59" t="s">
        <v>23</v>
      </c>
      <c r="H8" s="59" t="s">
        <v>22</v>
      </c>
      <c r="I8" s="59" t="s">
        <v>22</v>
      </c>
      <c r="J8" s="59" t="s">
        <v>24</v>
      </c>
      <c r="K8" s="59" t="s">
        <v>25</v>
      </c>
      <c r="L8" s="58" t="s">
        <v>27</v>
      </c>
      <c r="M8" s="59" t="s">
        <v>26</v>
      </c>
      <c r="N8" s="59" t="s">
        <v>28</v>
      </c>
      <c r="O8" s="58" t="s">
        <v>29</v>
      </c>
      <c r="P8" s="59" t="s">
        <v>22</v>
      </c>
      <c r="Q8" s="59" t="s">
        <v>22</v>
      </c>
      <c r="R8" s="27"/>
      <c r="S8" s="29"/>
      <c r="T8" s="27"/>
      <c r="U8" s="27"/>
    </row>
    <row r="9" spans="1:21" s="11" customFormat="1" ht="15">
      <c r="A9" s="53" t="s">
        <v>422</v>
      </c>
      <c r="B9" s="54">
        <v>3.58</v>
      </c>
      <c r="C9" s="54">
        <v>8.3000000000000007</v>
      </c>
      <c r="D9" s="54">
        <v>11.88</v>
      </c>
      <c r="E9" s="54">
        <v>4.6399999999999997</v>
      </c>
      <c r="F9" s="54">
        <v>1.47</v>
      </c>
      <c r="G9" s="54">
        <v>16.28</v>
      </c>
      <c r="H9" s="54">
        <v>6.17</v>
      </c>
      <c r="I9" s="54">
        <v>1.85</v>
      </c>
      <c r="J9" s="54">
        <v>1.30</v>
      </c>
      <c r="K9" s="54">
        <v>148.72</v>
      </c>
      <c r="L9" s="54">
        <v>22.45</v>
      </c>
      <c r="M9" s="54">
        <v>98.75</v>
      </c>
      <c r="N9" s="8" t="s">
        <v>8</v>
      </c>
      <c r="O9" s="54">
        <v>0</v>
      </c>
      <c r="P9" s="54">
        <v>0.27</v>
      </c>
      <c r="Q9" s="54">
        <v>6.73</v>
      </c>
      <c r="R9" s="43"/>
      <c r="S9" s="43"/>
      <c r="T9" s="43"/>
      <c r="U9" s="43"/>
    </row>
    <row r="10" spans="1:21" s="11" customFormat="1" ht="15">
      <c r="A10" s="53" t="s">
        <v>423</v>
      </c>
      <c r="B10" s="54">
        <v>3.40</v>
      </c>
      <c r="C10" s="54">
        <v>8.01</v>
      </c>
      <c r="D10" s="54">
        <v>11.26</v>
      </c>
      <c r="E10" s="54">
        <v>4.6100000000000003</v>
      </c>
      <c r="F10" s="54">
        <v>2.5</v>
      </c>
      <c r="G10" s="54">
        <v>16.28</v>
      </c>
      <c r="H10" s="54">
        <v>7.55</v>
      </c>
      <c r="I10" s="54">
        <v>1.85</v>
      </c>
      <c r="J10" s="54">
        <v>1.08</v>
      </c>
      <c r="K10" s="54">
        <v>155.91</v>
      </c>
      <c r="L10" s="54">
        <v>22.42</v>
      </c>
      <c r="M10" s="54">
        <v>98.75</v>
      </c>
      <c r="N10" s="54">
        <v>1.40</v>
      </c>
      <c r="O10" s="54">
        <v>0</v>
      </c>
      <c r="P10" s="54">
        <v>0.28999999999999998</v>
      </c>
      <c r="Q10" s="54">
        <v>23.33</v>
      </c>
      <c r="R10" s="43"/>
      <c r="S10" s="43"/>
      <c r="T10" s="43"/>
      <c r="U10" s="43"/>
    </row>
    <row r="11" spans="1:21" s="11" customFormat="1" ht="15">
      <c r="A11" s="53" t="s">
        <v>424</v>
      </c>
      <c r="B11" s="54">
        <v>3.51</v>
      </c>
      <c r="C11" s="54">
        <v>7.96</v>
      </c>
      <c r="D11" s="54">
        <v>11.30</v>
      </c>
      <c r="E11" s="54">
        <v>4.78</v>
      </c>
      <c r="F11" s="54">
        <v>2.1800000000000002</v>
      </c>
      <c r="G11" s="54">
        <v>13.87</v>
      </c>
      <c r="H11" s="54">
        <v>7.55</v>
      </c>
      <c r="I11" s="54">
        <v>1.87</v>
      </c>
      <c r="J11" s="54">
        <v>0.95</v>
      </c>
      <c r="K11" s="54">
        <v>147.85</v>
      </c>
      <c r="L11" s="54">
        <v>22.41</v>
      </c>
      <c r="M11" s="54">
        <v>98.75</v>
      </c>
      <c r="N11" s="54">
        <v>9.1999999999999993</v>
      </c>
      <c r="O11" s="54">
        <v>0</v>
      </c>
      <c r="P11" s="54">
        <v>0.28000000000000003</v>
      </c>
      <c r="Q11" s="54">
        <v>16.29</v>
      </c>
      <c r="R11" s="43"/>
      <c r="S11" s="43"/>
      <c r="T11" s="43"/>
      <c r="U11" s="43"/>
    </row>
    <row r="12" spans="1:21" s="11" customFormat="1" ht="15">
      <c r="A12" s="53" t="s">
        <v>425</v>
      </c>
      <c r="B12" s="54">
        <v>3.53</v>
      </c>
      <c r="C12" s="54">
        <v>6.93</v>
      </c>
      <c r="D12" s="54">
        <v>10.39</v>
      </c>
      <c r="E12" s="54">
        <v>4.5999999999999996</v>
      </c>
      <c r="F12" s="54">
        <v>1.31</v>
      </c>
      <c r="G12" s="54">
        <v>12.80</v>
      </c>
      <c r="H12" s="54">
        <v>9.02</v>
      </c>
      <c r="I12" s="54">
        <v>1.80</v>
      </c>
      <c r="J12" s="54">
        <v>1</v>
      </c>
      <c r="K12" s="54">
        <v>151.26</v>
      </c>
      <c r="L12" s="54">
        <v>22.36</v>
      </c>
      <c r="M12" s="54">
        <v>98.75</v>
      </c>
      <c r="N12" s="54">
        <v>9.40</v>
      </c>
      <c r="O12" s="54">
        <v>0</v>
      </c>
      <c r="P12" s="54">
        <v>0.28000000000000003</v>
      </c>
      <c r="Q12" s="54">
        <v>4.72</v>
      </c>
      <c r="R12" s="43"/>
      <c r="S12" s="43"/>
      <c r="T12" s="43"/>
      <c r="U12" s="43"/>
    </row>
    <row r="13" spans="1:21" s="11" customFormat="1" ht="15">
      <c r="A13" s="53" t="s">
        <v>426</v>
      </c>
      <c r="B13" s="54">
        <v>3.59</v>
      </c>
      <c r="C13" s="54">
        <v>8.25</v>
      </c>
      <c r="D13" s="54">
        <v>11.85</v>
      </c>
      <c r="E13" s="54">
        <v>4.51</v>
      </c>
      <c r="F13" s="54">
        <v>2.27</v>
      </c>
      <c r="G13" s="54">
        <v>12.80</v>
      </c>
      <c r="H13" s="54">
        <v>9.02</v>
      </c>
      <c r="I13" s="54">
        <v>1.85</v>
      </c>
      <c r="J13" s="54">
        <v>1.1100000000000001</v>
      </c>
      <c r="K13" s="54">
        <v>153.69999999999999</v>
      </c>
      <c r="L13" s="54">
        <v>22.31</v>
      </c>
      <c r="M13" s="54">
        <v>98.73</v>
      </c>
      <c r="N13" s="54">
        <v>9.40</v>
      </c>
      <c r="O13" s="54">
        <v>0</v>
      </c>
      <c r="P13" s="54">
        <v>0.26</v>
      </c>
      <c r="Q13" s="54">
        <v>4.97</v>
      </c>
      <c r="R13" s="43"/>
      <c r="S13" s="43"/>
      <c r="T13" s="43"/>
      <c r="U13" s="43"/>
    </row>
    <row r="14" spans="1:21" s="11" customFormat="1" ht="15">
      <c r="A14" s="53" t="s">
        <v>427</v>
      </c>
      <c r="B14" s="54">
        <v>6.62</v>
      </c>
      <c r="C14" s="54">
        <v>8.5500000000000007</v>
      </c>
      <c r="D14" s="54">
        <v>14.63</v>
      </c>
      <c r="E14" s="54">
        <v>5.22</v>
      </c>
      <c r="F14" s="54">
        <v>2.56</v>
      </c>
      <c r="G14" s="54">
        <v>14.44</v>
      </c>
      <c r="H14" s="54">
        <v>8.2899999999999991</v>
      </c>
      <c r="I14" s="54">
        <v>1.88</v>
      </c>
      <c r="J14" s="54">
        <v>0.86</v>
      </c>
      <c r="K14" s="54">
        <v>149.72</v>
      </c>
      <c r="L14" s="54">
        <v>22.34</v>
      </c>
      <c r="M14" s="54">
        <v>98.73</v>
      </c>
      <c r="N14" s="54">
        <v>12.40</v>
      </c>
      <c r="O14" s="54">
        <v>0</v>
      </c>
      <c r="P14" s="54">
        <v>0.26</v>
      </c>
      <c r="Q14" s="54">
        <v>5.31</v>
      </c>
      <c r="R14" s="43"/>
      <c r="S14" s="43"/>
      <c r="T14" s="43"/>
      <c r="U14" s="43"/>
    </row>
    <row r="15" spans="1:21" s="11" customFormat="1" ht="15">
      <c r="A15" s="53" t="s">
        <v>428</v>
      </c>
      <c r="B15" s="54">
        <v>5.86</v>
      </c>
      <c r="C15" s="54">
        <v>8.8699999999999992</v>
      </c>
      <c r="D15" s="54">
        <v>14.73</v>
      </c>
      <c r="E15" s="54">
        <v>4.8499999999999996</v>
      </c>
      <c r="F15" s="54">
        <v>1.22</v>
      </c>
      <c r="G15" s="54">
        <v>14.44</v>
      </c>
      <c r="H15" s="54">
        <v>10.16</v>
      </c>
      <c r="I15" s="54">
        <v>1.83</v>
      </c>
      <c r="J15" s="54">
        <v>0.95</v>
      </c>
      <c r="K15" s="54">
        <v>149.55000000000001</v>
      </c>
      <c r="L15" s="54">
        <v>22.53</v>
      </c>
      <c r="M15" s="54">
        <v>98.73</v>
      </c>
      <c r="N15" s="54">
        <v>49.60</v>
      </c>
      <c r="O15" s="54">
        <v>0</v>
      </c>
      <c r="P15" s="54">
        <v>0.28999999999999998</v>
      </c>
      <c r="Q15" s="54">
        <v>6.31</v>
      </c>
      <c r="R15" s="43"/>
      <c r="S15" s="43"/>
      <c r="T15" s="43"/>
      <c r="U15" s="43"/>
    </row>
    <row r="16" spans="1:21" s="11" customFormat="1" ht="15">
      <c r="A16" s="53" t="s">
        <v>429</v>
      </c>
      <c r="B16" s="54">
        <v>6.09</v>
      </c>
      <c r="C16" s="54">
        <v>10.77</v>
      </c>
      <c r="D16" s="54">
        <v>16.37</v>
      </c>
      <c r="E16" s="54">
        <v>4.67</v>
      </c>
      <c r="F16" s="54">
        <v>1.84</v>
      </c>
      <c r="G16" s="54">
        <v>14.38</v>
      </c>
      <c r="H16" s="54">
        <v>11.62</v>
      </c>
      <c r="I16" s="54">
        <v>1.85</v>
      </c>
      <c r="J16" s="54">
        <v>1.1599999999999999</v>
      </c>
      <c r="K16" s="54">
        <v>172.57</v>
      </c>
      <c r="L16" s="54">
        <v>23.09</v>
      </c>
      <c r="M16" s="54">
        <v>98.64</v>
      </c>
      <c r="N16" s="54">
        <v>155.19999999999999</v>
      </c>
      <c r="O16" s="54">
        <v>0</v>
      </c>
      <c r="P16" s="54">
        <v>0.24</v>
      </c>
      <c r="Q16" s="54">
        <v>7.22</v>
      </c>
      <c r="R16" s="43"/>
      <c r="S16" s="43"/>
      <c r="T16" s="43"/>
      <c r="U16" s="43"/>
    </row>
    <row r="17" spans="1:21" s="11" customFormat="1" ht="15">
      <c r="A17" s="53" t="s">
        <v>430</v>
      </c>
      <c r="B17" s="54">
        <v>5.42</v>
      </c>
      <c r="C17" s="54">
        <v>10.84</v>
      </c>
      <c r="D17" s="54">
        <v>16.260000000000002</v>
      </c>
      <c r="E17" s="54">
        <v>4.80</v>
      </c>
      <c r="F17" s="54">
        <v>1.31</v>
      </c>
      <c r="G17" s="54">
        <v>16.16</v>
      </c>
      <c r="H17" s="54">
        <v>11.62</v>
      </c>
      <c r="I17" s="54">
        <v>1.79</v>
      </c>
      <c r="J17" s="54">
        <v>0.54</v>
      </c>
      <c r="K17" s="54">
        <v>173.34</v>
      </c>
      <c r="L17" s="54">
        <v>25.39</v>
      </c>
      <c r="M17" s="54">
        <v>94.06</v>
      </c>
      <c r="N17" s="54">
        <v>561.10</v>
      </c>
      <c r="O17" s="54">
        <v>0</v>
      </c>
      <c r="P17" s="54">
        <v>0.24</v>
      </c>
      <c r="Q17" s="54">
        <v>7.22</v>
      </c>
      <c r="R17" s="43"/>
      <c r="S17" s="43"/>
      <c r="T17" s="43"/>
      <c r="U17" s="43"/>
    </row>
    <row r="18" spans="1:21" s="11" customFormat="1" ht="15">
      <c r="A18" s="53" t="s">
        <v>431</v>
      </c>
      <c r="B18" s="54">
        <v>4.34</v>
      </c>
      <c r="C18" s="54">
        <v>9.69</v>
      </c>
      <c r="D18" s="54">
        <v>14.02</v>
      </c>
      <c r="E18" s="54">
        <v>4.22</v>
      </c>
      <c r="F18" s="54">
        <v>2.0499999999999998</v>
      </c>
      <c r="G18" s="54">
        <v>19.350000000000001</v>
      </c>
      <c r="H18" s="54">
        <v>9.2899999999999991</v>
      </c>
      <c r="I18" s="54">
        <v>1.84</v>
      </c>
      <c r="J18" s="54">
        <v>0.67</v>
      </c>
      <c r="K18" s="54">
        <v>177.16</v>
      </c>
      <c r="L18" s="54">
        <v>26.02</v>
      </c>
      <c r="M18" s="54">
        <v>83.39</v>
      </c>
      <c r="N18" s="54">
        <v>583.79999999999995</v>
      </c>
      <c r="O18" s="54">
        <v>0</v>
      </c>
      <c r="P18" s="54">
        <v>0.24</v>
      </c>
      <c r="Q18" s="54">
        <v>5.17</v>
      </c>
      <c r="R18" s="43"/>
      <c r="S18" s="43"/>
      <c r="T18" s="43"/>
      <c r="U18" s="43"/>
    </row>
    <row r="19" spans="1:21" s="11" customFormat="1" ht="15">
      <c r="A19" s="53" t="s">
        <v>432</v>
      </c>
      <c r="B19" s="54">
        <v>3.63</v>
      </c>
      <c r="C19" s="54">
        <v>10.83</v>
      </c>
      <c r="D19" s="54">
        <v>13.71</v>
      </c>
      <c r="E19" s="54">
        <v>4.5199999999999996</v>
      </c>
      <c r="F19" s="54">
        <v>2.27</v>
      </c>
      <c r="G19" s="54">
        <v>19.350000000000001</v>
      </c>
      <c r="H19" s="54">
        <v>8.8699999999999992</v>
      </c>
      <c r="I19" s="54">
        <v>1.85</v>
      </c>
      <c r="J19" s="54">
        <v>0.37</v>
      </c>
      <c r="K19" s="54">
        <v>176.96</v>
      </c>
      <c r="L19" s="54">
        <v>26.97</v>
      </c>
      <c r="M19" s="54">
        <v>76.150000000000006</v>
      </c>
      <c r="N19" s="54">
        <v>768.80</v>
      </c>
      <c r="O19" s="54">
        <v>0</v>
      </c>
      <c r="P19" s="54">
        <v>0.26</v>
      </c>
      <c r="Q19" s="54">
        <v>2.16</v>
      </c>
      <c r="R19" s="43"/>
      <c r="S19" s="43"/>
      <c r="T19" s="43"/>
      <c r="U19" s="43"/>
    </row>
    <row r="20" spans="1:21" s="11" customFormat="1" ht="15">
      <c r="A20" s="53" t="s">
        <v>433</v>
      </c>
      <c r="B20" s="54">
        <v>2.70</v>
      </c>
      <c r="C20" s="54">
        <v>10.14</v>
      </c>
      <c r="D20" s="54">
        <v>12.58</v>
      </c>
      <c r="E20" s="54">
        <v>4.45</v>
      </c>
      <c r="F20" s="54">
        <v>2.11</v>
      </c>
      <c r="G20" s="54">
        <v>18.32</v>
      </c>
      <c r="H20" s="54">
        <v>7.73</v>
      </c>
      <c r="I20" s="54">
        <v>1.84</v>
      </c>
      <c r="J20" s="54">
        <v>0.22</v>
      </c>
      <c r="K20" s="54">
        <v>207.24</v>
      </c>
      <c r="L20" s="54">
        <v>26.71</v>
      </c>
      <c r="M20" s="54">
        <v>78.66</v>
      </c>
      <c r="N20" s="54">
        <v>110.40</v>
      </c>
      <c r="O20" s="54">
        <v>0</v>
      </c>
      <c r="P20" s="54">
        <v>0.27</v>
      </c>
      <c r="Q20" s="54">
        <v>1.20</v>
      </c>
      <c r="R20" s="43"/>
      <c r="S20" s="43"/>
      <c r="T20" s="43"/>
      <c r="U20" s="43"/>
    </row>
    <row r="21" spans="1:21" s="11" customFormat="1" ht="15">
      <c r="A21" s="53" t="s">
        <v>434</v>
      </c>
      <c r="B21" s="54">
        <v>3.86</v>
      </c>
      <c r="C21" s="54">
        <v>11.73</v>
      </c>
      <c r="D21" s="54">
        <v>15.59</v>
      </c>
      <c r="E21" s="54">
        <v>4.28</v>
      </c>
      <c r="F21" s="54">
        <v>3.18</v>
      </c>
      <c r="G21" s="54">
        <v>17.21</v>
      </c>
      <c r="H21" s="54">
        <v>6.36</v>
      </c>
      <c r="I21" s="54">
        <v>1.85</v>
      </c>
      <c r="J21" s="54">
        <v>0.18</v>
      </c>
      <c r="K21" s="54">
        <v>46.72</v>
      </c>
      <c r="L21" s="54">
        <v>27.46</v>
      </c>
      <c r="M21" s="54">
        <v>76.94</v>
      </c>
      <c r="N21" s="54">
        <v>627.70000000000005</v>
      </c>
      <c r="O21" s="54">
        <v>0</v>
      </c>
      <c r="P21" s="54">
        <v>0.30</v>
      </c>
      <c r="Q21" s="54">
        <v>0.30</v>
      </c>
      <c r="R21" s="43"/>
      <c r="S21" s="43"/>
      <c r="T21" s="43"/>
      <c r="U21" s="43"/>
    </row>
    <row r="22" spans="1:21" s="11" customFormat="1" ht="15">
      <c r="A22" s="53" t="s">
        <v>435</v>
      </c>
      <c r="B22" s="54">
        <v>2.97</v>
      </c>
      <c r="C22" s="54">
        <v>12.21</v>
      </c>
      <c r="D22" s="54">
        <v>15.08</v>
      </c>
      <c r="E22" s="54">
        <v>4.62</v>
      </c>
      <c r="F22" s="54">
        <v>2.94</v>
      </c>
      <c r="G22" s="54">
        <v>19.38</v>
      </c>
      <c r="H22" s="54">
        <v>4.8499999999999996</v>
      </c>
      <c r="I22" s="54">
        <v>1.87</v>
      </c>
      <c r="J22" s="54">
        <v>0.11</v>
      </c>
      <c r="K22" s="54">
        <v>205.06</v>
      </c>
      <c r="L22" s="54">
        <v>27.48</v>
      </c>
      <c r="M22" s="54">
        <v>72.70</v>
      </c>
      <c r="N22" s="54">
        <v>739.80</v>
      </c>
      <c r="O22" s="54">
        <v>0</v>
      </c>
      <c r="P22" s="54">
        <v>0.30</v>
      </c>
      <c r="Q22" s="54">
        <v>2.76</v>
      </c>
      <c r="R22" s="43"/>
      <c r="S22" s="43"/>
      <c r="T22" s="43"/>
      <c r="U22" s="43"/>
    </row>
    <row r="23" spans="1:21" s="11" customFormat="1" ht="15">
      <c r="A23" s="53" t="s">
        <v>436</v>
      </c>
      <c r="B23" s="54">
        <v>3.14</v>
      </c>
      <c r="C23" s="54">
        <v>11.86</v>
      </c>
      <c r="D23" s="54">
        <v>14.75</v>
      </c>
      <c r="E23" s="54">
        <v>4.5999999999999996</v>
      </c>
      <c r="F23" s="54">
        <v>2.29</v>
      </c>
      <c r="G23" s="54">
        <v>22.14</v>
      </c>
      <c r="H23" s="54">
        <v>7.31</v>
      </c>
      <c r="I23" s="54">
        <v>1.80</v>
      </c>
      <c r="J23" s="54">
        <v>0.24</v>
      </c>
      <c r="K23" s="54">
        <v>39.64</v>
      </c>
      <c r="L23" s="54">
        <v>26.92</v>
      </c>
      <c r="M23" s="54">
        <v>77.290000000000006</v>
      </c>
      <c r="N23" s="54">
        <v>302.30</v>
      </c>
      <c r="O23" s="54">
        <v>0</v>
      </c>
      <c r="P23" s="54">
        <v>0.32</v>
      </c>
      <c r="Q23" s="54">
        <v>2.5099999999999998</v>
      </c>
      <c r="R23" s="43"/>
      <c r="S23" s="43"/>
      <c r="T23" s="43"/>
      <c r="U23" s="43"/>
    </row>
    <row r="24" spans="1:21" s="11" customFormat="1" ht="15">
      <c r="A24" s="53" t="s">
        <v>437</v>
      </c>
      <c r="B24" s="54">
        <v>4.22</v>
      </c>
      <c r="C24" s="54">
        <v>12.59</v>
      </c>
      <c r="D24" s="54">
        <v>16.82</v>
      </c>
      <c r="E24" s="54">
        <v>3.69</v>
      </c>
      <c r="F24" s="54">
        <v>1.76</v>
      </c>
      <c r="G24" s="54">
        <v>24.47</v>
      </c>
      <c r="H24" s="54">
        <v>10.18</v>
      </c>
      <c r="I24" s="54">
        <v>1.87</v>
      </c>
      <c r="J24" s="54">
        <v>0.30</v>
      </c>
      <c r="K24" s="54">
        <v>358.67</v>
      </c>
      <c r="L24" s="54">
        <v>27.17</v>
      </c>
      <c r="M24" s="54">
        <v>73.22</v>
      </c>
      <c r="N24" s="54">
        <v>165.80</v>
      </c>
      <c r="O24" s="54">
        <v>0</v>
      </c>
      <c r="P24" s="54">
        <v>0.36</v>
      </c>
      <c r="Q24" s="54">
        <v>2.0699999999999998</v>
      </c>
      <c r="R24" s="43"/>
      <c r="S24" s="43"/>
      <c r="T24" s="43"/>
      <c r="U24" s="43"/>
    </row>
    <row r="25" spans="1:21" s="11" customFormat="1" ht="15">
      <c r="A25" s="53" t="s">
        <v>438</v>
      </c>
      <c r="B25" s="54">
        <v>7.11</v>
      </c>
      <c r="C25" s="54">
        <v>15.21</v>
      </c>
      <c r="D25" s="54">
        <v>22.32</v>
      </c>
      <c r="E25" s="54">
        <v>4.63</v>
      </c>
      <c r="F25" s="54">
        <v>3.20</v>
      </c>
      <c r="G25" s="54">
        <v>26.78</v>
      </c>
      <c r="H25" s="54">
        <v>10.18</v>
      </c>
      <c r="I25" s="54">
        <v>1.87</v>
      </c>
      <c r="J25" s="54">
        <v>0.19</v>
      </c>
      <c r="K25" s="54">
        <v>351.24</v>
      </c>
      <c r="L25" s="54">
        <v>27.29</v>
      </c>
      <c r="M25" s="54">
        <v>76.16</v>
      </c>
      <c r="N25" s="54">
        <v>102.80</v>
      </c>
      <c r="O25" s="54">
        <v>0</v>
      </c>
      <c r="P25" s="54">
        <v>0.40</v>
      </c>
      <c r="Q25" s="54">
        <v>0.5</v>
      </c>
      <c r="R25" s="43"/>
      <c r="S25" s="43"/>
      <c r="T25" s="43"/>
      <c r="U25" s="43"/>
    </row>
    <row r="26" spans="1:21" s="11" customFormat="1" ht="15">
      <c r="A26" s="53" t="s">
        <v>439</v>
      </c>
      <c r="B26" s="54">
        <v>4.87</v>
      </c>
      <c r="C26" s="54">
        <v>12.53</v>
      </c>
      <c r="D26" s="54">
        <v>15.97</v>
      </c>
      <c r="E26" s="54">
        <v>4.4000000000000004</v>
      </c>
      <c r="F26" s="54">
        <v>2.2400000000000002</v>
      </c>
      <c r="G26" s="54">
        <v>27.18</v>
      </c>
      <c r="H26" s="54">
        <v>8.83</v>
      </c>
      <c r="I26" s="54">
        <v>1.82</v>
      </c>
      <c r="J26" s="54">
        <v>0.15</v>
      </c>
      <c r="K26" s="54">
        <v>43.21</v>
      </c>
      <c r="L26" s="54">
        <v>26.11</v>
      </c>
      <c r="M26" s="54">
        <v>82.97</v>
      </c>
      <c r="N26" s="54">
        <v>48.60</v>
      </c>
      <c r="O26" s="54">
        <v>0</v>
      </c>
      <c r="P26" s="54">
        <v>0.40</v>
      </c>
      <c r="Q26" s="8" t="s">
        <v>8</v>
      </c>
      <c r="R26" s="43"/>
      <c r="S26" s="43"/>
      <c r="T26" s="43"/>
      <c r="U26" s="43"/>
    </row>
    <row r="27" spans="1:21" s="11" customFormat="1" ht="15">
      <c r="A27" s="53" t="s">
        <v>440</v>
      </c>
      <c r="B27" s="54">
        <v>4.55</v>
      </c>
      <c r="C27" s="54">
        <v>19.510000000000002</v>
      </c>
      <c r="D27" s="54">
        <v>23.98</v>
      </c>
      <c r="E27" s="54">
        <v>4.58</v>
      </c>
      <c r="F27" s="54">
        <v>3.95</v>
      </c>
      <c r="G27" s="54">
        <v>27.22</v>
      </c>
      <c r="H27" s="54">
        <v>10.97</v>
      </c>
      <c r="I27" s="54">
        <v>1.85</v>
      </c>
      <c r="J27" s="54">
        <v>0.09</v>
      </c>
      <c r="K27" s="54">
        <v>202.25</v>
      </c>
      <c r="L27" s="54">
        <v>25.01</v>
      </c>
      <c r="M27" s="54">
        <v>89.07</v>
      </c>
      <c r="N27" s="54">
        <v>10.10</v>
      </c>
      <c r="O27" s="54">
        <v>0</v>
      </c>
      <c r="P27" s="54">
        <v>0.48</v>
      </c>
      <c r="Q27" s="54">
        <v>3.01</v>
      </c>
      <c r="R27" s="43"/>
      <c r="S27" s="43"/>
      <c r="T27" s="43"/>
      <c r="U27" s="43"/>
    </row>
    <row r="28" spans="1:21" s="11" customFormat="1" ht="15">
      <c r="A28" s="53" t="s">
        <v>441</v>
      </c>
      <c r="B28" s="54">
        <v>4.8499999999999996</v>
      </c>
      <c r="C28" s="54">
        <v>26.75</v>
      </c>
      <c r="D28" s="54">
        <v>31.60</v>
      </c>
      <c r="E28" s="54">
        <v>4.93</v>
      </c>
      <c r="F28" s="54">
        <v>6.24</v>
      </c>
      <c r="G28" s="54">
        <v>27.22</v>
      </c>
      <c r="H28" s="54">
        <v>10.97</v>
      </c>
      <c r="I28" s="54">
        <v>1.84</v>
      </c>
      <c r="J28" s="54">
        <v>0.070000000000000007</v>
      </c>
      <c r="K28" s="54">
        <v>260.95999999999998</v>
      </c>
      <c r="L28" s="54">
        <v>24.54</v>
      </c>
      <c r="M28" s="54">
        <v>93.05</v>
      </c>
      <c r="N28" s="54">
        <v>9.5</v>
      </c>
      <c r="O28" s="54">
        <v>0</v>
      </c>
      <c r="P28" s="54">
        <v>0.61</v>
      </c>
      <c r="Q28" s="54">
        <v>3.01</v>
      </c>
      <c r="R28" s="43"/>
      <c r="S28" s="43"/>
      <c r="T28" s="43"/>
      <c r="U28" s="43"/>
    </row>
    <row r="29" spans="1:21" s="11" customFormat="1" ht="15">
      <c r="A29" s="53" t="s">
        <v>442</v>
      </c>
      <c r="B29" s="54">
        <v>6.55</v>
      </c>
      <c r="C29" s="54">
        <v>26.02</v>
      </c>
      <c r="D29" s="54">
        <v>32.58</v>
      </c>
      <c r="E29" s="54">
        <v>4.5999999999999996</v>
      </c>
      <c r="F29" s="54">
        <v>3.47</v>
      </c>
      <c r="G29" s="54">
        <v>33.08</v>
      </c>
      <c r="H29" s="54">
        <v>14.36</v>
      </c>
      <c r="I29" s="54">
        <v>1.84</v>
      </c>
      <c r="J29" s="54">
        <v>0.17</v>
      </c>
      <c r="K29" s="54">
        <v>225.48</v>
      </c>
      <c r="L29" s="54">
        <v>24.26</v>
      </c>
      <c r="M29" s="54">
        <v>94.01</v>
      </c>
      <c r="N29" s="54">
        <v>9.40</v>
      </c>
      <c r="O29" s="54">
        <v>0</v>
      </c>
      <c r="P29" s="54">
        <v>0.59</v>
      </c>
      <c r="Q29" s="54">
        <v>3.92</v>
      </c>
      <c r="R29" s="43"/>
      <c r="S29" s="43"/>
      <c r="T29" s="43"/>
      <c r="U29" s="43"/>
    </row>
    <row r="30" spans="1:21" s="11" customFormat="1" ht="15">
      <c r="A30" s="53" t="s">
        <v>443</v>
      </c>
      <c r="B30" s="54">
        <v>6.98</v>
      </c>
      <c r="C30" s="54">
        <v>20.5</v>
      </c>
      <c r="D30" s="54">
        <v>25.75</v>
      </c>
      <c r="E30" s="54">
        <v>4.82</v>
      </c>
      <c r="F30" s="54">
        <v>3.98</v>
      </c>
      <c r="G30" s="54">
        <v>33.08</v>
      </c>
      <c r="H30" s="54">
        <v>14.36</v>
      </c>
      <c r="I30" s="54">
        <v>1.87</v>
      </c>
      <c r="J30" s="54">
        <v>0.24</v>
      </c>
      <c r="K30" s="54">
        <v>179.83</v>
      </c>
      <c r="L30" s="54">
        <v>24.16</v>
      </c>
      <c r="M30" s="54">
        <v>95.86</v>
      </c>
      <c r="N30" s="54">
        <v>9.5</v>
      </c>
      <c r="O30" s="54">
        <v>0</v>
      </c>
      <c r="P30" s="54">
        <v>0.56000000000000005</v>
      </c>
      <c r="Q30" s="54">
        <v>4.43</v>
      </c>
      <c r="R30" s="43"/>
      <c r="S30" s="43"/>
      <c r="T30" s="43"/>
      <c r="U30" s="43"/>
    </row>
    <row r="31" spans="1:21" s="11" customFormat="1" ht="15">
      <c r="A31" s="53" t="s">
        <v>444</v>
      </c>
      <c r="B31" s="54">
        <v>8.32</v>
      </c>
      <c r="C31" s="54">
        <v>15.04</v>
      </c>
      <c r="D31" s="54">
        <v>23.36</v>
      </c>
      <c r="E31" s="54">
        <v>4.8600000000000003</v>
      </c>
      <c r="F31" s="54">
        <v>2.44</v>
      </c>
      <c r="G31" s="54">
        <v>35.75</v>
      </c>
      <c r="H31" s="54">
        <v>13.66</v>
      </c>
      <c r="I31" s="54">
        <v>1.81</v>
      </c>
      <c r="J31" s="54">
        <v>0.17</v>
      </c>
      <c r="K31" s="54">
        <v>23.51</v>
      </c>
      <c r="L31" s="54">
        <v>23.98</v>
      </c>
      <c r="M31" s="54">
        <v>96.14</v>
      </c>
      <c r="N31" s="54">
        <v>9.5</v>
      </c>
      <c r="O31" s="54">
        <v>0</v>
      </c>
      <c r="P31" s="54">
        <v>0.56000000000000005</v>
      </c>
      <c r="Q31" s="54">
        <v>10.95</v>
      </c>
      <c r="R31" s="43"/>
      <c r="S31" s="43"/>
      <c r="T31" s="43"/>
      <c r="U31" s="43"/>
    </row>
    <row r="32" spans="1:21" s="11" customFormat="1" ht="15">
      <c r="A32" s="53" t="s">
        <v>445</v>
      </c>
      <c r="B32" s="54">
        <v>5.86</v>
      </c>
      <c r="C32" s="54">
        <v>11.81</v>
      </c>
      <c r="D32" s="54">
        <v>17.66</v>
      </c>
      <c r="E32" s="54">
        <v>4.08</v>
      </c>
      <c r="F32" s="54">
        <v>2.2000000000000002</v>
      </c>
      <c r="G32" s="54">
        <v>35.75</v>
      </c>
      <c r="H32" s="54">
        <v>13.66</v>
      </c>
      <c r="I32" s="54">
        <v>1.86</v>
      </c>
      <c r="J32" s="54">
        <v>0.14000000000000001</v>
      </c>
      <c r="K32" s="54">
        <v>194.97</v>
      </c>
      <c r="L32" s="54">
        <v>23.34</v>
      </c>
      <c r="M32" s="54">
        <v>98.73</v>
      </c>
      <c r="N32" s="54">
        <v>9.5</v>
      </c>
      <c r="O32" s="54">
        <v>0</v>
      </c>
      <c r="P32" s="54">
        <v>0.51</v>
      </c>
      <c r="Q32" s="54">
        <v>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2.7000000000000002</v>
      </c>
      <c r="C34" s="28">
        <f t="shared" si="0"/>
        <v>6.9299999999999997</v>
      </c>
      <c r="D34" s="28">
        <f t="shared" si="0"/>
        <v>10.390000000000001</v>
      </c>
      <c r="E34" s="28">
        <f t="shared" si="0"/>
        <v>3.6899999999999999</v>
      </c>
      <c r="F34" s="28">
        <f t="shared" si="0"/>
        <v>1.22</v>
      </c>
      <c r="G34" s="28">
        <f t="shared" si="0"/>
        <v>12.800000000000001</v>
      </c>
      <c r="H34" s="28">
        <f t="shared" si="0"/>
        <v>4.8499999999999996</v>
      </c>
      <c r="I34" s="28">
        <f t="shared" si="0"/>
        <v>1.79</v>
      </c>
      <c r="J34" s="28">
        <f t="shared" si="0"/>
        <v>0.070000000000000007</v>
      </c>
      <c r="K34" s="28">
        <f t="shared" si="0"/>
        <v>23.510000000000002</v>
      </c>
      <c r="L34" s="28">
        <f t="shared" si="0"/>
        <v>22.309999999999999</v>
      </c>
      <c r="M34" s="28">
        <f t="shared" si="0"/>
        <v>72.700000000000003</v>
      </c>
      <c r="N34" s="28">
        <f t="shared" si="0"/>
        <v>1.3999999999999999</v>
      </c>
      <c r="O34" s="28">
        <f t="shared" si="0"/>
        <v>0</v>
      </c>
      <c r="P34" s="28">
        <f t="shared" si="0"/>
        <v>0.23999999999999999</v>
      </c>
      <c r="Q34" s="28">
        <f t="shared" si="0"/>
        <v>0.29999999999999999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8.3200000000000003</v>
      </c>
      <c r="C35" s="29">
        <f t="shared" si="1"/>
        <v>26.75</v>
      </c>
      <c r="D35" s="29">
        <f t="shared" si="1"/>
        <v>32.579999999999998</v>
      </c>
      <c r="E35" s="29">
        <f t="shared" si="1"/>
        <v>5.2199999999999998</v>
      </c>
      <c r="F35" s="29">
        <f t="shared" si="1"/>
        <v>6.2400000000000002</v>
      </c>
      <c r="G35" s="29">
        <f t="shared" si="1"/>
        <v>35.75</v>
      </c>
      <c r="H35" s="29">
        <f t="shared" si="1"/>
        <v>14.359999999999999</v>
      </c>
      <c r="I35" s="29">
        <f t="shared" si="1"/>
        <v>1.8799999999999999</v>
      </c>
      <c r="J35" s="29">
        <f t="shared" si="1"/>
        <v>1.3</v>
      </c>
      <c r="K35" s="29">
        <f t="shared" si="1"/>
        <v>358.67000000000002</v>
      </c>
      <c r="L35" s="29">
        <f t="shared" si="1"/>
        <v>27.48</v>
      </c>
      <c r="M35" s="29">
        <f t="shared" si="1"/>
        <v>98.75</v>
      </c>
      <c r="N35" s="29">
        <f t="shared" si="1"/>
        <v>768.79999999999995</v>
      </c>
      <c r="O35" s="29">
        <f t="shared" si="1"/>
        <v>0</v>
      </c>
      <c r="P35" s="29">
        <f t="shared" si="1"/>
        <v>0.60999999999999999</v>
      </c>
      <c r="Q35" s="29">
        <f t="shared" si="1"/>
        <v>23.329999999999998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4.8145833333333332</v>
      </c>
      <c r="C36" s="28">
        <f t="shared" si="2"/>
        <v>12.704166666666667</v>
      </c>
      <c r="D36" s="28">
        <f t="shared" si="2"/>
        <v>17.268333333333338</v>
      </c>
      <c r="E36" s="28">
        <f t="shared" si="2"/>
        <v>4.5816666666666661</v>
      </c>
      <c r="F36" s="28">
        <f t="shared" si="2"/>
        <v>2.5408333333333335</v>
      </c>
      <c r="G36" s="28">
        <f t="shared" si="2"/>
        <v>21.572083333333328</v>
      </c>
      <c r="H36" s="28">
        <f t="shared" si="2"/>
        <v>9.6908333333333356</v>
      </c>
      <c r="I36" s="28">
        <f t="shared" si="2"/>
        <v>1.8437500000000007</v>
      </c>
      <c r="J36" s="28">
        <f t="shared" si="2"/>
        <v>0.51083333333333336</v>
      </c>
      <c r="K36" s="28">
        <f t="shared" si="2"/>
        <v>170.64666666666668</v>
      </c>
      <c r="L36" s="28">
        <f t="shared" si="2"/>
        <v>24.696666666666673</v>
      </c>
      <c r="M36" s="28">
        <f t="shared" si="2"/>
        <v>89.509583333333339</v>
      </c>
      <c r="N36" s="28">
        <f t="shared" si="2"/>
        <v>187.6173913043479</v>
      </c>
      <c r="O36" s="28">
        <f t="shared" si="2"/>
        <v>0</v>
      </c>
      <c r="P36" s="28">
        <f t="shared" si="2"/>
        <v>0.35708333333333336</v>
      </c>
      <c r="Q36" s="28">
        <f t="shared" si="2"/>
        <v>5.6126086956521757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1.5424260370306715</v>
      </c>
      <c r="C37" s="28">
        <f t="shared" si="3" ref="C37:Q37">STDEV(C9:C32)</f>
        <v>5.4038697218765774</v>
      </c>
      <c r="D37" s="28">
        <f t="shared" si="3"/>
        <v>6.1619129346731807</v>
      </c>
      <c r="E37" s="28">
        <f t="shared" si="3"/>
        <v>0.30692962890775022</v>
      </c>
      <c r="F37" s="28">
        <f t="shared" si="3"/>
        <v>1.0957186113972501</v>
      </c>
      <c r="G37" s="28">
        <f t="shared" si="3"/>
        <v>7.5014433273040053</v>
      </c>
      <c r="H37" s="28">
        <f t="shared" si="3"/>
        <v>2.6090743263808416</v>
      </c>
      <c r="I37" s="28">
        <f t="shared" si="3"/>
        <v>0.024638693500088529</v>
      </c>
      <c r="J37" s="28">
        <f t="shared" si="3"/>
        <v>0.41912866828661383</v>
      </c>
      <c r="K37" s="28">
        <f t="shared" si="3"/>
        <v>82.513441100943268</v>
      </c>
      <c r="L37" s="28">
        <f t="shared" si="3"/>
        <v>1.9673523737040197</v>
      </c>
      <c r="M37" s="28">
        <f t="shared" si="3"/>
        <v>10.027770344384102</v>
      </c>
      <c r="N37" s="28">
        <f t="shared" si="3"/>
        <v>265.42610622471295</v>
      </c>
      <c r="O37" s="28">
        <f t="shared" si="3"/>
        <v>0</v>
      </c>
      <c r="P37" s="28">
        <f t="shared" si="3"/>
        <v>0.12442840325356547</v>
      </c>
      <c r="Q37" s="28">
        <f t="shared" si="3"/>
        <v>5.2182095652813398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P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>COUNT(N9:N32)+1</f>
        <v>24</v>
      </c>
      <c r="O38" s="32">
        <f t="shared" si="4"/>
        <v>24</v>
      </c>
      <c r="P38" s="32">
        <f t="shared" si="4"/>
        <v>24</v>
      </c>
      <c r="Q38" s="32">
        <f>COUNT(Q9:Q32)+1</f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b4642a1-a00f-4b3e-ac28-89008ee1fe88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1" sqref="G61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17-09-2023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8"/>
      <c r="B8" s="59" t="s">
        <v>22</v>
      </c>
      <c r="C8" s="59" t="s">
        <v>22</v>
      </c>
      <c r="D8" s="29" t="s">
        <v>61</v>
      </c>
      <c r="E8" s="59" t="s">
        <v>22</v>
      </c>
      <c r="F8" s="59" t="s">
        <v>22</v>
      </c>
      <c r="G8" s="59" t="s">
        <v>23</v>
      </c>
      <c r="H8" s="59" t="s">
        <v>22</v>
      </c>
      <c r="I8" s="59" t="s">
        <v>22</v>
      </c>
      <c r="J8" s="59" t="s">
        <v>24</v>
      </c>
      <c r="K8" s="59" t="s">
        <v>25</v>
      </c>
      <c r="L8" s="58" t="s">
        <v>27</v>
      </c>
      <c r="M8" s="59" t="s">
        <v>26</v>
      </c>
      <c r="N8" s="59" t="s">
        <v>28</v>
      </c>
      <c r="O8" s="58" t="s">
        <v>29</v>
      </c>
      <c r="P8" s="59" t="s">
        <v>22</v>
      </c>
      <c r="Q8" s="59" t="s">
        <v>22</v>
      </c>
      <c r="R8" s="27"/>
      <c r="S8" s="29"/>
      <c r="T8" s="27"/>
      <c r="U8" s="27"/>
    </row>
    <row r="9" spans="1:21" s="11" customFormat="1" ht="15">
      <c r="A9" s="53" t="s">
        <v>446</v>
      </c>
      <c r="B9" s="54">
        <v>5</v>
      </c>
      <c r="C9" s="54">
        <v>9.52</v>
      </c>
      <c r="D9" s="54">
        <v>14.41</v>
      </c>
      <c r="E9" s="54">
        <v>4.92</v>
      </c>
      <c r="F9" s="54">
        <v>3.64</v>
      </c>
      <c r="G9" s="54">
        <v>30.79</v>
      </c>
      <c r="H9" s="54">
        <v>13.47</v>
      </c>
      <c r="I9" s="54">
        <v>1.80</v>
      </c>
      <c r="J9" s="54">
        <v>0.03</v>
      </c>
      <c r="K9" s="54">
        <v>355.66</v>
      </c>
      <c r="L9" s="54">
        <v>22.73</v>
      </c>
      <c r="M9" s="54">
        <v>98.73</v>
      </c>
      <c r="N9" s="54">
        <v>9.40</v>
      </c>
      <c r="O9" s="54">
        <v>0</v>
      </c>
      <c r="P9" s="54">
        <v>0.47</v>
      </c>
      <c r="Q9" s="54">
        <v>2.97</v>
      </c>
      <c r="R9" s="43"/>
      <c r="S9" s="43"/>
      <c r="T9" s="43"/>
      <c r="U9" s="43"/>
    </row>
    <row r="10" spans="1:21" s="11" customFormat="1" ht="15">
      <c r="A10" s="53" t="s">
        <v>447</v>
      </c>
      <c r="B10" s="54">
        <v>3.99</v>
      </c>
      <c r="C10" s="54">
        <v>10.09</v>
      </c>
      <c r="D10" s="54">
        <v>14.08</v>
      </c>
      <c r="E10" s="54">
        <v>4.55</v>
      </c>
      <c r="F10" s="54">
        <v>5.33</v>
      </c>
      <c r="G10" s="54">
        <v>27.54</v>
      </c>
      <c r="H10" s="54">
        <v>13.47</v>
      </c>
      <c r="I10" s="54">
        <v>1.78</v>
      </c>
      <c r="J10" s="54">
        <v>0.20</v>
      </c>
      <c r="K10" s="54">
        <v>193.08</v>
      </c>
      <c r="L10" s="54">
        <v>22.49</v>
      </c>
      <c r="M10" s="54">
        <v>98.76</v>
      </c>
      <c r="N10" s="54">
        <v>9.40</v>
      </c>
      <c r="O10" s="54">
        <v>0</v>
      </c>
      <c r="P10" s="54">
        <v>0.36</v>
      </c>
      <c r="Q10" s="54">
        <v>4.2699999999999996</v>
      </c>
      <c r="R10" s="43"/>
      <c r="S10" s="43"/>
      <c r="T10" s="43"/>
      <c r="U10" s="43"/>
    </row>
    <row r="11" spans="1:21" s="11" customFormat="1" ht="15">
      <c r="A11" s="53" t="s">
        <v>448</v>
      </c>
      <c r="B11" s="54">
        <v>4.7699999999999996</v>
      </c>
      <c r="C11" s="54">
        <v>9.25</v>
      </c>
      <c r="D11" s="54">
        <v>13.68</v>
      </c>
      <c r="E11" s="54">
        <v>4.6900000000000004</v>
      </c>
      <c r="F11" s="54">
        <v>2.0299999999999998</v>
      </c>
      <c r="G11" s="54">
        <v>24.39</v>
      </c>
      <c r="H11" s="54">
        <v>11.62</v>
      </c>
      <c r="I11" s="54">
        <v>1.83</v>
      </c>
      <c r="J11" s="54">
        <v>0.10</v>
      </c>
      <c r="K11" s="54">
        <v>323.13</v>
      </c>
      <c r="L11" s="54">
        <v>22.02</v>
      </c>
      <c r="M11" s="54">
        <v>98.75</v>
      </c>
      <c r="N11" s="54">
        <v>9.5</v>
      </c>
      <c r="O11" s="54">
        <v>0</v>
      </c>
      <c r="P11" s="54">
        <v>0.39</v>
      </c>
      <c r="Q11" s="54">
        <v>4.83</v>
      </c>
      <c r="R11" s="43"/>
      <c r="S11" s="43"/>
      <c r="T11" s="43"/>
      <c r="U11" s="43"/>
    </row>
    <row r="12" spans="1:21" s="11" customFormat="1" ht="15">
      <c r="A12" s="53" t="s">
        <v>449</v>
      </c>
      <c r="B12" s="54">
        <v>4.70</v>
      </c>
      <c r="C12" s="54">
        <v>9.90</v>
      </c>
      <c r="D12" s="54">
        <v>13.76</v>
      </c>
      <c r="E12" s="54">
        <v>4.7699999999999996</v>
      </c>
      <c r="F12" s="54">
        <v>3.11</v>
      </c>
      <c r="G12" s="54">
        <v>20.76</v>
      </c>
      <c r="H12" s="54">
        <v>11.62</v>
      </c>
      <c r="I12" s="54">
        <v>1.82</v>
      </c>
      <c r="J12" s="54">
        <v>0.15</v>
      </c>
      <c r="K12" s="54">
        <v>218.84</v>
      </c>
      <c r="L12" s="54">
        <v>21.96</v>
      </c>
      <c r="M12" s="54">
        <v>98.77</v>
      </c>
      <c r="N12" s="54">
        <v>9.40</v>
      </c>
      <c r="O12" s="54">
        <v>0</v>
      </c>
      <c r="P12" s="54">
        <v>0.37</v>
      </c>
      <c r="Q12" s="54">
        <v>5.29</v>
      </c>
      <c r="R12" s="43"/>
      <c r="S12" s="43"/>
      <c r="T12" s="43"/>
      <c r="U12" s="43"/>
    </row>
    <row r="13" spans="1:21" s="11" customFormat="1" ht="15">
      <c r="A13" s="53" t="s">
        <v>450</v>
      </c>
      <c r="B13" s="54">
        <v>5.15</v>
      </c>
      <c r="C13" s="54">
        <v>10.24</v>
      </c>
      <c r="D13" s="54">
        <v>14.30</v>
      </c>
      <c r="E13" s="54">
        <v>3.69</v>
      </c>
      <c r="F13" s="54">
        <v>2.40</v>
      </c>
      <c r="G13" s="54">
        <v>20.22</v>
      </c>
      <c r="H13" s="54">
        <v>8.41</v>
      </c>
      <c r="I13" s="54">
        <v>1.79</v>
      </c>
      <c r="J13" s="54">
        <v>0.36</v>
      </c>
      <c r="K13" s="54">
        <v>169.45</v>
      </c>
      <c r="L13" s="54">
        <v>21.81</v>
      </c>
      <c r="M13" s="54">
        <v>98.78</v>
      </c>
      <c r="N13" s="54">
        <v>9.40</v>
      </c>
      <c r="O13" s="54">
        <v>0</v>
      </c>
      <c r="P13" s="54">
        <v>0.33</v>
      </c>
      <c r="Q13" s="54">
        <v>5.86</v>
      </c>
      <c r="R13" s="43"/>
      <c r="S13" s="43"/>
      <c r="T13" s="43"/>
      <c r="U13" s="43"/>
    </row>
    <row r="14" spans="1:21" s="11" customFormat="1" ht="15">
      <c r="A14" s="53" t="s">
        <v>451</v>
      </c>
      <c r="B14" s="54">
        <v>7.30</v>
      </c>
      <c r="C14" s="54">
        <v>9.34</v>
      </c>
      <c r="D14" s="54">
        <v>15.83</v>
      </c>
      <c r="E14" s="54">
        <v>3.62</v>
      </c>
      <c r="F14" s="54">
        <v>1.17</v>
      </c>
      <c r="G14" s="54">
        <v>20.22</v>
      </c>
      <c r="H14" s="54">
        <v>7.90</v>
      </c>
      <c r="I14" s="54">
        <v>1.80</v>
      </c>
      <c r="J14" s="54">
        <v>0.48</v>
      </c>
      <c r="K14" s="54">
        <v>163.36000000000001</v>
      </c>
      <c r="L14" s="54">
        <v>21.75</v>
      </c>
      <c r="M14" s="54">
        <v>98.80</v>
      </c>
      <c r="N14" s="54">
        <v>18.30</v>
      </c>
      <c r="O14" s="54">
        <v>0</v>
      </c>
      <c r="P14" s="54">
        <v>0.35</v>
      </c>
      <c r="Q14" s="54">
        <v>6.45</v>
      </c>
      <c r="R14" s="43"/>
      <c r="S14" s="43"/>
      <c r="T14" s="43"/>
      <c r="U14" s="43"/>
    </row>
    <row r="15" spans="1:21" s="11" customFormat="1" ht="15">
      <c r="A15" s="53" t="s">
        <v>452</v>
      </c>
      <c r="B15" s="54">
        <v>9.23</v>
      </c>
      <c r="C15" s="54">
        <v>9.73</v>
      </c>
      <c r="D15" s="54">
        <v>18.96</v>
      </c>
      <c r="E15" s="54">
        <v>4.18</v>
      </c>
      <c r="F15" s="54">
        <v>1.18</v>
      </c>
      <c r="G15" s="54">
        <v>18.66</v>
      </c>
      <c r="H15" s="54">
        <v>7.90</v>
      </c>
      <c r="I15" s="54">
        <v>1.82</v>
      </c>
      <c r="J15" s="54">
        <v>0.46</v>
      </c>
      <c r="K15" s="54">
        <v>172.85</v>
      </c>
      <c r="L15" s="54">
        <v>22.89</v>
      </c>
      <c r="M15" s="54">
        <v>98.79</v>
      </c>
      <c r="N15" s="54">
        <v>185.10</v>
      </c>
      <c r="O15" s="54">
        <v>0</v>
      </c>
      <c r="P15" s="54">
        <v>0.36</v>
      </c>
      <c r="Q15" s="54">
        <v>8.52</v>
      </c>
      <c r="R15" s="43"/>
      <c r="S15" s="43"/>
      <c r="T15" s="43"/>
      <c r="U15" s="43"/>
    </row>
    <row r="16" spans="1:21" s="11" customFormat="1" ht="15">
      <c r="A16" s="53" t="s">
        <v>453</v>
      </c>
      <c r="B16" s="54">
        <v>10.76</v>
      </c>
      <c r="C16" s="54">
        <v>10.87</v>
      </c>
      <c r="D16" s="54">
        <v>21.63</v>
      </c>
      <c r="E16" s="54">
        <v>3.96</v>
      </c>
      <c r="F16" s="54">
        <v>2.04</v>
      </c>
      <c r="G16" s="54">
        <v>20.59</v>
      </c>
      <c r="H16" s="54">
        <v>7.51</v>
      </c>
      <c r="I16" s="54">
        <v>1.84</v>
      </c>
      <c r="J16" s="54">
        <v>0.82</v>
      </c>
      <c r="K16" s="54">
        <v>170.87</v>
      </c>
      <c r="L16" s="54">
        <v>26.36</v>
      </c>
      <c r="M16" s="54">
        <v>93</v>
      </c>
      <c r="N16" s="54">
        <v>443</v>
      </c>
      <c r="O16" s="54">
        <v>0</v>
      </c>
      <c r="P16" s="54">
        <v>0.34</v>
      </c>
      <c r="Q16" s="54">
        <v>9.01</v>
      </c>
      <c r="R16" s="43"/>
      <c r="S16" s="43"/>
      <c r="T16" s="43"/>
      <c r="U16" s="43"/>
    </row>
    <row r="17" spans="1:21" s="11" customFormat="1" ht="15">
      <c r="A17" s="53" t="s">
        <v>454</v>
      </c>
      <c r="B17" s="54">
        <v>8.35</v>
      </c>
      <c r="C17" s="54">
        <v>9.83</v>
      </c>
      <c r="D17" s="54">
        <v>17.940000000000001</v>
      </c>
      <c r="E17" s="54">
        <v>3.68</v>
      </c>
      <c r="F17" s="54">
        <v>1.97</v>
      </c>
      <c r="G17" s="54">
        <v>20.59</v>
      </c>
      <c r="H17" s="54">
        <v>7.82</v>
      </c>
      <c r="I17" s="54">
        <v>1.83</v>
      </c>
      <c r="J17" s="54">
        <v>0.69</v>
      </c>
      <c r="K17" s="54">
        <v>351.19</v>
      </c>
      <c r="L17" s="54">
        <v>29.55</v>
      </c>
      <c r="M17" s="54">
        <v>82.01</v>
      </c>
      <c r="N17" s="54">
        <v>626.60</v>
      </c>
      <c r="O17" s="54">
        <v>0</v>
      </c>
      <c r="P17" s="54">
        <v>0.34</v>
      </c>
      <c r="Q17" s="54">
        <v>6.5</v>
      </c>
      <c r="R17" s="43"/>
      <c r="S17" s="43"/>
      <c r="T17" s="43"/>
      <c r="U17" s="43"/>
    </row>
    <row r="18" spans="1:21" s="11" customFormat="1" ht="15">
      <c r="A18" s="53" t="s">
        <v>455</v>
      </c>
      <c r="B18" s="54">
        <v>7</v>
      </c>
      <c r="C18" s="54">
        <v>12.94</v>
      </c>
      <c r="D18" s="54">
        <v>19.23</v>
      </c>
      <c r="E18" s="54">
        <v>3.66</v>
      </c>
      <c r="F18" s="54">
        <v>1.77</v>
      </c>
      <c r="G18" s="54">
        <v>23.41</v>
      </c>
      <c r="H18" s="54">
        <v>7.82</v>
      </c>
      <c r="I18" s="54">
        <v>1.82</v>
      </c>
      <c r="J18" s="54">
        <v>0.37</v>
      </c>
      <c r="K18" s="54">
        <v>359.70</v>
      </c>
      <c r="L18" s="54">
        <v>30.30</v>
      </c>
      <c r="M18" s="54">
        <v>71.260000000000005</v>
      </c>
      <c r="N18" s="54">
        <v>773.30</v>
      </c>
      <c r="O18" s="54">
        <v>0</v>
      </c>
      <c r="P18" s="54">
        <v>0.42</v>
      </c>
      <c r="Q18" s="54">
        <v>5.1100000000000003</v>
      </c>
      <c r="R18" s="43"/>
      <c r="S18" s="43"/>
      <c r="T18" s="43"/>
      <c r="U18" s="43"/>
    </row>
    <row r="19" spans="1:21" s="11" customFormat="1" ht="15">
      <c r="A19" s="53" t="s">
        <v>456</v>
      </c>
      <c r="B19" s="54">
        <v>6.20</v>
      </c>
      <c r="C19" s="54">
        <v>15.60</v>
      </c>
      <c r="D19" s="54">
        <v>21.07</v>
      </c>
      <c r="E19" s="54">
        <v>3.74</v>
      </c>
      <c r="F19" s="54">
        <v>2.0499999999999998</v>
      </c>
      <c r="G19" s="54">
        <v>30</v>
      </c>
      <c r="H19" s="54">
        <v>13.10</v>
      </c>
      <c r="I19" s="54">
        <v>1.82</v>
      </c>
      <c r="J19" s="54">
        <v>0.22</v>
      </c>
      <c r="K19" s="54">
        <v>15.88</v>
      </c>
      <c r="L19" s="54">
        <v>30.27</v>
      </c>
      <c r="M19" s="54">
        <v>65.30</v>
      </c>
      <c r="N19" s="54">
        <v>875.90</v>
      </c>
      <c r="O19" s="54">
        <v>0</v>
      </c>
      <c r="P19" s="54">
        <v>0.51</v>
      </c>
      <c r="Q19" s="54">
        <v>4.66</v>
      </c>
      <c r="R19" s="43"/>
      <c r="S19" s="43"/>
      <c r="T19" s="43"/>
      <c r="U19" s="43"/>
    </row>
    <row r="20" spans="1:21" s="11" customFormat="1" ht="15">
      <c r="A20" s="53" t="s">
        <v>457</v>
      </c>
      <c r="B20" s="54">
        <v>3.40</v>
      </c>
      <c r="C20" s="54">
        <v>13.82</v>
      </c>
      <c r="D20" s="54">
        <v>17.22</v>
      </c>
      <c r="E20" s="54">
        <v>4.30</v>
      </c>
      <c r="F20" s="54">
        <v>3.04</v>
      </c>
      <c r="G20" s="54">
        <v>30</v>
      </c>
      <c r="H20" s="54">
        <v>13.10</v>
      </c>
      <c r="I20" s="54">
        <v>1.85</v>
      </c>
      <c r="J20" s="54">
        <v>0.38</v>
      </c>
      <c r="K20" s="54">
        <v>43.49</v>
      </c>
      <c r="L20" s="54">
        <v>29.98</v>
      </c>
      <c r="M20" s="54">
        <v>65.52</v>
      </c>
      <c r="N20" s="54">
        <v>995.30</v>
      </c>
      <c r="O20" s="54">
        <v>0</v>
      </c>
      <c r="P20" s="54">
        <v>0.46</v>
      </c>
      <c r="Q20" s="54">
        <v>2.41</v>
      </c>
      <c r="R20" s="43"/>
      <c r="S20" s="43"/>
      <c r="T20" s="43"/>
      <c r="U20" s="43"/>
    </row>
    <row r="21" spans="1:21" s="11" customFormat="1" ht="15">
      <c r="A21" s="53" t="s">
        <v>458</v>
      </c>
      <c r="B21" s="54">
        <v>3.61</v>
      </c>
      <c r="C21" s="54">
        <v>14.90</v>
      </c>
      <c r="D21" s="54">
        <v>17.79</v>
      </c>
      <c r="E21" s="54">
        <v>5</v>
      </c>
      <c r="F21" s="54">
        <v>3.52</v>
      </c>
      <c r="G21" s="54">
        <v>29.01</v>
      </c>
      <c r="H21" s="54">
        <v>10.70</v>
      </c>
      <c r="I21" s="54">
        <v>1.83</v>
      </c>
      <c r="J21" s="54">
        <v>0.33</v>
      </c>
      <c r="K21" s="54">
        <v>352.95</v>
      </c>
      <c r="L21" s="54">
        <v>29.81</v>
      </c>
      <c r="M21" s="54">
        <v>62.04</v>
      </c>
      <c r="N21" s="54">
        <v>973.60</v>
      </c>
      <c r="O21" s="54">
        <v>0</v>
      </c>
      <c r="P21" s="54">
        <v>0.44</v>
      </c>
      <c r="Q21" s="54">
        <v>75.91</v>
      </c>
      <c r="R21" s="43"/>
      <c r="S21" s="43"/>
      <c r="T21" s="43"/>
      <c r="U21" s="43"/>
    </row>
    <row r="22" spans="1:21" s="11" customFormat="1" ht="15">
      <c r="A22" s="53" t="s">
        <v>459</v>
      </c>
      <c r="B22" s="54">
        <v>3.30</v>
      </c>
      <c r="C22" s="54">
        <v>14.94</v>
      </c>
      <c r="D22" s="54">
        <v>18.11</v>
      </c>
      <c r="E22" s="54">
        <v>5.90</v>
      </c>
      <c r="F22" s="54">
        <v>3.73</v>
      </c>
      <c r="G22" s="54">
        <v>29.01</v>
      </c>
      <c r="H22" s="54">
        <v>11.12</v>
      </c>
      <c r="I22" s="54">
        <v>1.80</v>
      </c>
      <c r="J22" s="54">
        <v>0.32</v>
      </c>
      <c r="K22" s="54">
        <v>358.58</v>
      </c>
      <c r="L22" s="54">
        <v>31.54</v>
      </c>
      <c r="M22" s="54">
        <v>62.60</v>
      </c>
      <c r="N22" s="54">
        <v>882</v>
      </c>
      <c r="O22" s="54">
        <v>0</v>
      </c>
      <c r="P22" s="54">
        <v>0.42</v>
      </c>
      <c r="Q22" s="54">
        <v>89.40</v>
      </c>
      <c r="R22" s="43"/>
      <c r="S22" s="43"/>
      <c r="T22" s="43"/>
      <c r="U22" s="43"/>
    </row>
    <row r="23" spans="1:21" s="11" customFormat="1" ht="15">
      <c r="A23" s="53" t="s">
        <v>460</v>
      </c>
      <c r="B23" s="54">
        <v>3.23</v>
      </c>
      <c r="C23" s="54">
        <v>13.88</v>
      </c>
      <c r="D23" s="54">
        <v>17.11</v>
      </c>
      <c r="E23" s="54">
        <v>5.14</v>
      </c>
      <c r="F23" s="54">
        <v>3.19</v>
      </c>
      <c r="G23" s="54">
        <v>28.41</v>
      </c>
      <c r="H23" s="54">
        <v>11.22</v>
      </c>
      <c r="I23" s="54">
        <v>1.86</v>
      </c>
      <c r="J23" s="54">
        <v>0.34</v>
      </c>
      <c r="K23" s="54">
        <v>359.19</v>
      </c>
      <c r="L23" s="54">
        <v>29.51</v>
      </c>
      <c r="M23" s="54">
        <v>64.349999999999994</v>
      </c>
      <c r="N23" s="54">
        <v>250.20</v>
      </c>
      <c r="O23" s="54">
        <v>0</v>
      </c>
      <c r="P23" s="54">
        <v>0.42</v>
      </c>
      <c r="Q23" s="54">
        <v>69.900000000000006</v>
      </c>
      <c r="R23" s="43"/>
      <c r="S23" s="43"/>
      <c r="T23" s="43"/>
      <c r="U23" s="43"/>
    </row>
    <row r="24" spans="1:21" s="11" customFormat="1" ht="15">
      <c r="A24" s="53" t="s">
        <v>461</v>
      </c>
      <c r="B24" s="54">
        <v>3.84</v>
      </c>
      <c r="C24" s="54">
        <v>15.08</v>
      </c>
      <c r="D24" s="54">
        <v>18.809999999999999</v>
      </c>
      <c r="E24" s="54">
        <v>5.16</v>
      </c>
      <c r="F24" s="54">
        <v>3.33</v>
      </c>
      <c r="G24" s="54">
        <v>28.41</v>
      </c>
      <c r="H24" s="54">
        <v>11.22</v>
      </c>
      <c r="I24" s="54">
        <v>1.87</v>
      </c>
      <c r="J24" s="54">
        <v>0.28000000000000003</v>
      </c>
      <c r="K24" s="54">
        <v>354.83</v>
      </c>
      <c r="L24" s="54">
        <v>28.93</v>
      </c>
      <c r="M24" s="54">
        <v>65.55</v>
      </c>
      <c r="N24" s="54">
        <v>167</v>
      </c>
      <c r="O24" s="54">
        <v>0</v>
      </c>
      <c r="P24" s="54">
        <v>0.40</v>
      </c>
      <c r="Q24" s="54">
        <v>37.299999999999997</v>
      </c>
      <c r="R24" s="43"/>
      <c r="S24" s="43"/>
      <c r="T24" s="43"/>
      <c r="U24" s="43"/>
    </row>
    <row r="25" spans="1:21" s="11" customFormat="1" ht="15">
      <c r="A25" s="53" t="s">
        <v>462</v>
      </c>
      <c r="B25" s="54">
        <v>6.12</v>
      </c>
      <c r="C25" s="54">
        <v>20.48</v>
      </c>
      <c r="D25" s="54">
        <v>26.60</v>
      </c>
      <c r="E25" s="54">
        <v>4.03</v>
      </c>
      <c r="F25" s="54">
        <v>4.93</v>
      </c>
      <c r="G25" s="54">
        <v>27.60</v>
      </c>
      <c r="H25" s="54">
        <v>8.9499999999999993</v>
      </c>
      <c r="I25" s="54">
        <v>1.83</v>
      </c>
      <c r="J25" s="54">
        <v>0.24</v>
      </c>
      <c r="K25" s="54">
        <v>26.56</v>
      </c>
      <c r="L25" s="54">
        <v>28.41</v>
      </c>
      <c r="M25" s="54">
        <v>65.540000000000006</v>
      </c>
      <c r="N25" s="54">
        <v>77.5</v>
      </c>
      <c r="O25" s="54">
        <v>0</v>
      </c>
      <c r="P25" s="54">
        <v>0.41</v>
      </c>
      <c r="Q25" s="54">
        <v>7.98</v>
      </c>
      <c r="R25" s="43"/>
      <c r="S25" s="43"/>
      <c r="T25" s="43"/>
      <c r="U25" s="43"/>
    </row>
    <row r="26" spans="1:21" s="11" customFormat="1" ht="15">
      <c r="A26" s="53" t="s">
        <v>463</v>
      </c>
      <c r="B26" s="54">
        <v>3.14</v>
      </c>
      <c r="C26" s="54">
        <v>12.54</v>
      </c>
      <c r="D26" s="54">
        <v>15.69</v>
      </c>
      <c r="E26" s="54">
        <v>4.5599999999999996</v>
      </c>
      <c r="F26" s="54">
        <v>4.22</v>
      </c>
      <c r="G26" s="54">
        <v>27.60</v>
      </c>
      <c r="H26" s="54">
        <v>8.6300000000000008</v>
      </c>
      <c r="I26" s="54">
        <v>1.81</v>
      </c>
      <c r="J26" s="54">
        <v>0.13</v>
      </c>
      <c r="K26" s="54">
        <v>114.71</v>
      </c>
      <c r="L26" s="54">
        <v>27.68</v>
      </c>
      <c r="M26" s="54">
        <v>70.569999999999993</v>
      </c>
      <c r="N26" s="54">
        <v>42.70</v>
      </c>
      <c r="O26" s="54">
        <v>0</v>
      </c>
      <c r="P26" s="54">
        <v>0.38</v>
      </c>
      <c r="Q26" s="54">
        <v>3.79</v>
      </c>
      <c r="R26" s="43"/>
      <c r="S26" s="43"/>
      <c r="T26" s="43"/>
      <c r="U26" s="43"/>
    </row>
    <row r="27" spans="1:21" s="11" customFormat="1" ht="15">
      <c r="A27" s="53" t="s">
        <v>464</v>
      </c>
      <c r="B27" s="54">
        <v>8.61</v>
      </c>
      <c r="C27" s="54">
        <v>20.170000000000002</v>
      </c>
      <c r="D27" s="54">
        <v>28.77</v>
      </c>
      <c r="E27" s="54">
        <v>4.5</v>
      </c>
      <c r="F27" s="54">
        <v>7.78</v>
      </c>
      <c r="G27" s="54">
        <v>26.5</v>
      </c>
      <c r="H27" s="54">
        <v>7.52</v>
      </c>
      <c r="I27" s="54">
        <v>1.89</v>
      </c>
      <c r="J27" s="54">
        <v>0.13</v>
      </c>
      <c r="K27" s="54">
        <v>24.66</v>
      </c>
      <c r="L27" s="54">
        <v>26.71</v>
      </c>
      <c r="M27" s="54">
        <v>78</v>
      </c>
      <c r="N27" s="54">
        <v>10.10</v>
      </c>
      <c r="O27" s="54">
        <v>0</v>
      </c>
      <c r="P27" s="54">
        <v>0.63</v>
      </c>
      <c r="Q27" s="54">
        <v>5.07</v>
      </c>
      <c r="R27" s="43"/>
      <c r="S27" s="43"/>
      <c r="T27" s="43"/>
      <c r="U27" s="43"/>
    </row>
    <row r="28" spans="1:21" s="11" customFormat="1" ht="15">
      <c r="A28" s="53" t="s">
        <v>465</v>
      </c>
      <c r="B28" s="54">
        <v>9.1300000000000008</v>
      </c>
      <c r="C28" s="54">
        <v>19.72</v>
      </c>
      <c r="D28" s="54">
        <v>28.10</v>
      </c>
      <c r="E28" s="54">
        <v>4.55</v>
      </c>
      <c r="F28" s="54">
        <v>4.0199999999999996</v>
      </c>
      <c r="G28" s="54">
        <v>31.42</v>
      </c>
      <c r="H28" s="54">
        <v>7.52</v>
      </c>
      <c r="I28" s="54">
        <v>1.83</v>
      </c>
      <c r="J28" s="54">
        <v>0.17</v>
      </c>
      <c r="K28" s="54">
        <v>347.86</v>
      </c>
      <c r="L28" s="54">
        <v>26.03</v>
      </c>
      <c r="M28" s="54">
        <v>82.35</v>
      </c>
      <c r="N28" s="54">
        <v>9.40</v>
      </c>
      <c r="O28" s="54">
        <v>0</v>
      </c>
      <c r="P28" s="54">
        <v>0.65</v>
      </c>
      <c r="Q28" s="54">
        <v>5.87</v>
      </c>
      <c r="R28" s="43"/>
      <c r="S28" s="43"/>
      <c r="T28" s="43"/>
      <c r="U28" s="43"/>
    </row>
    <row r="29" spans="1:21" s="11" customFormat="1" ht="15">
      <c r="A29" s="53" t="s">
        <v>466</v>
      </c>
      <c r="B29" s="54">
        <v>13.65</v>
      </c>
      <c r="C29" s="54">
        <v>18.399999999999999</v>
      </c>
      <c r="D29" s="54">
        <v>32.049999999999997</v>
      </c>
      <c r="E29" s="54">
        <v>5.25</v>
      </c>
      <c r="F29" s="54">
        <v>2.72</v>
      </c>
      <c r="G29" s="54">
        <v>36.880000000000003</v>
      </c>
      <c r="H29" s="54">
        <v>10.18</v>
      </c>
      <c r="I29" s="54">
        <v>1.82</v>
      </c>
      <c r="J29" s="54">
        <v>0.16</v>
      </c>
      <c r="K29" s="54">
        <v>347.87</v>
      </c>
      <c r="L29" s="54">
        <v>25.63</v>
      </c>
      <c r="M29" s="54">
        <v>85.87</v>
      </c>
      <c r="N29" s="54">
        <v>9.40</v>
      </c>
      <c r="O29" s="54">
        <v>0</v>
      </c>
      <c r="P29" s="54">
        <v>0.75</v>
      </c>
      <c r="Q29" s="54">
        <v>6.25</v>
      </c>
      <c r="R29" s="43"/>
      <c r="S29" s="43"/>
      <c r="T29" s="43"/>
      <c r="U29" s="43"/>
    </row>
    <row r="30" spans="1:21" s="11" customFormat="1" ht="15">
      <c r="A30" s="53" t="s">
        <v>467</v>
      </c>
      <c r="B30" s="54">
        <v>24.66</v>
      </c>
      <c r="C30" s="54">
        <v>30.14</v>
      </c>
      <c r="D30" s="54">
        <v>53.01</v>
      </c>
      <c r="E30" s="54">
        <v>5.53</v>
      </c>
      <c r="F30" s="54">
        <v>3.95</v>
      </c>
      <c r="G30" s="54">
        <v>43.87</v>
      </c>
      <c r="H30" s="54">
        <v>11.34</v>
      </c>
      <c r="I30" s="54">
        <v>1.82</v>
      </c>
      <c r="J30" s="54">
        <v>0.14000000000000001</v>
      </c>
      <c r="K30" s="54">
        <v>344.95</v>
      </c>
      <c r="L30" s="54">
        <v>25.15</v>
      </c>
      <c r="M30" s="54">
        <v>88.22</v>
      </c>
      <c r="N30" s="54">
        <v>9.40</v>
      </c>
      <c r="O30" s="54">
        <v>0</v>
      </c>
      <c r="P30" s="54">
        <v>1.03</v>
      </c>
      <c r="Q30" s="54">
        <v>8.3800000000000008</v>
      </c>
      <c r="R30" s="43"/>
      <c r="S30" s="43"/>
      <c r="T30" s="43"/>
      <c r="U30" s="43"/>
    </row>
    <row r="31" spans="1:21" s="11" customFormat="1" ht="15">
      <c r="A31" s="53" t="s">
        <v>468</v>
      </c>
      <c r="B31" s="54">
        <v>29.24</v>
      </c>
      <c r="C31" s="54">
        <v>28.16</v>
      </c>
      <c r="D31" s="54">
        <v>57.40</v>
      </c>
      <c r="E31" s="54">
        <v>5.69</v>
      </c>
      <c r="F31" s="54">
        <v>2.75</v>
      </c>
      <c r="G31" s="54">
        <v>54.27</v>
      </c>
      <c r="H31" s="54">
        <v>13.73</v>
      </c>
      <c r="I31" s="54">
        <v>1.84</v>
      </c>
      <c r="J31" s="54">
        <v>0.12</v>
      </c>
      <c r="K31" s="54">
        <v>351.39</v>
      </c>
      <c r="L31" s="54">
        <v>24.70</v>
      </c>
      <c r="M31" s="54">
        <v>92.22</v>
      </c>
      <c r="N31" s="54">
        <v>9.40</v>
      </c>
      <c r="O31" s="54">
        <v>0</v>
      </c>
      <c r="P31" s="54">
        <v>1.03</v>
      </c>
      <c r="Q31" s="54">
        <v>10.5</v>
      </c>
      <c r="R31" s="43"/>
      <c r="S31" s="43"/>
      <c r="T31" s="43"/>
      <c r="U31" s="43"/>
    </row>
    <row r="32" spans="1:21" s="11" customFormat="1" ht="15">
      <c r="A32" s="53" t="s">
        <v>469</v>
      </c>
      <c r="B32" s="54">
        <v>20.30</v>
      </c>
      <c r="C32" s="54">
        <v>19.239999999999998</v>
      </c>
      <c r="D32" s="54">
        <v>38.43</v>
      </c>
      <c r="E32" s="54">
        <v>5.26</v>
      </c>
      <c r="F32" s="54">
        <v>2.33</v>
      </c>
      <c r="G32" s="54">
        <v>54.27</v>
      </c>
      <c r="H32" s="54">
        <v>16.28</v>
      </c>
      <c r="I32" s="54">
        <v>1.90</v>
      </c>
      <c r="J32" s="54">
        <v>0.08</v>
      </c>
      <c r="K32" s="54">
        <v>358.90</v>
      </c>
      <c r="L32" s="54">
        <v>24.34</v>
      </c>
      <c r="M32" s="54">
        <v>93.89</v>
      </c>
      <c r="N32" s="54">
        <v>9.5</v>
      </c>
      <c r="O32" s="54">
        <v>0</v>
      </c>
      <c r="P32" s="54">
        <v>0.89</v>
      </c>
      <c r="Q32" s="54">
        <v>11.35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3.1400000000000001</v>
      </c>
      <c r="C34" s="28">
        <f t="shared" si="0"/>
        <v>9.25</v>
      </c>
      <c r="D34" s="28">
        <f t="shared" si="0"/>
        <v>13.68</v>
      </c>
      <c r="E34" s="28">
        <f t="shared" si="0"/>
        <v>3.6200000000000001</v>
      </c>
      <c r="F34" s="28">
        <f t="shared" si="0"/>
        <v>1.1699999999999999</v>
      </c>
      <c r="G34" s="28">
        <f t="shared" si="0"/>
        <v>18.66</v>
      </c>
      <c r="H34" s="28">
        <f t="shared" si="0"/>
        <v>7.5099999999999998</v>
      </c>
      <c r="I34" s="28">
        <f t="shared" si="0"/>
        <v>1.78</v>
      </c>
      <c r="J34" s="28">
        <f t="shared" si="0"/>
        <v>0.029999999999999999</v>
      </c>
      <c r="K34" s="28">
        <f t="shared" si="0"/>
        <v>15.880000000000001</v>
      </c>
      <c r="L34" s="28">
        <f t="shared" si="0"/>
        <v>21.75</v>
      </c>
      <c r="M34" s="28">
        <f t="shared" si="0"/>
        <v>62.039999999999999</v>
      </c>
      <c r="N34" s="28">
        <f t="shared" si="0"/>
        <v>9.4000000000000004</v>
      </c>
      <c r="O34" s="28">
        <f t="shared" si="0"/>
        <v>0</v>
      </c>
      <c r="P34" s="28">
        <f t="shared" si="0"/>
        <v>0.33000000000000002</v>
      </c>
      <c r="Q34" s="28">
        <f t="shared" si="0"/>
        <v>2.4100000000000001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29.239999999999998</v>
      </c>
      <c r="C35" s="29">
        <f t="shared" si="1"/>
        <v>30.140000000000001</v>
      </c>
      <c r="D35" s="29">
        <f t="shared" si="1"/>
        <v>57.399999999999999</v>
      </c>
      <c r="E35" s="29">
        <f t="shared" si="1"/>
        <v>5.9000000000000004</v>
      </c>
      <c r="F35" s="29">
        <f t="shared" si="1"/>
        <v>7.7800000000000002</v>
      </c>
      <c r="G35" s="29">
        <f t="shared" si="1"/>
        <v>54.270000000000003</v>
      </c>
      <c r="H35" s="29">
        <f t="shared" si="1"/>
        <v>16.280000000000001</v>
      </c>
      <c r="I35" s="29">
        <f t="shared" si="1"/>
        <v>1.8999999999999999</v>
      </c>
      <c r="J35" s="29">
        <f t="shared" si="1"/>
        <v>0.81999999999999995</v>
      </c>
      <c r="K35" s="29">
        <f t="shared" si="1"/>
        <v>359.69999999999999</v>
      </c>
      <c r="L35" s="29">
        <f t="shared" si="1"/>
        <v>31.539999999999999</v>
      </c>
      <c r="M35" s="29">
        <f t="shared" si="1"/>
        <v>98.799999999999997</v>
      </c>
      <c r="N35" s="29">
        <f t="shared" si="1"/>
        <v>995.29999999999995</v>
      </c>
      <c r="O35" s="29">
        <f t="shared" si="1"/>
        <v>0</v>
      </c>
      <c r="P35" s="29">
        <f t="shared" si="1"/>
        <v>1.03</v>
      </c>
      <c r="Q35" s="29">
        <f t="shared" si="1"/>
        <v>89.400000000000006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8.5283333333333342</v>
      </c>
      <c r="C36" s="28">
        <f t="shared" si="2"/>
        <v>14.949166666666668</v>
      </c>
      <c r="D36" s="28">
        <f t="shared" si="2"/>
        <v>23.0825</v>
      </c>
      <c r="E36" s="28">
        <f t="shared" si="2"/>
        <v>4.597083333333333</v>
      </c>
      <c r="F36" s="28">
        <f t="shared" si="2"/>
        <v>3.1749999999999994</v>
      </c>
      <c r="G36" s="28">
        <f t="shared" si="2"/>
        <v>29.350833333333338</v>
      </c>
      <c r="H36" s="28">
        <f t="shared" si="2"/>
        <v>10.50625</v>
      </c>
      <c r="I36" s="28">
        <f t="shared" si="2"/>
        <v>1.8291666666666668</v>
      </c>
      <c r="J36" s="28">
        <f t="shared" si="2"/>
        <v>0.27916666666666667</v>
      </c>
      <c r="K36" s="28">
        <f t="shared" si="2"/>
        <v>244.99791666666658</v>
      </c>
      <c r="L36" s="28">
        <f t="shared" si="2"/>
        <v>26.272916666666671</v>
      </c>
      <c r="M36" s="28">
        <f t="shared" si="2"/>
        <v>82.48624999999997</v>
      </c>
      <c r="N36" s="28">
        <f t="shared" si="2"/>
        <v>267.28333333333325</v>
      </c>
      <c r="O36" s="28">
        <f t="shared" si="2"/>
        <v>0</v>
      </c>
      <c r="P36" s="28">
        <f t="shared" si="2"/>
        <v>0.50624999999999998</v>
      </c>
      <c r="Q36" s="28">
        <f t="shared" si="2"/>
        <v>16.565833333333337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6.9316493216867636</v>
      </c>
      <c r="C37" s="28">
        <f t="shared" si="3" ref="C37:Q37">STDEV(C9:C32)</f>
        <v>5.7623341561849912</v>
      </c>
      <c r="D37" s="28">
        <f t="shared" si="3"/>
        <v>11.759601534953022</v>
      </c>
      <c r="E37" s="28">
        <f t="shared" si="3"/>
        <v>0.68464830175897706</v>
      </c>
      <c r="F37" s="28">
        <f t="shared" si="3"/>
        <v>1.4598987457444064</v>
      </c>
      <c r="G37" s="28">
        <f t="shared" si="3"/>
        <v>9.5653541113417262</v>
      </c>
      <c r="H37" s="28">
        <f t="shared" si="3"/>
        <v>2.5076696483423411</v>
      </c>
      <c r="I37" s="28">
        <f t="shared" si="3"/>
        <v>0.029030219137795098</v>
      </c>
      <c r="J37" s="28">
        <f t="shared" si="3"/>
        <v>0.19160458982127679</v>
      </c>
      <c r="K37" s="28">
        <f t="shared" si="3"/>
        <v>128.65182112228243</v>
      </c>
      <c r="L37" s="28">
        <f t="shared" si="3"/>
        <v>3.2606127447175273</v>
      </c>
      <c r="M37" s="28">
        <f t="shared" si="3"/>
        <v>14.481657607650503</v>
      </c>
      <c r="N37" s="28">
        <f t="shared" si="3"/>
        <v>366.52593794765181</v>
      </c>
      <c r="O37" s="28">
        <f t="shared" si="3"/>
        <v>0</v>
      </c>
      <c r="P37" s="28">
        <f t="shared" si="3"/>
        <v>0.21300770551483741</v>
      </c>
      <c r="Q37" s="28">
        <f t="shared" si="3"/>
        <v>24.966303363197127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1d6175d-2c46-4255-9aee-c3357ac493a4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4" sqref="G64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18-09-2023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470</v>
      </c>
      <c r="B9" s="54">
        <v>11.53</v>
      </c>
      <c r="C9" s="54">
        <v>19.88</v>
      </c>
      <c r="D9" s="54">
        <v>27.84</v>
      </c>
      <c r="E9" s="54">
        <v>5.1100000000000003</v>
      </c>
      <c r="F9" s="54">
        <v>4.3899999999999997</v>
      </c>
      <c r="G9" s="54">
        <v>50.71</v>
      </c>
      <c r="H9" s="54">
        <v>16.28</v>
      </c>
      <c r="I9" s="54">
        <v>1.83</v>
      </c>
      <c r="J9" s="54">
        <v>0.08</v>
      </c>
      <c r="K9" s="54">
        <v>281.82</v>
      </c>
      <c r="L9" s="54">
        <v>24.24</v>
      </c>
      <c r="M9" s="54">
        <v>95.68</v>
      </c>
      <c r="N9" s="54">
        <v>9.5</v>
      </c>
      <c r="O9" s="54">
        <v>0</v>
      </c>
      <c r="P9" s="54">
        <v>0.67</v>
      </c>
      <c r="Q9" s="54">
        <v>9.31</v>
      </c>
      <c r="R9" s="43"/>
      <c r="S9" s="43"/>
      <c r="T9" s="43"/>
      <c r="U9" s="43"/>
    </row>
    <row r="10" spans="1:21" s="11" customFormat="1" ht="15">
      <c r="A10" s="53" t="s">
        <v>471</v>
      </c>
      <c r="B10" s="54">
        <v>11.36</v>
      </c>
      <c r="C10" s="54">
        <v>21.76</v>
      </c>
      <c r="D10" s="54">
        <v>28.78</v>
      </c>
      <c r="E10" s="54">
        <v>5.23</v>
      </c>
      <c r="F10" s="54">
        <v>2.10</v>
      </c>
      <c r="G10" s="54">
        <v>40.86</v>
      </c>
      <c r="H10" s="54">
        <v>14.82</v>
      </c>
      <c r="I10" s="54">
        <v>1.84</v>
      </c>
      <c r="J10" s="54">
        <v>0.10</v>
      </c>
      <c r="K10" s="54">
        <v>355.78</v>
      </c>
      <c r="L10" s="54">
        <v>23.42</v>
      </c>
      <c r="M10" s="54">
        <v>98.77</v>
      </c>
      <c r="N10" s="54">
        <v>9.5</v>
      </c>
      <c r="O10" s="54">
        <v>0</v>
      </c>
      <c r="P10" s="54">
        <v>0.68</v>
      </c>
      <c r="Q10" s="54">
        <v>10.87</v>
      </c>
      <c r="R10" s="43"/>
      <c r="S10" s="43"/>
      <c r="T10" s="43"/>
      <c r="U10" s="43"/>
    </row>
    <row r="11" spans="1:21" s="11" customFormat="1" ht="15">
      <c r="A11" s="53" t="s">
        <v>472</v>
      </c>
      <c r="B11" s="54">
        <v>12.39</v>
      </c>
      <c r="C11" s="54">
        <v>10.11</v>
      </c>
      <c r="D11" s="54">
        <v>22.5</v>
      </c>
      <c r="E11" s="54">
        <v>5.41</v>
      </c>
      <c r="F11" s="54">
        <v>1.33</v>
      </c>
      <c r="G11" s="54">
        <v>37.81</v>
      </c>
      <c r="H11" s="54">
        <v>14.82</v>
      </c>
      <c r="I11" s="54">
        <v>1.82</v>
      </c>
      <c r="J11" s="54">
        <v>0.05</v>
      </c>
      <c r="K11" s="54">
        <v>309.97000000000003</v>
      </c>
      <c r="L11" s="54">
        <v>23.48</v>
      </c>
      <c r="M11" s="54">
        <v>98.78</v>
      </c>
      <c r="N11" s="54">
        <v>9.10</v>
      </c>
      <c r="O11" s="54">
        <v>0</v>
      </c>
      <c r="P11" s="54">
        <v>0.68</v>
      </c>
      <c r="Q11" s="54">
        <v>10.91</v>
      </c>
      <c r="R11" s="43"/>
      <c r="S11" s="43"/>
      <c r="T11" s="43"/>
      <c r="U11" s="43"/>
    </row>
    <row r="12" spans="1:21" s="11" customFormat="1" ht="15">
      <c r="A12" s="53" t="s">
        <v>473</v>
      </c>
      <c r="B12" s="54">
        <v>10.15</v>
      </c>
      <c r="C12" s="54">
        <v>9.6300000000000008</v>
      </c>
      <c r="D12" s="54">
        <v>19.309999999999999</v>
      </c>
      <c r="E12" s="54">
        <v>5.20</v>
      </c>
      <c r="F12" s="54">
        <v>2.4500000000000002</v>
      </c>
      <c r="G12" s="54">
        <v>34.770000000000003</v>
      </c>
      <c r="H12" s="54">
        <v>12.62</v>
      </c>
      <c r="I12" s="54">
        <v>1.87</v>
      </c>
      <c r="J12" s="54">
        <v>0.14000000000000001</v>
      </c>
      <c r="K12" s="54">
        <v>288.24</v>
      </c>
      <c r="L12" s="54">
        <v>23.24</v>
      </c>
      <c r="M12" s="54">
        <v>98.78</v>
      </c>
      <c r="N12" s="54">
        <v>9.10</v>
      </c>
      <c r="O12" s="54">
        <v>0</v>
      </c>
      <c r="P12" s="54">
        <v>0.55000000000000004</v>
      </c>
      <c r="Q12" s="54">
        <v>10.07</v>
      </c>
      <c r="R12" s="43"/>
      <c r="S12" s="43"/>
      <c r="T12" s="43"/>
      <c r="U12" s="43"/>
    </row>
    <row r="13" spans="1:21" s="11" customFormat="1" ht="15">
      <c r="A13" s="53" t="s">
        <v>474</v>
      </c>
      <c r="B13" s="54">
        <v>9.15</v>
      </c>
      <c r="C13" s="54">
        <v>9.26</v>
      </c>
      <c r="D13" s="54">
        <v>18.38</v>
      </c>
      <c r="E13" s="54">
        <v>4.20</v>
      </c>
      <c r="F13" s="54">
        <v>1.30</v>
      </c>
      <c r="G13" s="54">
        <v>33.840000000000003</v>
      </c>
      <c r="H13" s="54">
        <v>11.49</v>
      </c>
      <c r="I13" s="54">
        <v>1.80</v>
      </c>
      <c r="J13" s="54">
        <v>0.13</v>
      </c>
      <c r="K13" s="54">
        <v>351.69</v>
      </c>
      <c r="L13" s="54">
        <v>22.96</v>
      </c>
      <c r="M13" s="54">
        <v>98.78</v>
      </c>
      <c r="N13" s="54">
        <v>9.1999999999999993</v>
      </c>
      <c r="O13" s="54">
        <v>0</v>
      </c>
      <c r="P13" s="54">
        <v>0.53</v>
      </c>
      <c r="Q13" s="54">
        <v>9.17</v>
      </c>
      <c r="R13" s="43"/>
      <c r="S13" s="43"/>
      <c r="T13" s="43"/>
      <c r="U13" s="43"/>
    </row>
    <row r="14" spans="1:21" s="11" customFormat="1" ht="15">
      <c r="A14" s="53" t="s">
        <v>475</v>
      </c>
      <c r="B14" s="54">
        <v>10.32</v>
      </c>
      <c r="C14" s="54">
        <v>9.08</v>
      </c>
      <c r="D14" s="54">
        <v>19.20</v>
      </c>
      <c r="E14" s="54">
        <v>3.94</v>
      </c>
      <c r="F14" s="54">
        <v>0.90</v>
      </c>
      <c r="G14" s="54">
        <v>28.78</v>
      </c>
      <c r="H14" s="54">
        <v>11.49</v>
      </c>
      <c r="I14" s="54">
        <v>1.85</v>
      </c>
      <c r="J14" s="54">
        <v>0.15</v>
      </c>
      <c r="K14" s="54">
        <v>356.33</v>
      </c>
      <c r="L14" s="54">
        <v>22.74</v>
      </c>
      <c r="M14" s="54">
        <v>98.78</v>
      </c>
      <c r="N14" s="54">
        <v>24.20</v>
      </c>
      <c r="O14" s="54">
        <v>0</v>
      </c>
      <c r="P14" s="54">
        <v>0.51</v>
      </c>
      <c r="Q14" s="54">
        <v>7.78</v>
      </c>
      <c r="R14" s="43"/>
      <c r="S14" s="43"/>
      <c r="T14" s="43"/>
      <c r="U14" s="43"/>
    </row>
    <row r="15" spans="1:21" s="11" customFormat="1" ht="15">
      <c r="A15" s="53" t="s">
        <v>476</v>
      </c>
      <c r="B15" s="54">
        <v>16.32</v>
      </c>
      <c r="C15" s="54">
        <v>14.27</v>
      </c>
      <c r="D15" s="54">
        <v>29.68</v>
      </c>
      <c r="E15" s="54">
        <v>4.21</v>
      </c>
      <c r="F15" s="54">
        <v>1.18</v>
      </c>
      <c r="G15" s="54">
        <v>38.409999999999997</v>
      </c>
      <c r="H15" s="54">
        <v>15.05</v>
      </c>
      <c r="I15" s="54">
        <v>1.84</v>
      </c>
      <c r="J15" s="54">
        <v>0.18</v>
      </c>
      <c r="K15" s="54">
        <v>334.90</v>
      </c>
      <c r="L15" s="54">
        <v>24.66</v>
      </c>
      <c r="M15" s="54">
        <v>98.78</v>
      </c>
      <c r="N15" s="54">
        <v>167.5</v>
      </c>
      <c r="O15" s="54">
        <v>0</v>
      </c>
      <c r="P15" s="54">
        <v>0.54</v>
      </c>
      <c r="Q15" s="54">
        <v>9.27</v>
      </c>
      <c r="R15" s="43"/>
      <c r="S15" s="43"/>
      <c r="T15" s="43"/>
      <c r="U15" s="43"/>
    </row>
    <row r="16" spans="1:21" s="11" customFormat="1" ht="15">
      <c r="A16" s="53" t="s">
        <v>477</v>
      </c>
      <c r="B16" s="54">
        <v>14.43</v>
      </c>
      <c r="C16" s="54">
        <v>14.11</v>
      </c>
      <c r="D16" s="54">
        <v>28.55</v>
      </c>
      <c r="E16" s="54">
        <v>4.3099999999999996</v>
      </c>
      <c r="F16" s="54">
        <v>0.82</v>
      </c>
      <c r="G16" s="54">
        <v>40.61</v>
      </c>
      <c r="H16" s="54">
        <v>15.05</v>
      </c>
      <c r="I16" s="54">
        <v>1.92</v>
      </c>
      <c r="J16" s="54">
        <v>0.40</v>
      </c>
      <c r="K16" s="54">
        <v>353.83</v>
      </c>
      <c r="L16" s="54">
        <v>31.31</v>
      </c>
      <c r="M16" s="54">
        <v>88.52</v>
      </c>
      <c r="N16" s="54">
        <v>434.40</v>
      </c>
      <c r="O16" s="54">
        <v>0</v>
      </c>
      <c r="P16" s="54">
        <v>0.60</v>
      </c>
      <c r="Q16" s="54">
        <v>9.5399999999999991</v>
      </c>
      <c r="R16" s="43"/>
      <c r="S16" s="43"/>
      <c r="T16" s="43"/>
      <c r="U16" s="43"/>
    </row>
    <row r="17" spans="1:21" s="11" customFormat="1" ht="15">
      <c r="A17" s="53" t="s">
        <v>478</v>
      </c>
      <c r="B17" s="54">
        <v>14.99</v>
      </c>
      <c r="C17" s="54">
        <v>14.41</v>
      </c>
      <c r="D17" s="54">
        <v>27.26</v>
      </c>
      <c r="E17" s="54">
        <v>4.82</v>
      </c>
      <c r="F17" s="54">
        <v>1.33</v>
      </c>
      <c r="G17" s="54">
        <v>49.17</v>
      </c>
      <c r="H17" s="54">
        <v>17.510000000000002</v>
      </c>
      <c r="I17" s="54">
        <v>1.82</v>
      </c>
      <c r="J17" s="54">
        <v>0.56000000000000005</v>
      </c>
      <c r="K17" s="54">
        <v>322.62</v>
      </c>
      <c r="L17" s="54">
        <v>32.840000000000003</v>
      </c>
      <c r="M17" s="54">
        <v>61.72</v>
      </c>
      <c r="N17" s="54">
        <v>659.10</v>
      </c>
      <c r="O17" s="54">
        <v>0</v>
      </c>
      <c r="P17" s="54">
        <v>0.61</v>
      </c>
      <c r="Q17" s="54">
        <v>9.07</v>
      </c>
      <c r="R17" s="43"/>
      <c r="S17" s="43"/>
      <c r="T17" s="43"/>
      <c r="U17" s="43"/>
    </row>
    <row r="18" spans="1:21" s="11" customFormat="1" ht="15">
      <c r="A18" s="53" t="s">
        <v>479</v>
      </c>
      <c r="B18" s="54">
        <v>11.76</v>
      </c>
      <c r="C18" s="54">
        <v>22.30</v>
      </c>
      <c r="D18" s="54">
        <v>33.46</v>
      </c>
      <c r="E18" s="54">
        <v>4.46</v>
      </c>
      <c r="F18" s="54">
        <v>1.90</v>
      </c>
      <c r="G18" s="54">
        <v>49.17</v>
      </c>
      <c r="H18" s="54">
        <v>17.510000000000002</v>
      </c>
      <c r="I18" s="54">
        <v>1.84</v>
      </c>
      <c r="J18" s="54">
        <v>0.57999999999999996</v>
      </c>
      <c r="K18" s="54">
        <v>343.94</v>
      </c>
      <c r="L18" s="54">
        <v>34.479999999999997</v>
      </c>
      <c r="M18" s="54">
        <v>60.08</v>
      </c>
      <c r="N18" s="54">
        <v>836.70</v>
      </c>
      <c r="O18" s="54">
        <v>0</v>
      </c>
      <c r="P18" s="54">
        <v>0.61</v>
      </c>
      <c r="Q18" s="54">
        <v>8.39</v>
      </c>
      <c r="R18" s="43"/>
      <c r="S18" s="43"/>
      <c r="T18" s="43"/>
      <c r="U18" s="43"/>
    </row>
    <row r="19" spans="1:21" s="11" customFormat="1" ht="15">
      <c r="A19" s="53" t="s">
        <v>480</v>
      </c>
      <c r="B19" s="54">
        <v>9.43</v>
      </c>
      <c r="C19" s="54">
        <v>19.14</v>
      </c>
      <c r="D19" s="54">
        <v>26.77</v>
      </c>
      <c r="E19" s="54">
        <v>4.62</v>
      </c>
      <c r="F19" s="54">
        <v>2.76</v>
      </c>
      <c r="G19" s="54">
        <v>47.16</v>
      </c>
      <c r="H19" s="54">
        <v>13.82</v>
      </c>
      <c r="I19" s="54">
        <v>1.87</v>
      </c>
      <c r="J19" s="54">
        <v>0.70</v>
      </c>
      <c r="K19" s="54">
        <v>352.45</v>
      </c>
      <c r="L19" s="54">
        <v>33.950000000000003</v>
      </c>
      <c r="M19" s="54">
        <v>52.5</v>
      </c>
      <c r="N19" s="54">
        <v>865.40</v>
      </c>
      <c r="O19" s="54">
        <v>0</v>
      </c>
      <c r="P19" s="54">
        <v>0.59</v>
      </c>
      <c r="Q19" s="54">
        <v>6.97</v>
      </c>
      <c r="R19" s="43"/>
      <c r="S19" s="43"/>
      <c r="T19" s="43"/>
      <c r="U19" s="43"/>
    </row>
    <row r="20" spans="1:21" s="11" customFormat="1" ht="15">
      <c r="A20" s="53" t="s">
        <v>481</v>
      </c>
      <c r="B20" s="54">
        <v>6.93</v>
      </c>
      <c r="C20" s="54">
        <v>24.46</v>
      </c>
      <c r="D20" s="54">
        <v>30.55</v>
      </c>
      <c r="E20" s="54">
        <v>4.1500000000000004</v>
      </c>
      <c r="F20" s="54">
        <v>7.36</v>
      </c>
      <c r="G20" s="54">
        <v>42.46</v>
      </c>
      <c r="H20" s="54">
        <v>12.57</v>
      </c>
      <c r="I20" s="54">
        <v>1.91</v>
      </c>
      <c r="J20" s="54">
        <v>1.1399999999999999</v>
      </c>
      <c r="K20" s="54">
        <v>342.46</v>
      </c>
      <c r="L20" s="54">
        <v>33.270000000000003</v>
      </c>
      <c r="M20" s="54">
        <v>57.24</v>
      </c>
      <c r="N20" s="54">
        <v>766.80</v>
      </c>
      <c r="O20" s="54">
        <v>0</v>
      </c>
      <c r="P20" s="54">
        <v>0.62</v>
      </c>
      <c r="Q20" s="54">
        <v>5.83</v>
      </c>
      <c r="R20" s="43"/>
      <c r="S20" s="43"/>
      <c r="T20" s="43"/>
      <c r="U20" s="43"/>
    </row>
    <row r="21" spans="1:21" s="11" customFormat="1" ht="15">
      <c r="A21" s="53" t="s">
        <v>482</v>
      </c>
      <c r="B21" s="54">
        <v>15.58</v>
      </c>
      <c r="C21" s="54">
        <v>24.09</v>
      </c>
      <c r="D21" s="54">
        <v>39.46</v>
      </c>
      <c r="E21" s="54">
        <v>3.81</v>
      </c>
      <c r="F21" s="54">
        <v>11.83</v>
      </c>
      <c r="G21" s="54">
        <v>28.49</v>
      </c>
      <c r="H21" s="54">
        <v>12.28</v>
      </c>
      <c r="I21" s="54">
        <v>1.83</v>
      </c>
      <c r="J21" s="54">
        <v>1.07</v>
      </c>
      <c r="K21" s="54">
        <v>337.66</v>
      </c>
      <c r="L21" s="54">
        <v>34.83</v>
      </c>
      <c r="M21" s="54">
        <v>50.81</v>
      </c>
      <c r="N21" s="54">
        <v>637.10</v>
      </c>
      <c r="O21" s="54">
        <v>0</v>
      </c>
      <c r="P21" s="54">
        <v>0.65</v>
      </c>
      <c r="Q21" s="54">
        <v>5.66</v>
      </c>
      <c r="R21" s="43"/>
      <c r="S21" s="43"/>
      <c r="T21" s="43"/>
      <c r="U21" s="43"/>
    </row>
    <row r="22" spans="1:21" s="11" customFormat="1" ht="15">
      <c r="A22" s="53" t="s">
        <v>483</v>
      </c>
      <c r="B22" s="54">
        <v>5.51</v>
      </c>
      <c r="C22" s="54">
        <v>17.690000000000001</v>
      </c>
      <c r="D22" s="54">
        <v>23.20</v>
      </c>
      <c r="E22" s="54">
        <v>3.93</v>
      </c>
      <c r="F22" s="54">
        <v>4.37</v>
      </c>
      <c r="G22" s="54">
        <v>28.49</v>
      </c>
      <c r="H22" s="54">
        <v>13.68</v>
      </c>
      <c r="I22" s="54">
        <v>1.87</v>
      </c>
      <c r="J22" s="54">
        <v>0.31</v>
      </c>
      <c r="K22" s="54">
        <v>334.91</v>
      </c>
      <c r="L22" s="54">
        <v>32.43</v>
      </c>
      <c r="M22" s="54">
        <v>61.90</v>
      </c>
      <c r="N22" s="54">
        <v>444.10</v>
      </c>
      <c r="O22" s="54">
        <v>0</v>
      </c>
      <c r="P22" s="54">
        <v>0.59</v>
      </c>
      <c r="Q22" s="54">
        <v>7.83</v>
      </c>
      <c r="R22" s="43"/>
      <c r="S22" s="43"/>
      <c r="T22" s="43"/>
      <c r="U22" s="43"/>
    </row>
    <row r="23" spans="1:21" s="11" customFormat="1" ht="15">
      <c r="A23" s="53" t="s">
        <v>484</v>
      </c>
      <c r="B23" s="54">
        <v>2.61</v>
      </c>
      <c r="C23" s="54">
        <v>16.64</v>
      </c>
      <c r="D23" s="54">
        <v>19.07</v>
      </c>
      <c r="E23" s="54">
        <v>3.37</v>
      </c>
      <c r="F23" s="54">
        <v>4.43</v>
      </c>
      <c r="G23" s="54">
        <v>34.60</v>
      </c>
      <c r="H23" s="54">
        <v>13.68</v>
      </c>
      <c r="I23" s="54">
        <v>1.84</v>
      </c>
      <c r="J23" s="54">
        <v>0.28999999999999998</v>
      </c>
      <c r="K23" s="54">
        <v>163.60</v>
      </c>
      <c r="L23" s="54">
        <v>29.52</v>
      </c>
      <c r="M23" s="54">
        <v>63.56</v>
      </c>
      <c r="N23" s="54">
        <v>361.20</v>
      </c>
      <c r="O23" s="54">
        <v>0</v>
      </c>
      <c r="P23" s="54">
        <v>0.61</v>
      </c>
      <c r="Q23" s="54">
        <v>5.32</v>
      </c>
      <c r="R23" s="43"/>
      <c r="S23" s="43"/>
      <c r="T23" s="43"/>
      <c r="U23" s="43"/>
    </row>
    <row r="24" spans="1:21" s="11" customFormat="1" ht="15">
      <c r="A24" s="53" t="s">
        <v>485</v>
      </c>
      <c r="B24" s="54">
        <v>2.67</v>
      </c>
      <c r="C24" s="54">
        <v>15.40</v>
      </c>
      <c r="D24" s="54">
        <v>17.82</v>
      </c>
      <c r="E24" s="54">
        <v>3.76</v>
      </c>
      <c r="F24" s="54">
        <v>11.48</v>
      </c>
      <c r="G24" s="54">
        <v>34.60</v>
      </c>
      <c r="H24" s="54">
        <v>11.55</v>
      </c>
      <c r="I24" s="54">
        <v>1.83</v>
      </c>
      <c r="J24" s="54">
        <v>1.25</v>
      </c>
      <c r="K24" s="54">
        <v>145.55000000000001</v>
      </c>
      <c r="L24" s="54">
        <v>28.79</v>
      </c>
      <c r="M24" s="54">
        <v>68.06</v>
      </c>
      <c r="N24" s="54">
        <v>251.70</v>
      </c>
      <c r="O24" s="54">
        <v>0</v>
      </c>
      <c r="P24" s="54">
        <v>0.59</v>
      </c>
      <c r="Q24" s="54">
        <v>5.62</v>
      </c>
      <c r="R24" s="43"/>
      <c r="S24" s="43"/>
      <c r="T24" s="43"/>
      <c r="U24" s="43"/>
    </row>
    <row r="25" spans="1:21" s="11" customFormat="1" ht="15">
      <c r="A25" s="53" t="s">
        <v>486</v>
      </c>
      <c r="B25" s="54">
        <v>6.45</v>
      </c>
      <c r="C25" s="54">
        <v>17.23</v>
      </c>
      <c r="D25" s="54">
        <v>23.67</v>
      </c>
      <c r="E25" s="54">
        <v>4.91</v>
      </c>
      <c r="F25" s="54">
        <v>8.2899999999999991</v>
      </c>
      <c r="G25" s="54">
        <v>43.43</v>
      </c>
      <c r="H25" s="54">
        <v>13.86</v>
      </c>
      <c r="I25" s="54">
        <v>1.84</v>
      </c>
      <c r="J25" s="54">
        <v>0.16</v>
      </c>
      <c r="K25" s="54">
        <v>332.15</v>
      </c>
      <c r="L25" s="54">
        <v>28.73</v>
      </c>
      <c r="M25" s="54">
        <v>67.78</v>
      </c>
      <c r="N25" s="54">
        <v>118.5</v>
      </c>
      <c r="O25" s="54">
        <v>0</v>
      </c>
      <c r="P25" s="54">
        <v>0.51</v>
      </c>
      <c r="Q25" s="54">
        <v>5.28</v>
      </c>
      <c r="R25" s="43"/>
      <c r="S25" s="43"/>
      <c r="T25" s="43"/>
      <c r="U25" s="43"/>
    </row>
    <row r="26" spans="1:21" s="11" customFormat="1" ht="15">
      <c r="A26" s="53" t="s">
        <v>487</v>
      </c>
      <c r="B26" s="54">
        <v>4.71</v>
      </c>
      <c r="C26" s="54">
        <v>17.86</v>
      </c>
      <c r="D26" s="54">
        <v>21.61</v>
      </c>
      <c r="E26" s="54">
        <v>5.09</v>
      </c>
      <c r="F26" s="54">
        <v>13.48</v>
      </c>
      <c r="G26" s="54">
        <v>43.43</v>
      </c>
      <c r="H26" s="54">
        <v>13.86</v>
      </c>
      <c r="I26" s="54">
        <v>1.82</v>
      </c>
      <c r="J26" s="54">
        <v>0.21</v>
      </c>
      <c r="K26" s="54">
        <v>275.17</v>
      </c>
      <c r="L26" s="54">
        <v>28.10</v>
      </c>
      <c r="M26" s="54">
        <v>72.17</v>
      </c>
      <c r="N26" s="54">
        <v>67.099999999999994</v>
      </c>
      <c r="O26" s="54">
        <v>0</v>
      </c>
      <c r="P26" s="54">
        <v>0.45</v>
      </c>
      <c r="Q26" s="54">
        <v>5.63</v>
      </c>
      <c r="R26" s="43"/>
      <c r="S26" s="43"/>
      <c r="T26" s="43"/>
      <c r="U26" s="43"/>
    </row>
    <row r="27" spans="1:21" s="11" customFormat="1" ht="15">
      <c r="A27" s="53" t="s">
        <v>488</v>
      </c>
      <c r="B27" s="54">
        <v>7.08</v>
      </c>
      <c r="C27" s="54">
        <v>28.64</v>
      </c>
      <c r="D27" s="54">
        <v>35.72</v>
      </c>
      <c r="E27" s="54">
        <v>4.8099999999999996</v>
      </c>
      <c r="F27" s="54">
        <v>14.79</v>
      </c>
      <c r="G27" s="54">
        <v>36.07</v>
      </c>
      <c r="H27" s="54">
        <v>12.68</v>
      </c>
      <c r="I27" s="54">
        <v>1.83</v>
      </c>
      <c r="J27" s="54">
        <v>0.12</v>
      </c>
      <c r="K27" s="54">
        <v>234.27</v>
      </c>
      <c r="L27" s="54">
        <v>27.28</v>
      </c>
      <c r="M27" s="54">
        <v>77.97</v>
      </c>
      <c r="N27" s="54">
        <v>11.10</v>
      </c>
      <c r="O27" s="54">
        <v>0</v>
      </c>
      <c r="P27" s="54">
        <v>0.54</v>
      </c>
      <c r="Q27" s="54">
        <v>6.35</v>
      </c>
      <c r="R27" s="43"/>
      <c r="S27" s="43"/>
      <c r="T27" s="43"/>
      <c r="U27" s="43"/>
    </row>
    <row r="28" spans="1:21" s="11" customFormat="1" ht="15">
      <c r="A28" s="53" t="s">
        <v>489</v>
      </c>
      <c r="B28" s="54">
        <v>16.350000000000001</v>
      </c>
      <c r="C28" s="54">
        <v>24.23</v>
      </c>
      <c r="D28" s="54">
        <v>40.57</v>
      </c>
      <c r="E28" s="54">
        <v>5.18</v>
      </c>
      <c r="F28" s="54">
        <v>5.46</v>
      </c>
      <c r="G28" s="54">
        <v>43.13</v>
      </c>
      <c r="H28" s="54">
        <v>12.90</v>
      </c>
      <c r="I28" s="54">
        <v>1.82</v>
      </c>
      <c r="J28" s="54">
        <v>0.27</v>
      </c>
      <c r="K28" s="54">
        <v>358.68</v>
      </c>
      <c r="L28" s="54">
        <v>26.81</v>
      </c>
      <c r="M28" s="54">
        <v>80.739999999999995</v>
      </c>
      <c r="N28" s="54">
        <v>9.40</v>
      </c>
      <c r="O28" s="54">
        <v>0</v>
      </c>
      <c r="P28" s="54">
        <v>0.81</v>
      </c>
      <c r="Q28" s="54">
        <v>8.4499999999999993</v>
      </c>
      <c r="R28" s="43"/>
      <c r="S28" s="43"/>
      <c r="T28" s="43"/>
      <c r="U28" s="43"/>
    </row>
    <row r="29" spans="1:21" s="11" customFormat="1" ht="15">
      <c r="A29" s="53" t="s">
        <v>490</v>
      </c>
      <c r="B29" s="54">
        <v>16.329999999999998</v>
      </c>
      <c r="C29" s="54">
        <v>21.30</v>
      </c>
      <c r="D29" s="54">
        <v>37.619999999999997</v>
      </c>
      <c r="E29" s="54">
        <v>4.80</v>
      </c>
      <c r="F29" s="54">
        <v>5.69</v>
      </c>
      <c r="G29" s="54">
        <v>48.08</v>
      </c>
      <c r="H29" s="54">
        <v>14.58</v>
      </c>
      <c r="I29" s="54">
        <v>1.87</v>
      </c>
      <c r="J29" s="54">
        <v>0.43</v>
      </c>
      <c r="K29" s="54">
        <v>335.84</v>
      </c>
      <c r="L29" s="54">
        <v>26.57</v>
      </c>
      <c r="M29" s="54">
        <v>81.36</v>
      </c>
      <c r="N29" s="54">
        <v>9.5</v>
      </c>
      <c r="O29" s="54">
        <v>0</v>
      </c>
      <c r="P29" s="54">
        <v>0.75</v>
      </c>
      <c r="Q29" s="54">
        <v>11.23</v>
      </c>
      <c r="R29" s="43"/>
      <c r="S29" s="43"/>
      <c r="T29" s="43"/>
      <c r="U29" s="43"/>
    </row>
    <row r="30" spans="1:21" s="11" customFormat="1" ht="15">
      <c r="A30" s="53" t="s">
        <v>491</v>
      </c>
      <c r="B30" s="54">
        <v>16.170000000000002</v>
      </c>
      <c r="C30" s="54">
        <v>22.92</v>
      </c>
      <c r="D30" s="54">
        <v>36.04</v>
      </c>
      <c r="E30" s="54">
        <v>4.8600000000000003</v>
      </c>
      <c r="F30" s="54">
        <v>10.16</v>
      </c>
      <c r="G30" s="54">
        <v>48.5</v>
      </c>
      <c r="H30" s="54">
        <v>14.80</v>
      </c>
      <c r="I30" s="54">
        <v>1.83</v>
      </c>
      <c r="J30" s="54">
        <v>0.32</v>
      </c>
      <c r="K30" s="54">
        <v>342.88</v>
      </c>
      <c r="L30" s="54">
        <v>26.11</v>
      </c>
      <c r="M30" s="54">
        <v>84.27</v>
      </c>
      <c r="N30" s="54">
        <v>9.5</v>
      </c>
      <c r="O30" s="54">
        <v>0</v>
      </c>
      <c r="P30" s="54">
        <v>0.72</v>
      </c>
      <c r="Q30" s="54">
        <v>11.37</v>
      </c>
      <c r="R30" s="43"/>
      <c r="S30" s="43"/>
      <c r="T30" s="43"/>
      <c r="U30" s="43"/>
    </row>
    <row r="31" spans="1:21" s="11" customFormat="1" ht="15">
      <c r="A31" s="53" t="s">
        <v>492</v>
      </c>
      <c r="B31" s="54">
        <v>13.56</v>
      </c>
      <c r="C31" s="54">
        <v>13.24</v>
      </c>
      <c r="D31" s="54">
        <v>26.59</v>
      </c>
      <c r="E31" s="54">
        <v>4.84</v>
      </c>
      <c r="F31" s="54">
        <v>2.44</v>
      </c>
      <c r="G31" s="54">
        <v>50.49</v>
      </c>
      <c r="H31" s="54">
        <v>16.670000000000002</v>
      </c>
      <c r="I31" s="54">
        <v>1.81</v>
      </c>
      <c r="J31" s="54">
        <v>0.47</v>
      </c>
      <c r="K31" s="54">
        <v>339.48</v>
      </c>
      <c r="L31" s="54">
        <v>25.64</v>
      </c>
      <c r="M31" s="54">
        <v>88.09</v>
      </c>
      <c r="N31" s="54">
        <v>9.5</v>
      </c>
      <c r="O31" s="54">
        <v>0</v>
      </c>
      <c r="P31" s="54">
        <v>0.69</v>
      </c>
      <c r="Q31" s="54">
        <v>11.84</v>
      </c>
      <c r="R31" s="43"/>
      <c r="S31" s="43"/>
      <c r="T31" s="43"/>
      <c r="U31" s="43"/>
    </row>
    <row r="32" spans="1:21" s="11" customFormat="1" ht="15">
      <c r="A32" s="53" t="s">
        <v>493</v>
      </c>
      <c r="B32" s="54">
        <v>10.41</v>
      </c>
      <c r="C32" s="54">
        <v>15.03</v>
      </c>
      <c r="D32" s="54">
        <v>25.44</v>
      </c>
      <c r="E32" s="54">
        <v>4.34</v>
      </c>
      <c r="F32" s="54">
        <v>4.70</v>
      </c>
      <c r="G32" s="54">
        <v>50.49</v>
      </c>
      <c r="H32" s="54">
        <v>16.670000000000002</v>
      </c>
      <c r="I32" s="54">
        <v>1.86</v>
      </c>
      <c r="J32" s="54">
        <v>0.46</v>
      </c>
      <c r="K32" s="54">
        <v>337.78</v>
      </c>
      <c r="L32" s="54">
        <v>25.13</v>
      </c>
      <c r="M32" s="54">
        <v>97.30</v>
      </c>
      <c r="N32" s="54">
        <v>9.60</v>
      </c>
      <c r="O32" s="54">
        <v>0</v>
      </c>
      <c r="P32" s="54">
        <v>0.65</v>
      </c>
      <c r="Q32" s="54">
        <v>9.2799999999999994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2.6099999999999999</v>
      </c>
      <c r="C34" s="28">
        <f t="shared" si="0"/>
        <v>9.0800000000000001</v>
      </c>
      <c r="D34" s="28">
        <f t="shared" si="0"/>
        <v>17.82</v>
      </c>
      <c r="E34" s="28">
        <f t="shared" si="0"/>
        <v>3.3700000000000001</v>
      </c>
      <c r="F34" s="28">
        <f t="shared" si="0"/>
        <v>0.81999999999999995</v>
      </c>
      <c r="G34" s="28">
        <f t="shared" si="0"/>
        <v>28.489999999999998</v>
      </c>
      <c r="H34" s="28">
        <f t="shared" si="0"/>
        <v>11.49</v>
      </c>
      <c r="I34" s="28">
        <f t="shared" si="0"/>
        <v>1.8</v>
      </c>
      <c r="J34" s="28">
        <f t="shared" si="0"/>
        <v>0.050000000000000003</v>
      </c>
      <c r="K34" s="28">
        <f t="shared" si="0"/>
        <v>145.55000000000001</v>
      </c>
      <c r="L34" s="28">
        <f t="shared" si="0"/>
        <v>22.739999999999998</v>
      </c>
      <c r="M34" s="28">
        <f t="shared" si="0"/>
        <v>50.810000000000002</v>
      </c>
      <c r="N34" s="28">
        <f t="shared" si="0"/>
        <v>9.0999999999999996</v>
      </c>
      <c r="O34" s="28">
        <f t="shared" si="0"/>
        <v>0</v>
      </c>
      <c r="P34" s="28">
        <f t="shared" si="0"/>
        <v>0.45000000000000001</v>
      </c>
      <c r="Q34" s="28">
        <f t="shared" si="0"/>
        <v>5.2800000000000002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16.350000000000001</v>
      </c>
      <c r="C35" s="29">
        <f t="shared" si="1"/>
        <v>28.640000000000001</v>
      </c>
      <c r="D35" s="29">
        <f t="shared" si="1"/>
        <v>40.57</v>
      </c>
      <c r="E35" s="29">
        <f t="shared" si="1"/>
        <v>5.4100000000000001</v>
      </c>
      <c r="F35" s="29">
        <f t="shared" si="1"/>
        <v>14.789999999999999</v>
      </c>
      <c r="G35" s="29">
        <f t="shared" si="1"/>
        <v>50.710000000000001</v>
      </c>
      <c r="H35" s="29">
        <f t="shared" si="1"/>
        <v>17.510000000000002</v>
      </c>
      <c r="I35" s="29">
        <f t="shared" si="1"/>
        <v>1.9199999999999999</v>
      </c>
      <c r="J35" s="29">
        <f t="shared" si="1"/>
        <v>1.25</v>
      </c>
      <c r="K35" s="29">
        <f t="shared" si="1"/>
        <v>358.68000000000001</v>
      </c>
      <c r="L35" s="29">
        <f t="shared" si="1"/>
        <v>34.829999999999998</v>
      </c>
      <c r="M35" s="29">
        <f t="shared" si="1"/>
        <v>98.780000000000001</v>
      </c>
      <c r="N35" s="29">
        <f t="shared" si="1"/>
        <v>865.39999999999998</v>
      </c>
      <c r="O35" s="29">
        <f t="shared" si="1"/>
        <v>0</v>
      </c>
      <c r="P35" s="29">
        <f t="shared" si="1"/>
        <v>0.81000000000000005</v>
      </c>
      <c r="Q35" s="29">
        <f t="shared" si="1"/>
        <v>11.84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10.674583333333336</v>
      </c>
      <c r="C36" s="28">
        <f t="shared" si="2"/>
        <v>17.611666666666668</v>
      </c>
      <c r="D36" s="28">
        <f t="shared" si="2"/>
        <v>27.462083333333339</v>
      </c>
      <c r="E36" s="28">
        <f t="shared" si="2"/>
        <v>4.5566666666666675</v>
      </c>
      <c r="F36" s="28">
        <f t="shared" si="2"/>
        <v>5.2058333333333335</v>
      </c>
      <c r="G36" s="28">
        <f t="shared" si="2"/>
        <v>40.981250000000003</v>
      </c>
      <c r="H36" s="28">
        <f t="shared" si="2"/>
        <v>14.176666666666668</v>
      </c>
      <c r="I36" s="28">
        <f t="shared" si="2"/>
        <v>1.8441666666666663</v>
      </c>
      <c r="J36" s="28">
        <f t="shared" si="2"/>
        <v>0.3987500000000001</v>
      </c>
      <c r="K36" s="28">
        <f t="shared" si="2"/>
        <v>313.83333333333337</v>
      </c>
      <c r="L36" s="28">
        <f t="shared" si="2"/>
        <v>27.938749999999999</v>
      </c>
      <c r="M36" s="28">
        <f t="shared" si="2"/>
        <v>79.267499999999998</v>
      </c>
      <c r="N36" s="28">
        <f t="shared" si="2"/>
        <v>239.1166666666667</v>
      </c>
      <c r="O36" s="28">
        <f t="shared" si="2"/>
        <v>0</v>
      </c>
      <c r="P36" s="28">
        <f t="shared" si="2"/>
        <v>0.61458333333333337</v>
      </c>
      <c r="Q36" s="28">
        <f t="shared" si="2"/>
        <v>8.3766666666666652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4.35987532646506</v>
      </c>
      <c r="C37" s="28">
        <f t="shared" si="3" ref="C37:Q37">STDEV(C9:C32)</f>
        <v>5.4003773351793525</v>
      </c>
      <c r="D37" s="28">
        <f t="shared" si="3"/>
        <v>6.8891862201106102</v>
      </c>
      <c r="E37" s="28">
        <f t="shared" si="3"/>
        <v>0.55056229491285213</v>
      </c>
      <c r="F37" s="28">
        <f t="shared" si="3"/>
        <v>4.3030029116851649</v>
      </c>
      <c r="G37" s="28">
        <f t="shared" si="3"/>
        <v>7.3614207705353873</v>
      </c>
      <c r="H37" s="28">
        <f t="shared" si="3"/>
        <v>1.8250995605163856</v>
      </c>
      <c r="I37" s="28">
        <f t="shared" si="3"/>
        <v>0.029179603756088215</v>
      </c>
      <c r="J37" s="28">
        <f t="shared" si="3"/>
        <v>0.33996563125525286</v>
      </c>
      <c r="K37" s="28">
        <f t="shared" si="3"/>
        <v>57.733898690206026</v>
      </c>
      <c r="L37" s="28">
        <f t="shared" si="3"/>
        <v>4.0270469410248166</v>
      </c>
      <c r="M37" s="28">
        <f t="shared" si="3"/>
        <v>16.964403204562132</v>
      </c>
      <c r="N37" s="28">
        <f t="shared" si="3"/>
        <v>304.52893582322054</v>
      </c>
      <c r="O37" s="28">
        <f t="shared" si="3"/>
        <v>0</v>
      </c>
      <c r="P37" s="28">
        <f t="shared" si="3"/>
        <v>0.083664920011792793</v>
      </c>
      <c r="Q37" s="28">
        <f t="shared" si="3"/>
        <v>2.128838562030587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5e641b2-0b2c-4ca1-b002-6b2cc0f6c035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3" sqref="G63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19-09-2023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8"/>
      <c r="B8" s="59" t="s">
        <v>22</v>
      </c>
      <c r="C8" s="59" t="s">
        <v>22</v>
      </c>
      <c r="D8" s="29" t="s">
        <v>61</v>
      </c>
      <c r="E8" s="59" t="s">
        <v>22</v>
      </c>
      <c r="F8" s="59" t="s">
        <v>22</v>
      </c>
      <c r="G8" s="59" t="s">
        <v>23</v>
      </c>
      <c r="H8" s="59" t="s">
        <v>22</v>
      </c>
      <c r="I8" s="59" t="s">
        <v>22</v>
      </c>
      <c r="J8" s="59" t="s">
        <v>24</v>
      </c>
      <c r="K8" s="59" t="s">
        <v>25</v>
      </c>
      <c r="L8" s="58" t="s">
        <v>27</v>
      </c>
      <c r="M8" s="59" t="s">
        <v>26</v>
      </c>
      <c r="N8" s="59" t="s">
        <v>28</v>
      </c>
      <c r="O8" s="58" t="s">
        <v>29</v>
      </c>
      <c r="P8" s="59" t="s">
        <v>22</v>
      </c>
      <c r="Q8" s="59" t="s">
        <v>22</v>
      </c>
      <c r="R8" s="27"/>
      <c r="S8" s="29"/>
      <c r="T8" s="27"/>
      <c r="U8" s="27"/>
    </row>
    <row r="9" spans="1:21" s="11" customFormat="1" ht="15">
      <c r="A9" s="53" t="s">
        <v>494</v>
      </c>
      <c r="B9" s="54">
        <v>11.22</v>
      </c>
      <c r="C9" s="54">
        <v>19.02</v>
      </c>
      <c r="D9" s="54">
        <v>29.56</v>
      </c>
      <c r="E9" s="54">
        <v>4.25</v>
      </c>
      <c r="F9" s="54">
        <v>6.46</v>
      </c>
      <c r="G9" s="54">
        <v>49.21</v>
      </c>
      <c r="H9" s="54">
        <v>18.13</v>
      </c>
      <c r="I9" s="54">
        <v>1.83</v>
      </c>
      <c r="J9" s="54">
        <v>0.36</v>
      </c>
      <c r="K9" s="54">
        <v>341.88</v>
      </c>
      <c r="L9" s="54">
        <v>24.42</v>
      </c>
      <c r="M9" s="54">
        <v>98.76</v>
      </c>
      <c r="N9" s="54">
        <v>9.5</v>
      </c>
      <c r="O9" s="54">
        <v>0</v>
      </c>
      <c r="P9" s="54">
        <v>0.62</v>
      </c>
      <c r="Q9" s="54">
        <v>10.08</v>
      </c>
      <c r="R9" s="43"/>
      <c r="S9" s="43"/>
      <c r="T9" s="43"/>
      <c r="U9" s="43"/>
    </row>
    <row r="10" spans="1:21" s="11" customFormat="1" ht="15">
      <c r="A10" s="53" t="s">
        <v>495</v>
      </c>
      <c r="B10" s="54">
        <v>8.67</v>
      </c>
      <c r="C10" s="54">
        <v>12.42</v>
      </c>
      <c r="D10" s="54">
        <v>21.09</v>
      </c>
      <c r="E10" s="54">
        <v>3.71</v>
      </c>
      <c r="F10" s="54">
        <v>1.42</v>
      </c>
      <c r="G10" s="54">
        <v>50.30</v>
      </c>
      <c r="H10" s="54">
        <v>18.13</v>
      </c>
      <c r="I10" s="54">
        <v>1.81</v>
      </c>
      <c r="J10" s="54">
        <v>0.88</v>
      </c>
      <c r="K10" s="54">
        <v>344.43</v>
      </c>
      <c r="L10" s="54">
        <v>24.06</v>
      </c>
      <c r="M10" s="54">
        <v>98.75</v>
      </c>
      <c r="N10" s="54">
        <v>9.5</v>
      </c>
      <c r="O10" s="54">
        <v>0</v>
      </c>
      <c r="P10" s="54">
        <v>0.61</v>
      </c>
      <c r="Q10" s="54">
        <v>11.12</v>
      </c>
      <c r="R10" s="43"/>
      <c r="S10" s="43"/>
      <c r="T10" s="43"/>
      <c r="U10" s="43"/>
    </row>
    <row r="11" spans="1:21" s="11" customFormat="1" ht="15">
      <c r="A11" s="53" t="s">
        <v>496</v>
      </c>
      <c r="B11" s="54">
        <v>9.27</v>
      </c>
      <c r="C11" s="54">
        <v>18.100000000000001</v>
      </c>
      <c r="D11" s="54">
        <v>27.37</v>
      </c>
      <c r="E11" s="54">
        <v>3.51</v>
      </c>
      <c r="F11" s="54">
        <v>4.71</v>
      </c>
      <c r="G11" s="54">
        <v>61.82</v>
      </c>
      <c r="H11" s="54">
        <v>21.93</v>
      </c>
      <c r="I11" s="54">
        <v>1.88</v>
      </c>
      <c r="J11" s="54">
        <v>0.28000000000000003</v>
      </c>
      <c r="K11" s="54">
        <v>348.52</v>
      </c>
      <c r="L11" s="54">
        <v>23.71</v>
      </c>
      <c r="M11" s="54">
        <v>98.76</v>
      </c>
      <c r="N11" s="54">
        <v>9.5</v>
      </c>
      <c r="O11" s="54">
        <v>0</v>
      </c>
      <c r="P11" s="54">
        <v>0.70</v>
      </c>
      <c r="Q11" s="54">
        <v>9.33</v>
      </c>
      <c r="R11" s="43"/>
      <c r="S11" s="43"/>
      <c r="T11" s="43"/>
      <c r="U11" s="43"/>
    </row>
    <row r="12" spans="1:21" s="11" customFormat="1" ht="15">
      <c r="A12" s="53" t="s">
        <v>497</v>
      </c>
      <c r="B12" s="54">
        <v>8.06</v>
      </c>
      <c r="C12" s="54">
        <v>17.75</v>
      </c>
      <c r="D12" s="54">
        <v>24.49</v>
      </c>
      <c r="E12" s="54">
        <v>3.45</v>
      </c>
      <c r="F12" s="54">
        <v>3.18</v>
      </c>
      <c r="G12" s="54">
        <v>73.16</v>
      </c>
      <c r="H12" s="54">
        <v>21.93</v>
      </c>
      <c r="I12" s="54">
        <v>1.86</v>
      </c>
      <c r="J12" s="54">
        <v>0.5</v>
      </c>
      <c r="K12" s="54">
        <v>346.20</v>
      </c>
      <c r="L12" s="54">
        <v>23.49</v>
      </c>
      <c r="M12" s="54">
        <v>98.80</v>
      </c>
      <c r="N12" s="54">
        <v>9.5</v>
      </c>
      <c r="O12" s="54">
        <v>0</v>
      </c>
      <c r="P12" s="54">
        <v>0.60</v>
      </c>
      <c r="Q12" s="54">
        <v>12.17</v>
      </c>
      <c r="R12" s="43"/>
      <c r="S12" s="43"/>
      <c r="T12" s="43"/>
      <c r="U12" s="43"/>
    </row>
    <row r="13" spans="1:21" s="11" customFormat="1" ht="15">
      <c r="A13" s="53" t="s">
        <v>498</v>
      </c>
      <c r="B13" s="54">
        <v>11.14</v>
      </c>
      <c r="C13" s="54">
        <v>14.16</v>
      </c>
      <c r="D13" s="54">
        <v>25.30</v>
      </c>
      <c r="E13" s="54">
        <v>4.30</v>
      </c>
      <c r="F13" s="54">
        <v>2.36</v>
      </c>
      <c r="G13" s="54">
        <v>73.16</v>
      </c>
      <c r="H13" s="54">
        <v>21.62</v>
      </c>
      <c r="I13" s="54">
        <v>1.82</v>
      </c>
      <c r="J13" s="54">
        <v>0.15</v>
      </c>
      <c r="K13" s="54">
        <v>346.16</v>
      </c>
      <c r="L13" s="54">
        <v>23.33</v>
      </c>
      <c r="M13" s="54">
        <v>98.76</v>
      </c>
      <c r="N13" s="54">
        <v>9.6999999999999993</v>
      </c>
      <c r="O13" s="54">
        <v>0</v>
      </c>
      <c r="P13" s="54">
        <v>0.57999999999999996</v>
      </c>
      <c r="Q13" s="54">
        <v>11.87</v>
      </c>
      <c r="R13" s="43"/>
      <c r="S13" s="43"/>
      <c r="T13" s="43"/>
      <c r="U13" s="43"/>
    </row>
    <row r="14" spans="1:21" s="11" customFormat="1" ht="15">
      <c r="A14" s="53" t="s">
        <v>499</v>
      </c>
      <c r="B14" s="54">
        <v>22.99</v>
      </c>
      <c r="C14" s="54">
        <v>29.51</v>
      </c>
      <c r="D14" s="54">
        <v>50.79</v>
      </c>
      <c r="E14" s="54">
        <v>4.29</v>
      </c>
      <c r="F14" s="54">
        <v>1.93</v>
      </c>
      <c r="G14" s="54">
        <v>50.79</v>
      </c>
      <c r="H14" s="54">
        <v>22.13</v>
      </c>
      <c r="I14" s="54">
        <v>1.82</v>
      </c>
      <c r="J14" s="54">
        <v>0.17</v>
      </c>
      <c r="K14" s="54">
        <v>349.64</v>
      </c>
      <c r="L14" s="54">
        <v>23.35</v>
      </c>
      <c r="M14" s="54">
        <v>98.80</v>
      </c>
      <c r="N14" s="54">
        <v>18.20</v>
      </c>
      <c r="O14" s="54">
        <v>0</v>
      </c>
      <c r="P14" s="54">
        <v>0.83</v>
      </c>
      <c r="Q14" s="54">
        <v>11.20</v>
      </c>
      <c r="R14" s="43"/>
      <c r="S14" s="43"/>
      <c r="T14" s="43"/>
      <c r="U14" s="43"/>
    </row>
    <row r="15" spans="1:21" s="11" customFormat="1" ht="15">
      <c r="A15" s="53" t="s">
        <v>500</v>
      </c>
      <c r="B15" s="54">
        <v>18.920000000000002</v>
      </c>
      <c r="C15" s="54">
        <v>24.29</v>
      </c>
      <c r="D15" s="54">
        <v>43.21</v>
      </c>
      <c r="E15" s="54">
        <v>5.03</v>
      </c>
      <c r="F15" s="54">
        <v>0.97</v>
      </c>
      <c r="G15" s="54">
        <v>71.06</v>
      </c>
      <c r="H15" s="54">
        <v>27.83</v>
      </c>
      <c r="I15" s="54">
        <v>1.92</v>
      </c>
      <c r="J15" s="54">
        <v>0.26</v>
      </c>
      <c r="K15" s="54">
        <v>351.56</v>
      </c>
      <c r="L15" s="54">
        <v>25.25</v>
      </c>
      <c r="M15" s="54">
        <v>98.77</v>
      </c>
      <c r="N15" s="54">
        <v>149.19999999999999</v>
      </c>
      <c r="O15" s="54">
        <v>0</v>
      </c>
      <c r="P15" s="54">
        <v>0.76</v>
      </c>
      <c r="Q15" s="54">
        <v>12.81</v>
      </c>
      <c r="R15" s="43"/>
      <c r="S15" s="43"/>
      <c r="T15" s="43"/>
      <c r="U15" s="43"/>
    </row>
    <row r="16" spans="1:21" s="11" customFormat="1" ht="15">
      <c r="A16" s="53" t="s">
        <v>501</v>
      </c>
      <c r="B16" s="54">
        <v>18.02</v>
      </c>
      <c r="C16" s="54">
        <v>13.73</v>
      </c>
      <c r="D16" s="54">
        <v>31.75</v>
      </c>
      <c r="E16" s="54">
        <v>4.83</v>
      </c>
      <c r="F16" s="54">
        <v>0.66</v>
      </c>
      <c r="G16" s="54">
        <v>99.46</v>
      </c>
      <c r="H16" s="54">
        <v>29.57</v>
      </c>
      <c r="I16" s="54">
        <v>1.86</v>
      </c>
      <c r="J16" s="54">
        <v>0.38</v>
      </c>
      <c r="K16" s="54">
        <v>358</v>
      </c>
      <c r="L16" s="54">
        <v>29.63</v>
      </c>
      <c r="M16" s="54">
        <v>91.87</v>
      </c>
      <c r="N16" s="54">
        <v>410.70</v>
      </c>
      <c r="O16" s="54">
        <v>0</v>
      </c>
      <c r="P16" s="54">
        <v>0.68</v>
      </c>
      <c r="Q16" s="54">
        <v>13.54</v>
      </c>
      <c r="R16" s="43"/>
      <c r="S16" s="43"/>
      <c r="T16" s="43"/>
      <c r="U16" s="43"/>
    </row>
    <row r="17" spans="1:21" s="11" customFormat="1" ht="15">
      <c r="A17" s="53" t="s">
        <v>502</v>
      </c>
      <c r="B17" s="54">
        <v>16.440000000000001</v>
      </c>
      <c r="C17" s="54">
        <v>14.09</v>
      </c>
      <c r="D17" s="54">
        <v>28.10</v>
      </c>
      <c r="E17" s="54">
        <v>4.33</v>
      </c>
      <c r="F17" s="54">
        <v>2.67</v>
      </c>
      <c r="G17" s="54">
        <v>99.46</v>
      </c>
      <c r="H17" s="54">
        <v>29.57</v>
      </c>
      <c r="I17" s="54">
        <v>1.82</v>
      </c>
      <c r="J17" s="54">
        <v>0.47</v>
      </c>
      <c r="K17" s="54">
        <v>348.35</v>
      </c>
      <c r="L17" s="54">
        <v>32.83</v>
      </c>
      <c r="M17" s="54">
        <v>68.040000000000006</v>
      </c>
      <c r="N17" s="54">
        <v>642.20000000000005</v>
      </c>
      <c r="O17" s="54">
        <v>0</v>
      </c>
      <c r="P17" s="54">
        <v>0.69</v>
      </c>
      <c r="Q17" s="54">
        <v>12.11</v>
      </c>
      <c r="R17" s="43"/>
      <c r="S17" s="43"/>
      <c r="T17" s="43"/>
      <c r="U17" s="43"/>
    </row>
    <row r="18" spans="1:21" s="11" customFormat="1" ht="15">
      <c r="A18" s="53" t="s">
        <v>503</v>
      </c>
      <c r="B18" s="54">
        <v>11.98</v>
      </c>
      <c r="C18" s="54">
        <v>13.60</v>
      </c>
      <c r="D18" s="54">
        <v>25.58</v>
      </c>
      <c r="E18" s="54">
        <v>4.91</v>
      </c>
      <c r="F18" s="54">
        <v>2.82</v>
      </c>
      <c r="G18" s="54">
        <v>73.53</v>
      </c>
      <c r="H18" s="54">
        <v>24.86</v>
      </c>
      <c r="I18" s="54">
        <v>1.85</v>
      </c>
      <c r="J18" s="54">
        <v>1.03</v>
      </c>
      <c r="K18" s="54">
        <v>331.38</v>
      </c>
      <c r="L18" s="54">
        <v>34.57</v>
      </c>
      <c r="M18" s="54">
        <v>56.90</v>
      </c>
      <c r="N18" s="54">
        <v>782.40</v>
      </c>
      <c r="O18" s="54">
        <v>0</v>
      </c>
      <c r="P18" s="54">
        <v>0.59</v>
      </c>
      <c r="Q18" s="54">
        <v>12.08</v>
      </c>
      <c r="R18" s="43"/>
      <c r="S18" s="43"/>
      <c r="T18" s="43"/>
      <c r="U18" s="43"/>
    </row>
    <row r="19" spans="1:21" s="11" customFormat="1" ht="15">
      <c r="A19" s="53" t="s">
        <v>504</v>
      </c>
      <c r="B19" s="54">
        <v>8.15</v>
      </c>
      <c r="C19" s="54">
        <v>15.55</v>
      </c>
      <c r="D19" s="54">
        <v>22.95</v>
      </c>
      <c r="E19" s="54">
        <v>4.9400000000000004</v>
      </c>
      <c r="F19" s="54">
        <v>2.63</v>
      </c>
      <c r="G19" s="54">
        <v>45.04</v>
      </c>
      <c r="H19" s="54">
        <v>22.07</v>
      </c>
      <c r="I19" s="54">
        <v>1.86</v>
      </c>
      <c r="J19" s="54">
        <v>1.25</v>
      </c>
      <c r="K19" s="54">
        <v>328.32</v>
      </c>
      <c r="L19" s="54">
        <v>34.479999999999997</v>
      </c>
      <c r="M19" s="54">
        <v>53.57</v>
      </c>
      <c r="N19" s="54">
        <v>850.40</v>
      </c>
      <c r="O19" s="54">
        <v>0</v>
      </c>
      <c r="P19" s="54">
        <v>0.55000000000000004</v>
      </c>
      <c r="Q19" s="54">
        <v>5.40</v>
      </c>
      <c r="R19" s="43"/>
      <c r="S19" s="43"/>
      <c r="T19" s="43"/>
      <c r="U19" s="43"/>
    </row>
    <row r="20" spans="1:21" s="11" customFormat="1" ht="15">
      <c r="A20" s="53" t="s">
        <v>505</v>
      </c>
      <c r="B20" s="54">
        <v>5.45</v>
      </c>
      <c r="C20" s="54">
        <v>18.579999999999998</v>
      </c>
      <c r="D20" s="54">
        <v>23.93</v>
      </c>
      <c r="E20" s="54">
        <v>4.9400000000000004</v>
      </c>
      <c r="F20" s="54">
        <v>4.46</v>
      </c>
      <c r="G20" s="54">
        <v>48.55</v>
      </c>
      <c r="H20" s="54">
        <v>15.78</v>
      </c>
      <c r="I20" s="54">
        <v>1.84</v>
      </c>
      <c r="J20" s="54">
        <v>0.90</v>
      </c>
      <c r="K20" s="54">
        <v>333.26</v>
      </c>
      <c r="L20" s="54">
        <v>33.880000000000003</v>
      </c>
      <c r="M20" s="54">
        <v>56.22</v>
      </c>
      <c r="N20" s="54">
        <v>873.80</v>
      </c>
      <c r="O20" s="54">
        <v>0</v>
      </c>
      <c r="P20" s="54">
        <v>0.5</v>
      </c>
      <c r="Q20" s="54">
        <v>4.54</v>
      </c>
      <c r="R20" s="43"/>
      <c r="S20" s="43"/>
      <c r="T20" s="43"/>
      <c r="U20" s="43"/>
    </row>
    <row r="21" spans="1:21" s="11" customFormat="1" ht="15">
      <c r="A21" s="53" t="s">
        <v>506</v>
      </c>
      <c r="B21" s="54">
        <v>7.81</v>
      </c>
      <c r="C21" s="54">
        <v>14.16</v>
      </c>
      <c r="D21" s="54">
        <v>21.30</v>
      </c>
      <c r="E21" s="54">
        <v>5.30</v>
      </c>
      <c r="F21" s="54">
        <v>4.03</v>
      </c>
      <c r="G21" s="54">
        <v>48.55</v>
      </c>
      <c r="H21" s="54">
        <v>16.75</v>
      </c>
      <c r="I21" s="54">
        <v>1.84</v>
      </c>
      <c r="J21" s="54">
        <v>1.32</v>
      </c>
      <c r="K21" s="54">
        <v>328.5</v>
      </c>
      <c r="L21" s="54">
        <v>33.86</v>
      </c>
      <c r="M21" s="54">
        <v>59.09</v>
      </c>
      <c r="N21" s="54">
        <v>772.30</v>
      </c>
      <c r="O21" s="54">
        <v>0</v>
      </c>
      <c r="P21" s="54">
        <v>0.48</v>
      </c>
      <c r="Q21" s="54">
        <v>4.1399999999999997</v>
      </c>
      <c r="R21" s="43"/>
      <c r="S21" s="43"/>
      <c r="T21" s="43"/>
      <c r="U21" s="43"/>
    </row>
    <row r="22" spans="1:21" s="11" customFormat="1" ht="15">
      <c r="A22" s="53" t="s">
        <v>507</v>
      </c>
      <c r="B22" s="54">
        <v>5.99</v>
      </c>
      <c r="C22" s="54">
        <v>17.04</v>
      </c>
      <c r="D22" s="54">
        <v>22.59</v>
      </c>
      <c r="E22" s="54">
        <v>5.38</v>
      </c>
      <c r="F22" s="54">
        <v>6.85</v>
      </c>
      <c r="G22" s="54">
        <v>44.95</v>
      </c>
      <c r="H22" s="54">
        <v>19.66</v>
      </c>
      <c r="I22" s="54">
        <v>1.79</v>
      </c>
      <c r="J22" s="54">
        <v>1.61</v>
      </c>
      <c r="K22" s="54">
        <v>342.35</v>
      </c>
      <c r="L22" s="54">
        <v>33.630000000000003</v>
      </c>
      <c r="M22" s="54">
        <v>59.13</v>
      </c>
      <c r="N22" s="54">
        <v>509.5</v>
      </c>
      <c r="O22" s="54">
        <v>0</v>
      </c>
      <c r="P22" s="54">
        <v>0.5</v>
      </c>
      <c r="Q22" s="54">
        <v>3.92</v>
      </c>
      <c r="R22" s="43"/>
      <c r="S22" s="43"/>
      <c r="T22" s="43"/>
      <c r="U22" s="43"/>
    </row>
    <row r="23" spans="1:21" s="11" customFormat="1" ht="15">
      <c r="A23" s="53" t="s">
        <v>508</v>
      </c>
      <c r="B23" s="54">
        <v>6.12</v>
      </c>
      <c r="C23" s="54">
        <v>19.16</v>
      </c>
      <c r="D23" s="54">
        <v>25.29</v>
      </c>
      <c r="E23" s="54">
        <v>4.87</v>
      </c>
      <c r="F23" s="54">
        <v>12.36</v>
      </c>
      <c r="G23" s="54">
        <v>44.95</v>
      </c>
      <c r="H23" s="54">
        <v>19.66</v>
      </c>
      <c r="I23" s="54">
        <v>1.79</v>
      </c>
      <c r="J23" s="54">
        <v>1.03</v>
      </c>
      <c r="K23" s="54">
        <v>341.24</v>
      </c>
      <c r="L23" s="54">
        <v>32.159999999999997</v>
      </c>
      <c r="M23" s="54">
        <v>59.43</v>
      </c>
      <c r="N23" s="54">
        <v>271.10000000000002</v>
      </c>
      <c r="O23" s="54">
        <v>0</v>
      </c>
      <c r="P23" s="54">
        <v>0.49</v>
      </c>
      <c r="Q23" s="54">
        <v>4.5</v>
      </c>
      <c r="R23" s="43"/>
      <c r="S23" s="43"/>
      <c r="T23" s="43"/>
      <c r="U23" s="43"/>
    </row>
    <row r="24" spans="1:21" s="11" customFormat="1" ht="15">
      <c r="A24" s="53" t="s">
        <v>509</v>
      </c>
      <c r="B24" s="54">
        <v>6.12</v>
      </c>
      <c r="C24" s="54">
        <v>18.46</v>
      </c>
      <c r="D24" s="54">
        <v>24.58</v>
      </c>
      <c r="E24" s="54">
        <v>5.17</v>
      </c>
      <c r="F24" s="54">
        <v>6.35</v>
      </c>
      <c r="G24" s="54">
        <v>39.68</v>
      </c>
      <c r="H24" s="54">
        <v>17.79</v>
      </c>
      <c r="I24" s="54">
        <v>1.81</v>
      </c>
      <c r="J24" s="54">
        <v>1.01</v>
      </c>
      <c r="K24" s="54">
        <v>347.66</v>
      </c>
      <c r="L24" s="54">
        <v>31.26</v>
      </c>
      <c r="M24" s="54">
        <v>60.33</v>
      </c>
      <c r="N24" s="54">
        <v>177</v>
      </c>
      <c r="O24" s="54">
        <v>0</v>
      </c>
      <c r="P24" s="54">
        <v>0.47</v>
      </c>
      <c r="Q24" s="54">
        <v>5.68</v>
      </c>
      <c r="R24" s="43"/>
      <c r="S24" s="43"/>
      <c r="T24" s="43"/>
      <c r="U24" s="43"/>
    </row>
    <row r="25" spans="1:21" s="11" customFormat="1" ht="15">
      <c r="A25" s="53" t="s">
        <v>510</v>
      </c>
      <c r="B25" s="54">
        <v>8.11</v>
      </c>
      <c r="C25" s="54">
        <v>23.39</v>
      </c>
      <c r="D25" s="54">
        <v>31.5</v>
      </c>
      <c r="E25" s="54">
        <v>6.33</v>
      </c>
      <c r="F25" s="54">
        <v>11.53</v>
      </c>
      <c r="G25" s="54">
        <v>39.68</v>
      </c>
      <c r="H25" s="54">
        <v>17.420000000000002</v>
      </c>
      <c r="I25" s="54">
        <v>1.85</v>
      </c>
      <c r="J25" s="54">
        <v>1.1000000000000001</v>
      </c>
      <c r="K25" s="54">
        <v>335.07</v>
      </c>
      <c r="L25" s="54">
        <v>30.38</v>
      </c>
      <c r="M25" s="54">
        <v>63.36</v>
      </c>
      <c r="N25" s="54">
        <v>106.70</v>
      </c>
      <c r="O25" s="54">
        <v>0</v>
      </c>
      <c r="P25" s="54">
        <v>0.49</v>
      </c>
      <c r="Q25" s="54">
        <v>3.81</v>
      </c>
      <c r="R25" s="43"/>
      <c r="S25" s="43"/>
      <c r="T25" s="43"/>
      <c r="U25" s="43"/>
    </row>
    <row r="26" spans="1:21" s="11" customFormat="1" ht="15">
      <c r="A26" s="53" t="s">
        <v>511</v>
      </c>
      <c r="B26" s="54">
        <v>11.38</v>
      </c>
      <c r="C26" s="54">
        <v>18.37</v>
      </c>
      <c r="D26" s="54">
        <v>27.13</v>
      </c>
      <c r="E26" s="54">
        <v>5.95</v>
      </c>
      <c r="F26" s="54">
        <v>6.69</v>
      </c>
      <c r="G26" s="54">
        <v>42</v>
      </c>
      <c r="H26" s="54">
        <v>15.67</v>
      </c>
      <c r="I26" s="54">
        <v>1.85</v>
      </c>
      <c r="J26" s="54">
        <v>0.72</v>
      </c>
      <c r="K26" s="54">
        <v>342.93</v>
      </c>
      <c r="L26" s="54">
        <v>29.31</v>
      </c>
      <c r="M26" s="54">
        <v>69.80</v>
      </c>
      <c r="N26" s="54">
        <v>46.70</v>
      </c>
      <c r="O26" s="54">
        <v>0</v>
      </c>
      <c r="P26" s="54">
        <v>0.54</v>
      </c>
      <c r="Q26" s="54">
        <v>4.8899999999999997</v>
      </c>
      <c r="R26" s="43"/>
      <c r="S26" s="43"/>
      <c r="T26" s="43"/>
      <c r="U26" s="43"/>
    </row>
    <row r="27" spans="1:21" s="11" customFormat="1" ht="15">
      <c r="A27" s="53" t="s">
        <v>512</v>
      </c>
      <c r="B27" s="54">
        <v>9.64</v>
      </c>
      <c r="C27" s="54">
        <v>20.98</v>
      </c>
      <c r="D27" s="54">
        <v>28.76</v>
      </c>
      <c r="E27" s="54">
        <v>6.06</v>
      </c>
      <c r="F27" s="54">
        <v>6.84</v>
      </c>
      <c r="G27" s="54">
        <v>42</v>
      </c>
      <c r="H27" s="54">
        <v>14.94</v>
      </c>
      <c r="I27" s="54">
        <v>1.86</v>
      </c>
      <c r="J27" s="54">
        <v>0.81</v>
      </c>
      <c r="K27" s="54">
        <v>326.41000000000003</v>
      </c>
      <c r="L27" s="54">
        <v>28.07</v>
      </c>
      <c r="M27" s="54">
        <v>77.28</v>
      </c>
      <c r="N27" s="54">
        <v>10.5</v>
      </c>
      <c r="O27" s="54">
        <v>0</v>
      </c>
      <c r="P27" s="54">
        <v>0.59</v>
      </c>
      <c r="Q27" s="54">
        <v>5.79</v>
      </c>
      <c r="R27" s="43"/>
      <c r="S27" s="43"/>
      <c r="T27" s="43"/>
      <c r="U27" s="43"/>
    </row>
    <row r="28" spans="1:21" s="11" customFormat="1" ht="15">
      <c r="A28" s="53" t="s">
        <v>513</v>
      </c>
      <c r="B28" s="54">
        <v>9.6199999999999992</v>
      </c>
      <c r="C28" s="54">
        <v>16.170000000000002</v>
      </c>
      <c r="D28" s="54">
        <v>25.62</v>
      </c>
      <c r="E28" s="54">
        <v>5.49</v>
      </c>
      <c r="F28" s="54">
        <v>2.90</v>
      </c>
      <c r="G28" s="54">
        <v>44.21</v>
      </c>
      <c r="H28" s="54">
        <v>11.17</v>
      </c>
      <c r="I28" s="54">
        <v>1.89</v>
      </c>
      <c r="J28" s="54">
        <v>1.07</v>
      </c>
      <c r="K28" s="54">
        <v>340.46</v>
      </c>
      <c r="L28" s="54">
        <v>26.91</v>
      </c>
      <c r="M28" s="54">
        <v>78.150000000000006</v>
      </c>
      <c r="N28" s="54">
        <v>9.5</v>
      </c>
      <c r="O28" s="54">
        <v>0</v>
      </c>
      <c r="P28" s="54">
        <v>0.71</v>
      </c>
      <c r="Q28" s="54">
        <v>5.41</v>
      </c>
      <c r="R28" s="43"/>
      <c r="S28" s="43"/>
      <c r="T28" s="43"/>
      <c r="U28" s="43"/>
    </row>
    <row r="29" spans="1:21" s="11" customFormat="1" ht="15">
      <c r="A29" s="53" t="s">
        <v>514</v>
      </c>
      <c r="B29" s="54">
        <v>14.53</v>
      </c>
      <c r="C29" s="54">
        <v>19.93</v>
      </c>
      <c r="D29" s="54">
        <v>33.97</v>
      </c>
      <c r="E29" s="54">
        <v>5.47</v>
      </c>
      <c r="F29" s="54">
        <v>5.57</v>
      </c>
      <c r="G29" s="54">
        <v>57.90</v>
      </c>
      <c r="H29" s="54">
        <v>14.63</v>
      </c>
      <c r="I29" s="54">
        <v>1.84</v>
      </c>
      <c r="J29" s="54">
        <v>0.92</v>
      </c>
      <c r="K29" s="54">
        <v>341.46</v>
      </c>
      <c r="L29" s="54">
        <v>26.28</v>
      </c>
      <c r="M29" s="54">
        <v>83.36</v>
      </c>
      <c r="N29" s="54">
        <v>9.5</v>
      </c>
      <c r="O29" s="54">
        <v>0</v>
      </c>
      <c r="P29" s="54">
        <v>0.88</v>
      </c>
      <c r="Q29" s="54">
        <v>7.64</v>
      </c>
      <c r="R29" s="43"/>
      <c r="S29" s="43"/>
      <c r="T29" s="43"/>
      <c r="U29" s="43"/>
    </row>
    <row r="30" spans="1:21" s="11" customFormat="1" ht="15">
      <c r="A30" s="53" t="s">
        <v>515</v>
      </c>
      <c r="B30" s="54">
        <v>17.059999999999999</v>
      </c>
      <c r="C30" s="54">
        <v>23.26</v>
      </c>
      <c r="D30" s="54">
        <v>40.33</v>
      </c>
      <c r="E30" s="54">
        <v>4.8899999999999997</v>
      </c>
      <c r="F30" s="54">
        <v>6.98</v>
      </c>
      <c r="G30" s="54">
        <v>60.60</v>
      </c>
      <c r="H30" s="54">
        <v>18.48</v>
      </c>
      <c r="I30" s="54">
        <v>1.91</v>
      </c>
      <c r="J30" s="54">
        <v>1.1000000000000001</v>
      </c>
      <c r="K30" s="54">
        <v>343.19</v>
      </c>
      <c r="L30" s="54">
        <v>26</v>
      </c>
      <c r="M30" s="54">
        <v>86.86</v>
      </c>
      <c r="N30" s="54">
        <v>9.5</v>
      </c>
      <c r="O30" s="54">
        <v>0</v>
      </c>
      <c r="P30" s="54">
        <v>0.97</v>
      </c>
      <c r="Q30" s="54">
        <v>8.81</v>
      </c>
      <c r="R30" s="43"/>
      <c r="S30" s="43"/>
      <c r="T30" s="43"/>
      <c r="U30" s="43"/>
    </row>
    <row r="31" spans="1:21" s="11" customFormat="1" ht="15">
      <c r="A31" s="53" t="s">
        <v>516</v>
      </c>
      <c r="B31" s="54">
        <v>15.78</v>
      </c>
      <c r="C31" s="54">
        <v>16.489999999999998</v>
      </c>
      <c r="D31" s="54">
        <v>30.92</v>
      </c>
      <c r="E31" s="54">
        <v>5.23</v>
      </c>
      <c r="F31" s="54">
        <v>3.59</v>
      </c>
      <c r="G31" s="54">
        <v>60.72</v>
      </c>
      <c r="H31" s="54">
        <v>18.48</v>
      </c>
      <c r="I31" s="54">
        <v>1.87</v>
      </c>
      <c r="J31" s="54">
        <v>0.83</v>
      </c>
      <c r="K31" s="54">
        <v>342.49</v>
      </c>
      <c r="L31" s="54">
        <v>25.77</v>
      </c>
      <c r="M31" s="54">
        <v>90.62</v>
      </c>
      <c r="N31" s="54">
        <v>9.5</v>
      </c>
      <c r="O31" s="54">
        <v>0</v>
      </c>
      <c r="P31" s="54">
        <v>0.88</v>
      </c>
      <c r="Q31" s="54">
        <v>8.83</v>
      </c>
      <c r="R31" s="43"/>
      <c r="S31" s="43"/>
      <c r="T31" s="43"/>
      <c r="U31" s="43"/>
    </row>
    <row r="32" spans="1:21" s="11" customFormat="1" ht="15">
      <c r="A32" s="53" t="s">
        <v>517</v>
      </c>
      <c r="B32" s="54">
        <v>13.75</v>
      </c>
      <c r="C32" s="54">
        <v>21.96</v>
      </c>
      <c r="D32" s="54">
        <v>33.65</v>
      </c>
      <c r="E32" s="54">
        <v>5.15</v>
      </c>
      <c r="F32" s="54">
        <v>7.02</v>
      </c>
      <c r="G32" s="54">
        <v>65.930000000000007</v>
      </c>
      <c r="H32" s="54">
        <v>17.23</v>
      </c>
      <c r="I32" s="54">
        <v>1.80</v>
      </c>
      <c r="J32" s="54">
        <v>0.89</v>
      </c>
      <c r="K32" s="54">
        <v>339.30</v>
      </c>
      <c r="L32" s="54">
        <v>25.45</v>
      </c>
      <c r="M32" s="54">
        <v>94.18</v>
      </c>
      <c r="N32" s="54">
        <v>9.5</v>
      </c>
      <c r="O32" s="54">
        <v>0</v>
      </c>
      <c r="P32" s="54">
        <v>0.90</v>
      </c>
      <c r="Q32" s="54">
        <v>9.44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5.4500000000000002</v>
      </c>
      <c r="C34" s="28">
        <f t="shared" si="0"/>
        <v>12.42</v>
      </c>
      <c r="D34" s="28">
        <f t="shared" si="0"/>
        <v>21.09</v>
      </c>
      <c r="E34" s="28">
        <f t="shared" si="0"/>
        <v>3.4500000000000002</v>
      </c>
      <c r="F34" s="28">
        <f t="shared" si="0"/>
        <v>0.66000000000000003</v>
      </c>
      <c r="G34" s="28">
        <f t="shared" si="0"/>
        <v>39.68</v>
      </c>
      <c r="H34" s="28">
        <f t="shared" si="0"/>
        <v>11.17</v>
      </c>
      <c r="I34" s="28">
        <f t="shared" si="0"/>
        <v>1.79</v>
      </c>
      <c r="J34" s="28">
        <f t="shared" si="0"/>
        <v>0.14999999999999999</v>
      </c>
      <c r="K34" s="28">
        <f t="shared" si="0"/>
        <v>326.41000000000003</v>
      </c>
      <c r="L34" s="28">
        <f t="shared" si="0"/>
        <v>23.329999999999998</v>
      </c>
      <c r="M34" s="28">
        <f t="shared" si="0"/>
        <v>53.57</v>
      </c>
      <c r="N34" s="28">
        <f t="shared" si="0"/>
        <v>9.5</v>
      </c>
      <c r="O34" s="28">
        <f t="shared" si="0"/>
        <v>0</v>
      </c>
      <c r="P34" s="28">
        <f t="shared" si="0"/>
        <v>0.46999999999999997</v>
      </c>
      <c r="Q34" s="28">
        <f t="shared" si="0"/>
        <v>3.8100000000000001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22.989999999999998</v>
      </c>
      <c r="C35" s="29">
        <f t="shared" si="1"/>
        <v>29.510000000000002</v>
      </c>
      <c r="D35" s="29">
        <f t="shared" si="1"/>
        <v>50.789999999999999</v>
      </c>
      <c r="E35" s="29">
        <f t="shared" si="1"/>
        <v>6.3300000000000001</v>
      </c>
      <c r="F35" s="29">
        <f t="shared" si="1"/>
        <v>12.359999999999999</v>
      </c>
      <c r="G35" s="29">
        <f t="shared" si="1"/>
        <v>99.459999999999994</v>
      </c>
      <c r="H35" s="29">
        <f t="shared" si="1"/>
        <v>29.57</v>
      </c>
      <c r="I35" s="29">
        <f t="shared" si="1"/>
        <v>1.9199999999999999</v>
      </c>
      <c r="J35" s="29">
        <f t="shared" si="1"/>
        <v>1.6100000000000001</v>
      </c>
      <c r="K35" s="29">
        <f t="shared" si="1"/>
        <v>358</v>
      </c>
      <c r="L35" s="29">
        <f t="shared" si="1"/>
        <v>34.57</v>
      </c>
      <c r="M35" s="29">
        <f t="shared" si="1"/>
        <v>98.799999999999997</v>
      </c>
      <c r="N35" s="29">
        <f t="shared" si="1"/>
        <v>873.79999999999995</v>
      </c>
      <c r="O35" s="29">
        <f t="shared" si="1"/>
        <v>0</v>
      </c>
      <c r="P35" s="29">
        <f t="shared" si="1"/>
        <v>0.96999999999999997</v>
      </c>
      <c r="Q35" s="29">
        <f t="shared" si="1"/>
        <v>13.539999999999999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11.509166666666665</v>
      </c>
      <c r="C36" s="28">
        <f t="shared" si="2"/>
        <v>18.340416666666666</v>
      </c>
      <c r="D36" s="28">
        <f t="shared" si="2"/>
        <v>29.156666666666666</v>
      </c>
      <c r="E36" s="28">
        <f t="shared" si="2"/>
        <v>4.9074999999999998</v>
      </c>
      <c r="F36" s="28">
        <f t="shared" si="2"/>
        <v>4.7908333333333344</v>
      </c>
      <c r="G36" s="28">
        <f t="shared" si="2"/>
        <v>57.779583333333335</v>
      </c>
      <c r="H36" s="28">
        <f t="shared" si="2"/>
        <v>19.80958333333334</v>
      </c>
      <c r="I36" s="28">
        <f t="shared" si="2"/>
        <v>1.8445833333333328</v>
      </c>
      <c r="J36" s="28">
        <f t="shared" si="2"/>
        <v>0.79333333333333345</v>
      </c>
      <c r="K36" s="28">
        <f t="shared" si="2"/>
        <v>341.61499999999995</v>
      </c>
      <c r="L36" s="28">
        <f t="shared" si="2"/>
        <v>28.419999999999998</v>
      </c>
      <c r="M36" s="28">
        <f t="shared" si="2"/>
        <v>79.149583333333325</v>
      </c>
      <c r="N36" s="28">
        <f t="shared" si="2"/>
        <v>238.16250000000002</v>
      </c>
      <c r="O36" s="28">
        <f t="shared" si="2"/>
        <v>0</v>
      </c>
      <c r="P36" s="28">
        <f t="shared" si="2"/>
        <v>0.65041666666666675</v>
      </c>
      <c r="Q36" s="28">
        <f t="shared" si="2"/>
        <v>8.2962499999999988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4.7131093001714168</v>
      </c>
      <c r="C37" s="28">
        <f t="shared" si="3" ref="C37:Q37">STDEV(C9:C32)</f>
        <v>4.0832355874133404</v>
      </c>
      <c r="D37" s="28">
        <f t="shared" si="3"/>
        <v>7.1971320777742784</v>
      </c>
      <c r="E37" s="28">
        <f t="shared" si="3"/>
        <v>0.74471033178066437</v>
      </c>
      <c r="F37" s="28">
        <f t="shared" si="3"/>
        <v>3.0131392219767221</v>
      </c>
      <c r="G37" s="28">
        <f t="shared" si="3"/>
        <v>17.002374892724621</v>
      </c>
      <c r="H37" s="28">
        <f t="shared" si="3"/>
        <v>4.6471706952740712</v>
      </c>
      <c r="I37" s="28">
        <f t="shared" si="3"/>
        <v>0.034512652584317474</v>
      </c>
      <c r="J37" s="28">
        <f t="shared" si="3"/>
        <v>0.39161501355359152</v>
      </c>
      <c r="K37" s="28">
        <f t="shared" si="3"/>
        <v>7.8595026947444744</v>
      </c>
      <c r="L37" s="28">
        <f t="shared" si="3"/>
        <v>4.0675652369103936</v>
      </c>
      <c r="M37" s="28">
        <f t="shared" si="3"/>
        <v>17.417592675265162</v>
      </c>
      <c r="N37" s="28">
        <f t="shared" si="3"/>
        <v>317.37199790521504</v>
      </c>
      <c r="O37" s="28">
        <f t="shared" si="3"/>
        <v>0</v>
      </c>
      <c r="P37" s="28">
        <f t="shared" si="3"/>
        <v>0.15043355218563503</v>
      </c>
      <c r="Q37" s="28">
        <f t="shared" si="3"/>
        <v>3.3230025873676645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f9a3e95-a537-432e-bfed-a79b3d346b2a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1" sqref="G61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20-09-2023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518</v>
      </c>
      <c r="B9" s="54">
        <v>11.14</v>
      </c>
      <c r="C9" s="54">
        <v>18.670000000000002</v>
      </c>
      <c r="D9" s="54">
        <v>29.58</v>
      </c>
      <c r="E9" s="54">
        <v>4.8099999999999996</v>
      </c>
      <c r="F9" s="54">
        <v>6.86</v>
      </c>
      <c r="G9" s="54">
        <v>65.930000000000007</v>
      </c>
      <c r="H9" s="54">
        <v>20.63</v>
      </c>
      <c r="I9" s="54">
        <v>1.85</v>
      </c>
      <c r="J9" s="54">
        <v>0.56999999999999995</v>
      </c>
      <c r="K9" s="54">
        <v>334.39</v>
      </c>
      <c r="L9" s="54">
        <v>25.01</v>
      </c>
      <c r="M9" s="54">
        <v>96.34</v>
      </c>
      <c r="N9" s="54">
        <v>9.5</v>
      </c>
      <c r="O9" s="54">
        <v>0</v>
      </c>
      <c r="P9" s="54">
        <v>0.84</v>
      </c>
      <c r="Q9" s="54">
        <v>10.30</v>
      </c>
      <c r="R9" s="43"/>
      <c r="S9" s="43"/>
      <c r="T9" s="43"/>
      <c r="U9" s="43"/>
    </row>
    <row r="10" spans="1:21" s="11" customFormat="1" ht="15">
      <c r="A10" s="53" t="s">
        <v>519</v>
      </c>
      <c r="B10" s="54">
        <v>9.9499999999999993</v>
      </c>
      <c r="C10" s="54">
        <v>10.17</v>
      </c>
      <c r="D10" s="54">
        <v>20.11</v>
      </c>
      <c r="E10" s="54">
        <v>5.04</v>
      </c>
      <c r="F10" s="54">
        <v>1.65</v>
      </c>
      <c r="G10" s="54">
        <v>53.76</v>
      </c>
      <c r="H10" s="54">
        <v>20.63</v>
      </c>
      <c r="I10" s="54">
        <v>1.85</v>
      </c>
      <c r="J10" s="54">
        <v>0.73</v>
      </c>
      <c r="K10" s="54">
        <v>323.14</v>
      </c>
      <c r="L10" s="54">
        <v>24.78</v>
      </c>
      <c r="M10" s="54">
        <v>97.5</v>
      </c>
      <c r="N10" s="54">
        <v>9.5</v>
      </c>
      <c r="O10" s="54">
        <v>0</v>
      </c>
      <c r="P10" s="54">
        <v>0.70</v>
      </c>
      <c r="Q10" s="54">
        <v>9.06</v>
      </c>
      <c r="R10" s="43"/>
      <c r="S10" s="43"/>
      <c r="T10" s="43"/>
      <c r="U10" s="43"/>
    </row>
    <row r="11" spans="1:21" s="11" customFormat="1" ht="15">
      <c r="A11" s="53" t="s">
        <v>520</v>
      </c>
      <c r="B11" s="54">
        <v>7.25</v>
      </c>
      <c r="C11" s="54">
        <v>9.89</v>
      </c>
      <c r="D11" s="54">
        <v>17.100000000000001</v>
      </c>
      <c r="E11" s="54">
        <v>5.03</v>
      </c>
      <c r="F11" s="54">
        <v>3.43</v>
      </c>
      <c r="G11" s="54">
        <v>46.33</v>
      </c>
      <c r="H11" s="54">
        <v>14.46</v>
      </c>
      <c r="I11" s="54">
        <v>1.83</v>
      </c>
      <c r="J11" s="54">
        <v>0.61</v>
      </c>
      <c r="K11" s="54">
        <v>320.45999999999998</v>
      </c>
      <c r="L11" s="54">
        <v>24.74</v>
      </c>
      <c r="M11" s="54">
        <v>95.31</v>
      </c>
      <c r="N11" s="54">
        <v>9.5</v>
      </c>
      <c r="O11" s="54">
        <v>0</v>
      </c>
      <c r="P11" s="54">
        <v>0.56000000000000005</v>
      </c>
      <c r="Q11" s="54">
        <v>7.22</v>
      </c>
      <c r="R11" s="43"/>
      <c r="S11" s="43"/>
      <c r="T11" s="43"/>
      <c r="U11" s="43"/>
    </row>
    <row r="12" spans="1:21" s="11" customFormat="1" ht="15">
      <c r="A12" s="53" t="s">
        <v>521</v>
      </c>
      <c r="B12" s="54">
        <v>6.16</v>
      </c>
      <c r="C12" s="54">
        <v>9.6999999999999993</v>
      </c>
      <c r="D12" s="54">
        <v>14.97</v>
      </c>
      <c r="E12" s="54">
        <v>4.58</v>
      </c>
      <c r="F12" s="54">
        <v>4.2699999999999996</v>
      </c>
      <c r="G12" s="54">
        <v>33.76</v>
      </c>
      <c r="H12" s="54">
        <v>13.99</v>
      </c>
      <c r="I12" s="54">
        <v>1.84</v>
      </c>
      <c r="J12" s="54">
        <v>0.71</v>
      </c>
      <c r="K12" s="54">
        <v>330.34</v>
      </c>
      <c r="L12" s="54">
        <v>24.60</v>
      </c>
      <c r="M12" s="54">
        <v>96.09</v>
      </c>
      <c r="N12" s="54">
        <v>9.5</v>
      </c>
      <c r="O12" s="54">
        <v>0</v>
      </c>
      <c r="P12" s="54">
        <v>0.53</v>
      </c>
      <c r="Q12" s="54">
        <v>6.23</v>
      </c>
      <c r="R12" s="43"/>
      <c r="S12" s="43"/>
      <c r="T12" s="43"/>
      <c r="U12" s="43"/>
    </row>
    <row r="13" spans="1:21" s="11" customFormat="1" ht="15">
      <c r="A13" s="53" t="s">
        <v>522</v>
      </c>
      <c r="B13" s="54">
        <v>6.95</v>
      </c>
      <c r="C13" s="54">
        <v>9.41</v>
      </c>
      <c r="D13" s="54">
        <v>15.02</v>
      </c>
      <c r="E13" s="54">
        <v>4.43</v>
      </c>
      <c r="F13" s="54">
        <v>3.48</v>
      </c>
      <c r="G13" s="54">
        <v>29.20</v>
      </c>
      <c r="H13" s="54">
        <v>11.25</v>
      </c>
      <c r="I13" s="54">
        <v>1.83</v>
      </c>
      <c r="J13" s="54">
        <v>0.86</v>
      </c>
      <c r="K13" s="54">
        <v>335.30</v>
      </c>
      <c r="L13" s="54">
        <v>24.41</v>
      </c>
      <c r="M13" s="54">
        <v>97.22</v>
      </c>
      <c r="N13" s="54">
        <v>9.5</v>
      </c>
      <c r="O13" s="54">
        <v>0</v>
      </c>
      <c r="P13" s="54">
        <v>0.45</v>
      </c>
      <c r="Q13" s="54">
        <v>5.40</v>
      </c>
      <c r="R13" s="43"/>
      <c r="S13" s="43"/>
      <c r="T13" s="43"/>
      <c r="U13" s="43"/>
    </row>
    <row r="14" spans="1:21" s="11" customFormat="1" ht="15">
      <c r="A14" s="53" t="s">
        <v>523</v>
      </c>
      <c r="B14" s="54">
        <v>11.49</v>
      </c>
      <c r="C14" s="54">
        <v>22.86</v>
      </c>
      <c r="D14" s="54">
        <v>31.75</v>
      </c>
      <c r="E14" s="54">
        <v>4.62</v>
      </c>
      <c r="F14" s="54">
        <v>7.64</v>
      </c>
      <c r="G14" s="54">
        <v>31.06</v>
      </c>
      <c r="H14" s="54">
        <v>12.18</v>
      </c>
      <c r="I14" s="54">
        <v>1.83</v>
      </c>
      <c r="J14" s="54">
        <v>0.48</v>
      </c>
      <c r="K14" s="54">
        <v>336.57</v>
      </c>
      <c r="L14" s="54">
        <v>23.97</v>
      </c>
      <c r="M14" s="54">
        <v>98.74</v>
      </c>
      <c r="N14" s="54">
        <v>15</v>
      </c>
      <c r="O14" s="54">
        <v>0</v>
      </c>
      <c r="P14" s="54">
        <v>0.56999999999999995</v>
      </c>
      <c r="Q14" s="54">
        <v>6.84</v>
      </c>
      <c r="R14" s="43"/>
      <c r="S14" s="43"/>
      <c r="T14" s="43"/>
      <c r="U14" s="43"/>
    </row>
    <row r="15" spans="1:21" s="11" customFormat="1" ht="15">
      <c r="A15" s="53" t="s">
        <v>524</v>
      </c>
      <c r="B15" s="54">
        <v>11.36</v>
      </c>
      <c r="C15" s="54">
        <v>13.15</v>
      </c>
      <c r="D15" s="54">
        <v>24.5</v>
      </c>
      <c r="E15" s="54">
        <v>4.8499999999999996</v>
      </c>
      <c r="F15" s="54">
        <v>2.2200000000000002</v>
      </c>
      <c r="G15" s="54">
        <v>46.98</v>
      </c>
      <c r="H15" s="54">
        <v>18.11</v>
      </c>
      <c r="I15" s="54">
        <v>1.83</v>
      </c>
      <c r="J15" s="54">
        <v>1.01</v>
      </c>
      <c r="K15" s="54">
        <v>335.47</v>
      </c>
      <c r="L15" s="54">
        <v>24.32</v>
      </c>
      <c r="M15" s="54">
        <v>98.68</v>
      </c>
      <c r="N15" s="54">
        <v>49.90</v>
      </c>
      <c r="O15" s="54">
        <v>0</v>
      </c>
      <c r="P15" s="54">
        <v>0.52</v>
      </c>
      <c r="Q15" s="54">
        <v>8.49</v>
      </c>
      <c r="R15" s="43"/>
      <c r="S15" s="43"/>
      <c r="T15" s="43"/>
      <c r="U15" s="43"/>
    </row>
    <row r="16" spans="1:21" s="11" customFormat="1" ht="15">
      <c r="A16" s="53" t="s">
        <v>525</v>
      </c>
      <c r="B16" s="54">
        <v>18.190000000000001</v>
      </c>
      <c r="C16" s="54">
        <v>20.22</v>
      </c>
      <c r="D16" s="54">
        <v>38.409999999999997</v>
      </c>
      <c r="E16" s="54">
        <v>4.55</v>
      </c>
      <c r="F16" s="54">
        <v>2.97</v>
      </c>
      <c r="G16" s="54">
        <v>59.97</v>
      </c>
      <c r="H16" s="54">
        <v>19.18</v>
      </c>
      <c r="I16" s="54">
        <v>1.81</v>
      </c>
      <c r="J16" s="54">
        <v>0.95</v>
      </c>
      <c r="K16" s="54">
        <v>344.11</v>
      </c>
      <c r="L16" s="54">
        <v>26.11</v>
      </c>
      <c r="M16" s="54">
        <v>97.05</v>
      </c>
      <c r="N16" s="54">
        <v>162.69999999999999</v>
      </c>
      <c r="O16" s="54">
        <v>0</v>
      </c>
      <c r="P16" s="54">
        <v>0.74</v>
      </c>
      <c r="Q16" s="54">
        <v>9.39</v>
      </c>
      <c r="R16" s="43"/>
      <c r="S16" s="43"/>
      <c r="T16" s="43"/>
      <c r="U16" s="43"/>
    </row>
    <row r="17" spans="1:21" s="11" customFormat="1" ht="15">
      <c r="A17" s="53" t="s">
        <v>526</v>
      </c>
      <c r="B17" s="54">
        <v>22.88</v>
      </c>
      <c r="C17" s="54">
        <v>27.74</v>
      </c>
      <c r="D17" s="54">
        <v>50.62</v>
      </c>
      <c r="E17" s="54">
        <v>5.07</v>
      </c>
      <c r="F17" s="54">
        <v>6.40</v>
      </c>
      <c r="G17" s="54">
        <v>87.05</v>
      </c>
      <c r="H17" s="54">
        <v>27.25</v>
      </c>
      <c r="I17" s="54">
        <v>1.82</v>
      </c>
      <c r="J17" s="54">
        <v>0.95</v>
      </c>
      <c r="K17" s="54">
        <v>341.92</v>
      </c>
      <c r="L17" s="54">
        <v>27.87</v>
      </c>
      <c r="M17" s="54">
        <v>84.84</v>
      </c>
      <c r="N17" s="54">
        <v>285.70</v>
      </c>
      <c r="O17" s="54">
        <v>0</v>
      </c>
      <c r="P17" s="54">
        <v>0.91</v>
      </c>
      <c r="Q17" s="54">
        <v>12.91</v>
      </c>
      <c r="R17" s="43"/>
      <c r="S17" s="43"/>
      <c r="T17" s="43"/>
      <c r="U17" s="43"/>
    </row>
    <row r="18" spans="1:21" s="11" customFormat="1" ht="15">
      <c r="A18" s="53" t="s">
        <v>527</v>
      </c>
      <c r="B18" s="54">
        <v>18.86</v>
      </c>
      <c r="C18" s="54">
        <v>18.80</v>
      </c>
      <c r="D18" s="54">
        <v>36.67</v>
      </c>
      <c r="E18" s="54">
        <v>8.02</v>
      </c>
      <c r="F18" s="54">
        <v>2.57</v>
      </c>
      <c r="G18" s="54">
        <v>93.87</v>
      </c>
      <c r="H18" s="54">
        <v>31.24</v>
      </c>
      <c r="I18" s="54">
        <v>1.88</v>
      </c>
      <c r="J18" s="54">
        <v>1.1100000000000001</v>
      </c>
      <c r="K18" s="54">
        <v>341.69</v>
      </c>
      <c r="L18" s="54">
        <v>29.77</v>
      </c>
      <c r="M18" s="54">
        <v>78.17</v>
      </c>
      <c r="N18" s="54">
        <v>376.30</v>
      </c>
      <c r="O18" s="54">
        <v>0</v>
      </c>
      <c r="P18" s="54">
        <v>0.86</v>
      </c>
      <c r="Q18" s="54">
        <v>14.21</v>
      </c>
      <c r="R18" s="43"/>
      <c r="S18" s="43"/>
      <c r="T18" s="43"/>
      <c r="U18" s="43"/>
    </row>
    <row r="19" spans="1:21" s="11" customFormat="1" ht="15">
      <c r="A19" s="53" t="s">
        <v>528</v>
      </c>
      <c r="B19" s="54">
        <v>17.59</v>
      </c>
      <c r="C19" s="54">
        <v>24.16</v>
      </c>
      <c r="D19" s="54">
        <v>39.18</v>
      </c>
      <c r="E19" s="54">
        <v>9.5299999999999994</v>
      </c>
      <c r="F19" s="54">
        <v>12.40</v>
      </c>
      <c r="G19" s="54">
        <v>93.87</v>
      </c>
      <c r="H19" s="54">
        <v>31.91</v>
      </c>
      <c r="I19" s="54">
        <v>1.82</v>
      </c>
      <c r="J19" s="54">
        <v>1.22</v>
      </c>
      <c r="K19" s="54">
        <v>340.14</v>
      </c>
      <c r="L19" s="54">
        <v>30.52</v>
      </c>
      <c r="M19" s="54">
        <v>70.61</v>
      </c>
      <c r="N19" s="54">
        <v>454.20</v>
      </c>
      <c r="O19" s="54">
        <v>0</v>
      </c>
      <c r="P19" s="54">
        <v>0.94</v>
      </c>
      <c r="Q19" s="54">
        <v>15.24</v>
      </c>
      <c r="R19" s="43"/>
      <c r="S19" s="43"/>
      <c r="T19" s="43"/>
      <c r="U19" s="43"/>
    </row>
    <row r="20" spans="1:21" s="11" customFormat="1" ht="15">
      <c r="A20" s="53" t="s">
        <v>529</v>
      </c>
      <c r="B20" s="54">
        <v>14.09</v>
      </c>
      <c r="C20" s="54">
        <v>24.52</v>
      </c>
      <c r="D20" s="54">
        <v>37.81</v>
      </c>
      <c r="E20" s="54">
        <v>8.0299999999999994</v>
      </c>
      <c r="F20" s="54">
        <v>11.61</v>
      </c>
      <c r="G20" s="54">
        <v>93.16</v>
      </c>
      <c r="H20" s="54">
        <v>31.91</v>
      </c>
      <c r="I20" s="54">
        <v>1.82</v>
      </c>
      <c r="J20" s="54">
        <v>0.97</v>
      </c>
      <c r="K20" s="54">
        <v>336.36</v>
      </c>
      <c r="L20" s="54">
        <v>31.10</v>
      </c>
      <c r="M20" s="54">
        <v>69.510000000000005</v>
      </c>
      <c r="N20" s="54">
        <v>467.90</v>
      </c>
      <c r="O20" s="54">
        <v>0</v>
      </c>
      <c r="P20" s="54">
        <v>0.96</v>
      </c>
      <c r="Q20" s="54">
        <v>14</v>
      </c>
      <c r="R20" s="43"/>
      <c r="S20" s="43"/>
      <c r="T20" s="43"/>
      <c r="U20" s="43"/>
    </row>
    <row r="21" spans="1:21" s="11" customFormat="1" ht="15">
      <c r="A21" s="53" t="s">
        <v>530</v>
      </c>
      <c r="B21" s="54">
        <v>12.44</v>
      </c>
      <c r="C21" s="54">
        <v>19.16</v>
      </c>
      <c r="D21" s="54">
        <v>31.33</v>
      </c>
      <c r="E21" s="54">
        <v>13.02</v>
      </c>
      <c r="F21" s="54">
        <v>6.18</v>
      </c>
      <c r="G21" s="54">
        <v>90.20</v>
      </c>
      <c r="H21" s="54">
        <v>31.72</v>
      </c>
      <c r="I21" s="54">
        <v>1.85</v>
      </c>
      <c r="J21" s="54">
        <v>1.1100000000000001</v>
      </c>
      <c r="K21" s="54">
        <v>338.15</v>
      </c>
      <c r="L21" s="54">
        <v>32.44</v>
      </c>
      <c r="M21" s="54">
        <v>65.41</v>
      </c>
      <c r="N21" s="54">
        <v>834.70</v>
      </c>
      <c r="O21" s="54">
        <v>0</v>
      </c>
      <c r="P21" s="54">
        <v>0.94</v>
      </c>
      <c r="Q21" s="54">
        <v>14.31</v>
      </c>
      <c r="R21" s="43"/>
      <c r="S21" s="43"/>
      <c r="T21" s="43"/>
      <c r="U21" s="43"/>
    </row>
    <row r="22" spans="1:21" s="11" customFormat="1" ht="15">
      <c r="A22" s="53" t="s">
        <v>531</v>
      </c>
      <c r="B22" s="54">
        <v>9.11</v>
      </c>
      <c r="C22" s="54">
        <v>23.52</v>
      </c>
      <c r="D22" s="54">
        <v>31.91</v>
      </c>
      <c r="E22" s="54">
        <v>10.99</v>
      </c>
      <c r="F22" s="54">
        <v>15.19</v>
      </c>
      <c r="G22" s="54">
        <v>88.03</v>
      </c>
      <c r="H22" s="54">
        <v>29.62</v>
      </c>
      <c r="I22" s="54">
        <v>1.83</v>
      </c>
      <c r="J22" s="54">
        <v>1.07</v>
      </c>
      <c r="K22" s="54">
        <v>337.01</v>
      </c>
      <c r="L22" s="54">
        <v>33.04</v>
      </c>
      <c r="M22" s="54">
        <v>59.31</v>
      </c>
      <c r="N22" s="54">
        <v>479.70</v>
      </c>
      <c r="O22" s="54">
        <v>0</v>
      </c>
      <c r="P22" s="54">
        <v>0.93</v>
      </c>
      <c r="Q22" s="54">
        <v>11.78</v>
      </c>
      <c r="R22" s="43"/>
      <c r="S22" s="43"/>
      <c r="T22" s="43"/>
      <c r="U22" s="43"/>
    </row>
    <row r="23" spans="1:21" s="11" customFormat="1" ht="15">
      <c r="A23" s="53" t="s">
        <v>532</v>
      </c>
      <c r="B23" s="54">
        <v>9.51</v>
      </c>
      <c r="C23" s="54">
        <v>23.53</v>
      </c>
      <c r="D23" s="54">
        <v>32.21</v>
      </c>
      <c r="E23" s="54">
        <v>9.85</v>
      </c>
      <c r="F23" s="54">
        <v>13.21</v>
      </c>
      <c r="G23" s="54">
        <v>84.17</v>
      </c>
      <c r="H23" s="54">
        <v>33.130000000000003</v>
      </c>
      <c r="I23" s="54">
        <v>1.86</v>
      </c>
      <c r="J23" s="54">
        <v>1.08</v>
      </c>
      <c r="K23" s="54">
        <v>336.34</v>
      </c>
      <c r="L23" s="54">
        <v>31.70</v>
      </c>
      <c r="M23" s="54">
        <v>64.06</v>
      </c>
      <c r="N23" s="54">
        <v>217.30</v>
      </c>
      <c r="O23" s="54">
        <v>0</v>
      </c>
      <c r="P23" s="54">
        <v>0.87</v>
      </c>
      <c r="Q23" s="54">
        <v>9.17</v>
      </c>
      <c r="R23" s="43"/>
      <c r="S23" s="43"/>
      <c r="T23" s="43"/>
      <c r="U23" s="43"/>
    </row>
    <row r="24" spans="1:21" s="11" customFormat="1" ht="15">
      <c r="A24" s="53" t="s">
        <v>533</v>
      </c>
      <c r="B24" s="54">
        <v>6.76</v>
      </c>
      <c r="C24" s="54">
        <v>18.14</v>
      </c>
      <c r="D24" s="54">
        <v>23.74</v>
      </c>
      <c r="E24" s="54">
        <v>10.61</v>
      </c>
      <c r="F24" s="54">
        <v>3.82</v>
      </c>
      <c r="G24" s="54">
        <v>84.17</v>
      </c>
      <c r="H24" s="54">
        <v>33.130000000000003</v>
      </c>
      <c r="I24" s="54">
        <v>1.85</v>
      </c>
      <c r="J24" s="54">
        <v>0.38</v>
      </c>
      <c r="K24" s="54">
        <v>338.96</v>
      </c>
      <c r="L24" s="54">
        <v>30.20</v>
      </c>
      <c r="M24" s="54">
        <v>72.83</v>
      </c>
      <c r="N24" s="54">
        <v>178.10</v>
      </c>
      <c r="O24" s="54">
        <v>0</v>
      </c>
      <c r="P24" s="54">
        <v>0.87</v>
      </c>
      <c r="Q24" s="54">
        <v>11</v>
      </c>
      <c r="R24" s="43"/>
      <c r="S24" s="43"/>
      <c r="T24" s="43"/>
      <c r="U24" s="43"/>
    </row>
    <row r="25" spans="1:21" s="11" customFormat="1" ht="15">
      <c r="A25" s="53" t="s">
        <v>534</v>
      </c>
      <c r="B25" s="54">
        <v>3.81</v>
      </c>
      <c r="C25" s="54">
        <v>17.809999999999999</v>
      </c>
      <c r="D25" s="54">
        <v>21.63</v>
      </c>
      <c r="E25" s="54">
        <v>8.5500000000000007</v>
      </c>
      <c r="F25" s="54">
        <v>4.96</v>
      </c>
      <c r="G25" s="54">
        <v>66.25</v>
      </c>
      <c r="H25" s="54">
        <v>27.28</v>
      </c>
      <c r="I25" s="54">
        <v>1.90</v>
      </c>
      <c r="J25" s="54">
        <v>0.65</v>
      </c>
      <c r="K25" s="54">
        <v>335.36</v>
      </c>
      <c r="L25" s="54">
        <v>28.31</v>
      </c>
      <c r="M25" s="54">
        <v>81.64</v>
      </c>
      <c r="N25" s="54">
        <v>96.20</v>
      </c>
      <c r="O25" s="54">
        <v>0</v>
      </c>
      <c r="P25" s="54">
        <v>0.78</v>
      </c>
      <c r="Q25" s="54">
        <v>5.82</v>
      </c>
      <c r="R25" s="43"/>
      <c r="S25" s="43"/>
      <c r="T25" s="43"/>
      <c r="U25" s="43"/>
    </row>
    <row r="26" spans="1:21" s="11" customFormat="1" ht="15">
      <c r="A26" s="53" t="s">
        <v>535</v>
      </c>
      <c r="B26" s="54">
        <v>3.23</v>
      </c>
      <c r="C26" s="54">
        <v>13.59</v>
      </c>
      <c r="D26" s="54">
        <v>16.829999999999998</v>
      </c>
      <c r="E26" s="54">
        <v>7.80</v>
      </c>
      <c r="F26" s="54">
        <v>4.4800000000000004</v>
      </c>
      <c r="G26" s="54">
        <v>59.96</v>
      </c>
      <c r="H26" s="54">
        <v>24.03</v>
      </c>
      <c r="I26" s="54">
        <v>1.82</v>
      </c>
      <c r="J26" s="54">
        <v>0.24</v>
      </c>
      <c r="K26" s="54">
        <v>224.30</v>
      </c>
      <c r="L26" s="54">
        <v>24.45</v>
      </c>
      <c r="M26" s="54">
        <v>98.79</v>
      </c>
      <c r="N26" s="54">
        <v>16.600000000000001</v>
      </c>
      <c r="O26" s="54">
        <v>1.20</v>
      </c>
      <c r="P26" s="54">
        <v>0.63</v>
      </c>
      <c r="Q26" s="54">
        <v>4.1900000000000004</v>
      </c>
      <c r="R26" s="43"/>
      <c r="S26" s="43"/>
      <c r="T26" s="43"/>
      <c r="U26" s="43"/>
    </row>
    <row r="27" spans="1:21" s="11" customFormat="1" ht="15">
      <c r="A27" s="53" t="s">
        <v>536</v>
      </c>
      <c r="B27" s="54">
        <v>3.32</v>
      </c>
      <c r="C27" s="54">
        <v>13.27</v>
      </c>
      <c r="D27" s="54">
        <v>16.57</v>
      </c>
      <c r="E27" s="54">
        <v>7.29</v>
      </c>
      <c r="F27" s="54">
        <v>2.10</v>
      </c>
      <c r="G27" s="54">
        <v>45.78</v>
      </c>
      <c r="H27" s="54">
        <v>20.12</v>
      </c>
      <c r="I27" s="54">
        <v>1.83</v>
      </c>
      <c r="J27" s="54">
        <v>0.88</v>
      </c>
      <c r="K27" s="54">
        <v>249.75</v>
      </c>
      <c r="L27" s="54">
        <v>21.32</v>
      </c>
      <c r="M27" s="54">
        <v>98.83</v>
      </c>
      <c r="N27" s="54">
        <v>13.20</v>
      </c>
      <c r="O27" s="54">
        <v>1.80</v>
      </c>
      <c r="P27" s="54">
        <v>0.56000000000000005</v>
      </c>
      <c r="Q27" s="54">
        <v>6.08</v>
      </c>
      <c r="R27" s="43"/>
      <c r="S27" s="43"/>
      <c r="T27" s="43"/>
      <c r="U27" s="43"/>
    </row>
    <row r="28" spans="1:21" s="11" customFormat="1" ht="15">
      <c r="A28" s="53" t="s">
        <v>537</v>
      </c>
      <c r="B28" s="54">
        <v>3.68</v>
      </c>
      <c r="C28" s="54">
        <v>13.56</v>
      </c>
      <c r="D28" s="54">
        <v>17.22</v>
      </c>
      <c r="E28" s="54">
        <v>6.54</v>
      </c>
      <c r="F28" s="54">
        <v>3.27</v>
      </c>
      <c r="G28" s="54">
        <v>28.28</v>
      </c>
      <c r="H28" s="54">
        <v>14.21</v>
      </c>
      <c r="I28" s="54">
        <v>1.81</v>
      </c>
      <c r="J28" s="54">
        <v>0.17</v>
      </c>
      <c r="K28" s="54">
        <v>26.5</v>
      </c>
      <c r="L28" s="54">
        <v>21.63</v>
      </c>
      <c r="M28" s="54">
        <v>98.83</v>
      </c>
      <c r="N28" s="54">
        <v>9.8000000000000007</v>
      </c>
      <c r="O28" s="54">
        <v>0.60</v>
      </c>
      <c r="P28" s="54">
        <v>0.53</v>
      </c>
      <c r="Q28" s="54">
        <v>6.06</v>
      </c>
      <c r="R28" s="43"/>
      <c r="S28" s="43"/>
      <c r="T28" s="43"/>
      <c r="U28" s="43"/>
    </row>
    <row r="29" spans="1:21" s="11" customFormat="1" ht="15">
      <c r="A29" s="53" t="s">
        <v>538</v>
      </c>
      <c r="B29" s="54">
        <v>3.79</v>
      </c>
      <c r="C29" s="54">
        <v>15.04</v>
      </c>
      <c r="D29" s="54">
        <v>18.80</v>
      </c>
      <c r="E29" s="54">
        <v>5.5</v>
      </c>
      <c r="F29" s="54">
        <v>4.80</v>
      </c>
      <c r="G29" s="54">
        <v>15.66</v>
      </c>
      <c r="H29" s="54">
        <v>10.34</v>
      </c>
      <c r="I29" s="54">
        <v>1.80</v>
      </c>
      <c r="J29" s="54">
        <v>0.60</v>
      </c>
      <c r="K29" s="54">
        <v>200.23</v>
      </c>
      <c r="L29" s="54">
        <v>21.73</v>
      </c>
      <c r="M29" s="54">
        <v>98.83</v>
      </c>
      <c r="N29" s="54">
        <v>9.8000000000000007</v>
      </c>
      <c r="O29" s="54">
        <v>0.80</v>
      </c>
      <c r="P29" s="54">
        <v>0.51</v>
      </c>
      <c r="Q29" s="54">
        <v>5.14</v>
      </c>
      <c r="R29" s="43"/>
      <c r="S29" s="43"/>
      <c r="T29" s="43"/>
      <c r="U29" s="43"/>
    </row>
    <row r="30" spans="1:21" s="11" customFormat="1" ht="15">
      <c r="A30" s="53" t="s">
        <v>539</v>
      </c>
      <c r="B30" s="54">
        <v>4.13</v>
      </c>
      <c r="C30" s="54">
        <v>10.26</v>
      </c>
      <c r="D30" s="54">
        <v>14.12</v>
      </c>
      <c r="E30" s="54">
        <v>4.99</v>
      </c>
      <c r="F30" s="54">
        <v>1.56</v>
      </c>
      <c r="G30" s="54">
        <v>14.52</v>
      </c>
      <c r="H30" s="54">
        <v>7.24</v>
      </c>
      <c r="I30" s="54">
        <v>1.85</v>
      </c>
      <c r="J30" s="54">
        <v>0.28999999999999998</v>
      </c>
      <c r="K30" s="54">
        <v>203.72</v>
      </c>
      <c r="L30" s="54">
        <v>21.76</v>
      </c>
      <c r="M30" s="54">
        <v>98.83</v>
      </c>
      <c r="N30" s="54">
        <v>9.90</v>
      </c>
      <c r="O30" s="54">
        <v>1.20</v>
      </c>
      <c r="P30" s="54">
        <v>0.48</v>
      </c>
      <c r="Q30" s="54">
        <v>6.07</v>
      </c>
      <c r="R30" s="43"/>
      <c r="S30" s="43"/>
      <c r="T30" s="43"/>
      <c r="U30" s="43"/>
    </row>
    <row r="31" spans="1:21" s="11" customFormat="1" ht="15">
      <c r="A31" s="53" t="s">
        <v>540</v>
      </c>
      <c r="B31" s="54">
        <v>4.33</v>
      </c>
      <c r="C31" s="54">
        <v>11.64</v>
      </c>
      <c r="D31" s="54">
        <v>15.97</v>
      </c>
      <c r="E31" s="54">
        <v>4.8899999999999997</v>
      </c>
      <c r="F31" s="54">
        <v>2.2000000000000002</v>
      </c>
      <c r="G31" s="54">
        <v>11.74</v>
      </c>
      <c r="H31" s="54">
        <v>5.32</v>
      </c>
      <c r="I31" s="54">
        <v>1.86</v>
      </c>
      <c r="J31" s="54">
        <v>0.22</v>
      </c>
      <c r="K31" s="54">
        <v>354.51</v>
      </c>
      <c r="L31" s="54">
        <v>21.73</v>
      </c>
      <c r="M31" s="54">
        <v>98.83</v>
      </c>
      <c r="N31" s="54">
        <v>10</v>
      </c>
      <c r="O31" s="54">
        <v>0.80</v>
      </c>
      <c r="P31" s="54">
        <v>0.45</v>
      </c>
      <c r="Q31" s="54">
        <v>5.45</v>
      </c>
      <c r="R31" s="43"/>
      <c r="S31" s="43"/>
      <c r="T31" s="43"/>
      <c r="U31" s="43"/>
    </row>
    <row r="32" spans="1:21" s="11" customFormat="1" ht="15">
      <c r="A32" s="53" t="s">
        <v>541</v>
      </c>
      <c r="B32" s="54">
        <v>5.37</v>
      </c>
      <c r="C32" s="54">
        <v>11.20</v>
      </c>
      <c r="D32" s="54">
        <v>16.43</v>
      </c>
      <c r="E32" s="54">
        <v>4.71</v>
      </c>
      <c r="F32" s="54">
        <v>2.5</v>
      </c>
      <c r="G32" s="54">
        <v>11.82</v>
      </c>
      <c r="H32" s="54">
        <v>7.66</v>
      </c>
      <c r="I32" s="54">
        <v>1.82</v>
      </c>
      <c r="J32" s="54">
        <v>0.23</v>
      </c>
      <c r="K32" s="54">
        <v>350.96</v>
      </c>
      <c r="L32" s="54">
        <v>21.65</v>
      </c>
      <c r="M32" s="54">
        <v>98.84</v>
      </c>
      <c r="N32" s="54">
        <v>9.90</v>
      </c>
      <c r="O32" s="54">
        <v>0.60</v>
      </c>
      <c r="P32" s="54">
        <v>0.44</v>
      </c>
      <c r="Q32" s="54">
        <v>4.33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3.23</v>
      </c>
      <c r="C34" s="28">
        <f t="shared" si="0"/>
        <v>9.4100000000000001</v>
      </c>
      <c r="D34" s="28">
        <f t="shared" si="0"/>
        <v>14.119999999999999</v>
      </c>
      <c r="E34" s="28">
        <f t="shared" si="0"/>
        <v>4.4299999999999997</v>
      </c>
      <c r="F34" s="28">
        <f t="shared" si="0"/>
        <v>1.5600000000000001</v>
      </c>
      <c r="G34" s="28">
        <f t="shared" si="0"/>
        <v>11.74</v>
      </c>
      <c r="H34" s="28">
        <f t="shared" si="0"/>
        <v>5.3200000000000003</v>
      </c>
      <c r="I34" s="28">
        <f t="shared" si="0"/>
        <v>1.8</v>
      </c>
      <c r="J34" s="28">
        <f t="shared" si="0"/>
        <v>0.17000000000000001</v>
      </c>
      <c r="K34" s="28">
        <f t="shared" si="0"/>
        <v>26.5</v>
      </c>
      <c r="L34" s="28">
        <f t="shared" si="0"/>
        <v>21.32</v>
      </c>
      <c r="M34" s="28">
        <f t="shared" si="0"/>
        <v>59.310000000000002</v>
      </c>
      <c r="N34" s="28">
        <f t="shared" si="0"/>
        <v>9.5</v>
      </c>
      <c r="O34" s="28">
        <f t="shared" si="0"/>
        <v>0</v>
      </c>
      <c r="P34" s="28">
        <f t="shared" si="0"/>
        <v>0.44</v>
      </c>
      <c r="Q34" s="28">
        <f t="shared" si="0"/>
        <v>4.1900000000000004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22.879999999999999</v>
      </c>
      <c r="C35" s="29">
        <f t="shared" si="1"/>
        <v>27.739999999999998</v>
      </c>
      <c r="D35" s="29">
        <f t="shared" si="1"/>
        <v>50.619999999999997</v>
      </c>
      <c r="E35" s="29">
        <f t="shared" si="1"/>
        <v>13.02</v>
      </c>
      <c r="F35" s="29">
        <f t="shared" si="1"/>
        <v>15.19</v>
      </c>
      <c r="G35" s="29">
        <f t="shared" si="1"/>
        <v>93.870000000000005</v>
      </c>
      <c r="H35" s="29">
        <f t="shared" si="1"/>
        <v>33.130000000000003</v>
      </c>
      <c r="I35" s="29">
        <f t="shared" si="1"/>
        <v>1.8999999999999999</v>
      </c>
      <c r="J35" s="29">
        <f t="shared" si="1"/>
        <v>1.22</v>
      </c>
      <c r="K35" s="29">
        <f t="shared" si="1"/>
        <v>354.50999999999999</v>
      </c>
      <c r="L35" s="29">
        <f t="shared" si="1"/>
        <v>33.039999999999999</v>
      </c>
      <c r="M35" s="29">
        <f t="shared" si="1"/>
        <v>98.840000000000003</v>
      </c>
      <c r="N35" s="29">
        <f t="shared" si="1"/>
        <v>834.70000000000005</v>
      </c>
      <c r="O35" s="29">
        <f t="shared" si="1"/>
        <v>1.8</v>
      </c>
      <c r="P35" s="29">
        <f t="shared" si="1"/>
        <v>0.95999999999999996</v>
      </c>
      <c r="Q35" s="29">
        <f t="shared" si="1"/>
        <v>15.24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9.3912499999999977</v>
      </c>
      <c r="C36" s="28">
        <f t="shared" si="2"/>
        <v>16.667083333333331</v>
      </c>
      <c r="D36" s="28">
        <f t="shared" si="2"/>
        <v>25.52</v>
      </c>
      <c r="E36" s="28">
        <f t="shared" si="2"/>
        <v>6.8041666666666663</v>
      </c>
      <c r="F36" s="28">
        <f t="shared" si="2"/>
        <v>5.4070833333333326</v>
      </c>
      <c r="G36" s="28">
        <f t="shared" si="2"/>
        <v>55.646666666666668</v>
      </c>
      <c r="H36" s="28">
        <f t="shared" si="2"/>
        <v>20.689166666666665</v>
      </c>
      <c r="I36" s="28">
        <f t="shared" si="2"/>
        <v>1.8370833333333332</v>
      </c>
      <c r="J36" s="28">
        <f t="shared" si="2"/>
        <v>0.71208333333333351</v>
      </c>
      <c r="K36" s="28">
        <f t="shared" si="2"/>
        <v>304.81999999999999</v>
      </c>
      <c r="L36" s="28">
        <f t="shared" si="2"/>
        <v>26.131666666666671</v>
      </c>
      <c r="M36" s="28">
        <f t="shared" si="2"/>
        <v>88.128749999999982</v>
      </c>
      <c r="N36" s="28">
        <f t="shared" si="2"/>
        <v>156.01666666666665</v>
      </c>
      <c r="O36" s="28">
        <f t="shared" si="2"/>
        <v>0.29166666666666669</v>
      </c>
      <c r="P36" s="28">
        <f t="shared" si="2"/>
        <v>0.69041666666666668</v>
      </c>
      <c r="Q36" s="28">
        <f t="shared" si="2"/>
        <v>8.6954166666666648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5.6209965946788545</v>
      </c>
      <c r="C37" s="28">
        <f t="shared" si="3" ref="C37:Q37">STDEV(C9:C32)</f>
        <v>5.6528103662012192</v>
      </c>
      <c r="D37" s="28">
        <f t="shared" si="3"/>
        <v>10.102261046957242</v>
      </c>
      <c r="E37" s="28">
        <f t="shared" si="3"/>
        <v>2.51271188449706</v>
      </c>
      <c r="F37" s="28">
        <f t="shared" si="3"/>
        <v>3.9165895536657986</v>
      </c>
      <c r="G37" s="28">
        <f t="shared" si="3"/>
        <v>29.023480099764932</v>
      </c>
      <c r="H37" s="28">
        <f t="shared" si="3"/>
        <v>9.2363835933799372</v>
      </c>
      <c r="I37" s="28">
        <f t="shared" si="3"/>
        <v>0.023121449982113174</v>
      </c>
      <c r="J37" s="28">
        <f t="shared" si="3"/>
        <v>0.33215998197132057</v>
      </c>
      <c r="K37" s="28">
        <f t="shared" si="3"/>
        <v>75.030279626758428</v>
      </c>
      <c r="L37" s="28">
        <f t="shared" si="3"/>
        <v>3.8589406821569172</v>
      </c>
      <c r="M37" s="28">
        <f t="shared" si="3"/>
        <v>13.867415768941889</v>
      </c>
      <c r="N37" s="28">
        <f t="shared" si="3"/>
        <v>219.67074109392368</v>
      </c>
      <c r="O37" s="28">
        <f t="shared" si="3"/>
        <v>0.51407719490251713</v>
      </c>
      <c r="P37" s="28">
        <f t="shared" si="3"/>
        <v>0.18846010226285953</v>
      </c>
      <c r="Q37" s="28">
        <f t="shared" si="3"/>
        <v>3.5076549569621962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d7cdded-e31f-4735-9187-3e42b1b1e9bb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39" sqref="H3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21-09-2023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8"/>
      <c r="B8" s="59" t="s">
        <v>22</v>
      </c>
      <c r="C8" s="59" t="s">
        <v>22</v>
      </c>
      <c r="D8" s="29" t="s">
        <v>61</v>
      </c>
      <c r="E8" s="59" t="s">
        <v>22</v>
      </c>
      <c r="F8" s="59" t="s">
        <v>22</v>
      </c>
      <c r="G8" s="59" t="s">
        <v>23</v>
      </c>
      <c r="H8" s="59" t="s">
        <v>22</v>
      </c>
      <c r="I8" s="59" t="s">
        <v>22</v>
      </c>
      <c r="J8" s="59" t="s">
        <v>24</v>
      </c>
      <c r="K8" s="59" t="s">
        <v>25</v>
      </c>
      <c r="L8" s="58" t="s">
        <v>27</v>
      </c>
      <c r="M8" s="59" t="s">
        <v>26</v>
      </c>
      <c r="N8" s="59" t="s">
        <v>28</v>
      </c>
      <c r="O8" s="58" t="s">
        <v>29</v>
      </c>
      <c r="P8" s="59" t="s">
        <v>22</v>
      </c>
      <c r="Q8" s="59" t="s">
        <v>22</v>
      </c>
      <c r="R8" s="27"/>
      <c r="S8" s="29"/>
      <c r="T8" s="27"/>
      <c r="U8" s="27"/>
    </row>
    <row r="9" spans="1:21" s="11" customFormat="1" ht="15">
      <c r="A9" s="53" t="s">
        <v>542</v>
      </c>
      <c r="B9" s="54">
        <v>4.41</v>
      </c>
      <c r="C9" s="54">
        <v>10.210000000000001</v>
      </c>
      <c r="D9" s="54">
        <v>14.62</v>
      </c>
      <c r="E9" s="54">
        <v>4.93</v>
      </c>
      <c r="F9" s="54">
        <v>0.87</v>
      </c>
      <c r="G9" s="54">
        <v>14.85</v>
      </c>
      <c r="H9" s="54">
        <v>7.79</v>
      </c>
      <c r="I9" s="54">
        <v>1.85</v>
      </c>
      <c r="J9" s="54">
        <v>0.13</v>
      </c>
      <c r="K9" s="54">
        <v>40.42</v>
      </c>
      <c r="L9" s="54">
        <v>21.73</v>
      </c>
      <c r="M9" s="54">
        <v>98.83</v>
      </c>
      <c r="N9" s="54">
        <v>10</v>
      </c>
      <c r="O9" s="54">
        <v>0</v>
      </c>
      <c r="P9" s="54">
        <v>0.45</v>
      </c>
      <c r="Q9" s="54">
        <v>3.09</v>
      </c>
      <c r="R9" s="43"/>
      <c r="S9" s="43"/>
      <c r="T9" s="43"/>
      <c r="U9" s="43"/>
    </row>
    <row r="10" spans="1:21" s="11" customFormat="1" ht="15">
      <c r="A10" s="53" t="s">
        <v>543</v>
      </c>
      <c r="B10" s="54">
        <v>3.61</v>
      </c>
      <c r="C10" s="54">
        <v>10.02</v>
      </c>
      <c r="D10" s="54">
        <v>13.02</v>
      </c>
      <c r="E10" s="54">
        <v>4.96</v>
      </c>
      <c r="F10" s="54">
        <v>5.62</v>
      </c>
      <c r="G10" s="54">
        <v>14.85</v>
      </c>
      <c r="H10" s="54">
        <v>7.79</v>
      </c>
      <c r="I10" s="54">
        <v>1.84</v>
      </c>
      <c r="J10" s="54">
        <v>0.070000000000000007</v>
      </c>
      <c r="K10" s="54">
        <v>220.23</v>
      </c>
      <c r="L10" s="54">
        <v>21.78</v>
      </c>
      <c r="M10" s="54">
        <v>98.83</v>
      </c>
      <c r="N10" s="54">
        <v>9.90</v>
      </c>
      <c r="O10" s="54">
        <v>0.40</v>
      </c>
      <c r="P10" s="54">
        <v>0.45</v>
      </c>
      <c r="Q10" s="54">
        <v>2.42</v>
      </c>
      <c r="R10" s="43"/>
      <c r="S10" s="43"/>
      <c r="T10" s="43"/>
      <c r="U10" s="43"/>
    </row>
    <row r="11" spans="1:21" s="11" customFormat="1" ht="15">
      <c r="A11" s="53" t="s">
        <v>544</v>
      </c>
      <c r="B11" s="54">
        <v>4.1900000000000004</v>
      </c>
      <c r="C11" s="54">
        <v>10.26</v>
      </c>
      <c r="D11" s="54">
        <v>13.36</v>
      </c>
      <c r="E11" s="54">
        <v>5.19</v>
      </c>
      <c r="F11" s="54">
        <v>4.8600000000000003</v>
      </c>
      <c r="G11" s="54">
        <v>13.01</v>
      </c>
      <c r="H11" s="54">
        <v>6.11</v>
      </c>
      <c r="I11" s="54">
        <v>1.80</v>
      </c>
      <c r="J11" s="54">
        <v>0.11</v>
      </c>
      <c r="K11" s="54">
        <v>354.20</v>
      </c>
      <c r="L11" s="54">
        <v>21.95</v>
      </c>
      <c r="M11" s="54">
        <v>98.84</v>
      </c>
      <c r="N11" s="54">
        <v>9.8000000000000007</v>
      </c>
      <c r="O11" s="54">
        <v>0.80</v>
      </c>
      <c r="P11" s="54">
        <v>0.44</v>
      </c>
      <c r="Q11" s="54">
        <v>3.47</v>
      </c>
      <c r="R11" s="43"/>
      <c r="S11" s="43"/>
      <c r="T11" s="43"/>
      <c r="U11" s="43"/>
    </row>
    <row r="12" spans="1:21" s="11" customFormat="1" ht="15">
      <c r="A12" s="53" t="s">
        <v>545</v>
      </c>
      <c r="B12" s="54">
        <v>4.22</v>
      </c>
      <c r="C12" s="54">
        <v>8.7799999999999994</v>
      </c>
      <c r="D12" s="54">
        <v>12.77</v>
      </c>
      <c r="E12" s="54">
        <v>4.74</v>
      </c>
      <c r="F12" s="54">
        <v>0.97</v>
      </c>
      <c r="G12" s="54">
        <v>12.44</v>
      </c>
      <c r="H12" s="54">
        <v>9.0399999999999991</v>
      </c>
      <c r="I12" s="54">
        <v>1.84</v>
      </c>
      <c r="J12" s="54">
        <v>0.20</v>
      </c>
      <c r="K12" s="54">
        <v>328.86</v>
      </c>
      <c r="L12" s="54">
        <v>21.99</v>
      </c>
      <c r="M12" s="54">
        <v>98.83</v>
      </c>
      <c r="N12" s="54">
        <v>10.10</v>
      </c>
      <c r="O12" s="54">
        <v>0.80</v>
      </c>
      <c r="P12" s="54">
        <v>0.44</v>
      </c>
      <c r="Q12" s="54">
        <v>2.77</v>
      </c>
      <c r="R12" s="43"/>
      <c r="S12" s="43"/>
      <c r="T12" s="43"/>
      <c r="U12" s="43"/>
    </row>
    <row r="13" spans="1:21" s="11" customFormat="1" ht="15">
      <c r="A13" s="53" t="s">
        <v>546</v>
      </c>
      <c r="B13" s="54">
        <v>3.86</v>
      </c>
      <c r="C13" s="54">
        <v>8.6199999999999992</v>
      </c>
      <c r="D13" s="54">
        <v>12.29</v>
      </c>
      <c r="E13" s="54">
        <v>5.63</v>
      </c>
      <c r="F13" s="54">
        <v>1.42</v>
      </c>
      <c r="G13" s="54">
        <v>12.03</v>
      </c>
      <c r="H13" s="54">
        <v>9.0399999999999991</v>
      </c>
      <c r="I13" s="54">
        <v>1.82</v>
      </c>
      <c r="J13" s="54">
        <v>0.28000000000000003</v>
      </c>
      <c r="K13" s="54">
        <v>33.60</v>
      </c>
      <c r="L13" s="54">
        <v>21.90</v>
      </c>
      <c r="M13" s="54">
        <v>98.83</v>
      </c>
      <c r="N13" s="54">
        <v>9.90</v>
      </c>
      <c r="O13" s="54">
        <v>0.20</v>
      </c>
      <c r="P13" s="54">
        <v>0.42</v>
      </c>
      <c r="Q13" s="54">
        <v>2.1800000000000002</v>
      </c>
      <c r="R13" s="43"/>
      <c r="S13" s="43"/>
      <c r="T13" s="43"/>
      <c r="U13" s="43"/>
    </row>
    <row r="14" spans="1:21" s="11" customFormat="1" ht="15">
      <c r="A14" s="53" t="s">
        <v>547</v>
      </c>
      <c r="B14" s="54">
        <v>4.32</v>
      </c>
      <c r="C14" s="54">
        <v>8.75</v>
      </c>
      <c r="D14" s="54">
        <v>12.86</v>
      </c>
      <c r="E14" s="54">
        <v>5.86</v>
      </c>
      <c r="F14" s="54">
        <v>1.28</v>
      </c>
      <c r="G14" s="54">
        <v>11.67</v>
      </c>
      <c r="H14" s="54">
        <v>6.5</v>
      </c>
      <c r="I14" s="54">
        <v>1.84</v>
      </c>
      <c r="J14" s="54">
        <v>0.16</v>
      </c>
      <c r="K14" s="54">
        <v>30.13</v>
      </c>
      <c r="L14" s="54">
        <v>21.97</v>
      </c>
      <c r="M14" s="54">
        <v>98.85</v>
      </c>
      <c r="N14" s="54">
        <v>10.30</v>
      </c>
      <c r="O14" s="54">
        <v>0.20</v>
      </c>
      <c r="P14" s="54">
        <v>0.44</v>
      </c>
      <c r="Q14" s="54">
        <v>1.88</v>
      </c>
      <c r="R14" s="43"/>
      <c r="S14" s="43"/>
      <c r="T14" s="43"/>
      <c r="U14" s="43"/>
    </row>
    <row r="15" spans="1:21" s="11" customFormat="1" ht="15">
      <c r="A15" s="53" t="s">
        <v>548</v>
      </c>
      <c r="B15" s="54">
        <v>6.39</v>
      </c>
      <c r="C15" s="54">
        <v>9.74</v>
      </c>
      <c r="D15" s="54">
        <v>16.13</v>
      </c>
      <c r="E15" s="54">
        <v>5.89</v>
      </c>
      <c r="F15" s="54">
        <v>0.70</v>
      </c>
      <c r="G15" s="54">
        <v>12.99</v>
      </c>
      <c r="H15" s="54">
        <v>6.02</v>
      </c>
      <c r="I15" s="54">
        <v>1.83</v>
      </c>
      <c r="J15" s="54">
        <v>1.61</v>
      </c>
      <c r="K15" s="54">
        <v>330.14</v>
      </c>
      <c r="L15" s="54">
        <v>22.03</v>
      </c>
      <c r="M15" s="54">
        <v>98.84</v>
      </c>
      <c r="N15" s="54">
        <v>18.399999999999999</v>
      </c>
      <c r="O15" s="54">
        <v>0.40</v>
      </c>
      <c r="P15" s="54">
        <v>0.59</v>
      </c>
      <c r="Q15" s="54">
        <v>1.75</v>
      </c>
      <c r="R15" s="43"/>
      <c r="S15" s="43"/>
      <c r="T15" s="43"/>
      <c r="U15" s="43"/>
    </row>
    <row r="16" spans="1:21" s="11" customFormat="1" ht="15">
      <c r="A16" s="53" t="s">
        <v>549</v>
      </c>
      <c r="B16" s="54">
        <v>7.80</v>
      </c>
      <c r="C16" s="54">
        <v>12.70</v>
      </c>
      <c r="D16" s="54">
        <v>20.5</v>
      </c>
      <c r="E16" s="54">
        <v>5.87</v>
      </c>
      <c r="F16" s="54">
        <v>1.70</v>
      </c>
      <c r="G16" s="54">
        <v>12.99</v>
      </c>
      <c r="H16" s="54">
        <v>5.42</v>
      </c>
      <c r="I16" s="54">
        <v>1.86</v>
      </c>
      <c r="J16" s="54">
        <v>0.70</v>
      </c>
      <c r="K16" s="54">
        <v>338.42</v>
      </c>
      <c r="L16" s="54">
        <v>21.27</v>
      </c>
      <c r="M16" s="54">
        <v>98.84</v>
      </c>
      <c r="N16" s="54">
        <v>31.70</v>
      </c>
      <c r="O16" s="54">
        <v>0</v>
      </c>
      <c r="P16" s="54">
        <v>0.51</v>
      </c>
      <c r="Q16" s="54">
        <v>5.46</v>
      </c>
      <c r="R16" s="43"/>
      <c r="S16" s="43"/>
      <c r="T16" s="43"/>
      <c r="U16" s="43"/>
    </row>
    <row r="17" spans="1:21" s="11" customFormat="1" ht="15">
      <c r="A17" s="53" t="s">
        <v>550</v>
      </c>
      <c r="B17" s="54">
        <v>13.99</v>
      </c>
      <c r="C17" s="54">
        <v>12.36</v>
      </c>
      <c r="D17" s="54">
        <v>25.41</v>
      </c>
      <c r="E17" s="54">
        <v>5.95</v>
      </c>
      <c r="F17" s="54">
        <v>1.37</v>
      </c>
      <c r="G17" s="54">
        <v>12.66</v>
      </c>
      <c r="H17" s="54">
        <v>4.58</v>
      </c>
      <c r="I17" s="54">
        <v>1.82</v>
      </c>
      <c r="J17" s="54">
        <v>0.16</v>
      </c>
      <c r="K17" s="54">
        <v>339.04</v>
      </c>
      <c r="L17" s="54">
        <v>22</v>
      </c>
      <c r="M17" s="54">
        <v>98.84</v>
      </c>
      <c r="N17" s="54">
        <v>34</v>
      </c>
      <c r="O17" s="54">
        <v>0</v>
      </c>
      <c r="P17" s="54">
        <v>0.53</v>
      </c>
      <c r="Q17" s="54">
        <v>3.13</v>
      </c>
      <c r="R17" s="43"/>
      <c r="S17" s="43"/>
      <c r="T17" s="43"/>
      <c r="U17" s="43"/>
    </row>
    <row r="18" spans="1:21" s="11" customFormat="1" ht="15">
      <c r="A18" s="53" t="s">
        <v>551</v>
      </c>
      <c r="B18" s="54">
        <v>12.87</v>
      </c>
      <c r="C18" s="54">
        <v>12.46</v>
      </c>
      <c r="D18" s="54">
        <v>23.63</v>
      </c>
      <c r="E18" s="54">
        <v>5.58</v>
      </c>
      <c r="F18" s="54">
        <v>1.05</v>
      </c>
      <c r="G18" s="54">
        <v>14.07</v>
      </c>
      <c r="H18" s="54">
        <v>8.8800000000000008</v>
      </c>
      <c r="I18" s="54">
        <v>1.85</v>
      </c>
      <c r="J18" s="54">
        <v>0.35</v>
      </c>
      <c r="K18" s="54">
        <v>349.01</v>
      </c>
      <c r="L18" s="54">
        <v>22.34</v>
      </c>
      <c r="M18" s="54">
        <v>98.83</v>
      </c>
      <c r="N18" s="54">
        <v>51.10</v>
      </c>
      <c r="O18" s="54">
        <v>0</v>
      </c>
      <c r="P18" s="54">
        <v>0.59</v>
      </c>
      <c r="Q18" s="54">
        <v>2.89</v>
      </c>
      <c r="R18" s="43"/>
      <c r="S18" s="43"/>
      <c r="T18" s="43"/>
      <c r="U18" s="43"/>
    </row>
    <row r="19" spans="1:21" s="11" customFormat="1" ht="15">
      <c r="A19" s="53" t="s">
        <v>552</v>
      </c>
      <c r="B19" s="54">
        <v>17.11</v>
      </c>
      <c r="C19" s="54">
        <v>28.36</v>
      </c>
      <c r="D19" s="54">
        <v>44.33</v>
      </c>
      <c r="E19" s="54">
        <v>5.5</v>
      </c>
      <c r="F19" s="54">
        <v>3.24</v>
      </c>
      <c r="G19" s="54">
        <v>14.07</v>
      </c>
      <c r="H19" s="54">
        <v>8.8800000000000008</v>
      </c>
      <c r="I19" s="54">
        <v>1.87</v>
      </c>
      <c r="J19" s="54">
        <v>0.56999999999999995</v>
      </c>
      <c r="K19" s="54">
        <v>331.98</v>
      </c>
      <c r="L19" s="54">
        <v>22.95</v>
      </c>
      <c r="M19" s="54">
        <v>98.83</v>
      </c>
      <c r="N19" s="54">
        <v>203.60</v>
      </c>
      <c r="O19" s="54">
        <v>0</v>
      </c>
      <c r="P19" s="54">
        <v>0.90</v>
      </c>
      <c r="Q19" s="54">
        <v>5.71</v>
      </c>
      <c r="R19" s="43"/>
      <c r="S19" s="43"/>
      <c r="T19" s="43"/>
      <c r="U19" s="43"/>
    </row>
    <row r="20" spans="1:21" s="11" customFormat="1" ht="15">
      <c r="A20" s="53" t="s">
        <v>553</v>
      </c>
      <c r="B20" s="54">
        <v>13.67</v>
      </c>
      <c r="C20" s="54">
        <v>26.83</v>
      </c>
      <c r="D20" s="54">
        <v>40.5</v>
      </c>
      <c r="E20" s="18" t="s">
        <v>12</v>
      </c>
      <c r="F20" s="54">
        <v>1.86</v>
      </c>
      <c r="G20" s="60" t="s">
        <v>12</v>
      </c>
      <c r="H20" s="60" t="s">
        <v>12</v>
      </c>
      <c r="I20" s="54">
        <v>1.84</v>
      </c>
      <c r="J20" s="54">
        <v>0.91</v>
      </c>
      <c r="K20" s="54">
        <v>342.40</v>
      </c>
      <c r="L20" s="54">
        <v>24.32</v>
      </c>
      <c r="M20" s="54">
        <v>98.85</v>
      </c>
      <c r="N20" s="54">
        <v>332.5</v>
      </c>
      <c r="O20" s="54">
        <v>0</v>
      </c>
      <c r="P20" s="54">
        <v>0.89</v>
      </c>
      <c r="Q20" s="54">
        <v>4.5</v>
      </c>
      <c r="R20" s="43"/>
      <c r="S20" s="43"/>
      <c r="T20" s="43"/>
      <c r="U20" s="43"/>
    </row>
    <row r="21" spans="1:21" s="11" customFormat="1" ht="15">
      <c r="A21" s="53" t="s">
        <v>554</v>
      </c>
      <c r="B21" s="54">
        <v>11.02</v>
      </c>
      <c r="C21" s="54">
        <v>16.690000000000001</v>
      </c>
      <c r="D21" s="54">
        <v>27.71</v>
      </c>
      <c r="E21" s="54">
        <v>12.72</v>
      </c>
      <c r="F21" s="54">
        <v>1.59</v>
      </c>
      <c r="G21" s="60" t="s">
        <v>12</v>
      </c>
      <c r="H21" s="60" t="s">
        <v>12</v>
      </c>
      <c r="I21" s="54">
        <v>1.83</v>
      </c>
      <c r="J21" s="54">
        <v>0.49</v>
      </c>
      <c r="K21" s="54">
        <v>331.66</v>
      </c>
      <c r="L21" s="54">
        <v>26.91</v>
      </c>
      <c r="M21" s="54">
        <v>98.85</v>
      </c>
      <c r="N21" s="54">
        <v>410.40</v>
      </c>
      <c r="O21" s="54">
        <v>0</v>
      </c>
      <c r="P21" s="54">
        <v>0.82</v>
      </c>
      <c r="Q21" s="54">
        <v>2.69</v>
      </c>
      <c r="R21" s="43"/>
      <c r="S21" s="43"/>
      <c r="T21" s="43"/>
      <c r="U21" s="43"/>
    </row>
    <row r="22" spans="1:21" s="11" customFormat="1" ht="15">
      <c r="A22" s="53" t="s">
        <v>555</v>
      </c>
      <c r="B22" s="54">
        <v>10.83</v>
      </c>
      <c r="C22" s="54">
        <v>20.94</v>
      </c>
      <c r="D22" s="54">
        <v>31.77</v>
      </c>
      <c r="E22" s="54">
        <v>1.84</v>
      </c>
      <c r="F22" s="54">
        <v>4.4400000000000004</v>
      </c>
      <c r="G22" s="60" t="s">
        <v>12</v>
      </c>
      <c r="H22" s="60" t="s">
        <v>12</v>
      </c>
      <c r="I22" s="54">
        <v>1.80</v>
      </c>
      <c r="J22" s="54">
        <v>0.56999999999999995</v>
      </c>
      <c r="K22" s="54">
        <v>346.74</v>
      </c>
      <c r="L22" s="54">
        <v>27.56</v>
      </c>
      <c r="M22" s="54">
        <v>85.74</v>
      </c>
      <c r="N22" s="54">
        <v>373.80</v>
      </c>
      <c r="O22" s="54">
        <v>0</v>
      </c>
      <c r="P22" s="54">
        <v>0.87</v>
      </c>
      <c r="Q22" s="54">
        <v>3.12</v>
      </c>
      <c r="R22" s="43"/>
      <c r="S22" s="43"/>
      <c r="T22" s="43"/>
      <c r="U22" s="43"/>
    </row>
    <row r="23" spans="1:21" s="11" customFormat="1" ht="15">
      <c r="A23" s="53" t="s">
        <v>556</v>
      </c>
      <c r="B23" s="54">
        <v>7.31</v>
      </c>
      <c r="C23" s="54">
        <v>27.99</v>
      </c>
      <c r="D23" s="54">
        <v>35.29</v>
      </c>
      <c r="E23" s="54">
        <v>1.98</v>
      </c>
      <c r="F23" s="54">
        <v>6.47</v>
      </c>
      <c r="G23" s="60" t="s">
        <v>12</v>
      </c>
      <c r="H23" s="60" t="s">
        <v>12</v>
      </c>
      <c r="I23" s="54">
        <v>1.86</v>
      </c>
      <c r="J23" s="54">
        <v>0.32</v>
      </c>
      <c r="K23" s="54">
        <v>354.92</v>
      </c>
      <c r="L23" s="54">
        <v>27.47</v>
      </c>
      <c r="M23" s="54">
        <v>83.64</v>
      </c>
      <c r="N23" s="54">
        <v>288.39999999999998</v>
      </c>
      <c r="O23" s="54">
        <v>0</v>
      </c>
      <c r="P23" s="54">
        <v>0.72</v>
      </c>
      <c r="Q23" s="54">
        <v>2.74</v>
      </c>
      <c r="R23" s="43"/>
      <c r="S23" s="43"/>
      <c r="T23" s="43"/>
      <c r="U23" s="43"/>
    </row>
    <row r="24" spans="1:21" s="11" customFormat="1" ht="15">
      <c r="A24" s="53" t="s">
        <v>557</v>
      </c>
      <c r="B24" s="54">
        <v>5.69</v>
      </c>
      <c r="C24" s="54">
        <v>18.75</v>
      </c>
      <c r="D24" s="54">
        <v>24.44</v>
      </c>
      <c r="E24" s="54">
        <v>1.79</v>
      </c>
      <c r="F24" s="54">
        <v>1.88</v>
      </c>
      <c r="G24" s="60" t="s">
        <v>12</v>
      </c>
      <c r="H24" s="60" t="s">
        <v>12</v>
      </c>
      <c r="I24" s="54">
        <v>1.87</v>
      </c>
      <c r="J24" s="54">
        <v>0.17</v>
      </c>
      <c r="K24" s="54">
        <v>330.60</v>
      </c>
      <c r="L24" s="54">
        <v>26.45</v>
      </c>
      <c r="M24" s="54">
        <v>83.77</v>
      </c>
      <c r="N24" s="54">
        <v>207.5</v>
      </c>
      <c r="O24" s="54">
        <v>0</v>
      </c>
      <c r="P24" s="54">
        <v>0.65</v>
      </c>
      <c r="Q24" s="54">
        <v>12.37</v>
      </c>
      <c r="R24" s="43"/>
      <c r="S24" s="43"/>
      <c r="T24" s="43"/>
      <c r="U24" s="43"/>
    </row>
    <row r="25" spans="1:21" s="11" customFormat="1" ht="15">
      <c r="A25" s="53" t="s">
        <v>558</v>
      </c>
      <c r="B25" s="54">
        <v>6.41</v>
      </c>
      <c r="C25" s="54">
        <v>22.85</v>
      </c>
      <c r="D25" s="54">
        <v>29.27</v>
      </c>
      <c r="E25" s="54">
        <v>2.0099999999999998</v>
      </c>
      <c r="F25" s="54">
        <v>12.15</v>
      </c>
      <c r="G25" s="54">
        <v>65.819999999999993</v>
      </c>
      <c r="H25" s="57" t="s">
        <v>8</v>
      </c>
      <c r="I25" s="54">
        <v>1.87</v>
      </c>
      <c r="J25" s="54">
        <v>0.05</v>
      </c>
      <c r="K25" s="54">
        <v>351.62</v>
      </c>
      <c r="L25" s="54">
        <v>26.02</v>
      </c>
      <c r="M25" s="54">
        <v>91.24</v>
      </c>
      <c r="N25" s="54">
        <v>172.10</v>
      </c>
      <c r="O25" s="54">
        <v>0</v>
      </c>
      <c r="P25" s="54">
        <v>0.71</v>
      </c>
      <c r="Q25" s="54">
        <v>12.51</v>
      </c>
      <c r="R25" s="43"/>
      <c r="S25" s="43"/>
      <c r="T25" s="43"/>
      <c r="U25" s="43"/>
    </row>
    <row r="26" spans="1:21" s="11" customFormat="1" ht="15">
      <c r="A26" s="53" t="s">
        <v>559</v>
      </c>
      <c r="B26" s="54">
        <v>3.83</v>
      </c>
      <c r="C26" s="54">
        <v>16.45</v>
      </c>
      <c r="D26" s="54">
        <v>20.059999999999999</v>
      </c>
      <c r="E26" s="54">
        <v>2.69</v>
      </c>
      <c r="F26" s="54">
        <v>7.04</v>
      </c>
      <c r="G26" s="54">
        <v>65.819999999999993</v>
      </c>
      <c r="H26" s="57" t="s">
        <v>8</v>
      </c>
      <c r="I26" s="54">
        <v>1.87</v>
      </c>
      <c r="J26" s="54">
        <v>0.13</v>
      </c>
      <c r="K26" s="54">
        <v>344.02</v>
      </c>
      <c r="L26" s="54">
        <v>25.18</v>
      </c>
      <c r="M26" s="54">
        <v>98.76</v>
      </c>
      <c r="N26" s="54">
        <v>18.80</v>
      </c>
      <c r="O26" s="54">
        <v>0</v>
      </c>
      <c r="P26" s="54">
        <v>0.61</v>
      </c>
      <c r="Q26" s="54">
        <v>13.18</v>
      </c>
      <c r="R26" s="43"/>
      <c r="S26" s="43"/>
      <c r="T26" s="43"/>
      <c r="U26" s="43"/>
    </row>
    <row r="27" spans="1:21" s="11" customFormat="1" ht="15">
      <c r="A27" s="53" t="s">
        <v>560</v>
      </c>
      <c r="B27" s="54">
        <v>2.80</v>
      </c>
      <c r="C27" s="54">
        <v>11.04</v>
      </c>
      <c r="D27" s="54">
        <v>13.84</v>
      </c>
      <c r="E27" s="54">
        <v>2.4900000000000002</v>
      </c>
      <c r="F27" s="54">
        <v>2.74</v>
      </c>
      <c r="G27" s="57" t="s">
        <v>8</v>
      </c>
      <c r="H27" s="57" t="s">
        <v>8</v>
      </c>
      <c r="I27" s="54">
        <v>1.83</v>
      </c>
      <c r="J27" s="54">
        <v>0.41</v>
      </c>
      <c r="K27" s="54">
        <v>111.98</v>
      </c>
      <c r="L27" s="54">
        <v>23.33</v>
      </c>
      <c r="M27" s="54">
        <v>98.78</v>
      </c>
      <c r="N27" s="54">
        <v>10</v>
      </c>
      <c r="O27" s="54">
        <v>0</v>
      </c>
      <c r="P27" s="54">
        <v>0.40</v>
      </c>
      <c r="Q27" s="54">
        <v>11.63</v>
      </c>
      <c r="R27" s="43"/>
      <c r="S27" s="43"/>
      <c r="T27" s="43"/>
      <c r="U27" s="43"/>
    </row>
    <row r="28" spans="1:21" s="11" customFormat="1" ht="15">
      <c r="A28" s="53" t="s">
        <v>561</v>
      </c>
      <c r="B28" s="54">
        <v>4.7300000000000004</v>
      </c>
      <c r="C28" s="54">
        <v>12.56</v>
      </c>
      <c r="D28" s="54">
        <v>17.29</v>
      </c>
      <c r="E28" s="54">
        <v>2.2200000000000002</v>
      </c>
      <c r="F28" s="54">
        <v>1.84</v>
      </c>
      <c r="G28" s="54">
        <v>72.44</v>
      </c>
      <c r="H28" s="54">
        <v>7.40</v>
      </c>
      <c r="I28" s="54">
        <v>1.84</v>
      </c>
      <c r="J28" s="54">
        <v>0.36</v>
      </c>
      <c r="K28" s="54">
        <v>28.16</v>
      </c>
      <c r="L28" s="54">
        <v>22.83</v>
      </c>
      <c r="M28" s="54">
        <v>98.79</v>
      </c>
      <c r="N28" s="54">
        <v>9.90</v>
      </c>
      <c r="O28" s="54">
        <v>0</v>
      </c>
      <c r="P28" s="54">
        <v>0.46</v>
      </c>
      <c r="Q28" s="54">
        <v>11.88</v>
      </c>
      <c r="R28" s="43"/>
      <c r="S28" s="43"/>
      <c r="T28" s="43"/>
      <c r="U28" s="43"/>
    </row>
    <row r="29" spans="1:21" s="11" customFormat="1" ht="15">
      <c r="A29" s="53" t="s">
        <v>562</v>
      </c>
      <c r="B29" s="54">
        <v>5.41</v>
      </c>
      <c r="C29" s="54">
        <v>11.88</v>
      </c>
      <c r="D29" s="54">
        <v>17.25</v>
      </c>
      <c r="E29" s="54">
        <v>1.36</v>
      </c>
      <c r="F29" s="54">
        <v>1.22</v>
      </c>
      <c r="G29" s="54">
        <v>72.44</v>
      </c>
      <c r="H29" s="54">
        <v>7.40</v>
      </c>
      <c r="I29" s="54">
        <v>1.86</v>
      </c>
      <c r="J29" s="54">
        <v>1.22</v>
      </c>
      <c r="K29" s="54">
        <v>342.22</v>
      </c>
      <c r="L29" s="54">
        <v>22.55</v>
      </c>
      <c r="M29" s="54">
        <v>98.82</v>
      </c>
      <c r="N29" s="54">
        <v>9.90</v>
      </c>
      <c r="O29" s="54">
        <v>0</v>
      </c>
      <c r="P29" s="54">
        <v>0.52</v>
      </c>
      <c r="Q29" s="54">
        <v>12.58</v>
      </c>
      <c r="R29" s="43"/>
      <c r="S29" s="43"/>
      <c r="T29" s="43"/>
      <c r="U29" s="43"/>
    </row>
    <row r="30" spans="1:21" s="11" customFormat="1" ht="15">
      <c r="A30" s="53" t="s">
        <v>563</v>
      </c>
      <c r="B30" s="54">
        <v>7.07</v>
      </c>
      <c r="C30" s="54">
        <v>11.77</v>
      </c>
      <c r="D30" s="54">
        <v>18.18</v>
      </c>
      <c r="E30" s="54">
        <v>1.37</v>
      </c>
      <c r="F30" s="54">
        <v>1.26</v>
      </c>
      <c r="G30" s="54">
        <v>54.27</v>
      </c>
      <c r="H30" s="54">
        <v>6.80</v>
      </c>
      <c r="I30" s="54">
        <v>1.82</v>
      </c>
      <c r="J30" s="54">
        <v>1.30</v>
      </c>
      <c r="K30" s="54">
        <v>339.47</v>
      </c>
      <c r="L30" s="54">
        <v>21.41</v>
      </c>
      <c r="M30" s="54">
        <v>98.83</v>
      </c>
      <c r="N30" s="54">
        <v>9.40</v>
      </c>
      <c r="O30" s="54">
        <v>0</v>
      </c>
      <c r="P30" s="54">
        <v>0.56999999999999995</v>
      </c>
      <c r="Q30" s="54">
        <v>12.63</v>
      </c>
      <c r="R30" s="43"/>
      <c r="S30" s="43"/>
      <c r="T30" s="43"/>
      <c r="U30" s="43"/>
    </row>
    <row r="31" spans="1:21" s="11" customFormat="1" ht="15">
      <c r="A31" s="53" t="s">
        <v>564</v>
      </c>
      <c r="B31" s="54">
        <v>9.4600000000000009</v>
      </c>
      <c r="C31" s="54">
        <v>11.85</v>
      </c>
      <c r="D31" s="54">
        <v>20.99</v>
      </c>
      <c r="E31" s="54">
        <v>1.60</v>
      </c>
      <c r="F31" s="54">
        <v>3.66</v>
      </c>
      <c r="G31" s="54">
        <v>34.82</v>
      </c>
      <c r="H31" s="54">
        <v>4.78</v>
      </c>
      <c r="I31" s="54">
        <v>1.82</v>
      </c>
      <c r="J31" s="54">
        <v>1.17</v>
      </c>
      <c r="K31" s="54">
        <v>340.31</v>
      </c>
      <c r="L31" s="54">
        <v>21.62</v>
      </c>
      <c r="M31" s="54">
        <v>98.83</v>
      </c>
      <c r="N31" s="54">
        <v>9.5</v>
      </c>
      <c r="O31" s="54">
        <v>0</v>
      </c>
      <c r="P31" s="54">
        <v>0.57999999999999996</v>
      </c>
      <c r="Q31" s="54">
        <v>12.83</v>
      </c>
      <c r="R31" s="43"/>
      <c r="S31" s="43"/>
      <c r="T31" s="43"/>
      <c r="U31" s="43"/>
    </row>
    <row r="32" spans="1:21" s="11" customFormat="1" ht="15">
      <c r="A32" s="53" t="s">
        <v>565</v>
      </c>
      <c r="B32" s="54">
        <v>8.3699999999999992</v>
      </c>
      <c r="C32" s="54">
        <v>10.47</v>
      </c>
      <c r="D32" s="54">
        <v>18.78</v>
      </c>
      <c r="E32" s="54">
        <v>1.33</v>
      </c>
      <c r="F32" s="54">
        <v>0.56999999999999995</v>
      </c>
      <c r="G32" s="54">
        <v>30.74</v>
      </c>
      <c r="H32" s="54">
        <v>6.63</v>
      </c>
      <c r="I32" s="54">
        <v>1.80</v>
      </c>
      <c r="J32" s="54">
        <v>0.11</v>
      </c>
      <c r="K32" s="54">
        <v>321.44</v>
      </c>
      <c r="L32" s="54">
        <v>21.76</v>
      </c>
      <c r="M32" s="54">
        <v>98.83</v>
      </c>
      <c r="N32" s="54">
        <v>9.60</v>
      </c>
      <c r="O32" s="54">
        <v>0</v>
      </c>
      <c r="P32" s="54">
        <v>0.56999999999999995</v>
      </c>
      <c r="Q32" s="54">
        <v>13.26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2.7999999999999998</v>
      </c>
      <c r="C34" s="28">
        <f t="shared" si="0"/>
        <v>8.6199999999999992</v>
      </c>
      <c r="D34" s="28">
        <f t="shared" si="0"/>
        <v>12.289999999999999</v>
      </c>
      <c r="E34" s="28">
        <f t="shared" si="0"/>
        <v>1.3300000000000001</v>
      </c>
      <c r="F34" s="28">
        <f t="shared" si="0"/>
        <v>0.56999999999999995</v>
      </c>
      <c r="G34" s="28">
        <f t="shared" si="0"/>
        <v>11.67</v>
      </c>
      <c r="H34" s="28">
        <f t="shared" si="0"/>
        <v>4.5800000000000001</v>
      </c>
      <c r="I34" s="28">
        <f t="shared" si="0"/>
        <v>1.8</v>
      </c>
      <c r="J34" s="28">
        <f t="shared" si="0"/>
        <v>0.050000000000000003</v>
      </c>
      <c r="K34" s="28">
        <f t="shared" si="0"/>
        <v>28.16</v>
      </c>
      <c r="L34" s="28">
        <f t="shared" si="0"/>
        <v>21.27</v>
      </c>
      <c r="M34" s="28">
        <f t="shared" si="0"/>
        <v>83.640000000000001</v>
      </c>
      <c r="N34" s="28">
        <f t="shared" si="0"/>
        <v>9.4000000000000004</v>
      </c>
      <c r="O34" s="28">
        <f t="shared" si="0"/>
        <v>0</v>
      </c>
      <c r="P34" s="28">
        <f t="shared" si="0"/>
        <v>0.40000000000000002</v>
      </c>
      <c r="Q34" s="28">
        <f t="shared" si="0"/>
        <v>1.75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17.109999999999999</v>
      </c>
      <c r="C35" s="29">
        <f t="shared" si="1"/>
        <v>28.359999999999999</v>
      </c>
      <c r="D35" s="29">
        <f t="shared" si="1"/>
        <v>44.329999999999998</v>
      </c>
      <c r="E35" s="29">
        <f t="shared" si="1"/>
        <v>12.720000000000001</v>
      </c>
      <c r="F35" s="29">
        <f t="shared" si="1"/>
        <v>12.15</v>
      </c>
      <c r="G35" s="29">
        <f t="shared" si="1"/>
        <v>72.439999999999998</v>
      </c>
      <c r="H35" s="29">
        <f t="shared" si="1"/>
        <v>9.0399999999999991</v>
      </c>
      <c r="I35" s="29">
        <f t="shared" si="1"/>
        <v>1.8700000000000001</v>
      </c>
      <c r="J35" s="29">
        <f t="shared" si="1"/>
        <v>1.6100000000000001</v>
      </c>
      <c r="K35" s="29">
        <f t="shared" si="1"/>
        <v>354.92000000000002</v>
      </c>
      <c r="L35" s="29">
        <f t="shared" si="1"/>
        <v>27.559999999999999</v>
      </c>
      <c r="M35" s="29">
        <f t="shared" si="1"/>
        <v>98.849999999999994</v>
      </c>
      <c r="N35" s="29">
        <f t="shared" si="1"/>
        <v>410.39999999999998</v>
      </c>
      <c r="O35" s="29">
        <f t="shared" si="1"/>
        <v>0.80000000000000004</v>
      </c>
      <c r="P35" s="29">
        <f t="shared" si="1"/>
        <v>0.90000000000000002</v>
      </c>
      <c r="Q35" s="29">
        <f t="shared" si="1"/>
        <v>13.26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7.4737499999999999</v>
      </c>
      <c r="C36" s="28">
        <f t="shared" si="2"/>
        <v>14.680416666666668</v>
      </c>
      <c r="D36" s="28">
        <f t="shared" si="2"/>
        <v>21.845416666666665</v>
      </c>
      <c r="E36" s="28">
        <f t="shared" si="2"/>
        <v>4.0652173913043477</v>
      </c>
      <c r="F36" s="28">
        <f t="shared" si="2"/>
        <v>2.9083333333333337</v>
      </c>
      <c r="G36" s="28">
        <f t="shared" si="2"/>
        <v>30.109999999999996</v>
      </c>
      <c r="H36" s="28">
        <f t="shared" si="2"/>
        <v>7.0662499999999993</v>
      </c>
      <c r="I36" s="28">
        <f t="shared" si="2"/>
        <v>1.8387500000000001</v>
      </c>
      <c r="J36" s="28">
        <f t="shared" si="2"/>
        <v>0.48125000000000001</v>
      </c>
      <c r="K36" s="28">
        <f t="shared" si="2"/>
        <v>274.23208333333332</v>
      </c>
      <c r="L36" s="28">
        <f t="shared" si="2"/>
        <v>23.305000000000003</v>
      </c>
      <c r="M36" s="28">
        <f t="shared" si="2"/>
        <v>96.704999999999984</v>
      </c>
      <c r="N36" s="28">
        <f t="shared" si="2"/>
        <v>94.191666666666663</v>
      </c>
      <c r="O36" s="28">
        <f t="shared" si="2"/>
        <v>0.11666666666666668</v>
      </c>
      <c r="P36" s="28">
        <f t="shared" si="2"/>
        <v>0.58875000000000011</v>
      </c>
      <c r="Q36" s="28">
        <f t="shared" si="2"/>
        <v>6.6945833333333331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3.9165377484179293</v>
      </c>
      <c r="C37" s="28">
        <f t="shared" si="3" ref="C37:Q37">STDEV(C9:C32)</f>
        <v>6.2829884049790641</v>
      </c>
      <c r="D37" s="28">
        <f t="shared" si="3"/>
        <v>9.0135950358896508</v>
      </c>
      <c r="E37" s="28">
        <f t="shared" si="3"/>
        <v>2.6367625975895952</v>
      </c>
      <c r="F37" s="28">
        <f t="shared" si="3"/>
        <v>2.7217508218482975</v>
      </c>
      <c r="G37" s="28">
        <f t="shared" si="3"/>
        <v>24.111141188499658</v>
      </c>
      <c r="H37" s="28">
        <f t="shared" si="3"/>
        <v>1.4685724360752557</v>
      </c>
      <c r="I37" s="28">
        <f t="shared" si="3"/>
        <v>0.022518108654842776</v>
      </c>
      <c r="J37" s="28">
        <f t="shared" si="3"/>
        <v>0.44601922848002079</v>
      </c>
      <c r="K37" s="28">
        <f t="shared" si="3"/>
        <v>121.74906670400856</v>
      </c>
      <c r="L37" s="28">
        <f t="shared" si="3"/>
        <v>2.0906083990697226</v>
      </c>
      <c r="M37" s="28">
        <f t="shared" si="3"/>
        <v>5.0135971638873364</v>
      </c>
      <c r="N37" s="28">
        <f t="shared" si="3"/>
        <v>133.4678593997582</v>
      </c>
      <c r="O37" s="28">
        <f t="shared" si="3"/>
        <v>0.24257077258017906</v>
      </c>
      <c r="P37" s="28">
        <f t="shared" si="3"/>
        <v>0.15562811023607545</v>
      </c>
      <c r="Q37" s="28">
        <f t="shared" si="3"/>
        <v>4.7272208759634813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>COUNT(E9:E32)+1</f>
        <v>24</v>
      </c>
      <c r="F38" s="32">
        <f t="shared" si="4"/>
        <v>24</v>
      </c>
      <c r="G38" s="32">
        <f>COUNT(G9:G32)+6</f>
        <v>24</v>
      </c>
      <c r="H38" s="32">
        <f>COUNT(H9:H32)+8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c0c6845-bd8a-4b62-8d66-f4589810e6e5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6" sqref="G56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22-09-2023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8"/>
      <c r="B8" s="59" t="s">
        <v>22</v>
      </c>
      <c r="C8" s="59" t="s">
        <v>22</v>
      </c>
      <c r="D8" s="29" t="s">
        <v>61</v>
      </c>
      <c r="E8" s="59" t="s">
        <v>22</v>
      </c>
      <c r="F8" s="59" t="s">
        <v>22</v>
      </c>
      <c r="G8" s="59" t="s">
        <v>23</v>
      </c>
      <c r="H8" s="59" t="s">
        <v>22</v>
      </c>
      <c r="I8" s="59" t="s">
        <v>22</v>
      </c>
      <c r="J8" s="59" t="s">
        <v>24</v>
      </c>
      <c r="K8" s="59" t="s">
        <v>25</v>
      </c>
      <c r="L8" s="58" t="s">
        <v>27</v>
      </c>
      <c r="M8" s="59" t="s">
        <v>26</v>
      </c>
      <c r="N8" s="59" t="s">
        <v>28</v>
      </c>
      <c r="O8" s="58" t="s">
        <v>29</v>
      </c>
      <c r="P8" s="59" t="s">
        <v>22</v>
      </c>
      <c r="Q8" s="59" t="s">
        <v>22</v>
      </c>
      <c r="R8" s="27"/>
      <c r="S8" s="29"/>
      <c r="T8" s="27"/>
      <c r="U8" s="27"/>
    </row>
    <row r="9" spans="1:21" s="11" customFormat="1" ht="15">
      <c r="A9" s="53" t="s">
        <v>566</v>
      </c>
      <c r="B9" s="54">
        <v>7.37</v>
      </c>
      <c r="C9" s="54">
        <v>9.1999999999999993</v>
      </c>
      <c r="D9" s="54">
        <v>16.57</v>
      </c>
      <c r="E9" s="54">
        <v>1.81</v>
      </c>
      <c r="F9" s="54">
        <v>1.04</v>
      </c>
      <c r="G9" s="54">
        <v>28.34</v>
      </c>
      <c r="H9" s="54">
        <v>6.63</v>
      </c>
      <c r="I9" s="54">
        <v>1.86</v>
      </c>
      <c r="J9" s="54">
        <v>0.17</v>
      </c>
      <c r="K9" s="54">
        <v>141.72</v>
      </c>
      <c r="L9" s="54">
        <v>21.79</v>
      </c>
      <c r="M9" s="54">
        <v>98.85</v>
      </c>
      <c r="N9" s="54">
        <v>9.60</v>
      </c>
      <c r="O9" s="54">
        <v>0</v>
      </c>
      <c r="P9" s="54">
        <v>0.52</v>
      </c>
      <c r="Q9" s="54">
        <v>12.54</v>
      </c>
      <c r="R9" s="43"/>
      <c r="S9" s="43"/>
      <c r="T9" s="43"/>
      <c r="U9" s="43"/>
    </row>
    <row r="10" spans="1:21" s="11" customFormat="1" ht="15">
      <c r="A10" s="53" t="s">
        <v>567</v>
      </c>
      <c r="B10" s="54">
        <v>5.61</v>
      </c>
      <c r="C10" s="54">
        <v>10.09</v>
      </c>
      <c r="D10" s="54">
        <v>15.36</v>
      </c>
      <c r="E10" s="54">
        <v>1.89</v>
      </c>
      <c r="F10" s="54">
        <v>2.2799999999999998</v>
      </c>
      <c r="G10" s="54">
        <v>22.06</v>
      </c>
      <c r="H10" s="54">
        <v>5.96</v>
      </c>
      <c r="I10" s="54">
        <v>1.86</v>
      </c>
      <c r="J10" s="54">
        <v>0.10</v>
      </c>
      <c r="K10" s="54">
        <v>234.14</v>
      </c>
      <c r="L10" s="54">
        <v>21.93</v>
      </c>
      <c r="M10" s="54">
        <v>98.85</v>
      </c>
      <c r="N10" s="54">
        <v>9.5</v>
      </c>
      <c r="O10" s="54">
        <v>0</v>
      </c>
      <c r="P10" s="54">
        <v>0.45</v>
      </c>
      <c r="Q10" s="54">
        <v>12.67</v>
      </c>
      <c r="R10" s="43"/>
      <c r="S10" s="43"/>
      <c r="T10" s="43"/>
      <c r="U10" s="43"/>
    </row>
    <row r="11" spans="1:21" s="11" customFormat="1" ht="15">
      <c r="A11" s="53" t="s">
        <v>568</v>
      </c>
      <c r="B11" s="54">
        <v>5.59</v>
      </c>
      <c r="C11" s="54">
        <v>9.67</v>
      </c>
      <c r="D11" s="54">
        <v>15.14</v>
      </c>
      <c r="E11" s="54">
        <v>2.16</v>
      </c>
      <c r="F11" s="54">
        <v>1.1100000000000001</v>
      </c>
      <c r="G11" s="54">
        <v>15.36</v>
      </c>
      <c r="H11" s="54">
        <v>6.07</v>
      </c>
      <c r="I11" s="54">
        <v>1.84</v>
      </c>
      <c r="J11" s="54">
        <v>0.10</v>
      </c>
      <c r="K11" s="54">
        <v>234.25</v>
      </c>
      <c r="L11" s="54">
        <v>21.89</v>
      </c>
      <c r="M11" s="54">
        <v>98.85</v>
      </c>
      <c r="N11" s="54">
        <v>9.5</v>
      </c>
      <c r="O11" s="54">
        <v>0</v>
      </c>
      <c r="P11" s="54">
        <v>0.42</v>
      </c>
      <c r="Q11" s="54">
        <v>13.07</v>
      </c>
      <c r="R11" s="43"/>
      <c r="S11" s="43"/>
      <c r="T11" s="43"/>
      <c r="U11" s="43"/>
    </row>
    <row r="12" spans="1:21" s="11" customFormat="1" ht="15">
      <c r="A12" s="53" t="s">
        <v>569</v>
      </c>
      <c r="B12" s="54">
        <v>4.5999999999999996</v>
      </c>
      <c r="C12" s="54">
        <v>8.15</v>
      </c>
      <c r="D12" s="54">
        <v>12.51</v>
      </c>
      <c r="E12" s="54">
        <v>2.17</v>
      </c>
      <c r="F12" s="54">
        <v>1.1499999999999999</v>
      </c>
      <c r="G12" s="54">
        <v>12.89</v>
      </c>
      <c r="H12" s="54">
        <v>6.07</v>
      </c>
      <c r="I12" s="54">
        <v>1.86</v>
      </c>
      <c r="J12" s="54">
        <v>0.070000000000000007</v>
      </c>
      <c r="K12" s="54">
        <v>355.04</v>
      </c>
      <c r="L12" s="54">
        <v>21.76</v>
      </c>
      <c r="M12" s="54">
        <v>98.85</v>
      </c>
      <c r="N12" s="54">
        <v>9.60</v>
      </c>
      <c r="O12" s="54">
        <v>0</v>
      </c>
      <c r="P12" s="54">
        <v>0.40</v>
      </c>
      <c r="Q12" s="54">
        <v>12.52</v>
      </c>
      <c r="R12" s="43"/>
      <c r="S12" s="43"/>
      <c r="T12" s="43"/>
      <c r="U12" s="43"/>
    </row>
    <row r="13" spans="1:21" s="11" customFormat="1" ht="15">
      <c r="A13" s="53" t="s">
        <v>570</v>
      </c>
      <c r="B13" s="54">
        <v>3.72</v>
      </c>
      <c r="C13" s="54">
        <v>7.54</v>
      </c>
      <c r="D13" s="54">
        <v>11.07</v>
      </c>
      <c r="E13" s="54">
        <v>1.96</v>
      </c>
      <c r="F13" s="54">
        <v>1.34</v>
      </c>
      <c r="G13" s="54">
        <v>12.89</v>
      </c>
      <c r="H13" s="54">
        <v>4.58</v>
      </c>
      <c r="I13" s="54">
        <v>1.85</v>
      </c>
      <c r="J13" s="54">
        <v>0.25</v>
      </c>
      <c r="K13" s="54">
        <v>24.75</v>
      </c>
      <c r="L13" s="54">
        <v>21.71</v>
      </c>
      <c r="M13" s="54">
        <v>98.83</v>
      </c>
      <c r="N13" s="54">
        <v>9.5</v>
      </c>
      <c r="O13" s="54">
        <v>0</v>
      </c>
      <c r="P13" s="54">
        <v>0.32</v>
      </c>
      <c r="Q13" s="54">
        <v>11.59</v>
      </c>
      <c r="R13" s="43"/>
      <c r="S13" s="43"/>
      <c r="T13" s="43"/>
      <c r="U13" s="43"/>
    </row>
    <row r="14" spans="1:21" s="11" customFormat="1" ht="15">
      <c r="A14" s="53" t="s">
        <v>571</v>
      </c>
      <c r="B14" s="54">
        <v>3.33</v>
      </c>
      <c r="C14" s="54">
        <v>8.4499999999999993</v>
      </c>
      <c r="D14" s="54">
        <v>11.72</v>
      </c>
      <c r="E14" s="54">
        <v>2.37</v>
      </c>
      <c r="F14" s="54">
        <v>1.1399999999999999</v>
      </c>
      <c r="G14" s="54">
        <v>9.9499999999999993</v>
      </c>
      <c r="H14" s="54">
        <v>3.59</v>
      </c>
      <c r="I14" s="54">
        <v>1.86</v>
      </c>
      <c r="J14" s="54">
        <v>0.27</v>
      </c>
      <c r="K14" s="54">
        <v>27.27</v>
      </c>
      <c r="L14" s="54">
        <v>21.81</v>
      </c>
      <c r="M14" s="54">
        <v>98.83</v>
      </c>
      <c r="N14" s="54">
        <v>13</v>
      </c>
      <c r="O14" s="54">
        <v>0</v>
      </c>
      <c r="P14" s="54">
        <v>0.28999999999999998</v>
      </c>
      <c r="Q14" s="54">
        <v>11.63</v>
      </c>
      <c r="R14" s="43"/>
      <c r="S14" s="43"/>
      <c r="T14" s="43"/>
      <c r="U14" s="43"/>
    </row>
    <row r="15" spans="1:21" s="11" customFormat="1" ht="15">
      <c r="A15" s="53" t="s">
        <v>572</v>
      </c>
      <c r="B15" s="54">
        <v>3.80</v>
      </c>
      <c r="C15" s="54">
        <v>9.0299999999999994</v>
      </c>
      <c r="D15" s="54">
        <v>12.83</v>
      </c>
      <c r="E15" s="54">
        <v>1.92</v>
      </c>
      <c r="F15" s="54">
        <v>0.78</v>
      </c>
      <c r="G15" s="54">
        <v>9.65</v>
      </c>
      <c r="H15" s="54">
        <v>3.05</v>
      </c>
      <c r="I15" s="54">
        <v>1.85</v>
      </c>
      <c r="J15" s="54">
        <v>0.22</v>
      </c>
      <c r="K15" s="54">
        <v>28.47</v>
      </c>
      <c r="L15" s="54">
        <v>22.12</v>
      </c>
      <c r="M15" s="54">
        <v>98.83</v>
      </c>
      <c r="N15" s="54">
        <v>59.70</v>
      </c>
      <c r="O15" s="54">
        <v>0</v>
      </c>
      <c r="P15" s="54">
        <v>0.27</v>
      </c>
      <c r="Q15" s="54">
        <v>11.53</v>
      </c>
      <c r="R15" s="43"/>
      <c r="S15" s="43"/>
      <c r="T15" s="43"/>
      <c r="U15" s="43"/>
    </row>
    <row r="16" spans="1:21" s="11" customFormat="1" ht="15">
      <c r="A16" s="53" t="s">
        <v>573</v>
      </c>
      <c r="B16" s="54">
        <v>6.03</v>
      </c>
      <c r="C16" s="54">
        <v>10.86</v>
      </c>
      <c r="D16" s="54">
        <v>16.25</v>
      </c>
      <c r="E16" s="54">
        <v>2.10</v>
      </c>
      <c r="F16" s="54">
        <v>1.28</v>
      </c>
      <c r="G16" s="54">
        <v>11.48</v>
      </c>
      <c r="H16" s="54">
        <v>5.85</v>
      </c>
      <c r="I16" s="54">
        <v>1.87</v>
      </c>
      <c r="J16" s="54">
        <v>0.27</v>
      </c>
      <c r="K16" s="54">
        <v>28.98</v>
      </c>
      <c r="L16" s="54">
        <v>22.58</v>
      </c>
      <c r="M16" s="54">
        <v>98.82</v>
      </c>
      <c r="N16" s="54">
        <v>90.20</v>
      </c>
      <c r="O16" s="54">
        <v>0</v>
      </c>
      <c r="P16" s="54">
        <v>0.35</v>
      </c>
      <c r="Q16" s="54">
        <v>11.43</v>
      </c>
      <c r="R16" s="43"/>
      <c r="S16" s="43"/>
      <c r="T16" s="43"/>
      <c r="U16" s="43"/>
    </row>
    <row r="17" spans="1:21" s="11" customFormat="1" ht="15">
      <c r="A17" s="53" t="s">
        <v>574</v>
      </c>
      <c r="B17" s="54">
        <v>7.09</v>
      </c>
      <c r="C17" s="54">
        <v>11.14</v>
      </c>
      <c r="D17" s="54">
        <v>18.23</v>
      </c>
      <c r="E17" s="54">
        <v>0.31</v>
      </c>
      <c r="F17" s="54">
        <v>1.23</v>
      </c>
      <c r="G17" s="54">
        <v>16.29</v>
      </c>
      <c r="H17" s="54">
        <v>6.01</v>
      </c>
      <c r="I17" s="54">
        <v>1.84</v>
      </c>
      <c r="J17" s="54">
        <v>0.28000000000000003</v>
      </c>
      <c r="K17" s="54">
        <v>25.39</v>
      </c>
      <c r="L17" s="54">
        <v>22.81</v>
      </c>
      <c r="M17" s="54">
        <v>98.79</v>
      </c>
      <c r="N17" s="54">
        <v>167.20</v>
      </c>
      <c r="O17" s="54">
        <v>0</v>
      </c>
      <c r="P17" s="54">
        <v>0.40</v>
      </c>
      <c r="Q17" s="54">
        <v>12.22</v>
      </c>
      <c r="R17" s="43"/>
      <c r="S17" s="43"/>
      <c r="T17" s="43"/>
      <c r="U17" s="43"/>
    </row>
    <row r="18" spans="1:21" s="11" customFormat="1" ht="15">
      <c r="A18" s="53" t="s">
        <v>575</v>
      </c>
      <c r="B18" s="54">
        <v>6.51</v>
      </c>
      <c r="C18" s="54">
        <v>13.95</v>
      </c>
      <c r="D18" s="54">
        <v>20.100000000000001</v>
      </c>
      <c r="E18" s="54">
        <v>0.56000000000000005</v>
      </c>
      <c r="F18" s="54">
        <v>1.06</v>
      </c>
      <c r="G18" s="54">
        <v>17.54</v>
      </c>
      <c r="H18" s="54">
        <v>6.01</v>
      </c>
      <c r="I18" s="54">
        <v>1.88</v>
      </c>
      <c r="J18" s="54">
        <v>0.28000000000000003</v>
      </c>
      <c r="K18" s="54">
        <v>28.56</v>
      </c>
      <c r="L18" s="54">
        <v>22.99</v>
      </c>
      <c r="M18" s="54">
        <v>98.79</v>
      </c>
      <c r="N18" s="54">
        <v>132.40</v>
      </c>
      <c r="O18" s="54">
        <v>0</v>
      </c>
      <c r="P18" s="54">
        <v>0.44</v>
      </c>
      <c r="Q18" s="54">
        <v>11.66</v>
      </c>
      <c r="R18" s="43"/>
      <c r="S18" s="43"/>
      <c r="T18" s="43"/>
      <c r="U18" s="43"/>
    </row>
    <row r="19" spans="1:21" s="11" customFormat="1" ht="15">
      <c r="A19" s="53" t="s">
        <v>576</v>
      </c>
      <c r="B19" s="54">
        <v>8.15</v>
      </c>
      <c r="C19" s="54">
        <v>14.39</v>
      </c>
      <c r="D19" s="54">
        <v>22.55</v>
      </c>
      <c r="E19" s="54">
        <v>0.90</v>
      </c>
      <c r="F19" s="54">
        <v>1.54</v>
      </c>
      <c r="G19" s="54">
        <v>17.54</v>
      </c>
      <c r="H19" s="54">
        <v>7.29</v>
      </c>
      <c r="I19" s="54">
        <v>1.84</v>
      </c>
      <c r="J19" s="54">
        <v>0.31</v>
      </c>
      <c r="K19" s="54">
        <v>22.46</v>
      </c>
      <c r="L19" s="54">
        <v>23.07</v>
      </c>
      <c r="M19" s="54">
        <v>98.83</v>
      </c>
      <c r="N19" s="54">
        <v>115.40</v>
      </c>
      <c r="O19" s="54">
        <v>0</v>
      </c>
      <c r="P19" s="54">
        <v>0.51</v>
      </c>
      <c r="Q19" s="54">
        <v>11.99</v>
      </c>
      <c r="R19" s="43"/>
      <c r="S19" s="43"/>
      <c r="T19" s="43"/>
      <c r="U19" s="43"/>
    </row>
    <row r="20" spans="1:21" s="11" customFormat="1" ht="15">
      <c r="A20" s="53" t="s">
        <v>577</v>
      </c>
      <c r="B20" s="54">
        <v>6.07</v>
      </c>
      <c r="C20" s="54">
        <v>15.02</v>
      </c>
      <c r="D20" s="54">
        <v>20.99</v>
      </c>
      <c r="E20" s="54">
        <v>0.33</v>
      </c>
      <c r="F20" s="54">
        <v>0.94</v>
      </c>
      <c r="G20" s="54">
        <v>15.33</v>
      </c>
      <c r="H20" s="54">
        <v>7.82</v>
      </c>
      <c r="I20" s="54">
        <v>1.85</v>
      </c>
      <c r="J20" s="54">
        <v>0.43</v>
      </c>
      <c r="K20" s="54">
        <v>23.47</v>
      </c>
      <c r="L20" s="54">
        <v>22.5</v>
      </c>
      <c r="M20" s="54">
        <v>98.85</v>
      </c>
      <c r="N20" s="54">
        <v>140.69999999999999</v>
      </c>
      <c r="O20" s="54">
        <v>0</v>
      </c>
      <c r="P20" s="54">
        <v>0.51</v>
      </c>
      <c r="Q20" s="54">
        <v>12.48</v>
      </c>
      <c r="R20" s="43"/>
      <c r="S20" s="43"/>
      <c r="T20" s="43"/>
      <c r="U20" s="43"/>
    </row>
    <row r="21" spans="1:21" s="11" customFormat="1" ht="15">
      <c r="A21" s="53" t="s">
        <v>578</v>
      </c>
      <c r="B21" s="54">
        <v>6.86</v>
      </c>
      <c r="C21" s="54">
        <v>15.21</v>
      </c>
      <c r="D21" s="54">
        <v>21.79</v>
      </c>
      <c r="E21" s="54">
        <v>2.19</v>
      </c>
      <c r="F21" s="54">
        <v>1.59</v>
      </c>
      <c r="G21" s="54">
        <v>16.850000000000001</v>
      </c>
      <c r="H21" s="54">
        <v>7.82</v>
      </c>
      <c r="I21" s="54">
        <v>1.78</v>
      </c>
      <c r="J21" s="54">
        <v>0.41</v>
      </c>
      <c r="K21" s="54">
        <v>359.44</v>
      </c>
      <c r="L21" s="54">
        <v>22.22</v>
      </c>
      <c r="M21" s="54">
        <v>98.85</v>
      </c>
      <c r="N21" s="54">
        <v>151.40</v>
      </c>
      <c r="O21" s="54">
        <v>0</v>
      </c>
      <c r="P21" s="54">
        <v>0.44</v>
      </c>
      <c r="Q21" s="54">
        <v>11.29</v>
      </c>
      <c r="R21" s="43"/>
      <c r="S21" s="43"/>
      <c r="T21" s="43"/>
      <c r="U21" s="43"/>
    </row>
    <row r="22" spans="1:21" s="11" customFormat="1" ht="15">
      <c r="A22" s="53" t="s">
        <v>579</v>
      </c>
      <c r="B22" s="54">
        <v>6.98</v>
      </c>
      <c r="C22" s="54">
        <v>18.440000000000001</v>
      </c>
      <c r="D22" s="54">
        <v>25.36</v>
      </c>
      <c r="E22" s="54">
        <v>2.74</v>
      </c>
      <c r="F22" s="54">
        <v>1.69</v>
      </c>
      <c r="G22" s="54">
        <v>16.850000000000001</v>
      </c>
      <c r="H22" s="54">
        <v>5.58</v>
      </c>
      <c r="I22" s="54">
        <v>1.56</v>
      </c>
      <c r="J22" s="54">
        <v>0.26</v>
      </c>
      <c r="K22" s="54">
        <v>14.76</v>
      </c>
      <c r="L22" s="54">
        <v>22.70</v>
      </c>
      <c r="M22" s="54">
        <v>98.85</v>
      </c>
      <c r="N22" s="54">
        <v>195.20</v>
      </c>
      <c r="O22" s="54">
        <v>0</v>
      </c>
      <c r="P22" s="54">
        <v>0.66</v>
      </c>
      <c r="Q22" s="54">
        <v>12.07</v>
      </c>
      <c r="R22" s="43"/>
      <c r="S22" s="43"/>
      <c r="T22" s="43"/>
      <c r="U22" s="43"/>
    </row>
    <row r="23" spans="1:21" s="11" customFormat="1" ht="15">
      <c r="A23" s="53" t="s">
        <v>580</v>
      </c>
      <c r="B23" s="54">
        <v>8.2899999999999991</v>
      </c>
      <c r="C23" s="54">
        <v>15.09</v>
      </c>
      <c r="D23" s="54">
        <v>23.38</v>
      </c>
      <c r="E23" s="54">
        <v>2.1800000000000002</v>
      </c>
      <c r="F23" s="54">
        <v>1.06</v>
      </c>
      <c r="G23" s="54">
        <v>13.37</v>
      </c>
      <c r="H23" s="54">
        <v>5.0999999999999996</v>
      </c>
      <c r="I23" s="54">
        <v>1.55</v>
      </c>
      <c r="J23" s="54">
        <v>0.35</v>
      </c>
      <c r="K23" s="54">
        <v>358.80</v>
      </c>
      <c r="L23" s="54">
        <v>22.69</v>
      </c>
      <c r="M23" s="54">
        <v>98.84</v>
      </c>
      <c r="N23" s="54">
        <v>99.20</v>
      </c>
      <c r="O23" s="54">
        <v>0</v>
      </c>
      <c r="P23" s="54">
        <v>0.84</v>
      </c>
      <c r="Q23" s="54">
        <v>11.78</v>
      </c>
      <c r="R23" s="43"/>
      <c r="S23" s="43"/>
      <c r="T23" s="43"/>
      <c r="U23" s="43"/>
    </row>
    <row r="24" spans="1:21" s="11" customFormat="1" ht="15">
      <c r="A24" s="53" t="s">
        <v>581</v>
      </c>
      <c r="B24" s="54">
        <v>11</v>
      </c>
      <c r="C24" s="54">
        <v>15.98</v>
      </c>
      <c r="D24" s="54">
        <v>26.47</v>
      </c>
      <c r="E24" s="54">
        <v>2.09</v>
      </c>
      <c r="F24" s="54">
        <v>1.48</v>
      </c>
      <c r="G24" s="54">
        <v>13.37</v>
      </c>
      <c r="H24" s="54">
        <v>5.0999999999999996</v>
      </c>
      <c r="I24" s="54">
        <v>1.58</v>
      </c>
      <c r="J24" s="54">
        <v>0.46</v>
      </c>
      <c r="K24" s="54">
        <v>359.08</v>
      </c>
      <c r="L24" s="54">
        <v>23.21</v>
      </c>
      <c r="M24" s="54">
        <v>98.83</v>
      </c>
      <c r="N24" s="54">
        <v>100.5</v>
      </c>
      <c r="O24" s="54">
        <v>0</v>
      </c>
      <c r="P24" s="54">
        <v>0.85</v>
      </c>
      <c r="Q24" s="54">
        <v>12.61</v>
      </c>
      <c r="R24" s="43"/>
      <c r="S24" s="43"/>
      <c r="T24" s="43"/>
      <c r="U24" s="43"/>
    </row>
    <row r="25" spans="1:21" s="11" customFormat="1" ht="15">
      <c r="A25" s="53" t="s">
        <v>582</v>
      </c>
      <c r="B25" s="54">
        <v>14.09</v>
      </c>
      <c r="C25" s="54">
        <v>16.100000000000001</v>
      </c>
      <c r="D25" s="54">
        <v>30.20</v>
      </c>
      <c r="E25" s="54">
        <v>1.36</v>
      </c>
      <c r="F25" s="54">
        <v>1.1299999999999999</v>
      </c>
      <c r="G25" s="54">
        <v>17.23</v>
      </c>
      <c r="H25" s="54">
        <v>6.96</v>
      </c>
      <c r="I25" s="54">
        <v>1.51</v>
      </c>
      <c r="J25" s="54">
        <v>0.25</v>
      </c>
      <c r="K25" s="54">
        <v>15.98</v>
      </c>
      <c r="L25" s="54">
        <v>22.94</v>
      </c>
      <c r="M25" s="54">
        <v>98.83</v>
      </c>
      <c r="N25" s="54">
        <v>55.80</v>
      </c>
      <c r="O25" s="54">
        <v>0</v>
      </c>
      <c r="P25" s="54">
        <v>0.84</v>
      </c>
      <c r="Q25" s="54">
        <v>12.42</v>
      </c>
      <c r="R25" s="43"/>
      <c r="S25" s="43"/>
      <c r="T25" s="43"/>
      <c r="U25" s="43"/>
    </row>
    <row r="26" spans="1:21" s="11" customFormat="1" ht="15">
      <c r="A26" s="53" t="s">
        <v>583</v>
      </c>
      <c r="B26" s="54">
        <v>12.70</v>
      </c>
      <c r="C26" s="54">
        <v>14.25</v>
      </c>
      <c r="D26" s="54">
        <v>26.44</v>
      </c>
      <c r="E26" s="54">
        <v>1.39</v>
      </c>
      <c r="F26" s="54">
        <v>1.26</v>
      </c>
      <c r="G26" s="54">
        <v>21.28</v>
      </c>
      <c r="H26" s="54">
        <v>6.96</v>
      </c>
      <c r="I26" s="54">
        <v>1.51</v>
      </c>
      <c r="J26" s="54">
        <v>0.16</v>
      </c>
      <c r="K26" s="54">
        <v>23.27</v>
      </c>
      <c r="L26" s="54">
        <v>22.56</v>
      </c>
      <c r="M26" s="54">
        <v>98.83</v>
      </c>
      <c r="N26" s="54">
        <v>33</v>
      </c>
      <c r="O26" s="54">
        <v>0</v>
      </c>
      <c r="P26" s="54">
        <v>0.80</v>
      </c>
      <c r="Q26" s="54">
        <v>12.29</v>
      </c>
      <c r="R26" s="43"/>
      <c r="S26" s="43"/>
      <c r="T26" s="43"/>
      <c r="U26" s="43"/>
    </row>
    <row r="27" spans="1:21" s="11" customFormat="1" ht="15">
      <c r="A27" s="53" t="s">
        <v>584</v>
      </c>
      <c r="B27" s="54">
        <v>18.079999999999998</v>
      </c>
      <c r="C27" s="54">
        <v>17.30</v>
      </c>
      <c r="D27" s="54">
        <v>35.369999999999997</v>
      </c>
      <c r="E27" s="54">
        <v>1.65</v>
      </c>
      <c r="F27" s="54">
        <v>0.96</v>
      </c>
      <c r="G27" s="54">
        <v>21.62</v>
      </c>
      <c r="H27" s="54">
        <v>6.46</v>
      </c>
      <c r="I27" s="54">
        <v>1.52</v>
      </c>
      <c r="J27" s="54">
        <v>0.32</v>
      </c>
      <c r="K27" s="54">
        <v>336.05</v>
      </c>
      <c r="L27" s="54">
        <v>22.30</v>
      </c>
      <c r="M27" s="54">
        <v>98.84</v>
      </c>
      <c r="N27" s="54">
        <v>9.90</v>
      </c>
      <c r="O27" s="54">
        <v>0</v>
      </c>
      <c r="P27" s="54">
        <v>0.97</v>
      </c>
      <c r="Q27" s="54">
        <v>13.37</v>
      </c>
      <c r="R27" s="43"/>
      <c r="S27" s="43"/>
      <c r="T27" s="43"/>
      <c r="U27" s="43"/>
    </row>
    <row r="28" spans="1:21" s="11" customFormat="1" ht="15">
      <c r="A28" s="53" t="s">
        <v>585</v>
      </c>
      <c r="B28" s="54">
        <v>18.36</v>
      </c>
      <c r="C28" s="54">
        <v>18.07</v>
      </c>
      <c r="D28" s="54">
        <v>33.67</v>
      </c>
      <c r="E28" s="54">
        <v>1.70</v>
      </c>
      <c r="F28" s="54">
        <v>1.32</v>
      </c>
      <c r="G28" s="54">
        <v>28.40</v>
      </c>
      <c r="H28" s="54">
        <v>6.61</v>
      </c>
      <c r="I28" s="54">
        <v>1.51</v>
      </c>
      <c r="J28" s="54">
        <v>0.18</v>
      </c>
      <c r="K28" s="54">
        <v>355.46</v>
      </c>
      <c r="L28" s="54">
        <v>22.02</v>
      </c>
      <c r="M28" s="54">
        <v>98.85</v>
      </c>
      <c r="N28" s="54">
        <v>9.6999999999999993</v>
      </c>
      <c r="O28" s="54">
        <v>0</v>
      </c>
      <c r="P28" s="54">
        <v>0.92</v>
      </c>
      <c r="Q28" s="54">
        <v>14.16</v>
      </c>
      <c r="R28" s="43"/>
      <c r="S28" s="43"/>
      <c r="T28" s="43"/>
      <c r="U28" s="43"/>
    </row>
    <row r="29" spans="1:21" s="11" customFormat="1" ht="15">
      <c r="A29" s="53" t="s">
        <v>586</v>
      </c>
      <c r="B29" s="54">
        <v>16.41</v>
      </c>
      <c r="C29" s="54">
        <v>12.21</v>
      </c>
      <c r="D29" s="54">
        <v>28.63</v>
      </c>
      <c r="E29" s="54">
        <v>1.79</v>
      </c>
      <c r="F29" s="54">
        <v>0.5</v>
      </c>
      <c r="G29" s="54">
        <v>28.40</v>
      </c>
      <c r="H29" s="54">
        <v>8.9700000000000006</v>
      </c>
      <c r="I29" s="54">
        <v>1.56</v>
      </c>
      <c r="J29" s="54">
        <v>0.18</v>
      </c>
      <c r="K29" s="54">
        <v>327.05</v>
      </c>
      <c r="L29" s="54">
        <v>21.67</v>
      </c>
      <c r="M29" s="54">
        <v>98.85</v>
      </c>
      <c r="N29" s="54">
        <v>9.90</v>
      </c>
      <c r="O29" s="54">
        <v>0</v>
      </c>
      <c r="P29" s="54">
        <v>0.88</v>
      </c>
      <c r="Q29" s="54">
        <v>14.09</v>
      </c>
      <c r="R29" s="43"/>
      <c r="S29" s="43"/>
      <c r="T29" s="43"/>
      <c r="U29" s="43"/>
    </row>
    <row r="30" spans="1:21" s="11" customFormat="1" ht="15">
      <c r="A30" s="53" t="s">
        <v>587</v>
      </c>
      <c r="B30" s="54">
        <v>14.77</v>
      </c>
      <c r="C30" s="54">
        <v>11.02</v>
      </c>
      <c r="D30" s="54">
        <v>25.11</v>
      </c>
      <c r="E30" s="54">
        <v>1.76</v>
      </c>
      <c r="F30" s="54">
        <v>0.86</v>
      </c>
      <c r="G30" s="54">
        <v>27.35</v>
      </c>
      <c r="H30" s="54">
        <v>8.9700000000000006</v>
      </c>
      <c r="I30" s="54">
        <v>1.54</v>
      </c>
      <c r="J30" s="54">
        <v>0.11</v>
      </c>
      <c r="K30" s="54">
        <v>332.69</v>
      </c>
      <c r="L30" s="54">
        <v>21.60</v>
      </c>
      <c r="M30" s="54">
        <v>98.85</v>
      </c>
      <c r="N30" s="54">
        <v>9.8000000000000007</v>
      </c>
      <c r="O30" s="54">
        <v>0</v>
      </c>
      <c r="P30" s="54">
        <v>0.80</v>
      </c>
      <c r="Q30" s="54">
        <v>14.78</v>
      </c>
      <c r="R30" s="43"/>
      <c r="S30" s="43"/>
      <c r="T30" s="43"/>
      <c r="U30" s="43"/>
    </row>
    <row r="31" spans="1:21" s="11" customFormat="1" ht="15">
      <c r="A31" s="53" t="s">
        <v>588</v>
      </c>
      <c r="B31" s="54">
        <v>12.24</v>
      </c>
      <c r="C31" s="54">
        <v>11.32</v>
      </c>
      <c r="D31" s="54">
        <v>23.15</v>
      </c>
      <c r="E31" s="54">
        <v>1.62</v>
      </c>
      <c r="F31" s="54">
        <v>1.25</v>
      </c>
      <c r="G31" s="54">
        <v>26.71</v>
      </c>
      <c r="H31" s="54">
        <v>6.41</v>
      </c>
      <c r="I31" s="54">
        <v>1.55</v>
      </c>
      <c r="J31" s="54">
        <v>0.20</v>
      </c>
      <c r="K31" s="54">
        <v>273.36</v>
      </c>
      <c r="L31" s="54">
        <v>21.58</v>
      </c>
      <c r="M31" s="54">
        <v>98.85</v>
      </c>
      <c r="N31" s="54">
        <v>9.8000000000000007</v>
      </c>
      <c r="O31" s="54">
        <v>0</v>
      </c>
      <c r="P31" s="54">
        <v>0.72</v>
      </c>
      <c r="Q31" s="54">
        <v>14.06</v>
      </c>
      <c r="R31" s="43"/>
      <c r="S31" s="43"/>
      <c r="T31" s="43"/>
      <c r="U31" s="43"/>
    </row>
    <row r="32" spans="1:21" s="11" customFormat="1" ht="15">
      <c r="A32" s="53" t="s">
        <v>589</v>
      </c>
      <c r="B32" s="54">
        <v>10.43</v>
      </c>
      <c r="C32" s="54">
        <v>10.88</v>
      </c>
      <c r="D32" s="54">
        <v>20.86</v>
      </c>
      <c r="E32" s="54">
        <v>1.29</v>
      </c>
      <c r="F32" s="54">
        <v>0.78</v>
      </c>
      <c r="G32" s="54">
        <v>24.69</v>
      </c>
      <c r="H32" s="54">
        <v>4.59</v>
      </c>
      <c r="I32" s="54">
        <v>1.51</v>
      </c>
      <c r="J32" s="54">
        <v>0.17</v>
      </c>
      <c r="K32" s="54">
        <v>23.87</v>
      </c>
      <c r="L32" s="54">
        <v>21.63</v>
      </c>
      <c r="M32" s="54">
        <v>98.85</v>
      </c>
      <c r="N32" s="54">
        <v>9.8000000000000007</v>
      </c>
      <c r="O32" s="54">
        <v>0</v>
      </c>
      <c r="P32" s="54">
        <v>0.64</v>
      </c>
      <c r="Q32" s="54">
        <v>13.01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3.3300000000000001</v>
      </c>
      <c r="C34" s="28">
        <f t="shared" si="0"/>
        <v>7.54</v>
      </c>
      <c r="D34" s="28">
        <f t="shared" si="0"/>
        <v>11.07</v>
      </c>
      <c r="E34" s="28">
        <f t="shared" si="0"/>
        <v>0.31</v>
      </c>
      <c r="F34" s="28">
        <f t="shared" si="0"/>
        <v>0.5</v>
      </c>
      <c r="G34" s="28">
        <f t="shared" si="0"/>
        <v>9.6500000000000004</v>
      </c>
      <c r="H34" s="28">
        <f t="shared" si="0"/>
        <v>3.0499999999999998</v>
      </c>
      <c r="I34" s="28">
        <f t="shared" si="0"/>
        <v>1.51</v>
      </c>
      <c r="J34" s="28">
        <f t="shared" si="0"/>
        <v>0.070000000000000007</v>
      </c>
      <c r="K34" s="28">
        <f t="shared" si="0"/>
        <v>14.76</v>
      </c>
      <c r="L34" s="28">
        <f t="shared" si="0"/>
        <v>21.579999999999998</v>
      </c>
      <c r="M34" s="28">
        <f t="shared" si="0"/>
        <v>98.790000000000006</v>
      </c>
      <c r="N34" s="28">
        <f t="shared" si="0"/>
        <v>9.5</v>
      </c>
      <c r="O34" s="28">
        <f t="shared" si="0"/>
        <v>0</v>
      </c>
      <c r="P34" s="28">
        <f t="shared" si="0"/>
        <v>0.27000000000000002</v>
      </c>
      <c r="Q34" s="28">
        <f t="shared" si="0"/>
        <v>11.289999999999999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18.359999999999999</v>
      </c>
      <c r="C35" s="29">
        <f t="shared" si="1"/>
        <v>18.440000000000001</v>
      </c>
      <c r="D35" s="29">
        <f t="shared" si="1"/>
        <v>35.369999999999997</v>
      </c>
      <c r="E35" s="29">
        <f t="shared" si="1"/>
        <v>2.7400000000000002</v>
      </c>
      <c r="F35" s="29">
        <f t="shared" si="1"/>
        <v>2.2799999999999998</v>
      </c>
      <c r="G35" s="29">
        <f t="shared" si="1"/>
        <v>28.399999999999999</v>
      </c>
      <c r="H35" s="29">
        <f t="shared" si="1"/>
        <v>8.9700000000000006</v>
      </c>
      <c r="I35" s="29">
        <f t="shared" si="1"/>
        <v>1.8799999999999999</v>
      </c>
      <c r="J35" s="29">
        <f t="shared" si="1"/>
        <v>0.46000000000000002</v>
      </c>
      <c r="K35" s="29">
        <f t="shared" si="1"/>
        <v>359.44</v>
      </c>
      <c r="L35" s="29">
        <f t="shared" si="1"/>
        <v>23.210000000000001</v>
      </c>
      <c r="M35" s="29">
        <f t="shared" si="1"/>
        <v>98.849999999999994</v>
      </c>
      <c r="N35" s="29">
        <f t="shared" si="1"/>
        <v>195.19999999999999</v>
      </c>
      <c r="O35" s="29">
        <f t="shared" si="1"/>
        <v>0</v>
      </c>
      <c r="P35" s="29">
        <f t="shared" si="1"/>
        <v>0.96999999999999997</v>
      </c>
      <c r="Q35" s="29">
        <f t="shared" si="1"/>
        <v>14.779999999999999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9.0866666666666678</v>
      </c>
      <c r="C36" s="28">
        <f t="shared" si="2"/>
        <v>12.639999999999999</v>
      </c>
      <c r="D36" s="28">
        <f t="shared" si="2"/>
        <v>21.40625</v>
      </c>
      <c r="E36" s="28">
        <f t="shared" si="2"/>
        <v>1.6766666666666665</v>
      </c>
      <c r="F36" s="28">
        <f t="shared" si="2"/>
        <v>1.1987500000000002</v>
      </c>
      <c r="G36" s="28">
        <f t="shared" si="2"/>
        <v>18.559999999999999</v>
      </c>
      <c r="H36" s="28">
        <f t="shared" si="2"/>
        <v>6.1858333333333322</v>
      </c>
      <c r="I36" s="28">
        <f t="shared" si="2"/>
        <v>1.7058333333333335</v>
      </c>
      <c r="J36" s="28">
        <f t="shared" si="2"/>
        <v>0.2416666666666667</v>
      </c>
      <c r="K36" s="28">
        <f t="shared" si="2"/>
        <v>164.76291666666671</v>
      </c>
      <c r="L36" s="28">
        <f t="shared" si="2"/>
        <v>22.253333333333334</v>
      </c>
      <c r="M36" s="28">
        <f t="shared" si="2"/>
        <v>98.837083333333283</v>
      </c>
      <c r="N36" s="28">
        <f t="shared" si="2"/>
        <v>60.845833333333331</v>
      </c>
      <c r="O36" s="28">
        <f t="shared" si="2"/>
        <v>0</v>
      </c>
      <c r="P36" s="28">
        <f t="shared" si="2"/>
        <v>0.59333333333333349</v>
      </c>
      <c r="Q36" s="28">
        <f t="shared" si="2"/>
        <v>12.552499999999997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4.5852425536019652</v>
      </c>
      <c r="C37" s="28">
        <f t="shared" si="3" ref="C37:Q37">STDEV(C9:C32)</f>
        <v>3.3008114944266662</v>
      </c>
      <c r="D37" s="28">
        <f t="shared" si="3"/>
        <v>6.7728452774424115</v>
      </c>
      <c r="E37" s="28">
        <f t="shared" si="3"/>
        <v>0.6271305714308536</v>
      </c>
      <c r="F37" s="28">
        <f t="shared" si="3"/>
        <v>0.35919369244970323</v>
      </c>
      <c r="G37" s="28">
        <f t="shared" si="3"/>
        <v>6.1038669140429249</v>
      </c>
      <c r="H37" s="28">
        <f t="shared" si="3"/>
        <v>1.4512271169350242</v>
      </c>
      <c r="I37" s="28">
        <f t="shared" si="3"/>
        <v>0.1610540461990988</v>
      </c>
      <c r="J37" s="28">
        <f t="shared" si="3"/>
        <v>0.10482559705101344</v>
      </c>
      <c r="K37" s="28">
        <f t="shared" si="3"/>
        <v>151.79220036327024</v>
      </c>
      <c r="L37" s="28">
        <f t="shared" si="3"/>
        <v>0.52869541380620089</v>
      </c>
      <c r="M37" s="28">
        <f t="shared" si="3"/>
        <v>0.017564580631302149</v>
      </c>
      <c r="N37" s="28">
        <f t="shared" si="3"/>
        <v>61.79103620912263</v>
      </c>
      <c r="O37" s="28">
        <f t="shared" si="3"/>
        <v>0</v>
      </c>
      <c r="P37" s="28">
        <f t="shared" si="3"/>
        <v>0.22346416241549275</v>
      </c>
      <c r="Q37" s="28">
        <f t="shared" si="3"/>
        <v>0.95933967326263136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84dbff8-183c-4dc1-af54-c1c0d7fbd9b9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5" sqref="G65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23-09-2023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8"/>
      <c r="B8" s="59" t="s">
        <v>22</v>
      </c>
      <c r="C8" s="59" t="s">
        <v>22</v>
      </c>
      <c r="D8" s="29" t="s">
        <v>61</v>
      </c>
      <c r="E8" s="59" t="s">
        <v>22</v>
      </c>
      <c r="F8" s="59" t="s">
        <v>22</v>
      </c>
      <c r="G8" s="59" t="s">
        <v>23</v>
      </c>
      <c r="H8" s="59" t="s">
        <v>22</v>
      </c>
      <c r="I8" s="59" t="s">
        <v>22</v>
      </c>
      <c r="J8" s="59" t="s">
        <v>24</v>
      </c>
      <c r="K8" s="59" t="s">
        <v>25</v>
      </c>
      <c r="L8" s="58" t="s">
        <v>27</v>
      </c>
      <c r="M8" s="59" t="s">
        <v>26</v>
      </c>
      <c r="N8" s="59" t="s">
        <v>28</v>
      </c>
      <c r="O8" s="58" t="s">
        <v>29</v>
      </c>
      <c r="P8" s="59" t="s">
        <v>22</v>
      </c>
      <c r="Q8" s="59" t="s">
        <v>22</v>
      </c>
      <c r="R8" s="27"/>
      <c r="S8" s="29"/>
      <c r="T8" s="27"/>
      <c r="U8" s="27"/>
    </row>
    <row r="9" spans="1:21" s="11" customFormat="1" ht="15">
      <c r="A9" s="53" t="s">
        <v>590</v>
      </c>
      <c r="B9" s="54">
        <v>6.59</v>
      </c>
      <c r="C9" s="54">
        <v>10.14</v>
      </c>
      <c r="D9" s="54">
        <v>16.73</v>
      </c>
      <c r="E9" s="54">
        <v>1.60</v>
      </c>
      <c r="F9" s="54">
        <v>1.62</v>
      </c>
      <c r="G9" s="54">
        <v>24.69</v>
      </c>
      <c r="H9" s="54">
        <v>5.32</v>
      </c>
      <c r="I9" s="54">
        <v>1.56</v>
      </c>
      <c r="J9" s="54">
        <v>0.16</v>
      </c>
      <c r="K9" s="54">
        <v>103.85</v>
      </c>
      <c r="L9" s="54">
        <v>21.57</v>
      </c>
      <c r="M9" s="54">
        <v>98.85</v>
      </c>
      <c r="N9" s="54">
        <v>9.90</v>
      </c>
      <c r="O9" s="54">
        <v>0</v>
      </c>
      <c r="P9" s="54">
        <v>0.5</v>
      </c>
      <c r="Q9" s="54">
        <v>11.86</v>
      </c>
      <c r="R9" s="43"/>
      <c r="S9" s="43"/>
      <c r="T9" s="43"/>
      <c r="U9" s="43"/>
    </row>
    <row r="10" spans="1:21" s="11" customFormat="1" ht="15">
      <c r="A10" s="53" t="s">
        <v>591</v>
      </c>
      <c r="B10" s="54">
        <v>4.51</v>
      </c>
      <c r="C10" s="54">
        <v>9.24</v>
      </c>
      <c r="D10" s="54">
        <v>13.74</v>
      </c>
      <c r="E10" s="54">
        <v>1.59</v>
      </c>
      <c r="F10" s="54">
        <v>1.42</v>
      </c>
      <c r="G10" s="54">
        <v>17.350000000000001</v>
      </c>
      <c r="H10" s="54">
        <v>5.32</v>
      </c>
      <c r="I10" s="54">
        <v>1.55</v>
      </c>
      <c r="J10" s="54">
        <v>0.28000000000000003</v>
      </c>
      <c r="K10" s="54">
        <v>39.29</v>
      </c>
      <c r="L10" s="54">
        <v>21.72</v>
      </c>
      <c r="M10" s="54">
        <v>98.85</v>
      </c>
      <c r="N10" s="54">
        <v>9.90</v>
      </c>
      <c r="O10" s="54">
        <v>0</v>
      </c>
      <c r="P10" s="54">
        <v>0.43</v>
      </c>
      <c r="Q10" s="54">
        <v>12.16</v>
      </c>
      <c r="R10" s="43"/>
      <c r="S10" s="43"/>
      <c r="T10" s="43"/>
      <c r="U10" s="43"/>
    </row>
    <row r="11" spans="1:21" s="11" customFormat="1" ht="15">
      <c r="A11" s="53" t="s">
        <v>592</v>
      </c>
      <c r="B11" s="54">
        <v>3.52</v>
      </c>
      <c r="C11" s="54">
        <v>7.90</v>
      </c>
      <c r="D11" s="54">
        <v>11.41</v>
      </c>
      <c r="E11" s="54">
        <v>1.45</v>
      </c>
      <c r="F11" s="54">
        <v>1.01</v>
      </c>
      <c r="G11" s="54">
        <v>13.31</v>
      </c>
      <c r="H11" s="54">
        <v>5.13</v>
      </c>
      <c r="I11" s="54">
        <v>1.53</v>
      </c>
      <c r="J11" s="54">
        <v>0.20</v>
      </c>
      <c r="K11" s="54">
        <v>353.14</v>
      </c>
      <c r="L11" s="54">
        <v>21.60</v>
      </c>
      <c r="M11" s="54">
        <v>98.83</v>
      </c>
      <c r="N11" s="54">
        <v>9.90</v>
      </c>
      <c r="O11" s="54">
        <v>0</v>
      </c>
      <c r="P11" s="54">
        <v>0.38</v>
      </c>
      <c r="Q11" s="54">
        <v>11.27</v>
      </c>
      <c r="R11" s="43"/>
      <c r="S11" s="43"/>
      <c r="T11" s="43"/>
      <c r="U11" s="43"/>
    </row>
    <row r="12" spans="1:21" s="11" customFormat="1" ht="15">
      <c r="A12" s="53" t="s">
        <v>593</v>
      </c>
      <c r="B12" s="54">
        <v>3.28</v>
      </c>
      <c r="C12" s="54">
        <v>7.96</v>
      </c>
      <c r="D12" s="54">
        <v>11.24</v>
      </c>
      <c r="E12" s="54">
        <v>1.48</v>
      </c>
      <c r="F12" s="54">
        <v>1.73</v>
      </c>
      <c r="G12" s="54">
        <v>13.31</v>
      </c>
      <c r="H12" s="54">
        <v>5.25</v>
      </c>
      <c r="I12" s="54">
        <v>1.53</v>
      </c>
      <c r="J12" s="54">
        <v>0.30</v>
      </c>
      <c r="K12" s="54">
        <v>35.700000000000003</v>
      </c>
      <c r="L12" s="54">
        <v>21.61</v>
      </c>
      <c r="M12" s="54">
        <v>98.84</v>
      </c>
      <c r="N12" s="54">
        <v>9.5</v>
      </c>
      <c r="O12" s="54">
        <v>0</v>
      </c>
      <c r="P12" s="54">
        <v>0.33</v>
      </c>
      <c r="Q12" s="54">
        <v>10.85</v>
      </c>
      <c r="R12" s="43"/>
      <c r="S12" s="43"/>
      <c r="T12" s="43"/>
      <c r="U12" s="43"/>
    </row>
    <row r="13" spans="1:21" s="11" customFormat="1" ht="15">
      <c r="A13" s="53" t="s">
        <v>594</v>
      </c>
      <c r="B13" s="54">
        <v>3.15</v>
      </c>
      <c r="C13" s="54">
        <v>7.89</v>
      </c>
      <c r="D13" s="54">
        <v>10.98</v>
      </c>
      <c r="E13" s="54">
        <v>1.54</v>
      </c>
      <c r="F13" s="54">
        <v>1.58</v>
      </c>
      <c r="G13" s="54">
        <v>12.08</v>
      </c>
      <c r="H13" s="54">
        <v>5.25</v>
      </c>
      <c r="I13" s="54">
        <v>1.53</v>
      </c>
      <c r="J13" s="54">
        <v>0.28999999999999998</v>
      </c>
      <c r="K13" s="54">
        <v>22.53</v>
      </c>
      <c r="L13" s="54">
        <v>21.55</v>
      </c>
      <c r="M13" s="54">
        <v>98.85</v>
      </c>
      <c r="N13" s="54">
        <v>9.6999999999999993</v>
      </c>
      <c r="O13" s="54">
        <v>0</v>
      </c>
      <c r="P13" s="54">
        <v>0.31</v>
      </c>
      <c r="Q13" s="54">
        <v>10.77</v>
      </c>
      <c r="R13" s="43"/>
      <c r="S13" s="43"/>
      <c r="T13" s="43"/>
      <c r="U13" s="43"/>
    </row>
    <row r="14" spans="1:21" s="11" customFormat="1" ht="15">
      <c r="A14" s="53" t="s">
        <v>595</v>
      </c>
      <c r="B14" s="54">
        <v>2.85</v>
      </c>
      <c r="C14" s="54">
        <v>7.73</v>
      </c>
      <c r="D14" s="54">
        <v>10.47</v>
      </c>
      <c r="E14" s="54">
        <v>1.84</v>
      </c>
      <c r="F14" s="54">
        <v>1.71</v>
      </c>
      <c r="G14" s="54">
        <v>12.08</v>
      </c>
      <c r="H14" s="54">
        <v>4.04</v>
      </c>
      <c r="I14" s="54">
        <v>1.49</v>
      </c>
      <c r="J14" s="54">
        <v>0.40</v>
      </c>
      <c r="K14" s="54">
        <v>34.96</v>
      </c>
      <c r="L14" s="54">
        <v>21.24</v>
      </c>
      <c r="M14" s="54">
        <v>98.85</v>
      </c>
      <c r="N14" s="54">
        <v>15.30</v>
      </c>
      <c r="O14" s="54">
        <v>0</v>
      </c>
      <c r="P14" s="54">
        <v>0.27</v>
      </c>
      <c r="Q14" s="54">
        <v>9.81</v>
      </c>
      <c r="R14" s="43"/>
      <c r="S14" s="43"/>
      <c r="T14" s="43"/>
      <c r="U14" s="43"/>
    </row>
    <row r="15" spans="1:21" s="11" customFormat="1" ht="15">
      <c r="A15" s="53" t="s">
        <v>596</v>
      </c>
      <c r="B15" s="54">
        <v>3.62</v>
      </c>
      <c r="C15" s="54">
        <v>10.48</v>
      </c>
      <c r="D15" s="54">
        <v>13.80</v>
      </c>
      <c r="E15" s="54">
        <v>1.49</v>
      </c>
      <c r="F15" s="54">
        <v>1.49</v>
      </c>
      <c r="G15" s="54">
        <v>11.03</v>
      </c>
      <c r="H15" s="54">
        <v>3.49</v>
      </c>
      <c r="I15" s="54">
        <v>1.57</v>
      </c>
      <c r="J15" s="54">
        <v>0.28000000000000003</v>
      </c>
      <c r="K15" s="54">
        <v>24.17</v>
      </c>
      <c r="L15" s="54">
        <v>21.47</v>
      </c>
      <c r="M15" s="54">
        <v>98.85</v>
      </c>
      <c r="N15" s="54">
        <v>68.30</v>
      </c>
      <c r="O15" s="54">
        <v>0</v>
      </c>
      <c r="P15" s="54">
        <v>0.27</v>
      </c>
      <c r="Q15" s="54">
        <v>10.76</v>
      </c>
      <c r="R15" s="43"/>
      <c r="S15" s="43"/>
      <c r="T15" s="43"/>
      <c r="U15" s="43"/>
    </row>
    <row r="16" spans="1:21" s="11" customFormat="1" ht="15">
      <c r="A16" s="53" t="s">
        <v>597</v>
      </c>
      <c r="B16" s="54">
        <v>4.80</v>
      </c>
      <c r="C16" s="54">
        <v>11.77</v>
      </c>
      <c r="D16" s="54">
        <v>16.13</v>
      </c>
      <c r="E16" s="54">
        <v>1.79</v>
      </c>
      <c r="F16" s="54">
        <v>1.04</v>
      </c>
      <c r="G16" s="54">
        <v>10.73</v>
      </c>
      <c r="H16" s="54">
        <v>5.08</v>
      </c>
      <c r="I16" s="54">
        <v>1.54</v>
      </c>
      <c r="J16" s="54">
        <v>0.23</v>
      </c>
      <c r="K16" s="54">
        <v>24.85</v>
      </c>
      <c r="L16" s="54">
        <v>21.94</v>
      </c>
      <c r="M16" s="54">
        <v>98.83</v>
      </c>
      <c r="N16" s="54">
        <v>89.10</v>
      </c>
      <c r="O16" s="54">
        <v>0</v>
      </c>
      <c r="P16" s="54">
        <v>0.33</v>
      </c>
      <c r="Q16" s="54">
        <v>10.89</v>
      </c>
      <c r="R16" s="43"/>
      <c r="S16" s="43"/>
      <c r="T16" s="43"/>
      <c r="U16" s="43"/>
    </row>
    <row r="17" spans="1:21" s="11" customFormat="1" ht="15">
      <c r="A17" s="53" t="s">
        <v>598</v>
      </c>
      <c r="B17" s="54">
        <v>5.37</v>
      </c>
      <c r="C17" s="54">
        <v>10.18</v>
      </c>
      <c r="D17" s="54">
        <v>15.56</v>
      </c>
      <c r="E17" s="54">
        <v>0.60</v>
      </c>
      <c r="F17" s="54">
        <v>1.1299999999999999</v>
      </c>
      <c r="G17" s="54">
        <v>9.68</v>
      </c>
      <c r="H17" s="54">
        <v>5.08</v>
      </c>
      <c r="I17" s="54">
        <v>1.56</v>
      </c>
      <c r="J17" s="54">
        <v>0.33</v>
      </c>
      <c r="K17" s="54">
        <v>22.35</v>
      </c>
      <c r="L17" s="54">
        <v>22.92</v>
      </c>
      <c r="M17" s="54">
        <v>98.83</v>
      </c>
      <c r="N17" s="54">
        <v>142.5</v>
      </c>
      <c r="O17" s="54">
        <v>0</v>
      </c>
      <c r="P17" s="54">
        <v>0.37</v>
      </c>
      <c r="Q17" s="54">
        <v>10.119999999999999</v>
      </c>
      <c r="R17" s="43"/>
      <c r="S17" s="43"/>
      <c r="T17" s="43"/>
      <c r="U17" s="43"/>
    </row>
    <row r="18" spans="1:21" s="11" customFormat="1" ht="15">
      <c r="A18" s="53" t="s">
        <v>599</v>
      </c>
      <c r="B18" s="54">
        <v>6.41</v>
      </c>
      <c r="C18" s="54">
        <v>13.01</v>
      </c>
      <c r="D18" s="54">
        <v>19.420000000000002</v>
      </c>
      <c r="E18" s="54">
        <v>1.1000000000000001</v>
      </c>
      <c r="F18" s="54">
        <v>1.0900000000000001</v>
      </c>
      <c r="G18" s="54">
        <v>13.52</v>
      </c>
      <c r="H18" s="54">
        <v>5.14</v>
      </c>
      <c r="I18" s="54">
        <v>1.56</v>
      </c>
      <c r="J18" s="54">
        <v>0.30</v>
      </c>
      <c r="K18" s="54">
        <v>25</v>
      </c>
      <c r="L18" s="54">
        <v>23.59</v>
      </c>
      <c r="M18" s="54">
        <v>98.80</v>
      </c>
      <c r="N18" s="54">
        <v>226.20</v>
      </c>
      <c r="O18" s="54">
        <v>0</v>
      </c>
      <c r="P18" s="54">
        <v>0.45</v>
      </c>
      <c r="Q18" s="54">
        <v>10.78</v>
      </c>
      <c r="R18" s="43"/>
      <c r="S18" s="43"/>
      <c r="T18" s="43"/>
      <c r="U18" s="43"/>
    </row>
    <row r="19" spans="1:21" s="11" customFormat="1" ht="15">
      <c r="A19" s="53" t="s">
        <v>600</v>
      </c>
      <c r="B19" s="54">
        <v>5.56</v>
      </c>
      <c r="C19" s="54">
        <v>13.45</v>
      </c>
      <c r="D19" s="54">
        <v>18.559999999999999</v>
      </c>
      <c r="E19" s="54">
        <v>0.99</v>
      </c>
      <c r="F19" s="54">
        <v>1.56</v>
      </c>
      <c r="G19" s="54">
        <v>16.37</v>
      </c>
      <c r="H19" s="54">
        <v>6.73</v>
      </c>
      <c r="I19" s="54">
        <v>1.59</v>
      </c>
      <c r="J19" s="54">
        <v>0.41</v>
      </c>
      <c r="K19" s="54">
        <v>28.15</v>
      </c>
      <c r="L19" s="54">
        <v>26.01</v>
      </c>
      <c r="M19" s="54">
        <v>95.91</v>
      </c>
      <c r="N19" s="54">
        <v>695.10</v>
      </c>
      <c r="O19" s="54">
        <v>0</v>
      </c>
      <c r="P19" s="54">
        <v>0.49</v>
      </c>
      <c r="Q19" s="54">
        <v>10.43</v>
      </c>
      <c r="R19" s="43"/>
      <c r="S19" s="43"/>
      <c r="T19" s="43"/>
      <c r="U19" s="43"/>
    </row>
    <row r="20" spans="1:21" s="11" customFormat="1" ht="15">
      <c r="A20" s="53" t="s">
        <v>601</v>
      </c>
      <c r="B20" s="54">
        <v>5.08</v>
      </c>
      <c r="C20" s="54">
        <v>14.56</v>
      </c>
      <c r="D20" s="54">
        <v>19.48</v>
      </c>
      <c r="E20" s="54">
        <v>0.55000000000000004</v>
      </c>
      <c r="F20" s="54">
        <v>1.97</v>
      </c>
      <c r="G20" s="54">
        <v>22.47</v>
      </c>
      <c r="H20" s="54">
        <v>8.5500000000000007</v>
      </c>
      <c r="I20" s="54">
        <v>1.54</v>
      </c>
      <c r="J20" s="54">
        <v>0.40</v>
      </c>
      <c r="K20" s="54">
        <v>21.98</v>
      </c>
      <c r="L20" s="54">
        <v>25.67</v>
      </c>
      <c r="M20" s="54">
        <v>89.90</v>
      </c>
      <c r="N20" s="54">
        <v>555.70000000000005</v>
      </c>
      <c r="O20" s="54">
        <v>0</v>
      </c>
      <c r="P20" s="54">
        <v>0.5</v>
      </c>
      <c r="Q20" s="54">
        <v>10.18</v>
      </c>
      <c r="R20" s="43"/>
      <c r="S20" s="43"/>
      <c r="T20" s="43"/>
      <c r="U20" s="43"/>
    </row>
    <row r="21" spans="1:21" s="11" customFormat="1" ht="15">
      <c r="A21" s="53" t="s">
        <v>602</v>
      </c>
      <c r="B21" s="54">
        <v>4.7300000000000004</v>
      </c>
      <c r="C21" s="54">
        <v>15.51</v>
      </c>
      <c r="D21" s="54">
        <v>20.239999999999998</v>
      </c>
      <c r="E21" s="54">
        <v>0.78</v>
      </c>
      <c r="F21" s="54">
        <v>1.64</v>
      </c>
      <c r="G21" s="54">
        <v>24.05</v>
      </c>
      <c r="H21" s="54">
        <v>8.5500000000000007</v>
      </c>
      <c r="I21" s="54">
        <v>1.53</v>
      </c>
      <c r="J21" s="54">
        <v>0.37</v>
      </c>
      <c r="K21" s="54">
        <v>25.39</v>
      </c>
      <c r="L21" s="54">
        <v>24.81</v>
      </c>
      <c r="M21" s="54">
        <v>92.61</v>
      </c>
      <c r="N21" s="54">
        <v>237.70</v>
      </c>
      <c r="O21" s="54">
        <v>0</v>
      </c>
      <c r="P21" s="54">
        <v>0.61</v>
      </c>
      <c r="Q21" s="54">
        <v>10.38</v>
      </c>
      <c r="R21" s="43"/>
      <c r="S21" s="43"/>
      <c r="T21" s="43"/>
      <c r="U21" s="43"/>
    </row>
    <row r="22" spans="1:21" s="11" customFormat="1" ht="15">
      <c r="A22" s="53" t="s">
        <v>603</v>
      </c>
      <c r="B22" s="54">
        <v>4.67</v>
      </c>
      <c r="C22" s="54">
        <v>15.06</v>
      </c>
      <c r="D22" s="54">
        <v>19.739999999999998</v>
      </c>
      <c r="E22" s="54">
        <v>1</v>
      </c>
      <c r="F22" s="54">
        <v>1.75</v>
      </c>
      <c r="G22" s="54">
        <v>24.05</v>
      </c>
      <c r="H22" s="54">
        <v>8.6999999999999993</v>
      </c>
      <c r="I22" s="54">
        <v>1.55</v>
      </c>
      <c r="J22" s="54">
        <v>0.39</v>
      </c>
      <c r="K22" s="54">
        <v>23.55</v>
      </c>
      <c r="L22" s="54">
        <v>24.70</v>
      </c>
      <c r="M22" s="54">
        <v>94.03</v>
      </c>
      <c r="N22" s="54">
        <v>311.5</v>
      </c>
      <c r="O22" s="54">
        <v>0</v>
      </c>
      <c r="P22" s="54">
        <v>0.55000000000000004</v>
      </c>
      <c r="Q22" s="54">
        <v>10.56</v>
      </c>
      <c r="R22" s="43"/>
      <c r="S22" s="43"/>
      <c r="T22" s="43"/>
      <c r="U22" s="43"/>
    </row>
    <row r="23" spans="1:21" s="11" customFormat="1" ht="15">
      <c r="A23" s="53" t="s">
        <v>604</v>
      </c>
      <c r="B23" s="54">
        <v>4.0999999999999996</v>
      </c>
      <c r="C23" s="54">
        <v>14.77</v>
      </c>
      <c r="D23" s="54">
        <v>18.87</v>
      </c>
      <c r="E23" s="54">
        <v>0.82</v>
      </c>
      <c r="F23" s="54">
        <v>1.82</v>
      </c>
      <c r="G23" s="54">
        <v>23.42</v>
      </c>
      <c r="H23" s="54">
        <v>9.2100000000000009</v>
      </c>
      <c r="I23" s="54">
        <v>1.58</v>
      </c>
      <c r="J23" s="54">
        <v>0.39</v>
      </c>
      <c r="K23" s="54">
        <v>26.48</v>
      </c>
      <c r="L23" s="54">
        <v>24.82</v>
      </c>
      <c r="M23" s="54">
        <v>91.25</v>
      </c>
      <c r="N23" s="54">
        <v>248.60</v>
      </c>
      <c r="O23" s="54">
        <v>0</v>
      </c>
      <c r="P23" s="54">
        <v>0.53</v>
      </c>
      <c r="Q23" s="54">
        <v>9.06</v>
      </c>
      <c r="R23" s="43"/>
      <c r="S23" s="43"/>
      <c r="T23" s="43"/>
      <c r="U23" s="43"/>
    </row>
    <row r="24" spans="1:21" s="11" customFormat="1" ht="15">
      <c r="A24" s="53" t="s">
        <v>605</v>
      </c>
      <c r="B24" s="54">
        <v>4.41</v>
      </c>
      <c r="C24" s="54">
        <v>14.76</v>
      </c>
      <c r="D24" s="54">
        <v>18.989999999999998</v>
      </c>
      <c r="E24" s="54">
        <v>0.97</v>
      </c>
      <c r="F24" s="54">
        <v>2.61</v>
      </c>
      <c r="G24" s="54">
        <v>22.53</v>
      </c>
      <c r="H24" s="54">
        <v>9.2100000000000009</v>
      </c>
      <c r="I24" s="54">
        <v>1.56</v>
      </c>
      <c r="J24" s="54">
        <v>0.21</v>
      </c>
      <c r="K24" s="54">
        <v>29.68</v>
      </c>
      <c r="L24" s="54">
        <v>24.85</v>
      </c>
      <c r="M24" s="54">
        <v>92.53</v>
      </c>
      <c r="N24" s="54">
        <v>146.60</v>
      </c>
      <c r="O24" s="54">
        <v>0</v>
      </c>
      <c r="P24" s="54">
        <v>0.52</v>
      </c>
      <c r="Q24" s="54">
        <v>9.90</v>
      </c>
      <c r="R24" s="43"/>
      <c r="S24" s="43"/>
      <c r="T24" s="43"/>
      <c r="U24" s="43"/>
    </row>
    <row r="25" spans="1:21" s="11" customFormat="1" ht="15">
      <c r="A25" s="53" t="s">
        <v>606</v>
      </c>
      <c r="B25" s="54">
        <v>4.71</v>
      </c>
      <c r="C25" s="54">
        <v>13.74</v>
      </c>
      <c r="D25" s="54">
        <v>18.39</v>
      </c>
      <c r="E25" s="54">
        <v>1.41</v>
      </c>
      <c r="F25" s="54">
        <v>1.41</v>
      </c>
      <c r="G25" s="54">
        <v>29.29</v>
      </c>
      <c r="H25" s="54">
        <v>9.26</v>
      </c>
      <c r="I25" s="54">
        <v>1.5</v>
      </c>
      <c r="J25" s="54">
        <v>0.26</v>
      </c>
      <c r="K25" s="54">
        <v>23.52</v>
      </c>
      <c r="L25" s="54">
        <v>24.65</v>
      </c>
      <c r="M25" s="54">
        <v>94.14</v>
      </c>
      <c r="N25" s="54">
        <v>97.10</v>
      </c>
      <c r="O25" s="54">
        <v>0</v>
      </c>
      <c r="P25" s="54">
        <v>0.51</v>
      </c>
      <c r="Q25" s="54">
        <v>9.51</v>
      </c>
      <c r="R25" s="43"/>
      <c r="S25" s="43"/>
      <c r="T25" s="43"/>
      <c r="U25" s="43"/>
    </row>
    <row r="26" spans="1:21" s="11" customFormat="1" ht="15">
      <c r="A26" s="53" t="s">
        <v>607</v>
      </c>
      <c r="B26" s="54">
        <v>4.2699999999999996</v>
      </c>
      <c r="C26" s="54">
        <v>11.73</v>
      </c>
      <c r="D26" s="54">
        <v>15.91</v>
      </c>
      <c r="E26" s="54">
        <v>0.74</v>
      </c>
      <c r="F26" s="54">
        <v>1.62</v>
      </c>
      <c r="G26" s="54">
        <v>29.80</v>
      </c>
      <c r="H26" s="54">
        <v>9.26</v>
      </c>
      <c r="I26" s="54">
        <v>1.55</v>
      </c>
      <c r="J26" s="54">
        <v>0.21</v>
      </c>
      <c r="K26" s="54">
        <v>28.33</v>
      </c>
      <c r="L26" s="54">
        <v>24.07</v>
      </c>
      <c r="M26" s="54">
        <v>96.70</v>
      </c>
      <c r="N26" s="54">
        <v>43.70</v>
      </c>
      <c r="O26" s="54">
        <v>0</v>
      </c>
      <c r="P26" s="54">
        <v>0.53</v>
      </c>
      <c r="Q26" s="54">
        <v>8.57</v>
      </c>
      <c r="R26" s="43"/>
      <c r="S26" s="43"/>
      <c r="T26" s="43"/>
      <c r="U26" s="43"/>
    </row>
    <row r="27" spans="1:21" s="11" customFormat="1" ht="15">
      <c r="A27" s="53" t="s">
        <v>608</v>
      </c>
      <c r="B27" s="54">
        <v>6.96</v>
      </c>
      <c r="C27" s="54">
        <v>19.46</v>
      </c>
      <c r="D27" s="54">
        <v>25.90</v>
      </c>
      <c r="E27" s="54">
        <v>1.44</v>
      </c>
      <c r="F27" s="54">
        <v>5.95</v>
      </c>
      <c r="G27" s="54">
        <v>34.78</v>
      </c>
      <c r="H27" s="54">
        <v>8.11</v>
      </c>
      <c r="I27" s="54">
        <v>1.56</v>
      </c>
      <c r="J27" s="54">
        <v>0.14000000000000001</v>
      </c>
      <c r="K27" s="54">
        <v>242.19</v>
      </c>
      <c r="L27" s="54">
        <v>23.74</v>
      </c>
      <c r="M27" s="54">
        <v>98.80</v>
      </c>
      <c r="N27" s="54">
        <v>9.8000000000000007</v>
      </c>
      <c r="O27" s="54">
        <v>0</v>
      </c>
      <c r="P27" s="54">
        <v>0.60</v>
      </c>
      <c r="Q27" s="54">
        <v>9.98</v>
      </c>
      <c r="R27" s="43"/>
      <c r="S27" s="43"/>
      <c r="T27" s="43"/>
      <c r="U27" s="43"/>
    </row>
    <row r="28" spans="1:21" s="11" customFormat="1" ht="15">
      <c r="A28" s="53" t="s">
        <v>609</v>
      </c>
      <c r="B28" s="54">
        <v>5.27</v>
      </c>
      <c r="C28" s="54">
        <v>14.53</v>
      </c>
      <c r="D28" s="54">
        <v>19.80</v>
      </c>
      <c r="E28" s="54">
        <v>1.44</v>
      </c>
      <c r="F28" s="54">
        <v>2.44</v>
      </c>
      <c r="G28" s="54">
        <v>34.78</v>
      </c>
      <c r="H28" s="54">
        <v>6.93</v>
      </c>
      <c r="I28" s="54">
        <v>1.55</v>
      </c>
      <c r="J28" s="54">
        <v>0.28999999999999998</v>
      </c>
      <c r="K28" s="54">
        <v>182.35</v>
      </c>
      <c r="L28" s="54">
        <v>23.45</v>
      </c>
      <c r="M28" s="54">
        <v>98.82</v>
      </c>
      <c r="N28" s="54">
        <v>9.5</v>
      </c>
      <c r="O28" s="54">
        <v>0</v>
      </c>
      <c r="P28" s="54">
        <v>0.56999999999999995</v>
      </c>
      <c r="Q28" s="54">
        <v>11.15</v>
      </c>
      <c r="R28" s="43"/>
      <c r="S28" s="43"/>
      <c r="T28" s="43"/>
      <c r="U28" s="43"/>
    </row>
    <row r="29" spans="1:21" s="11" customFormat="1" ht="15">
      <c r="A29" s="53" t="s">
        <v>610</v>
      </c>
      <c r="B29" s="54">
        <v>8.57</v>
      </c>
      <c r="C29" s="54">
        <v>18.93</v>
      </c>
      <c r="D29" s="54">
        <v>27.5</v>
      </c>
      <c r="E29" s="54">
        <v>0.71</v>
      </c>
      <c r="F29" s="54">
        <v>2.79</v>
      </c>
      <c r="G29" s="54">
        <v>33.54</v>
      </c>
      <c r="H29" s="54">
        <v>6.40</v>
      </c>
      <c r="I29" s="54">
        <v>1.55</v>
      </c>
      <c r="J29" s="54">
        <v>0.15</v>
      </c>
      <c r="K29" s="54">
        <v>210.16</v>
      </c>
      <c r="L29" s="54">
        <v>23.21</v>
      </c>
      <c r="M29" s="54">
        <v>98.83</v>
      </c>
      <c r="N29" s="54">
        <v>9.5</v>
      </c>
      <c r="O29" s="54">
        <v>0</v>
      </c>
      <c r="P29" s="54">
        <v>0.63</v>
      </c>
      <c r="Q29" s="54">
        <v>11.33</v>
      </c>
      <c r="R29" s="43"/>
      <c r="S29" s="43"/>
      <c r="T29" s="43"/>
      <c r="U29" s="43"/>
    </row>
    <row r="30" spans="1:21" s="11" customFormat="1" ht="15">
      <c r="A30" s="53" t="s">
        <v>611</v>
      </c>
      <c r="B30" s="54">
        <v>10</v>
      </c>
      <c r="C30" s="54">
        <v>20.27</v>
      </c>
      <c r="D30" s="54">
        <v>28.46</v>
      </c>
      <c r="E30" s="54">
        <v>1.08</v>
      </c>
      <c r="F30" s="54">
        <v>3.36</v>
      </c>
      <c r="G30" s="54">
        <v>31.98</v>
      </c>
      <c r="H30" s="54">
        <v>6.40</v>
      </c>
      <c r="I30" s="54">
        <v>1.52</v>
      </c>
      <c r="J30" s="54">
        <v>0.28999999999999998</v>
      </c>
      <c r="K30" s="54">
        <v>187.59</v>
      </c>
      <c r="L30" s="54">
        <v>22.99</v>
      </c>
      <c r="M30" s="54">
        <v>98.85</v>
      </c>
      <c r="N30" s="54">
        <v>9.3000000000000007</v>
      </c>
      <c r="O30" s="54">
        <v>0</v>
      </c>
      <c r="P30" s="54">
        <v>0.62</v>
      </c>
      <c r="Q30" s="54">
        <v>13.13</v>
      </c>
      <c r="R30" s="43"/>
      <c r="S30" s="43"/>
      <c r="T30" s="43"/>
      <c r="U30" s="43"/>
    </row>
    <row r="31" spans="1:21" s="11" customFormat="1" ht="15">
      <c r="A31" s="53" t="s">
        <v>612</v>
      </c>
      <c r="B31" s="54">
        <v>8.01</v>
      </c>
      <c r="C31" s="54">
        <v>11.14</v>
      </c>
      <c r="D31" s="54">
        <v>19.16</v>
      </c>
      <c r="E31" s="54">
        <v>1.20</v>
      </c>
      <c r="F31" s="54">
        <v>1.04</v>
      </c>
      <c r="G31" s="54">
        <v>32.92</v>
      </c>
      <c r="H31" s="54">
        <v>5.73</v>
      </c>
      <c r="I31" s="54">
        <v>1.52</v>
      </c>
      <c r="J31" s="54">
        <v>0.13</v>
      </c>
      <c r="K31" s="54">
        <v>205.45</v>
      </c>
      <c r="L31" s="54">
        <v>22.94</v>
      </c>
      <c r="M31" s="54">
        <v>98.85</v>
      </c>
      <c r="N31" s="54">
        <v>9.5</v>
      </c>
      <c r="O31" s="54">
        <v>0</v>
      </c>
      <c r="P31" s="54">
        <v>0.56999999999999995</v>
      </c>
      <c r="Q31" s="54">
        <v>13.47</v>
      </c>
      <c r="R31" s="43"/>
      <c r="S31" s="43"/>
      <c r="T31" s="43"/>
      <c r="U31" s="43"/>
    </row>
    <row r="32" spans="1:21" s="11" customFormat="1" ht="15">
      <c r="A32" s="53" t="s">
        <v>613</v>
      </c>
      <c r="B32" s="54">
        <v>6.86</v>
      </c>
      <c r="C32" s="54">
        <v>8.31</v>
      </c>
      <c r="D32" s="54">
        <v>14.92</v>
      </c>
      <c r="E32" s="54">
        <v>1.22</v>
      </c>
      <c r="F32" s="54">
        <v>3.34</v>
      </c>
      <c r="G32" s="54">
        <v>32.92</v>
      </c>
      <c r="H32" s="54">
        <v>6.99</v>
      </c>
      <c r="I32" s="54">
        <v>1.54</v>
      </c>
      <c r="J32" s="54">
        <v>0.28999999999999998</v>
      </c>
      <c r="K32" s="54">
        <v>191.62</v>
      </c>
      <c r="L32" s="54">
        <v>22.67</v>
      </c>
      <c r="M32" s="54">
        <v>98.85</v>
      </c>
      <c r="N32" s="54">
        <v>9.5</v>
      </c>
      <c r="O32" s="54">
        <v>0</v>
      </c>
      <c r="P32" s="54">
        <v>0.52</v>
      </c>
      <c r="Q32" s="54">
        <v>13.29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2.8500000000000001</v>
      </c>
      <c r="C34" s="28">
        <f t="shared" si="0"/>
        <v>7.7300000000000004</v>
      </c>
      <c r="D34" s="28">
        <f t="shared" si="0"/>
        <v>10.470000000000001</v>
      </c>
      <c r="E34" s="28">
        <f t="shared" si="0"/>
        <v>0.55000000000000004</v>
      </c>
      <c r="F34" s="28">
        <f t="shared" si="0"/>
        <v>1.01</v>
      </c>
      <c r="G34" s="28">
        <f t="shared" si="0"/>
        <v>9.6799999999999997</v>
      </c>
      <c r="H34" s="28">
        <f t="shared" si="0"/>
        <v>3.4900000000000002</v>
      </c>
      <c r="I34" s="28">
        <f t="shared" si="0"/>
        <v>1.49</v>
      </c>
      <c r="J34" s="28">
        <f t="shared" si="0"/>
        <v>0.13</v>
      </c>
      <c r="K34" s="28">
        <f t="shared" si="0"/>
        <v>21.98</v>
      </c>
      <c r="L34" s="28">
        <f t="shared" si="0"/>
        <v>21.239999999999998</v>
      </c>
      <c r="M34" s="28">
        <f t="shared" si="0"/>
        <v>89.900000000000006</v>
      </c>
      <c r="N34" s="28">
        <f t="shared" si="0"/>
        <v>9.3000000000000007</v>
      </c>
      <c r="O34" s="28">
        <f t="shared" si="0"/>
        <v>0</v>
      </c>
      <c r="P34" s="28">
        <f t="shared" si="0"/>
        <v>0.27000000000000002</v>
      </c>
      <c r="Q34" s="28">
        <f t="shared" si="0"/>
        <v>8.5700000000000003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10</v>
      </c>
      <c r="C35" s="29">
        <f t="shared" si="1"/>
        <v>20.27</v>
      </c>
      <c r="D35" s="29">
        <f t="shared" si="1"/>
        <v>28.460000000000001</v>
      </c>
      <c r="E35" s="29">
        <f t="shared" si="1"/>
        <v>1.8400000000000001</v>
      </c>
      <c r="F35" s="29">
        <f t="shared" si="1"/>
        <v>5.9500000000000002</v>
      </c>
      <c r="G35" s="29">
        <f t="shared" si="1"/>
        <v>34.780000000000001</v>
      </c>
      <c r="H35" s="29">
        <f t="shared" si="1"/>
        <v>9.2599999999999998</v>
      </c>
      <c r="I35" s="29">
        <f t="shared" si="1"/>
        <v>1.5900000000000001</v>
      </c>
      <c r="J35" s="29">
        <f t="shared" si="1"/>
        <v>0.40999999999999998</v>
      </c>
      <c r="K35" s="29">
        <f t="shared" si="1"/>
        <v>353.13999999999999</v>
      </c>
      <c r="L35" s="29">
        <f t="shared" si="1"/>
        <v>26.010000000000002</v>
      </c>
      <c r="M35" s="29">
        <f t="shared" si="1"/>
        <v>98.849999999999994</v>
      </c>
      <c r="N35" s="29">
        <f t="shared" si="1"/>
        <v>695.10000000000002</v>
      </c>
      <c r="O35" s="29">
        <f t="shared" si="1"/>
        <v>0</v>
      </c>
      <c r="P35" s="29">
        <f t="shared" si="1"/>
        <v>0.63</v>
      </c>
      <c r="Q35" s="29">
        <f t="shared" si="1"/>
        <v>13.470000000000001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5.3041666666666663</v>
      </c>
      <c r="C36" s="28">
        <f t="shared" si="2"/>
        <v>12.604999999999999</v>
      </c>
      <c r="D36" s="28">
        <f t="shared" si="2"/>
        <v>17.725000000000001</v>
      </c>
      <c r="E36" s="28">
        <f t="shared" si="2"/>
        <v>1.2012500000000002</v>
      </c>
      <c r="F36" s="28">
        <f t="shared" si="2"/>
        <v>1.9633333333333336</v>
      </c>
      <c r="G36" s="28">
        <f t="shared" si="2"/>
        <v>22.111666666666668</v>
      </c>
      <c r="H36" s="28">
        <f t="shared" si="2"/>
        <v>6.630416666666668</v>
      </c>
      <c r="I36" s="28">
        <f t="shared" si="2"/>
        <v>1.5441666666666667</v>
      </c>
      <c r="J36" s="28">
        <f t="shared" si="2"/>
        <v>0.27916666666666667</v>
      </c>
      <c r="K36" s="28">
        <f t="shared" si="2"/>
        <v>88.011666666666656</v>
      </c>
      <c r="L36" s="28">
        <f t="shared" si="2"/>
        <v>23.241249999999997</v>
      </c>
      <c r="M36" s="28">
        <f t="shared" si="2"/>
        <v>97.018749999999997</v>
      </c>
      <c r="N36" s="28">
        <f t="shared" si="2"/>
        <v>124.30833333333334</v>
      </c>
      <c r="O36" s="28">
        <f t="shared" si="2"/>
        <v>0</v>
      </c>
      <c r="P36" s="28">
        <f t="shared" si="2"/>
        <v>0.47458333333333341</v>
      </c>
      <c r="Q36" s="28">
        <f t="shared" si="2"/>
        <v>10.842083333333335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1.7969416449518687</v>
      </c>
      <c r="C37" s="28">
        <f t="shared" si="3" ref="C37:Q37">STDEV(C9:C32)</f>
        <v>3.7230293882921397</v>
      </c>
      <c r="D37" s="28">
        <f t="shared" si="3"/>
        <v>4.8234454580679627</v>
      </c>
      <c r="E37" s="28">
        <f t="shared" si="3"/>
        <v>0.37800750510147696</v>
      </c>
      <c r="F37" s="28">
        <f t="shared" si="3"/>
        <v>1.0794389310179153</v>
      </c>
      <c r="G37" s="28">
        <f t="shared" si="3"/>
        <v>8.8513735935589981</v>
      </c>
      <c r="H37" s="28">
        <f t="shared" si="3"/>
        <v>1.8084811767521034</v>
      </c>
      <c r="I37" s="28">
        <f t="shared" si="3"/>
        <v>0.023203572938266432</v>
      </c>
      <c r="J37" s="28">
        <f t="shared" si="3"/>
        <v>0.087024067968563282</v>
      </c>
      <c r="K37" s="28">
        <f t="shared" si="3"/>
        <v>96.022410910690269</v>
      </c>
      <c r="L37" s="28">
        <f t="shared" si="3"/>
        <v>1.4605219808416918</v>
      </c>
      <c r="M37" s="28">
        <f t="shared" si="3"/>
        <v>2.9113664989664794</v>
      </c>
      <c r="N37" s="28">
        <f t="shared" si="3"/>
        <v>181.13201507204067</v>
      </c>
      <c r="O37" s="28">
        <f t="shared" si="3"/>
        <v>0</v>
      </c>
      <c r="P37" s="28">
        <f t="shared" si="3"/>
        <v>0.11255835845449659</v>
      </c>
      <c r="Q37" s="28">
        <f t="shared" si="3"/>
        <v>1.2453600113906753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69e52b0-ceac-40ff-8f66-701865bd1abc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7" sqref="G57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24-09-2023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8"/>
      <c r="B8" s="59" t="s">
        <v>22</v>
      </c>
      <c r="C8" s="59" t="s">
        <v>22</v>
      </c>
      <c r="D8" s="29" t="s">
        <v>61</v>
      </c>
      <c r="E8" s="59" t="s">
        <v>22</v>
      </c>
      <c r="F8" s="59" t="s">
        <v>22</v>
      </c>
      <c r="G8" s="59" t="s">
        <v>23</v>
      </c>
      <c r="H8" s="59" t="s">
        <v>22</v>
      </c>
      <c r="I8" s="59" t="s">
        <v>22</v>
      </c>
      <c r="J8" s="59" t="s">
        <v>24</v>
      </c>
      <c r="K8" s="59" t="s">
        <v>25</v>
      </c>
      <c r="L8" s="58" t="s">
        <v>27</v>
      </c>
      <c r="M8" s="59" t="s">
        <v>26</v>
      </c>
      <c r="N8" s="59" t="s">
        <v>28</v>
      </c>
      <c r="O8" s="58" t="s">
        <v>29</v>
      </c>
      <c r="P8" s="59" t="s">
        <v>22</v>
      </c>
      <c r="Q8" s="59" t="s">
        <v>22</v>
      </c>
      <c r="R8" s="27"/>
      <c r="S8" s="29"/>
      <c r="T8" s="27"/>
      <c r="U8" s="27"/>
    </row>
    <row r="9" spans="1:21" s="11" customFormat="1" ht="15">
      <c r="A9" s="53" t="s">
        <v>614</v>
      </c>
      <c r="B9" s="54">
        <v>5.20</v>
      </c>
      <c r="C9" s="54">
        <v>8.81</v>
      </c>
      <c r="D9" s="54">
        <v>13.59</v>
      </c>
      <c r="E9" s="54">
        <v>1.33</v>
      </c>
      <c r="F9" s="54">
        <v>4.5</v>
      </c>
      <c r="G9" s="54">
        <v>22.90</v>
      </c>
      <c r="H9" s="54">
        <v>8.60</v>
      </c>
      <c r="I9" s="54">
        <v>1.61</v>
      </c>
      <c r="J9" s="54">
        <v>0.14000000000000001</v>
      </c>
      <c r="K9" s="54">
        <v>206.64</v>
      </c>
      <c r="L9" s="54">
        <v>22.54</v>
      </c>
      <c r="M9" s="54">
        <v>98.85</v>
      </c>
      <c r="N9" s="54">
        <v>9.5</v>
      </c>
      <c r="O9" s="54">
        <v>0</v>
      </c>
      <c r="P9" s="54">
        <v>0.43</v>
      </c>
      <c r="Q9" s="54">
        <v>14.62</v>
      </c>
      <c r="R9" s="43"/>
      <c r="S9" s="43"/>
      <c r="T9" s="43"/>
      <c r="U9" s="43"/>
    </row>
    <row r="10" spans="1:21" s="11" customFormat="1" ht="15">
      <c r="A10" s="53" t="s">
        <v>615</v>
      </c>
      <c r="B10" s="54">
        <v>6.31</v>
      </c>
      <c r="C10" s="54">
        <v>8.07</v>
      </c>
      <c r="D10" s="54">
        <v>14.38</v>
      </c>
      <c r="E10" s="54">
        <v>1.76</v>
      </c>
      <c r="F10" s="54">
        <v>1.1000000000000001</v>
      </c>
      <c r="G10" s="54">
        <v>22.90</v>
      </c>
      <c r="H10" s="54">
        <v>9.92</v>
      </c>
      <c r="I10" s="54">
        <v>1.57</v>
      </c>
      <c r="J10" s="54">
        <v>0.12</v>
      </c>
      <c r="K10" s="54">
        <v>338.66</v>
      </c>
      <c r="L10" s="54">
        <v>22.37</v>
      </c>
      <c r="M10" s="54">
        <v>98.85</v>
      </c>
      <c r="N10" s="54">
        <v>9.5</v>
      </c>
      <c r="O10" s="54">
        <v>0</v>
      </c>
      <c r="P10" s="54">
        <v>0.43</v>
      </c>
      <c r="Q10" s="54">
        <v>13.88</v>
      </c>
      <c r="R10" s="43"/>
      <c r="S10" s="43"/>
      <c r="T10" s="43"/>
      <c r="U10" s="43"/>
    </row>
    <row r="11" spans="1:21" s="11" customFormat="1" ht="15">
      <c r="A11" s="53" t="s">
        <v>616</v>
      </c>
      <c r="B11" s="54">
        <v>5.71</v>
      </c>
      <c r="C11" s="54">
        <v>7.67</v>
      </c>
      <c r="D11" s="54">
        <v>13.11</v>
      </c>
      <c r="E11" s="54">
        <v>1.17</v>
      </c>
      <c r="F11" s="54">
        <v>1.03</v>
      </c>
      <c r="G11" s="54">
        <v>22</v>
      </c>
      <c r="H11" s="54">
        <v>11.10</v>
      </c>
      <c r="I11" s="54">
        <v>1.52</v>
      </c>
      <c r="J11" s="54">
        <v>0.14000000000000001</v>
      </c>
      <c r="K11" s="54">
        <v>27.48</v>
      </c>
      <c r="L11" s="54">
        <v>22.37</v>
      </c>
      <c r="M11" s="54">
        <v>98.87</v>
      </c>
      <c r="N11" s="54">
        <v>9.5</v>
      </c>
      <c r="O11" s="54">
        <v>0</v>
      </c>
      <c r="P11" s="54">
        <v>0.40</v>
      </c>
      <c r="Q11" s="54">
        <v>13.88</v>
      </c>
      <c r="R11" s="43"/>
      <c r="S11" s="43"/>
      <c r="T11" s="43"/>
      <c r="U11" s="43"/>
    </row>
    <row r="12" spans="1:21" s="11" customFormat="1" ht="15">
      <c r="A12" s="53" t="s">
        <v>617</v>
      </c>
      <c r="B12" s="54">
        <v>4.8499999999999996</v>
      </c>
      <c r="C12" s="54">
        <v>7.83</v>
      </c>
      <c r="D12" s="54">
        <v>12.09</v>
      </c>
      <c r="E12" s="54">
        <v>1.1499999999999999</v>
      </c>
      <c r="F12" s="54">
        <v>1.97</v>
      </c>
      <c r="G12" s="54">
        <v>22</v>
      </c>
      <c r="H12" s="54">
        <v>11.10</v>
      </c>
      <c r="I12" s="54">
        <v>1.55</v>
      </c>
      <c r="J12" s="54">
        <v>0.21</v>
      </c>
      <c r="K12" s="54">
        <v>25.38</v>
      </c>
      <c r="L12" s="54">
        <v>22.49</v>
      </c>
      <c r="M12" s="54">
        <v>98.87</v>
      </c>
      <c r="N12" s="54">
        <v>9.5</v>
      </c>
      <c r="O12" s="54">
        <v>0</v>
      </c>
      <c r="P12" s="54">
        <v>0.35</v>
      </c>
      <c r="Q12" s="54">
        <v>13</v>
      </c>
      <c r="R12" s="43"/>
      <c r="S12" s="43"/>
      <c r="T12" s="43"/>
      <c r="U12" s="43"/>
    </row>
    <row r="13" spans="1:21" s="11" customFormat="1" ht="15">
      <c r="A13" s="53" t="s">
        <v>618</v>
      </c>
      <c r="B13" s="54">
        <v>4.49</v>
      </c>
      <c r="C13" s="54">
        <v>7.81</v>
      </c>
      <c r="D13" s="54">
        <v>12.29</v>
      </c>
      <c r="E13" s="54">
        <v>1.36</v>
      </c>
      <c r="F13" s="54">
        <v>1.03</v>
      </c>
      <c r="G13" s="54">
        <v>19.75</v>
      </c>
      <c r="H13" s="54">
        <v>9.26</v>
      </c>
      <c r="I13" s="54">
        <v>1.55</v>
      </c>
      <c r="J13" s="54">
        <v>0.17</v>
      </c>
      <c r="K13" s="54">
        <v>356.92</v>
      </c>
      <c r="L13" s="54">
        <v>22.52</v>
      </c>
      <c r="M13" s="54">
        <v>98.86</v>
      </c>
      <c r="N13" s="54">
        <v>9.5</v>
      </c>
      <c r="O13" s="54">
        <v>0</v>
      </c>
      <c r="P13" s="54">
        <v>0.32</v>
      </c>
      <c r="Q13" s="54">
        <v>12.37</v>
      </c>
      <c r="R13" s="43"/>
      <c r="S13" s="43"/>
      <c r="T13" s="43"/>
      <c r="U13" s="43"/>
    </row>
    <row r="14" spans="1:21" s="11" customFormat="1" ht="15">
      <c r="A14" s="53" t="s">
        <v>619</v>
      </c>
      <c r="B14" s="54">
        <v>4.99</v>
      </c>
      <c r="C14" s="54">
        <v>13.11</v>
      </c>
      <c r="D14" s="54">
        <v>18.100000000000001</v>
      </c>
      <c r="E14" s="54">
        <v>0.94</v>
      </c>
      <c r="F14" s="54">
        <v>1.92</v>
      </c>
      <c r="G14" s="54">
        <v>19.54</v>
      </c>
      <c r="H14" s="54">
        <v>9.26</v>
      </c>
      <c r="I14" s="54">
        <v>1.53</v>
      </c>
      <c r="J14" s="54">
        <v>0.13</v>
      </c>
      <c r="K14" s="54">
        <v>251.94</v>
      </c>
      <c r="L14" s="54">
        <v>22.51</v>
      </c>
      <c r="M14" s="54">
        <v>98.86</v>
      </c>
      <c r="N14" s="54">
        <v>10.199999999999999</v>
      </c>
      <c r="O14" s="54">
        <v>0</v>
      </c>
      <c r="P14" s="54">
        <v>0.30</v>
      </c>
      <c r="Q14" s="54">
        <v>12.65</v>
      </c>
      <c r="R14" s="43"/>
      <c r="S14" s="43"/>
      <c r="T14" s="43"/>
      <c r="U14" s="43"/>
    </row>
    <row r="15" spans="1:21" s="11" customFormat="1" ht="15">
      <c r="A15" s="53" t="s">
        <v>620</v>
      </c>
      <c r="B15" s="54">
        <v>10.65</v>
      </c>
      <c r="C15" s="54">
        <v>12.77</v>
      </c>
      <c r="D15" s="54">
        <v>22.14</v>
      </c>
      <c r="E15" s="54">
        <v>1.71</v>
      </c>
      <c r="F15" s="54">
        <v>3.67</v>
      </c>
      <c r="G15" s="54">
        <v>19.54</v>
      </c>
      <c r="H15" s="54">
        <v>7.95</v>
      </c>
      <c r="I15" s="54">
        <v>1.54</v>
      </c>
      <c r="J15" s="54">
        <v>0.77</v>
      </c>
      <c r="K15" s="54">
        <v>348.27</v>
      </c>
      <c r="L15" s="54">
        <v>22.51</v>
      </c>
      <c r="M15" s="54">
        <v>98.87</v>
      </c>
      <c r="N15" s="54">
        <v>15.70</v>
      </c>
      <c r="O15" s="54">
        <v>0</v>
      </c>
      <c r="P15" s="54">
        <v>0.34</v>
      </c>
      <c r="Q15" s="54">
        <v>13.81</v>
      </c>
      <c r="R15" s="43"/>
      <c r="S15" s="43"/>
      <c r="T15" s="43"/>
      <c r="U15" s="43"/>
    </row>
    <row r="16" spans="1:21" s="11" customFormat="1" ht="15">
      <c r="A16" s="53" t="s">
        <v>621</v>
      </c>
      <c r="B16" s="54">
        <v>8.56</v>
      </c>
      <c r="C16" s="54">
        <v>9.76</v>
      </c>
      <c r="D16" s="54">
        <v>18.20</v>
      </c>
      <c r="E16" s="54">
        <v>1.1599999999999999</v>
      </c>
      <c r="F16" s="54">
        <v>1.18</v>
      </c>
      <c r="G16" s="54">
        <v>18.55</v>
      </c>
      <c r="H16" s="54">
        <v>7.95</v>
      </c>
      <c r="I16" s="54">
        <v>1.57</v>
      </c>
      <c r="J16" s="54">
        <v>0.25</v>
      </c>
      <c r="K16" s="54">
        <v>329.18</v>
      </c>
      <c r="L16" s="54">
        <v>21.89</v>
      </c>
      <c r="M16" s="54">
        <v>98.87</v>
      </c>
      <c r="N16" s="54">
        <v>30.40</v>
      </c>
      <c r="O16" s="54">
        <v>0</v>
      </c>
      <c r="P16" s="54">
        <v>0.42</v>
      </c>
      <c r="Q16" s="54">
        <v>13.82</v>
      </c>
      <c r="R16" s="43"/>
      <c r="S16" s="43"/>
      <c r="T16" s="43"/>
      <c r="U16" s="43"/>
    </row>
    <row r="17" spans="1:21" s="11" customFormat="1" ht="15">
      <c r="A17" s="53" t="s">
        <v>622</v>
      </c>
      <c r="B17" s="54">
        <v>8.18</v>
      </c>
      <c r="C17" s="54">
        <v>10.81</v>
      </c>
      <c r="D17" s="54">
        <v>18.989999999999998</v>
      </c>
      <c r="E17" s="54">
        <v>0.26</v>
      </c>
      <c r="F17" s="54">
        <v>0.94</v>
      </c>
      <c r="G17" s="54">
        <v>14.67</v>
      </c>
      <c r="H17" s="54">
        <v>7.72</v>
      </c>
      <c r="I17" s="54">
        <v>1.60</v>
      </c>
      <c r="J17" s="54">
        <v>0.12</v>
      </c>
      <c r="K17" s="54">
        <v>242.96</v>
      </c>
      <c r="L17" s="54">
        <v>22.46</v>
      </c>
      <c r="M17" s="54">
        <v>98.87</v>
      </c>
      <c r="N17" s="54">
        <v>54.10</v>
      </c>
      <c r="O17" s="54">
        <v>0</v>
      </c>
      <c r="P17" s="54">
        <v>0.45</v>
      </c>
      <c r="Q17" s="54">
        <v>13.86</v>
      </c>
      <c r="R17" s="43"/>
      <c r="S17" s="43"/>
      <c r="T17" s="43"/>
      <c r="U17" s="43"/>
    </row>
    <row r="18" spans="1:21" s="11" customFormat="1" ht="15">
      <c r="A18" s="53" t="s">
        <v>623</v>
      </c>
      <c r="B18" s="54">
        <v>9.2100000000000009</v>
      </c>
      <c r="C18" s="54">
        <v>11.98</v>
      </c>
      <c r="D18" s="54">
        <v>21.19</v>
      </c>
      <c r="E18" s="54">
        <v>0.33</v>
      </c>
      <c r="F18" s="54">
        <v>2.73</v>
      </c>
      <c r="G18" s="54">
        <v>16.59</v>
      </c>
      <c r="H18" s="54">
        <v>10.52</v>
      </c>
      <c r="I18" s="54">
        <v>1.61</v>
      </c>
      <c r="J18" s="54">
        <v>0.18</v>
      </c>
      <c r="K18" s="54">
        <v>26.13</v>
      </c>
      <c r="L18" s="54">
        <v>23.12</v>
      </c>
      <c r="M18" s="54">
        <v>98.88</v>
      </c>
      <c r="N18" s="54">
        <v>173.20</v>
      </c>
      <c r="O18" s="54">
        <v>0</v>
      </c>
      <c r="P18" s="54">
        <v>0.48</v>
      </c>
      <c r="Q18" s="54">
        <v>13.97</v>
      </c>
      <c r="R18" s="43"/>
      <c r="S18" s="43"/>
      <c r="T18" s="43"/>
      <c r="U18" s="43"/>
    </row>
    <row r="19" spans="1:21" s="11" customFormat="1" ht="15">
      <c r="A19" s="53" t="s">
        <v>624</v>
      </c>
      <c r="B19" s="54">
        <v>9.07</v>
      </c>
      <c r="C19" s="54">
        <v>10.49</v>
      </c>
      <c r="D19" s="54">
        <v>19.13</v>
      </c>
      <c r="E19" s="54">
        <v>0.44</v>
      </c>
      <c r="F19" s="54">
        <v>0.95</v>
      </c>
      <c r="G19" s="54">
        <v>18.48</v>
      </c>
      <c r="H19" s="54">
        <v>10.52</v>
      </c>
      <c r="I19" s="54">
        <v>1.53</v>
      </c>
      <c r="J19" s="54">
        <v>0.27</v>
      </c>
      <c r="K19" s="54">
        <v>27.74</v>
      </c>
      <c r="L19" s="54">
        <v>24.94</v>
      </c>
      <c r="M19" s="54">
        <v>98.84</v>
      </c>
      <c r="N19" s="54">
        <v>568.90</v>
      </c>
      <c r="O19" s="54">
        <v>0</v>
      </c>
      <c r="P19" s="54">
        <v>0.56000000000000005</v>
      </c>
      <c r="Q19" s="54">
        <v>13.30</v>
      </c>
      <c r="R19" s="43"/>
      <c r="S19" s="43"/>
      <c r="T19" s="43"/>
      <c r="U19" s="43"/>
    </row>
    <row r="20" spans="1:21" s="11" customFormat="1" ht="15">
      <c r="A20" s="53" t="s">
        <v>625</v>
      </c>
      <c r="B20" s="54">
        <v>8.10</v>
      </c>
      <c r="C20" s="54">
        <v>12.77</v>
      </c>
      <c r="D20" s="54">
        <v>20.22</v>
      </c>
      <c r="E20" s="54">
        <v>0.64</v>
      </c>
      <c r="F20" s="54">
        <v>1.37</v>
      </c>
      <c r="G20" s="54">
        <v>22.39</v>
      </c>
      <c r="H20" s="54">
        <v>11.24</v>
      </c>
      <c r="I20" s="54">
        <v>1.54</v>
      </c>
      <c r="J20" s="54">
        <v>0.5</v>
      </c>
      <c r="K20" s="54">
        <v>344.53</v>
      </c>
      <c r="L20" s="54">
        <v>28.69</v>
      </c>
      <c r="M20" s="54">
        <v>95.69</v>
      </c>
      <c r="N20" s="54">
        <v>926.70</v>
      </c>
      <c r="O20" s="54">
        <v>0</v>
      </c>
      <c r="P20" s="54">
        <v>0.71</v>
      </c>
      <c r="Q20" s="54">
        <v>13.11</v>
      </c>
      <c r="R20" s="43"/>
      <c r="S20" s="43"/>
      <c r="T20" s="43"/>
      <c r="U20" s="43"/>
    </row>
    <row r="21" spans="1:21" s="11" customFormat="1" ht="15">
      <c r="A21" s="53" t="s">
        <v>626</v>
      </c>
      <c r="B21" s="54">
        <v>7.69</v>
      </c>
      <c r="C21" s="54">
        <v>15.33</v>
      </c>
      <c r="D21" s="54">
        <v>21.46</v>
      </c>
      <c r="E21" s="54">
        <v>1.48</v>
      </c>
      <c r="F21" s="54">
        <v>1.79</v>
      </c>
      <c r="G21" s="54">
        <v>53.51</v>
      </c>
      <c r="H21" s="54">
        <v>15.14</v>
      </c>
      <c r="I21" s="54">
        <v>1.58</v>
      </c>
      <c r="J21" s="54">
        <v>0.31</v>
      </c>
      <c r="K21" s="54">
        <v>341.75</v>
      </c>
      <c r="L21" s="54">
        <v>28.61</v>
      </c>
      <c r="M21" s="54">
        <v>79.739999999999995</v>
      </c>
      <c r="N21" s="54">
        <v>942.10</v>
      </c>
      <c r="O21" s="54">
        <v>0</v>
      </c>
      <c r="P21" s="54">
        <v>0.72</v>
      </c>
      <c r="Q21" s="54">
        <v>12.30</v>
      </c>
      <c r="R21" s="43"/>
      <c r="S21" s="43"/>
      <c r="T21" s="43"/>
      <c r="U21" s="43"/>
    </row>
    <row r="22" spans="1:21" s="11" customFormat="1" ht="15">
      <c r="A22" s="53" t="s">
        <v>627</v>
      </c>
      <c r="B22" s="54">
        <v>5.31</v>
      </c>
      <c r="C22" s="54">
        <v>15.69</v>
      </c>
      <c r="D22" s="54">
        <v>20.80</v>
      </c>
      <c r="E22" s="54">
        <v>1.30</v>
      </c>
      <c r="F22" s="54">
        <v>2.99</v>
      </c>
      <c r="G22" s="54">
        <v>55.82</v>
      </c>
      <c r="H22" s="54">
        <v>15.14</v>
      </c>
      <c r="I22" s="54">
        <v>1.52</v>
      </c>
      <c r="J22" s="54">
        <v>0.26</v>
      </c>
      <c r="K22" s="54">
        <v>357.23</v>
      </c>
      <c r="L22" s="54">
        <v>29.22</v>
      </c>
      <c r="M22" s="54">
        <v>80.040000000000006</v>
      </c>
      <c r="N22" s="54">
        <v>700.30</v>
      </c>
      <c r="O22" s="54">
        <v>0</v>
      </c>
      <c r="P22" s="54">
        <v>0.59</v>
      </c>
      <c r="Q22" s="54">
        <v>10.84</v>
      </c>
      <c r="R22" s="43"/>
      <c r="S22" s="43"/>
      <c r="T22" s="43"/>
      <c r="U22" s="43"/>
    </row>
    <row r="23" spans="1:21" s="11" customFormat="1" ht="15">
      <c r="A23" s="53" t="s">
        <v>628</v>
      </c>
      <c r="B23" s="54">
        <v>3.57</v>
      </c>
      <c r="C23" s="54">
        <v>16.399999999999999</v>
      </c>
      <c r="D23" s="54">
        <v>19.97</v>
      </c>
      <c r="E23" s="54">
        <v>1.1499999999999999</v>
      </c>
      <c r="F23" s="54">
        <v>7.19</v>
      </c>
      <c r="G23" s="54">
        <v>58.56</v>
      </c>
      <c r="H23" s="54">
        <v>17.420000000000002</v>
      </c>
      <c r="I23" s="54">
        <v>1.49</v>
      </c>
      <c r="J23" s="54">
        <v>0.16</v>
      </c>
      <c r="K23" s="54">
        <v>206.22</v>
      </c>
      <c r="L23" s="54">
        <v>27.54</v>
      </c>
      <c r="M23" s="54">
        <v>82.60</v>
      </c>
      <c r="N23" s="54">
        <v>294.39999999999998</v>
      </c>
      <c r="O23" s="54">
        <v>0</v>
      </c>
      <c r="P23" s="54">
        <v>0.59</v>
      </c>
      <c r="Q23" s="54">
        <v>10.029999999999999</v>
      </c>
      <c r="R23" s="43"/>
      <c r="S23" s="43"/>
      <c r="T23" s="43"/>
      <c r="U23" s="43"/>
    </row>
    <row r="24" spans="1:21" s="11" customFormat="1" ht="15">
      <c r="A24" s="53" t="s">
        <v>629</v>
      </c>
      <c r="B24" s="54">
        <v>4.0199999999999996</v>
      </c>
      <c r="C24" s="54">
        <v>23.57</v>
      </c>
      <c r="D24" s="54">
        <v>27.59</v>
      </c>
      <c r="E24" s="54">
        <v>1.77</v>
      </c>
      <c r="F24" s="54">
        <v>14.05</v>
      </c>
      <c r="G24" s="54">
        <v>58.56</v>
      </c>
      <c r="H24" s="54">
        <v>17.420000000000002</v>
      </c>
      <c r="I24" s="54">
        <v>1.59</v>
      </c>
      <c r="J24" s="54">
        <v>0.18</v>
      </c>
      <c r="K24" s="54">
        <v>194.04</v>
      </c>
      <c r="L24" s="54">
        <v>27.06</v>
      </c>
      <c r="M24" s="54">
        <v>82.12</v>
      </c>
      <c r="N24" s="54">
        <v>164.80</v>
      </c>
      <c r="O24" s="54">
        <v>0</v>
      </c>
      <c r="P24" s="54">
        <v>0.69</v>
      </c>
      <c r="Q24" s="54">
        <v>10.41</v>
      </c>
      <c r="R24" s="43"/>
      <c r="S24" s="43"/>
      <c r="T24" s="43"/>
      <c r="U24" s="43"/>
    </row>
    <row r="25" spans="1:21" s="11" customFormat="1" ht="15">
      <c r="A25" s="53" t="s">
        <v>630</v>
      </c>
      <c r="B25" s="54">
        <v>2.78</v>
      </c>
      <c r="C25" s="54">
        <v>14.52</v>
      </c>
      <c r="D25" s="54">
        <v>17.28</v>
      </c>
      <c r="E25" s="54">
        <v>1.53</v>
      </c>
      <c r="F25" s="54">
        <v>5.75</v>
      </c>
      <c r="G25" s="54">
        <v>50.60</v>
      </c>
      <c r="H25" s="54">
        <v>15.35</v>
      </c>
      <c r="I25" s="54">
        <v>1.58</v>
      </c>
      <c r="J25" s="54">
        <v>0.18</v>
      </c>
      <c r="K25" s="54">
        <v>186.86</v>
      </c>
      <c r="L25" s="54">
        <v>26.70</v>
      </c>
      <c r="M25" s="54">
        <v>90.30</v>
      </c>
      <c r="N25" s="54">
        <v>86.30</v>
      </c>
      <c r="O25" s="54">
        <v>0</v>
      </c>
      <c r="P25" s="54">
        <v>0.57999999999999996</v>
      </c>
      <c r="Q25" s="54">
        <v>9.92</v>
      </c>
      <c r="R25" s="43"/>
      <c r="S25" s="43"/>
      <c r="T25" s="43"/>
      <c r="U25" s="43"/>
    </row>
    <row r="26" spans="1:21" s="11" customFormat="1" ht="15">
      <c r="A26" s="53" t="s">
        <v>631</v>
      </c>
      <c r="B26" s="54">
        <v>2.64</v>
      </c>
      <c r="C26" s="54">
        <v>19.95</v>
      </c>
      <c r="D26" s="54">
        <v>22.43</v>
      </c>
      <c r="E26" s="54">
        <v>1.58</v>
      </c>
      <c r="F26" s="54">
        <v>18.489999999999998</v>
      </c>
      <c r="G26" s="54">
        <v>50.60</v>
      </c>
      <c r="H26" s="54">
        <v>15.35</v>
      </c>
      <c r="I26" s="54">
        <v>1.56</v>
      </c>
      <c r="J26" s="54">
        <v>0.10</v>
      </c>
      <c r="K26" s="54">
        <v>226.25</v>
      </c>
      <c r="L26" s="54">
        <v>25.65</v>
      </c>
      <c r="M26" s="54">
        <v>96.58</v>
      </c>
      <c r="N26" s="54">
        <v>33.10</v>
      </c>
      <c r="O26" s="54">
        <v>0</v>
      </c>
      <c r="P26" s="54">
        <v>0.51</v>
      </c>
      <c r="Q26" s="54">
        <v>10.119999999999999</v>
      </c>
      <c r="R26" s="43"/>
      <c r="S26" s="43"/>
      <c r="T26" s="43"/>
      <c r="U26" s="43"/>
    </row>
    <row r="27" spans="1:21" s="11" customFormat="1" ht="15">
      <c r="A27" s="53" t="s">
        <v>632</v>
      </c>
      <c r="B27" s="54">
        <v>4.96</v>
      </c>
      <c r="C27" s="54">
        <v>17.079999999999998</v>
      </c>
      <c r="D27" s="54">
        <v>22.04</v>
      </c>
      <c r="E27" s="54">
        <v>1.99</v>
      </c>
      <c r="F27" s="54">
        <v>6.84</v>
      </c>
      <c r="G27" s="54">
        <v>42.38</v>
      </c>
      <c r="H27" s="54">
        <v>16.13</v>
      </c>
      <c r="I27" s="54">
        <v>1.53</v>
      </c>
      <c r="J27" s="54">
        <v>0.13</v>
      </c>
      <c r="K27" s="54">
        <v>340.53</v>
      </c>
      <c r="L27" s="54">
        <v>24.79</v>
      </c>
      <c r="M27" s="54">
        <v>97.78</v>
      </c>
      <c r="N27" s="54">
        <v>9.5</v>
      </c>
      <c r="O27" s="54">
        <v>0</v>
      </c>
      <c r="P27" s="54">
        <v>0.53</v>
      </c>
      <c r="Q27" s="54">
        <v>11.34</v>
      </c>
      <c r="R27" s="43"/>
      <c r="S27" s="43"/>
      <c r="T27" s="43"/>
      <c r="U27" s="43"/>
    </row>
    <row r="28" spans="1:21" s="11" customFormat="1" ht="15">
      <c r="A28" s="53" t="s">
        <v>633</v>
      </c>
      <c r="B28" s="54">
        <v>7.01</v>
      </c>
      <c r="C28" s="54">
        <v>13.56</v>
      </c>
      <c r="D28" s="54">
        <v>20.57</v>
      </c>
      <c r="E28" s="54">
        <v>1.81</v>
      </c>
      <c r="F28" s="54">
        <v>1.33</v>
      </c>
      <c r="G28" s="54">
        <v>41.57</v>
      </c>
      <c r="H28" s="54">
        <v>16.13</v>
      </c>
      <c r="I28" s="54">
        <v>1.61</v>
      </c>
      <c r="J28" s="54">
        <v>0.19</v>
      </c>
      <c r="K28" s="54">
        <v>47.24</v>
      </c>
      <c r="L28" s="54">
        <v>23.66</v>
      </c>
      <c r="M28" s="54">
        <v>93.89</v>
      </c>
      <c r="N28" s="54">
        <v>9.90</v>
      </c>
      <c r="O28" s="54">
        <v>0</v>
      </c>
      <c r="P28" s="54">
        <v>0.61</v>
      </c>
      <c r="Q28" s="54">
        <v>10.59</v>
      </c>
      <c r="R28" s="43"/>
      <c r="S28" s="43"/>
      <c r="T28" s="43"/>
      <c r="U28" s="43"/>
    </row>
    <row r="29" spans="1:21" s="11" customFormat="1" ht="15">
      <c r="A29" s="53" t="s">
        <v>634</v>
      </c>
      <c r="B29" s="54">
        <v>5.73</v>
      </c>
      <c r="C29" s="54">
        <v>26.93</v>
      </c>
      <c r="D29" s="54">
        <v>32.659999999999997</v>
      </c>
      <c r="E29" s="54">
        <v>1.66</v>
      </c>
      <c r="F29" s="54">
        <v>3.28</v>
      </c>
      <c r="G29" s="54">
        <v>44.97</v>
      </c>
      <c r="H29" s="54">
        <v>14.24</v>
      </c>
      <c r="I29" s="54">
        <v>1.51</v>
      </c>
      <c r="J29" s="54">
        <v>0.19</v>
      </c>
      <c r="K29" s="54">
        <v>209.66</v>
      </c>
      <c r="L29" s="54">
        <v>23.09</v>
      </c>
      <c r="M29" s="54">
        <v>98.44</v>
      </c>
      <c r="N29" s="54">
        <v>9.40</v>
      </c>
      <c r="O29" s="54">
        <v>0</v>
      </c>
      <c r="P29" s="54">
        <v>0.94</v>
      </c>
      <c r="Q29" s="54">
        <v>11.74</v>
      </c>
      <c r="R29" s="43"/>
      <c r="S29" s="43"/>
      <c r="T29" s="43"/>
      <c r="U29" s="43"/>
    </row>
    <row r="30" spans="1:21" s="11" customFormat="1" ht="15">
      <c r="A30" s="53" t="s">
        <v>635</v>
      </c>
      <c r="B30" s="54">
        <v>16.059999999999999</v>
      </c>
      <c r="C30" s="54">
        <v>26.58</v>
      </c>
      <c r="D30" s="54">
        <v>42.64</v>
      </c>
      <c r="E30" s="54">
        <v>2.23</v>
      </c>
      <c r="F30" s="54">
        <v>3.32</v>
      </c>
      <c r="G30" s="54">
        <v>55.48</v>
      </c>
      <c r="H30" s="54">
        <v>13.06</v>
      </c>
      <c r="I30" s="54">
        <v>1.51</v>
      </c>
      <c r="J30" s="54">
        <v>0.27</v>
      </c>
      <c r="K30" s="54">
        <v>216.07</v>
      </c>
      <c r="L30" s="54">
        <v>22.72</v>
      </c>
      <c r="M30" s="54">
        <v>98.83</v>
      </c>
      <c r="N30" s="54">
        <v>9.1999999999999993</v>
      </c>
      <c r="O30" s="54">
        <v>0</v>
      </c>
      <c r="P30" s="54">
        <v>1.28</v>
      </c>
      <c r="Q30" s="54">
        <v>12.76</v>
      </c>
      <c r="R30" s="43"/>
      <c r="S30" s="43"/>
      <c r="T30" s="43"/>
      <c r="U30" s="43"/>
    </row>
    <row r="31" spans="1:21" s="11" customFormat="1" ht="15">
      <c r="A31" s="53" t="s">
        <v>636</v>
      </c>
      <c r="B31" s="54">
        <v>7.71</v>
      </c>
      <c r="C31" s="54">
        <v>9.49</v>
      </c>
      <c r="D31" s="54">
        <v>17.20</v>
      </c>
      <c r="E31" s="54">
        <v>2.0499999999999998</v>
      </c>
      <c r="F31" s="54">
        <v>1.29</v>
      </c>
      <c r="G31" s="54">
        <v>55.48</v>
      </c>
      <c r="H31" s="54">
        <v>11.98</v>
      </c>
      <c r="I31" s="54">
        <v>1.56</v>
      </c>
      <c r="J31" s="54">
        <v>0.11</v>
      </c>
      <c r="K31" s="54">
        <v>341.25</v>
      </c>
      <c r="L31" s="54">
        <v>22.45</v>
      </c>
      <c r="M31" s="54">
        <v>98.83</v>
      </c>
      <c r="N31" s="54">
        <v>9.10</v>
      </c>
      <c r="O31" s="54">
        <v>0</v>
      </c>
      <c r="P31" s="54">
        <v>0.76</v>
      </c>
      <c r="Q31" s="54">
        <v>12.35</v>
      </c>
      <c r="R31" s="43"/>
      <c r="S31" s="43"/>
      <c r="T31" s="43"/>
      <c r="U31" s="43"/>
    </row>
    <row r="32" spans="1:21" s="11" customFormat="1" ht="15">
      <c r="A32" s="53" t="s">
        <v>637</v>
      </c>
      <c r="B32" s="54">
        <v>6.79</v>
      </c>
      <c r="C32" s="54">
        <v>12.97</v>
      </c>
      <c r="D32" s="54">
        <v>17.78</v>
      </c>
      <c r="E32" s="54">
        <v>1.96</v>
      </c>
      <c r="F32" s="54">
        <v>8.26</v>
      </c>
      <c r="G32" s="54">
        <v>43.58</v>
      </c>
      <c r="H32" s="54">
        <v>13.55</v>
      </c>
      <c r="I32" s="54">
        <v>1.52</v>
      </c>
      <c r="J32" s="54">
        <v>0.17</v>
      </c>
      <c r="K32" s="54">
        <v>192.96</v>
      </c>
      <c r="L32" s="54">
        <v>22.36</v>
      </c>
      <c r="M32" s="54">
        <v>98.85</v>
      </c>
      <c r="N32" s="54">
        <v>9.10</v>
      </c>
      <c r="O32" s="54">
        <v>0</v>
      </c>
      <c r="P32" s="54">
        <v>0.72</v>
      </c>
      <c r="Q32" s="54">
        <v>13.49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2.6400000000000001</v>
      </c>
      <c r="C34" s="28">
        <f t="shared" si="0"/>
        <v>7.6699999999999999</v>
      </c>
      <c r="D34" s="28">
        <f t="shared" si="0"/>
        <v>12.09</v>
      </c>
      <c r="E34" s="28">
        <f t="shared" si="0"/>
        <v>0.26000000000000001</v>
      </c>
      <c r="F34" s="28">
        <f t="shared" si="0"/>
        <v>0.93999999999999995</v>
      </c>
      <c r="G34" s="28">
        <f t="shared" si="0"/>
        <v>14.67</v>
      </c>
      <c r="H34" s="28">
        <f t="shared" si="0"/>
        <v>7.7199999999999998</v>
      </c>
      <c r="I34" s="28">
        <f t="shared" si="0"/>
        <v>1.49</v>
      </c>
      <c r="J34" s="28">
        <f t="shared" si="0"/>
        <v>0.10000000000000001</v>
      </c>
      <c r="K34" s="28">
        <f t="shared" si="0"/>
        <v>25.379999999999999</v>
      </c>
      <c r="L34" s="28">
        <f t="shared" si="0"/>
        <v>21.890000000000001</v>
      </c>
      <c r="M34" s="28">
        <f t="shared" si="0"/>
        <v>79.739999999999995</v>
      </c>
      <c r="N34" s="28">
        <f t="shared" si="0"/>
        <v>9.0999999999999996</v>
      </c>
      <c r="O34" s="28">
        <f t="shared" si="0"/>
        <v>0</v>
      </c>
      <c r="P34" s="28">
        <f t="shared" si="0"/>
        <v>0.29999999999999999</v>
      </c>
      <c r="Q34" s="28">
        <f t="shared" si="0"/>
        <v>9.9199999999999999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16.059999999999999</v>
      </c>
      <c r="C35" s="29">
        <f t="shared" si="1"/>
        <v>26.93</v>
      </c>
      <c r="D35" s="29">
        <f t="shared" si="1"/>
        <v>42.640000000000001</v>
      </c>
      <c r="E35" s="29">
        <f t="shared" si="1"/>
        <v>2.23</v>
      </c>
      <c r="F35" s="29">
        <f t="shared" si="1"/>
        <v>18.489999999999998</v>
      </c>
      <c r="G35" s="29">
        <f t="shared" si="1"/>
        <v>58.560000000000002</v>
      </c>
      <c r="H35" s="29">
        <f t="shared" si="1"/>
        <v>17.420000000000002</v>
      </c>
      <c r="I35" s="29">
        <f t="shared" si="1"/>
        <v>1.6100000000000001</v>
      </c>
      <c r="J35" s="29">
        <f t="shared" si="1"/>
        <v>0.77000000000000002</v>
      </c>
      <c r="K35" s="29">
        <f t="shared" si="1"/>
        <v>357.23000000000002</v>
      </c>
      <c r="L35" s="29">
        <f t="shared" si="1"/>
        <v>29.219999999999999</v>
      </c>
      <c r="M35" s="29">
        <f t="shared" si="1"/>
        <v>98.879999999999995</v>
      </c>
      <c r="N35" s="29">
        <f t="shared" si="1"/>
        <v>942.10000000000002</v>
      </c>
      <c r="O35" s="29">
        <f t="shared" si="1"/>
        <v>0</v>
      </c>
      <c r="P35" s="29">
        <f t="shared" si="1"/>
        <v>1.28</v>
      </c>
      <c r="Q35" s="29">
        <f t="shared" si="1"/>
        <v>14.619999999999999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6.6495833333333323</v>
      </c>
      <c r="C36" s="28">
        <f t="shared" si="2"/>
        <v>13.914583333333335</v>
      </c>
      <c r="D36" s="28">
        <f t="shared" si="2"/>
        <v>20.243750000000002</v>
      </c>
      <c r="E36" s="28">
        <f t="shared" si="2"/>
        <v>1.365</v>
      </c>
      <c r="F36" s="28">
        <f t="shared" si="2"/>
        <v>4.0404166666666663</v>
      </c>
      <c r="G36" s="28">
        <f t="shared" si="2"/>
        <v>35.434166666666677</v>
      </c>
      <c r="H36" s="28">
        <f t="shared" si="2"/>
        <v>12.335416666666667</v>
      </c>
      <c r="I36" s="28">
        <f t="shared" si="2"/>
        <v>1.5533333333333335</v>
      </c>
      <c r="J36" s="28">
        <f t="shared" si="2"/>
        <v>0.21875000000000003</v>
      </c>
      <c r="K36" s="28">
        <f t="shared" si="2"/>
        <v>224.4120833333333</v>
      </c>
      <c r="L36" s="28">
        <f t="shared" si="2"/>
        <v>24.260833333333338</v>
      </c>
      <c r="M36" s="28">
        <f t="shared" si="2"/>
        <v>95.049166666666665</v>
      </c>
      <c r="N36" s="28">
        <f t="shared" si="2"/>
        <v>170.99583333333337</v>
      </c>
      <c r="O36" s="28">
        <f t="shared" si="2"/>
        <v>0</v>
      </c>
      <c r="P36" s="28">
        <f t="shared" si="2"/>
        <v>0.57124999999999992</v>
      </c>
      <c r="Q36" s="28">
        <f t="shared" si="2"/>
        <v>12.423333333333337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2.9052074372793406</v>
      </c>
      <c r="C37" s="28">
        <f t="shared" si="3" ref="C37:Q37">STDEV(C9:C32)</f>
        <v>5.5985906449877945</v>
      </c>
      <c r="D37" s="28">
        <f t="shared" si="3"/>
        <v>6.6567584567996629</v>
      </c>
      <c r="E37" s="28">
        <f t="shared" si="3"/>
        <v>0.5439389351916184</v>
      </c>
      <c r="F37" s="28">
        <f t="shared" si="3"/>
        <v>4.3824724798031403</v>
      </c>
      <c r="G37" s="28">
        <f t="shared" si="3"/>
        <v>16.516277587952988</v>
      </c>
      <c r="H37" s="28">
        <f t="shared" si="3"/>
        <v>3.1586884718691079</v>
      </c>
      <c r="I37" s="28">
        <f t="shared" si="3"/>
        <v>0.035098205908151721</v>
      </c>
      <c r="J37" s="28">
        <f t="shared" si="3"/>
        <v>0.14555179863868567</v>
      </c>
      <c r="K37" s="28">
        <f t="shared" si="3"/>
        <v>118.51294506358762</v>
      </c>
      <c r="L37" s="28">
        <f t="shared" si="3"/>
        <v>2.4128963592702672</v>
      </c>
      <c r="M37" s="28">
        <f t="shared" si="3"/>
        <v>6.6933165345652119</v>
      </c>
      <c r="N37" s="28">
        <f t="shared" si="3"/>
        <v>296.07537007406194</v>
      </c>
      <c r="O37" s="28">
        <f t="shared" si="3"/>
        <v>0</v>
      </c>
      <c r="P37" s="28">
        <f t="shared" si="3"/>
        <v>0.22004569683511718</v>
      </c>
      <c r="Q37" s="28">
        <f t="shared" si="3"/>
        <v>1.4619750389431003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c3e970f-aa5f-4b26-87ce-05b53d024722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9" sqref="G5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25-09-2023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8"/>
      <c r="B8" s="59" t="s">
        <v>22</v>
      </c>
      <c r="C8" s="59" t="s">
        <v>22</v>
      </c>
      <c r="D8" s="29" t="s">
        <v>61</v>
      </c>
      <c r="E8" s="59" t="s">
        <v>22</v>
      </c>
      <c r="F8" s="59" t="s">
        <v>22</v>
      </c>
      <c r="G8" s="59" t="s">
        <v>23</v>
      </c>
      <c r="H8" s="59" t="s">
        <v>22</v>
      </c>
      <c r="I8" s="59" t="s">
        <v>22</v>
      </c>
      <c r="J8" s="59" t="s">
        <v>24</v>
      </c>
      <c r="K8" s="59" t="s">
        <v>25</v>
      </c>
      <c r="L8" s="58" t="s">
        <v>27</v>
      </c>
      <c r="M8" s="59" t="s">
        <v>26</v>
      </c>
      <c r="N8" s="59" t="s">
        <v>28</v>
      </c>
      <c r="O8" s="58" t="s">
        <v>29</v>
      </c>
      <c r="P8" s="59" t="s">
        <v>22</v>
      </c>
      <c r="Q8" s="59" t="s">
        <v>22</v>
      </c>
      <c r="R8" s="27"/>
      <c r="S8" s="29"/>
      <c r="T8" s="27"/>
      <c r="U8" s="27"/>
    </row>
    <row r="9" spans="1:21" s="11" customFormat="1" ht="15">
      <c r="A9" s="53" t="s">
        <v>638</v>
      </c>
      <c r="B9" s="54">
        <v>6.74</v>
      </c>
      <c r="C9" s="54">
        <v>11.65</v>
      </c>
      <c r="D9" s="54">
        <v>18.34</v>
      </c>
      <c r="E9" s="54">
        <v>2.11</v>
      </c>
      <c r="F9" s="54">
        <v>3.65</v>
      </c>
      <c r="G9" s="54">
        <v>41.59</v>
      </c>
      <c r="H9" s="54">
        <v>13.55</v>
      </c>
      <c r="I9" s="54">
        <v>1.54</v>
      </c>
      <c r="J9" s="54">
        <v>0.05</v>
      </c>
      <c r="K9" s="54">
        <v>324.02999999999997</v>
      </c>
      <c r="L9" s="54">
        <v>22.02</v>
      </c>
      <c r="M9" s="54">
        <v>98.87</v>
      </c>
      <c r="N9" s="54">
        <v>9.10</v>
      </c>
      <c r="O9" s="54">
        <v>0</v>
      </c>
      <c r="P9" s="54">
        <v>0.64</v>
      </c>
      <c r="Q9" s="54">
        <v>13.66</v>
      </c>
      <c r="R9" s="43"/>
      <c r="S9" s="43"/>
      <c r="T9" s="43"/>
      <c r="U9" s="43"/>
    </row>
    <row r="10" spans="1:21" s="11" customFormat="1" ht="15">
      <c r="A10" s="53" t="s">
        <v>639</v>
      </c>
      <c r="B10" s="54">
        <v>6.48</v>
      </c>
      <c r="C10" s="54">
        <v>8.3699999999999992</v>
      </c>
      <c r="D10" s="54">
        <v>14.37</v>
      </c>
      <c r="E10" s="54">
        <v>1.79</v>
      </c>
      <c r="F10" s="54">
        <v>1.64</v>
      </c>
      <c r="G10" s="54">
        <v>35.11</v>
      </c>
      <c r="H10" s="54">
        <v>11.92</v>
      </c>
      <c r="I10" s="54">
        <v>1.52</v>
      </c>
      <c r="J10" s="54">
        <v>0.14000000000000001</v>
      </c>
      <c r="K10" s="54">
        <v>207.28</v>
      </c>
      <c r="L10" s="54">
        <v>21.85</v>
      </c>
      <c r="M10" s="54">
        <v>98.88</v>
      </c>
      <c r="N10" s="54">
        <v>9.10</v>
      </c>
      <c r="O10" s="54">
        <v>0</v>
      </c>
      <c r="P10" s="54">
        <v>0.59</v>
      </c>
      <c r="Q10" s="54">
        <v>13.25</v>
      </c>
      <c r="R10" s="43"/>
      <c r="S10" s="43"/>
      <c r="T10" s="43"/>
      <c r="U10" s="43"/>
    </row>
    <row r="11" spans="1:21" s="11" customFormat="1" ht="15">
      <c r="A11" s="53" t="s">
        <v>640</v>
      </c>
      <c r="B11" s="54">
        <v>5.42</v>
      </c>
      <c r="C11" s="54">
        <v>8.84</v>
      </c>
      <c r="D11" s="54">
        <v>12.96</v>
      </c>
      <c r="E11" s="54">
        <v>2.16</v>
      </c>
      <c r="F11" s="54">
        <v>6.02</v>
      </c>
      <c r="G11" s="54">
        <v>28.48</v>
      </c>
      <c r="H11" s="54">
        <v>10.01</v>
      </c>
      <c r="I11" s="54">
        <v>1.56</v>
      </c>
      <c r="J11" s="54">
        <v>0.26</v>
      </c>
      <c r="K11" s="54">
        <v>175.96</v>
      </c>
      <c r="L11" s="54">
        <v>21.54</v>
      </c>
      <c r="M11" s="54">
        <v>98.88</v>
      </c>
      <c r="N11" s="54">
        <v>9.1999999999999993</v>
      </c>
      <c r="O11" s="54">
        <v>0</v>
      </c>
      <c r="P11" s="54">
        <v>0.5</v>
      </c>
      <c r="Q11" s="54">
        <v>14.19</v>
      </c>
      <c r="R11" s="43"/>
      <c r="S11" s="43"/>
      <c r="T11" s="43"/>
      <c r="U11" s="43"/>
    </row>
    <row r="12" spans="1:21" s="11" customFormat="1" ht="15">
      <c r="A12" s="53" t="s">
        <v>641</v>
      </c>
      <c r="B12" s="54">
        <v>5.59</v>
      </c>
      <c r="C12" s="54">
        <v>7.80</v>
      </c>
      <c r="D12" s="54">
        <v>13.23</v>
      </c>
      <c r="E12" s="54">
        <v>2.37</v>
      </c>
      <c r="F12" s="54">
        <v>5.05</v>
      </c>
      <c r="G12" s="54">
        <v>28.48</v>
      </c>
      <c r="H12" s="54">
        <v>10.01</v>
      </c>
      <c r="I12" s="54">
        <v>1.53</v>
      </c>
      <c r="J12" s="54">
        <v>0.19</v>
      </c>
      <c r="K12" s="54">
        <v>199.82</v>
      </c>
      <c r="L12" s="54">
        <v>21.33</v>
      </c>
      <c r="M12" s="54">
        <v>98.88</v>
      </c>
      <c r="N12" s="54">
        <v>9.10</v>
      </c>
      <c r="O12" s="54">
        <v>0</v>
      </c>
      <c r="P12" s="54">
        <v>0.45</v>
      </c>
      <c r="Q12" s="54">
        <v>14.74</v>
      </c>
      <c r="R12" s="43"/>
      <c r="S12" s="43"/>
      <c r="T12" s="43"/>
      <c r="U12" s="43"/>
    </row>
    <row r="13" spans="1:21" s="11" customFormat="1" ht="15">
      <c r="A13" s="53" t="s">
        <v>642</v>
      </c>
      <c r="B13" s="54">
        <v>5.42</v>
      </c>
      <c r="C13" s="54">
        <v>7.63</v>
      </c>
      <c r="D13" s="54">
        <v>12.92</v>
      </c>
      <c r="E13" s="54">
        <v>1.85</v>
      </c>
      <c r="F13" s="54">
        <v>0.91</v>
      </c>
      <c r="G13" s="54">
        <v>21.5</v>
      </c>
      <c r="H13" s="54">
        <v>7.36</v>
      </c>
      <c r="I13" s="54">
        <v>1.54</v>
      </c>
      <c r="J13" s="54">
        <v>0.09</v>
      </c>
      <c r="K13" s="54">
        <v>211.55</v>
      </c>
      <c r="L13" s="54">
        <v>21.16</v>
      </c>
      <c r="M13" s="54">
        <v>98.88</v>
      </c>
      <c r="N13" s="54">
        <v>9.10</v>
      </c>
      <c r="O13" s="54">
        <v>0</v>
      </c>
      <c r="P13" s="54">
        <v>0.43</v>
      </c>
      <c r="Q13" s="54">
        <v>14.19</v>
      </c>
      <c r="R13" s="43"/>
      <c r="S13" s="43"/>
      <c r="T13" s="43"/>
      <c r="U13" s="43"/>
    </row>
    <row r="14" spans="1:21" s="11" customFormat="1" ht="15">
      <c r="A14" s="53" t="s">
        <v>643</v>
      </c>
      <c r="B14" s="54">
        <v>8.48</v>
      </c>
      <c r="C14" s="54">
        <v>14.22</v>
      </c>
      <c r="D14" s="54">
        <v>22.70</v>
      </c>
      <c r="E14" s="54">
        <v>2.09</v>
      </c>
      <c r="F14" s="54">
        <v>2.85</v>
      </c>
      <c r="G14" s="54">
        <v>24.07</v>
      </c>
      <c r="H14" s="54">
        <v>7.21</v>
      </c>
      <c r="I14" s="54">
        <v>1.5</v>
      </c>
      <c r="J14" s="54">
        <v>0.06</v>
      </c>
      <c r="K14" s="54">
        <v>314.07</v>
      </c>
      <c r="L14" s="54">
        <v>21.07</v>
      </c>
      <c r="M14" s="54">
        <v>98.88</v>
      </c>
      <c r="N14" s="54">
        <v>15</v>
      </c>
      <c r="O14" s="54">
        <v>0</v>
      </c>
      <c r="P14" s="54">
        <v>0.39</v>
      </c>
      <c r="Q14" s="54">
        <v>14.28</v>
      </c>
      <c r="R14" s="43"/>
      <c r="S14" s="43"/>
      <c r="T14" s="43"/>
      <c r="U14" s="43"/>
    </row>
    <row r="15" spans="1:21" s="11" customFormat="1" ht="15">
      <c r="A15" s="53" t="s">
        <v>644</v>
      </c>
      <c r="B15" s="54">
        <v>6.46</v>
      </c>
      <c r="C15" s="54">
        <v>10</v>
      </c>
      <c r="D15" s="54">
        <v>15.96</v>
      </c>
      <c r="E15" s="54">
        <v>2.25</v>
      </c>
      <c r="F15" s="54">
        <v>1.92</v>
      </c>
      <c r="G15" s="54">
        <v>24.07</v>
      </c>
      <c r="H15" s="54">
        <v>7.24</v>
      </c>
      <c r="I15" s="54">
        <v>1.60</v>
      </c>
      <c r="J15" s="54">
        <v>0.16</v>
      </c>
      <c r="K15" s="54">
        <v>178.91</v>
      </c>
      <c r="L15" s="54">
        <v>22.42</v>
      </c>
      <c r="M15" s="54">
        <v>98.88</v>
      </c>
      <c r="N15" s="54">
        <v>131.60</v>
      </c>
      <c r="O15" s="54">
        <v>0</v>
      </c>
      <c r="P15" s="54">
        <v>0.39</v>
      </c>
      <c r="Q15" s="54">
        <v>14.39</v>
      </c>
      <c r="R15" s="43"/>
      <c r="S15" s="43"/>
      <c r="T15" s="43"/>
      <c r="U15" s="43"/>
    </row>
    <row r="16" spans="1:21" s="11" customFormat="1" ht="15">
      <c r="A16" s="53" t="s">
        <v>645</v>
      </c>
      <c r="B16" s="54">
        <v>7.18</v>
      </c>
      <c r="C16" s="54">
        <v>9.02</v>
      </c>
      <c r="D16" s="54">
        <v>16.05</v>
      </c>
      <c r="E16" s="54">
        <v>2</v>
      </c>
      <c r="F16" s="54">
        <v>0.92</v>
      </c>
      <c r="G16" s="54">
        <v>32.130000000000003</v>
      </c>
      <c r="H16" s="54">
        <v>8.40</v>
      </c>
      <c r="I16" s="54">
        <v>1.54</v>
      </c>
      <c r="J16" s="54">
        <v>0.19</v>
      </c>
      <c r="K16" s="54">
        <v>346.62</v>
      </c>
      <c r="L16" s="54">
        <v>23.90</v>
      </c>
      <c r="M16" s="54">
        <v>98.80</v>
      </c>
      <c r="N16" s="54">
        <v>239.10</v>
      </c>
      <c r="O16" s="54">
        <v>0</v>
      </c>
      <c r="P16" s="54">
        <v>0.46</v>
      </c>
      <c r="Q16" s="54">
        <v>13.79</v>
      </c>
      <c r="R16" s="43"/>
      <c r="S16" s="43"/>
      <c r="T16" s="43"/>
      <c r="U16" s="43"/>
    </row>
    <row r="17" spans="1:21" s="11" customFormat="1" ht="15">
      <c r="A17" s="53" t="s">
        <v>646</v>
      </c>
      <c r="B17" s="54">
        <v>11.27</v>
      </c>
      <c r="C17" s="54">
        <v>13.30</v>
      </c>
      <c r="D17" s="54">
        <v>24.57</v>
      </c>
      <c r="E17" s="54">
        <v>1.74</v>
      </c>
      <c r="F17" s="54">
        <v>3.99</v>
      </c>
      <c r="G17" s="54">
        <v>44.70</v>
      </c>
      <c r="H17" s="54">
        <v>10.49</v>
      </c>
      <c r="I17" s="54">
        <v>1.52</v>
      </c>
      <c r="J17" s="54">
        <v>0.56999999999999995</v>
      </c>
      <c r="K17" s="54">
        <v>355.32</v>
      </c>
      <c r="L17" s="54">
        <v>27.24</v>
      </c>
      <c r="M17" s="54">
        <v>91.98</v>
      </c>
      <c r="N17" s="54">
        <v>354.70</v>
      </c>
      <c r="O17" s="54">
        <v>0</v>
      </c>
      <c r="P17" s="54">
        <v>0.61</v>
      </c>
      <c r="Q17" s="54">
        <v>13.76</v>
      </c>
      <c r="R17" s="43"/>
      <c r="S17" s="43"/>
      <c r="T17" s="43"/>
      <c r="U17" s="43"/>
    </row>
    <row r="18" spans="1:21" s="11" customFormat="1" ht="15">
      <c r="A18" s="53" t="s">
        <v>647</v>
      </c>
      <c r="B18" s="54">
        <v>13.03</v>
      </c>
      <c r="C18" s="54">
        <v>14.24</v>
      </c>
      <c r="D18" s="54">
        <v>27.27</v>
      </c>
      <c r="E18" s="54">
        <v>1.43</v>
      </c>
      <c r="F18" s="54">
        <v>2.67</v>
      </c>
      <c r="G18" s="54">
        <v>65.849999999999994</v>
      </c>
      <c r="H18" s="54">
        <v>13.17</v>
      </c>
      <c r="I18" s="54">
        <v>1.53</v>
      </c>
      <c r="J18" s="54">
        <v>0.71</v>
      </c>
      <c r="K18" s="54">
        <v>340.53</v>
      </c>
      <c r="L18" s="54">
        <v>28.37</v>
      </c>
      <c r="M18" s="54">
        <v>82.20</v>
      </c>
      <c r="N18" s="54">
        <v>350.5</v>
      </c>
      <c r="O18" s="54">
        <v>0</v>
      </c>
      <c r="P18" s="54">
        <v>0.65</v>
      </c>
      <c r="Q18" s="54">
        <v>13.66</v>
      </c>
      <c r="R18" s="43"/>
      <c r="S18" s="43"/>
      <c r="T18" s="43"/>
      <c r="U18" s="43"/>
    </row>
    <row r="19" spans="1:21" s="11" customFormat="1" ht="15">
      <c r="A19" s="53" t="s">
        <v>648</v>
      </c>
      <c r="B19" s="54">
        <v>14.03</v>
      </c>
      <c r="C19" s="54">
        <v>35.89</v>
      </c>
      <c r="D19" s="54">
        <v>44.43</v>
      </c>
      <c r="E19" s="54">
        <v>1.34</v>
      </c>
      <c r="F19" s="54">
        <v>7.73</v>
      </c>
      <c r="G19" s="54">
        <v>74.44</v>
      </c>
      <c r="H19" s="54">
        <v>17.36</v>
      </c>
      <c r="I19" s="54">
        <v>1.55</v>
      </c>
      <c r="J19" s="54">
        <v>0.65</v>
      </c>
      <c r="K19" s="54">
        <v>353.40</v>
      </c>
      <c r="L19" s="54">
        <v>29.58</v>
      </c>
      <c r="M19" s="54">
        <v>76.28</v>
      </c>
      <c r="N19" s="54">
        <v>509.60</v>
      </c>
      <c r="O19" s="54">
        <v>0</v>
      </c>
      <c r="P19" s="54">
        <v>0.97</v>
      </c>
      <c r="Q19" s="54">
        <v>13.63</v>
      </c>
      <c r="R19" s="43"/>
      <c r="S19" s="43"/>
      <c r="T19" s="43"/>
      <c r="U19" s="43"/>
    </row>
    <row r="20" spans="1:21" s="11" customFormat="1" ht="15">
      <c r="A20" s="53" t="s">
        <v>649</v>
      </c>
      <c r="B20" s="54">
        <v>9.1300000000000008</v>
      </c>
      <c r="C20" s="54">
        <v>36.81</v>
      </c>
      <c r="D20" s="54">
        <v>45.94</v>
      </c>
      <c r="E20" s="54">
        <v>1.64</v>
      </c>
      <c r="F20" s="54">
        <v>35.450000000000003</v>
      </c>
      <c r="G20" s="54">
        <v>74.44</v>
      </c>
      <c r="H20" s="54">
        <v>17.45</v>
      </c>
      <c r="I20" s="54">
        <v>1.59</v>
      </c>
      <c r="J20" s="54">
        <v>0.56999999999999995</v>
      </c>
      <c r="K20" s="54">
        <v>334.98</v>
      </c>
      <c r="L20" s="54">
        <v>29.02</v>
      </c>
      <c r="M20" s="54">
        <v>82.11</v>
      </c>
      <c r="N20" s="54">
        <v>453.90</v>
      </c>
      <c r="O20" s="54">
        <v>0</v>
      </c>
      <c r="P20" s="54">
        <v>1.01</v>
      </c>
      <c r="Q20" s="54">
        <v>13.59</v>
      </c>
      <c r="R20" s="43"/>
      <c r="S20" s="43"/>
      <c r="T20" s="43"/>
      <c r="U20" s="43"/>
    </row>
    <row r="21" spans="1:21" s="11" customFormat="1" ht="15">
      <c r="A21" s="53" t="s">
        <v>650</v>
      </c>
      <c r="B21" s="54">
        <v>4.92</v>
      </c>
      <c r="C21" s="54">
        <v>24.25</v>
      </c>
      <c r="D21" s="54">
        <v>29.17</v>
      </c>
      <c r="E21" s="54">
        <v>2.60</v>
      </c>
      <c r="F21" s="54">
        <v>13.5</v>
      </c>
      <c r="G21" s="54">
        <v>87.18</v>
      </c>
      <c r="H21" s="54">
        <v>23.37</v>
      </c>
      <c r="I21" s="54">
        <v>1.54</v>
      </c>
      <c r="J21" s="54">
        <v>0.39</v>
      </c>
      <c r="K21" s="54">
        <v>359.41</v>
      </c>
      <c r="L21" s="54">
        <v>30.96</v>
      </c>
      <c r="M21" s="54">
        <v>79.02</v>
      </c>
      <c r="N21" s="54">
        <v>803.60</v>
      </c>
      <c r="O21" s="54">
        <v>0</v>
      </c>
      <c r="P21" s="54">
        <v>0.85</v>
      </c>
      <c r="Q21" s="54">
        <v>14.54</v>
      </c>
      <c r="R21" s="43"/>
      <c r="S21" s="43"/>
      <c r="T21" s="43"/>
      <c r="U21" s="43"/>
    </row>
    <row r="22" spans="1:21" s="11" customFormat="1" ht="15">
      <c r="A22" s="53" t="s">
        <v>651</v>
      </c>
      <c r="B22" s="54">
        <v>20.57</v>
      </c>
      <c r="C22" s="54">
        <v>72.48</v>
      </c>
      <c r="D22" s="54">
        <v>57.79</v>
      </c>
      <c r="E22" s="54">
        <v>4.7699999999999996</v>
      </c>
      <c r="F22" s="54">
        <v>20.170000000000002</v>
      </c>
      <c r="G22" s="54">
        <v>87.18</v>
      </c>
      <c r="H22" s="54">
        <v>24.38</v>
      </c>
      <c r="I22" s="54">
        <v>1.52</v>
      </c>
      <c r="J22" s="54">
        <v>0.96</v>
      </c>
      <c r="K22" s="54">
        <v>343.81</v>
      </c>
      <c r="L22" s="54">
        <v>30.38</v>
      </c>
      <c r="M22" s="54">
        <v>77.06</v>
      </c>
      <c r="N22" s="54">
        <v>291.89999999999998</v>
      </c>
      <c r="O22" s="54">
        <v>0</v>
      </c>
      <c r="P22" s="54">
        <v>1.29</v>
      </c>
      <c r="Q22" s="54">
        <v>13.5</v>
      </c>
      <c r="R22" s="43"/>
      <c r="S22" s="43"/>
      <c r="T22" s="43"/>
      <c r="U22" s="43"/>
    </row>
    <row r="23" spans="1:21" s="11" customFormat="1" ht="15">
      <c r="A23" s="53" t="s">
        <v>652</v>
      </c>
      <c r="B23" s="54">
        <v>11.07</v>
      </c>
      <c r="C23" s="54">
        <v>56.27</v>
      </c>
      <c r="D23" s="54">
        <v>40.07</v>
      </c>
      <c r="E23" s="54">
        <v>2.27</v>
      </c>
      <c r="F23" s="54">
        <v>27.03</v>
      </c>
      <c r="G23" s="54">
        <v>102.03</v>
      </c>
      <c r="H23" s="54">
        <v>28.18</v>
      </c>
      <c r="I23" s="54">
        <v>1.52</v>
      </c>
      <c r="J23" s="54">
        <v>0.78</v>
      </c>
      <c r="K23" s="54">
        <v>166.25</v>
      </c>
      <c r="L23" s="54">
        <v>27.48</v>
      </c>
      <c r="M23" s="54">
        <v>88.43</v>
      </c>
      <c r="N23" s="54">
        <v>152.80000000000001</v>
      </c>
      <c r="O23" s="54">
        <v>0</v>
      </c>
      <c r="P23" s="54">
        <v>1.19</v>
      </c>
      <c r="Q23" s="54">
        <v>16.28</v>
      </c>
      <c r="R23" s="43"/>
      <c r="S23" s="43"/>
      <c r="T23" s="43"/>
      <c r="U23" s="43"/>
    </row>
    <row r="24" spans="1:21" s="11" customFormat="1" ht="15">
      <c r="A24" s="53" t="s">
        <v>653</v>
      </c>
      <c r="B24" s="54">
        <v>8.1999999999999993</v>
      </c>
      <c r="C24" s="54">
        <v>31.66</v>
      </c>
      <c r="D24" s="54">
        <v>25.34</v>
      </c>
      <c r="E24" s="54">
        <v>1.91</v>
      </c>
      <c r="F24" s="54">
        <v>5.62</v>
      </c>
      <c r="G24" s="54">
        <v>102.03</v>
      </c>
      <c r="H24" s="54">
        <v>28.18</v>
      </c>
      <c r="I24" s="54">
        <v>1.56</v>
      </c>
      <c r="J24" s="54">
        <v>0.69</v>
      </c>
      <c r="K24" s="54">
        <v>309.83</v>
      </c>
      <c r="L24" s="54">
        <v>24.31</v>
      </c>
      <c r="M24" s="54">
        <v>93.12</v>
      </c>
      <c r="N24" s="54">
        <v>79</v>
      </c>
      <c r="O24" s="54">
        <v>0</v>
      </c>
      <c r="P24" s="54">
        <v>1.07</v>
      </c>
      <c r="Q24" s="54">
        <v>13.63</v>
      </c>
      <c r="R24" s="43"/>
      <c r="S24" s="43"/>
      <c r="T24" s="43"/>
      <c r="U24" s="43"/>
    </row>
    <row r="25" spans="1:21" s="11" customFormat="1" ht="15">
      <c r="A25" s="53" t="s">
        <v>654</v>
      </c>
      <c r="B25" s="54">
        <v>12.37</v>
      </c>
      <c r="C25" s="54">
        <v>23.67</v>
      </c>
      <c r="D25" s="54">
        <v>22.81</v>
      </c>
      <c r="E25" s="54">
        <v>2.31</v>
      </c>
      <c r="F25" s="54">
        <v>2.97</v>
      </c>
      <c r="G25" s="54">
        <v>90.34</v>
      </c>
      <c r="H25" s="54">
        <v>23.60</v>
      </c>
      <c r="I25" s="54">
        <v>1.51</v>
      </c>
      <c r="J25" s="54">
        <v>1.18</v>
      </c>
      <c r="K25" s="54">
        <v>340.24</v>
      </c>
      <c r="L25" s="54">
        <v>24.92</v>
      </c>
      <c r="M25" s="54">
        <v>85.94</v>
      </c>
      <c r="N25" s="54">
        <v>78.20</v>
      </c>
      <c r="O25" s="54">
        <v>0</v>
      </c>
      <c r="P25" s="54">
        <v>0.99</v>
      </c>
      <c r="Q25" s="54">
        <v>12.91</v>
      </c>
      <c r="R25" s="43"/>
      <c r="S25" s="43"/>
      <c r="T25" s="43"/>
      <c r="U25" s="43"/>
    </row>
    <row r="26" spans="1:21" s="11" customFormat="1" ht="15">
      <c r="A26" s="53" t="s">
        <v>655</v>
      </c>
      <c r="B26" s="54">
        <v>19.510000000000002</v>
      </c>
      <c r="C26" s="54">
        <v>34.090000000000003</v>
      </c>
      <c r="D26" s="54">
        <v>35.229999999999997</v>
      </c>
      <c r="E26" s="54">
        <v>3.02</v>
      </c>
      <c r="F26" s="54">
        <v>4.5</v>
      </c>
      <c r="G26" s="54">
        <v>84.97</v>
      </c>
      <c r="H26" s="54">
        <v>23.17</v>
      </c>
      <c r="I26" s="54">
        <v>1.51</v>
      </c>
      <c r="J26" s="54">
        <v>0.65</v>
      </c>
      <c r="K26" s="54">
        <v>334.45</v>
      </c>
      <c r="L26" s="54">
        <v>24.47</v>
      </c>
      <c r="M26" s="54">
        <v>89.09</v>
      </c>
      <c r="N26" s="54">
        <v>34.40</v>
      </c>
      <c r="O26" s="54">
        <v>0</v>
      </c>
      <c r="P26" s="54">
        <v>1.17</v>
      </c>
      <c r="Q26" s="54">
        <v>12.67</v>
      </c>
      <c r="R26" s="43"/>
      <c r="S26" s="43"/>
      <c r="T26" s="43"/>
      <c r="U26" s="43"/>
    </row>
    <row r="27" spans="1:21" s="11" customFormat="1" ht="15">
      <c r="A27" s="53" t="s">
        <v>656</v>
      </c>
      <c r="B27" s="54">
        <v>13.34</v>
      </c>
      <c r="C27" s="54">
        <v>19.760000000000002</v>
      </c>
      <c r="D27" s="54">
        <v>22.14</v>
      </c>
      <c r="E27" s="54">
        <v>2.87</v>
      </c>
      <c r="F27" s="54">
        <v>1.42</v>
      </c>
      <c r="G27" s="54">
        <v>95.46</v>
      </c>
      <c r="H27" s="54">
        <v>23.72</v>
      </c>
      <c r="I27" s="54">
        <v>1.54</v>
      </c>
      <c r="J27" s="54">
        <v>0.15</v>
      </c>
      <c r="K27" s="54">
        <v>204.22</v>
      </c>
      <c r="L27" s="54">
        <v>23.70</v>
      </c>
      <c r="M27" s="54">
        <v>98.81</v>
      </c>
      <c r="N27" s="54">
        <v>9.90</v>
      </c>
      <c r="O27" s="54">
        <v>0</v>
      </c>
      <c r="P27" s="54">
        <v>1.08</v>
      </c>
      <c r="Q27" s="54">
        <v>13.44</v>
      </c>
      <c r="R27" s="43"/>
      <c r="S27" s="43"/>
      <c r="T27" s="43"/>
      <c r="U27" s="43"/>
    </row>
    <row r="28" spans="1:21" s="11" customFormat="1" ht="15">
      <c r="A28" s="53" t="s">
        <v>657</v>
      </c>
      <c r="B28" s="54">
        <v>13.54</v>
      </c>
      <c r="C28" s="54">
        <v>21.5</v>
      </c>
      <c r="D28" s="54">
        <v>21.60</v>
      </c>
      <c r="E28" s="54">
        <v>2.90</v>
      </c>
      <c r="F28" s="54">
        <v>3.90</v>
      </c>
      <c r="G28" s="54">
        <v>95.46</v>
      </c>
      <c r="H28" s="54">
        <v>23.72</v>
      </c>
      <c r="I28" s="54">
        <v>1.53</v>
      </c>
      <c r="J28" s="54">
        <v>0.31</v>
      </c>
      <c r="K28" s="54">
        <v>197.89</v>
      </c>
      <c r="L28" s="54">
        <v>23.02</v>
      </c>
      <c r="M28" s="54">
        <v>98.85</v>
      </c>
      <c r="N28" s="54">
        <v>9.5</v>
      </c>
      <c r="O28" s="54">
        <v>0</v>
      </c>
      <c r="P28" s="54">
        <v>1.1299999999999999</v>
      </c>
      <c r="Q28" s="54">
        <v>13.83</v>
      </c>
      <c r="R28" s="43"/>
      <c r="S28" s="43"/>
      <c r="T28" s="43"/>
      <c r="U28" s="43"/>
    </row>
    <row r="29" spans="1:21" s="11" customFormat="1" ht="15">
      <c r="A29" s="53" t="s">
        <v>658</v>
      </c>
      <c r="B29" s="54">
        <v>20.399999999999999</v>
      </c>
      <c r="C29" s="54">
        <v>28.07</v>
      </c>
      <c r="D29" s="54">
        <v>32.770000000000003</v>
      </c>
      <c r="E29" s="54">
        <v>3.20</v>
      </c>
      <c r="F29" s="54">
        <v>1.45</v>
      </c>
      <c r="G29" s="54">
        <v>90.51</v>
      </c>
      <c r="H29" s="54">
        <v>22.15</v>
      </c>
      <c r="I29" s="54">
        <v>1.57</v>
      </c>
      <c r="J29" s="54">
        <v>0.14000000000000001</v>
      </c>
      <c r="K29" s="54">
        <v>343.16</v>
      </c>
      <c r="L29" s="54">
        <v>22.81</v>
      </c>
      <c r="M29" s="54">
        <v>98.84</v>
      </c>
      <c r="N29" s="54">
        <v>9.5</v>
      </c>
      <c r="O29" s="54">
        <v>0</v>
      </c>
      <c r="P29" s="54">
        <v>1.40</v>
      </c>
      <c r="Q29" s="54">
        <v>13.57</v>
      </c>
      <c r="R29" s="43"/>
      <c r="S29" s="43"/>
      <c r="T29" s="43"/>
      <c r="U29" s="43"/>
    </row>
    <row r="30" spans="1:21" s="11" customFormat="1" ht="15">
      <c r="A30" s="53" t="s">
        <v>659</v>
      </c>
      <c r="B30" s="54">
        <v>19.84</v>
      </c>
      <c r="C30" s="54">
        <v>18.32</v>
      </c>
      <c r="D30" s="54">
        <v>27.31</v>
      </c>
      <c r="E30" s="54">
        <v>3.37</v>
      </c>
      <c r="F30" s="54">
        <v>1.24</v>
      </c>
      <c r="G30" s="54">
        <v>82.51</v>
      </c>
      <c r="H30" s="54">
        <v>21.87</v>
      </c>
      <c r="I30" s="54">
        <v>1.54</v>
      </c>
      <c r="J30" s="54">
        <v>0.16</v>
      </c>
      <c r="K30" s="54">
        <v>345.19</v>
      </c>
      <c r="L30" s="54">
        <v>22.80</v>
      </c>
      <c r="M30" s="54">
        <v>98.84</v>
      </c>
      <c r="N30" s="54">
        <v>9.40</v>
      </c>
      <c r="O30" s="54">
        <v>0</v>
      </c>
      <c r="P30" s="54">
        <v>1.23</v>
      </c>
      <c r="Q30" s="54">
        <v>14.11</v>
      </c>
      <c r="R30" s="43"/>
      <c r="S30" s="43"/>
      <c r="T30" s="43"/>
      <c r="U30" s="43"/>
    </row>
    <row r="31" spans="1:21" s="11" customFormat="1" ht="15">
      <c r="A31" s="53" t="s">
        <v>660</v>
      </c>
      <c r="B31" s="54">
        <v>19.55</v>
      </c>
      <c r="C31" s="54">
        <v>20.85</v>
      </c>
      <c r="D31" s="54">
        <v>27.98</v>
      </c>
      <c r="E31" s="54">
        <v>3.03</v>
      </c>
      <c r="F31" s="54">
        <v>4.75</v>
      </c>
      <c r="G31" s="54">
        <v>82.51</v>
      </c>
      <c r="H31" s="54">
        <v>20</v>
      </c>
      <c r="I31" s="54">
        <v>1.53</v>
      </c>
      <c r="J31" s="54">
        <v>0.48</v>
      </c>
      <c r="K31" s="54">
        <v>338.99</v>
      </c>
      <c r="L31" s="54">
        <v>22.63</v>
      </c>
      <c r="M31" s="54">
        <v>98.85</v>
      </c>
      <c r="N31" s="54">
        <v>9.5</v>
      </c>
      <c r="O31" s="54">
        <v>0</v>
      </c>
      <c r="P31" s="54">
        <v>1.21</v>
      </c>
      <c r="Q31" s="54">
        <v>14.76</v>
      </c>
      <c r="R31" s="43"/>
      <c r="S31" s="43"/>
      <c r="T31" s="43"/>
      <c r="U31" s="43"/>
    </row>
    <row r="32" spans="1:21" s="11" customFormat="1" ht="15">
      <c r="A32" s="53" t="s">
        <v>661</v>
      </c>
      <c r="B32" s="54">
        <v>23</v>
      </c>
      <c r="C32" s="54">
        <v>24.14</v>
      </c>
      <c r="D32" s="54">
        <v>29.22</v>
      </c>
      <c r="E32" s="54">
        <v>3.29</v>
      </c>
      <c r="F32" s="54">
        <v>4.70</v>
      </c>
      <c r="G32" s="54">
        <v>81.37</v>
      </c>
      <c r="H32" s="54">
        <v>17.89</v>
      </c>
      <c r="I32" s="54">
        <v>1.55</v>
      </c>
      <c r="J32" s="54">
        <v>0.28000000000000003</v>
      </c>
      <c r="K32" s="54">
        <v>348.70</v>
      </c>
      <c r="L32" s="54">
        <v>22.35</v>
      </c>
      <c r="M32" s="54">
        <v>98.85</v>
      </c>
      <c r="N32" s="54">
        <v>9.5</v>
      </c>
      <c r="O32" s="54">
        <v>0</v>
      </c>
      <c r="P32" s="54">
        <v>1.1399999999999999</v>
      </c>
      <c r="Q32" s="54">
        <v>15.30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4.9199999999999999</v>
      </c>
      <c r="C34" s="28">
        <f t="shared" si="0"/>
        <v>7.6299999999999999</v>
      </c>
      <c r="D34" s="28">
        <f t="shared" si="0"/>
        <v>12.92</v>
      </c>
      <c r="E34" s="28">
        <f t="shared" si="0"/>
        <v>1.3400000000000001</v>
      </c>
      <c r="F34" s="28">
        <f t="shared" si="0"/>
        <v>0.91000000000000003</v>
      </c>
      <c r="G34" s="28">
        <f t="shared" si="0"/>
        <v>21.5</v>
      </c>
      <c r="H34" s="28">
        <f t="shared" si="0"/>
        <v>7.21</v>
      </c>
      <c r="I34" s="28">
        <f t="shared" si="0"/>
        <v>1.5</v>
      </c>
      <c r="J34" s="28">
        <f t="shared" si="0"/>
        <v>0.050000000000000003</v>
      </c>
      <c r="K34" s="28">
        <f t="shared" si="0"/>
        <v>166.25</v>
      </c>
      <c r="L34" s="28">
        <f t="shared" si="0"/>
        <v>21.07</v>
      </c>
      <c r="M34" s="28">
        <f t="shared" si="0"/>
        <v>76.280000000000001</v>
      </c>
      <c r="N34" s="28">
        <f t="shared" si="0"/>
        <v>9.0999999999999996</v>
      </c>
      <c r="O34" s="28">
        <f t="shared" si="0"/>
        <v>0</v>
      </c>
      <c r="P34" s="28">
        <f t="shared" si="0"/>
        <v>0.39000000000000001</v>
      </c>
      <c r="Q34" s="28">
        <f t="shared" si="0"/>
        <v>12.67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23</v>
      </c>
      <c r="C35" s="29">
        <f t="shared" si="1"/>
        <v>72.480000000000004</v>
      </c>
      <c r="D35" s="29">
        <f t="shared" si="1"/>
        <v>57.789999999999999</v>
      </c>
      <c r="E35" s="29">
        <f t="shared" si="1"/>
        <v>4.7699999999999996</v>
      </c>
      <c r="F35" s="29">
        <f t="shared" si="1"/>
        <v>35.450000000000003</v>
      </c>
      <c r="G35" s="29">
        <f t="shared" si="1"/>
        <v>102.03</v>
      </c>
      <c r="H35" s="29">
        <f t="shared" si="1"/>
        <v>28.18</v>
      </c>
      <c r="I35" s="29">
        <f t="shared" si="1"/>
        <v>1.6000000000000001</v>
      </c>
      <c r="J35" s="29">
        <f t="shared" si="1"/>
        <v>1.1799999999999999</v>
      </c>
      <c r="K35" s="29">
        <f t="shared" si="1"/>
        <v>359.41000000000003</v>
      </c>
      <c r="L35" s="29">
        <f t="shared" si="1"/>
        <v>30.960000000000001</v>
      </c>
      <c r="M35" s="29">
        <f t="shared" si="1"/>
        <v>98.879999999999995</v>
      </c>
      <c r="N35" s="29">
        <f t="shared" si="1"/>
        <v>803.60000000000002</v>
      </c>
      <c r="O35" s="29">
        <f t="shared" si="1"/>
        <v>0</v>
      </c>
      <c r="P35" s="29">
        <f t="shared" si="1"/>
        <v>1.3999999999999999</v>
      </c>
      <c r="Q35" s="29">
        <f t="shared" si="1"/>
        <v>16.280000000000001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11.897499999999999</v>
      </c>
      <c r="C36" s="28">
        <f t="shared" si="2"/>
        <v>23.034583333333334</v>
      </c>
      <c r="D36" s="28">
        <f t="shared" si="2"/>
        <v>26.673749999999998</v>
      </c>
      <c r="E36" s="28">
        <f t="shared" si="2"/>
        <v>2.429583333333333</v>
      </c>
      <c r="F36" s="28">
        <f t="shared" si="2"/>
        <v>6.8354166666666663</v>
      </c>
      <c r="G36" s="28">
        <f t="shared" si="2"/>
        <v>65.683749999999989</v>
      </c>
      <c r="H36" s="28">
        <f t="shared" si="2"/>
        <v>17.266666666666666</v>
      </c>
      <c r="I36" s="28">
        <f t="shared" si="2"/>
        <v>1.5391666666666666</v>
      </c>
      <c r="J36" s="28">
        <f t="shared" si="2"/>
        <v>0.40875</v>
      </c>
      <c r="K36" s="28">
        <f t="shared" si="2"/>
        <v>290.60874999999999</v>
      </c>
      <c r="L36" s="28">
        <f t="shared" si="2"/>
        <v>24.555416666666662</v>
      </c>
      <c r="M36" s="28">
        <f t="shared" si="2"/>
        <v>92.884166666666658</v>
      </c>
      <c r="N36" s="28">
        <f t="shared" si="2"/>
        <v>149.88333333333335</v>
      </c>
      <c r="O36" s="28">
        <f t="shared" si="2"/>
        <v>0</v>
      </c>
      <c r="P36" s="28">
        <f t="shared" si="2"/>
        <v>0.86833333333333329</v>
      </c>
      <c r="Q36" s="28">
        <f t="shared" si="2"/>
        <v>13.98625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5.8064478777064492</v>
      </c>
      <c r="C37" s="28">
        <f t="shared" si="3" ref="C37:Q37">STDEV(C9:C32)</f>
        <v>15.881727531476479</v>
      </c>
      <c r="D37" s="28">
        <f t="shared" si="3"/>
        <v>11.514412825558736</v>
      </c>
      <c r="E37" s="28">
        <f t="shared" si="3"/>
        <v>0.77177648919577946</v>
      </c>
      <c r="F37" s="28">
        <f t="shared" si="3"/>
        <v>8.7358999333169791</v>
      </c>
      <c r="G37" s="28">
        <f t="shared" si="3"/>
        <v>28.867554046549142</v>
      </c>
      <c r="H37" s="28">
        <f t="shared" si="3"/>
        <v>6.997198611287029</v>
      </c>
      <c r="I37" s="28">
        <f t="shared" si="3"/>
        <v>0.024122273068079954</v>
      </c>
      <c r="J37" s="28">
        <f t="shared" si="3"/>
        <v>0.3100815110229258</v>
      </c>
      <c r="K37" s="28">
        <f t="shared" si="3"/>
        <v>72.157174780354495</v>
      </c>
      <c r="L37" s="28">
        <f t="shared" si="3"/>
        <v>3.1645701393185837</v>
      </c>
      <c r="M37" s="28">
        <f t="shared" si="3"/>
        <v>8.159395713274181</v>
      </c>
      <c r="N37" s="28">
        <f t="shared" si="3"/>
        <v>210.46129597018373</v>
      </c>
      <c r="O37" s="28">
        <f t="shared" si="3"/>
        <v>0</v>
      </c>
      <c r="P37" s="28">
        <f t="shared" si="3"/>
        <v>0.33277053938721463</v>
      </c>
      <c r="Q37" s="28">
        <f t="shared" si="3"/>
        <v>0.77142337386102755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01bde7a-5846-4d7b-8575-228645c4fbec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54" sqref="G54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26-09-2023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51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61"/>
      <c r="B8" s="62" t="s">
        <v>22</v>
      </c>
      <c r="C8" s="62" t="s">
        <v>22</v>
      </c>
      <c r="D8" s="29" t="s">
        <v>61</v>
      </c>
      <c r="E8" s="62" t="s">
        <v>22</v>
      </c>
      <c r="F8" s="62" t="s">
        <v>22</v>
      </c>
      <c r="G8" s="62" t="s">
        <v>23</v>
      </c>
      <c r="H8" s="62" t="s">
        <v>22</v>
      </c>
      <c r="I8" s="62" t="s">
        <v>22</v>
      </c>
      <c r="J8" s="62" t="s">
        <v>24</v>
      </c>
      <c r="K8" s="62" t="s">
        <v>25</v>
      </c>
      <c r="L8" s="61" t="s">
        <v>27</v>
      </c>
      <c r="M8" s="62" t="s">
        <v>26</v>
      </c>
      <c r="N8" s="62" t="s">
        <v>28</v>
      </c>
      <c r="O8" s="61" t="s">
        <v>29</v>
      </c>
      <c r="P8" s="62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662</v>
      </c>
      <c r="B9" s="54">
        <v>17.89</v>
      </c>
      <c r="C9" s="54">
        <v>14.13</v>
      </c>
      <c r="D9" s="54">
        <v>23.44</v>
      </c>
      <c r="E9" s="54">
        <v>1.84</v>
      </c>
      <c r="F9" s="54">
        <v>1.19</v>
      </c>
      <c r="G9" s="54">
        <v>76.77</v>
      </c>
      <c r="H9" s="54">
        <v>17.52</v>
      </c>
      <c r="I9" s="54">
        <v>1.56</v>
      </c>
      <c r="J9" s="54">
        <v>0.09</v>
      </c>
      <c r="K9" s="54">
        <v>161.68</v>
      </c>
      <c r="L9" s="54">
        <v>21.97</v>
      </c>
      <c r="M9" s="54">
        <v>98.85</v>
      </c>
      <c r="N9" s="54">
        <v>9.3000000000000007</v>
      </c>
      <c r="O9" s="54">
        <v>0</v>
      </c>
      <c r="P9" s="54">
        <v>1.1299999999999999</v>
      </c>
      <c r="Q9" s="54">
        <v>15.21</v>
      </c>
      <c r="R9" s="43"/>
      <c r="S9" s="43"/>
      <c r="T9" s="43"/>
      <c r="U9" s="43"/>
    </row>
    <row r="10" spans="1:21" s="11" customFormat="1" ht="15">
      <c r="A10" s="53" t="s">
        <v>663</v>
      </c>
      <c r="B10" s="54">
        <v>16.12</v>
      </c>
      <c r="C10" s="54">
        <v>15.47</v>
      </c>
      <c r="D10" s="54">
        <v>20.48</v>
      </c>
      <c r="E10" s="54">
        <v>1.87</v>
      </c>
      <c r="F10" s="54">
        <v>3.14</v>
      </c>
      <c r="G10" s="54">
        <v>72.64</v>
      </c>
      <c r="H10" s="54">
        <v>15.81</v>
      </c>
      <c r="I10" s="54">
        <v>1.55</v>
      </c>
      <c r="J10" s="54">
        <v>0.28000000000000003</v>
      </c>
      <c r="K10" s="54">
        <v>338.12</v>
      </c>
      <c r="L10" s="54">
        <v>22.09</v>
      </c>
      <c r="M10" s="54">
        <v>98.85</v>
      </c>
      <c r="N10" s="54">
        <v>9.40</v>
      </c>
      <c r="O10" s="54">
        <v>0</v>
      </c>
      <c r="P10" s="54">
        <v>0.99</v>
      </c>
      <c r="Q10" s="54">
        <v>15.16</v>
      </c>
      <c r="R10" s="43"/>
      <c r="S10" s="43"/>
      <c r="T10" s="43"/>
      <c r="U10" s="43"/>
    </row>
    <row r="11" spans="1:21" s="11" customFormat="1" ht="15">
      <c r="A11" s="53" t="s">
        <v>664</v>
      </c>
      <c r="B11" s="54">
        <v>12.43</v>
      </c>
      <c r="C11" s="54">
        <v>17.64</v>
      </c>
      <c r="D11" s="54">
        <v>19.38</v>
      </c>
      <c r="E11" s="54">
        <v>1.52</v>
      </c>
      <c r="F11" s="54">
        <v>2.81</v>
      </c>
      <c r="G11" s="54">
        <v>64.540000000000006</v>
      </c>
      <c r="H11" s="54">
        <v>15.24</v>
      </c>
      <c r="I11" s="54">
        <v>1.61</v>
      </c>
      <c r="J11" s="54">
        <v>0.08</v>
      </c>
      <c r="K11" s="54">
        <v>284.5</v>
      </c>
      <c r="L11" s="54">
        <v>22.10</v>
      </c>
      <c r="M11" s="54">
        <v>98.88</v>
      </c>
      <c r="N11" s="54">
        <v>9.40</v>
      </c>
      <c r="O11" s="54">
        <v>0</v>
      </c>
      <c r="P11" s="54">
        <v>0.88</v>
      </c>
      <c r="Q11" s="54">
        <v>15.47</v>
      </c>
      <c r="R11" s="43"/>
      <c r="S11" s="43"/>
      <c r="T11" s="43"/>
      <c r="U11" s="43"/>
    </row>
    <row r="12" spans="1:21" s="11" customFormat="1" ht="15">
      <c r="A12" s="53" t="s">
        <v>665</v>
      </c>
      <c r="B12" s="54">
        <v>11.91</v>
      </c>
      <c r="C12" s="54">
        <v>12.46</v>
      </c>
      <c r="D12" s="54">
        <v>17.68</v>
      </c>
      <c r="E12" s="54">
        <v>1.55</v>
      </c>
      <c r="F12" s="54">
        <v>0.86</v>
      </c>
      <c r="G12" s="54">
        <v>60.58</v>
      </c>
      <c r="H12" s="54">
        <v>14.71</v>
      </c>
      <c r="I12" s="54">
        <v>1.55</v>
      </c>
      <c r="J12" s="54">
        <v>0.13</v>
      </c>
      <c r="K12" s="54">
        <v>213.45</v>
      </c>
      <c r="L12" s="54">
        <v>21.79</v>
      </c>
      <c r="M12" s="54">
        <v>98.88</v>
      </c>
      <c r="N12" s="54">
        <v>9.1999999999999993</v>
      </c>
      <c r="O12" s="54">
        <v>0</v>
      </c>
      <c r="P12" s="54">
        <v>0.82</v>
      </c>
      <c r="Q12" s="54">
        <v>15.18</v>
      </c>
      <c r="R12" s="43"/>
      <c r="S12" s="43"/>
      <c r="T12" s="43"/>
      <c r="U12" s="43"/>
    </row>
    <row r="13" spans="1:21" s="11" customFormat="1" ht="15">
      <c r="A13" s="53" t="s">
        <v>666</v>
      </c>
      <c r="B13" s="54">
        <v>13.48</v>
      </c>
      <c r="C13" s="54">
        <v>19.34</v>
      </c>
      <c r="D13" s="54">
        <v>22.78</v>
      </c>
      <c r="E13" s="54">
        <v>1.31</v>
      </c>
      <c r="F13" s="54">
        <v>1.74</v>
      </c>
      <c r="G13" s="54">
        <v>53.24</v>
      </c>
      <c r="H13" s="54">
        <v>14.71</v>
      </c>
      <c r="I13" s="54">
        <v>1.52</v>
      </c>
      <c r="J13" s="54">
        <v>0.06</v>
      </c>
      <c r="K13" s="54">
        <v>301.45</v>
      </c>
      <c r="L13" s="54">
        <v>21.92</v>
      </c>
      <c r="M13" s="54">
        <v>98.89</v>
      </c>
      <c r="N13" s="54">
        <v>9.3000000000000007</v>
      </c>
      <c r="O13" s="54">
        <v>0</v>
      </c>
      <c r="P13" s="54">
        <v>0.75</v>
      </c>
      <c r="Q13" s="54">
        <v>14.98</v>
      </c>
      <c r="R13" s="43"/>
      <c r="S13" s="43"/>
      <c r="T13" s="43"/>
      <c r="U13" s="43"/>
    </row>
    <row r="14" spans="1:21" s="11" customFormat="1" ht="15">
      <c r="A14" s="53" t="s">
        <v>667</v>
      </c>
      <c r="B14" s="54">
        <v>11.31</v>
      </c>
      <c r="C14" s="54">
        <v>16.920000000000002</v>
      </c>
      <c r="D14" s="54">
        <v>17.63</v>
      </c>
      <c r="E14" s="54">
        <v>1.24</v>
      </c>
      <c r="F14" s="54">
        <v>1.80</v>
      </c>
      <c r="G14" s="54">
        <v>47.76</v>
      </c>
      <c r="H14" s="54">
        <v>14.81</v>
      </c>
      <c r="I14" s="54">
        <v>1.60</v>
      </c>
      <c r="J14" s="54">
        <v>0.16</v>
      </c>
      <c r="K14" s="54">
        <v>343.43</v>
      </c>
      <c r="L14" s="54">
        <v>21.97</v>
      </c>
      <c r="M14" s="54">
        <v>98.90</v>
      </c>
      <c r="N14" s="54">
        <v>17.100000000000001</v>
      </c>
      <c r="O14" s="54">
        <v>0</v>
      </c>
      <c r="P14" s="54">
        <v>0.71</v>
      </c>
      <c r="Q14" s="54">
        <v>15.94</v>
      </c>
      <c r="R14" s="43"/>
      <c r="S14" s="43"/>
      <c r="T14" s="43"/>
      <c r="U14" s="43"/>
    </row>
    <row r="15" spans="1:21" s="11" customFormat="1" ht="15">
      <c r="A15" s="53" t="s">
        <v>668</v>
      </c>
      <c r="B15" s="54">
        <v>15.97</v>
      </c>
      <c r="C15" s="54">
        <v>12.06</v>
      </c>
      <c r="D15" s="54">
        <v>20.43</v>
      </c>
      <c r="E15" s="54">
        <v>1.46</v>
      </c>
      <c r="F15" s="54">
        <v>0.81</v>
      </c>
      <c r="G15" s="54">
        <v>53.88</v>
      </c>
      <c r="H15" s="54">
        <v>16.04</v>
      </c>
      <c r="I15" s="54">
        <v>1.57</v>
      </c>
      <c r="J15" s="54">
        <v>0.52</v>
      </c>
      <c r="K15" s="54">
        <v>339.84</v>
      </c>
      <c r="L15" s="54">
        <v>24.29</v>
      </c>
      <c r="M15" s="54">
        <v>98.87</v>
      </c>
      <c r="N15" s="54">
        <v>131.5</v>
      </c>
      <c r="O15" s="54">
        <v>0</v>
      </c>
      <c r="P15" s="54">
        <v>0.75</v>
      </c>
      <c r="Q15" s="54">
        <v>15.32</v>
      </c>
      <c r="R15" s="43"/>
      <c r="S15" s="43"/>
      <c r="T15" s="43"/>
      <c r="U15" s="43"/>
    </row>
    <row r="16" spans="1:21" s="11" customFormat="1" ht="15">
      <c r="A16" s="53" t="s">
        <v>669</v>
      </c>
      <c r="B16" s="54">
        <v>23.54</v>
      </c>
      <c r="C16" s="54">
        <v>23.59</v>
      </c>
      <c r="D16" s="54">
        <v>33.19</v>
      </c>
      <c r="E16" s="54">
        <v>1.0900000000000001</v>
      </c>
      <c r="F16" s="54">
        <v>2.19</v>
      </c>
      <c r="G16" s="54">
        <v>72.98</v>
      </c>
      <c r="H16" s="54">
        <v>17.66</v>
      </c>
      <c r="I16" s="54">
        <v>1.53</v>
      </c>
      <c r="J16" s="54">
        <v>0.44</v>
      </c>
      <c r="K16" s="54">
        <v>340.89</v>
      </c>
      <c r="L16" s="54">
        <v>28.55</v>
      </c>
      <c r="M16" s="54">
        <v>89.80</v>
      </c>
      <c r="N16" s="54">
        <v>332.10</v>
      </c>
      <c r="O16" s="54">
        <v>0</v>
      </c>
      <c r="P16" s="54">
        <v>1.02</v>
      </c>
      <c r="Q16" s="54">
        <v>15.5</v>
      </c>
      <c r="R16" s="43"/>
      <c r="S16" s="43"/>
      <c r="T16" s="43"/>
      <c r="U16" s="43"/>
    </row>
    <row r="17" spans="1:21" s="11" customFormat="1" ht="15">
      <c r="A17" s="53" t="s">
        <v>670</v>
      </c>
      <c r="B17" s="54">
        <v>24.95</v>
      </c>
      <c r="C17" s="54">
        <v>33.85</v>
      </c>
      <c r="D17" s="54">
        <v>38.369999999999997</v>
      </c>
      <c r="E17" s="54">
        <v>2.56</v>
      </c>
      <c r="F17" s="54">
        <v>4.34</v>
      </c>
      <c r="G17" s="54">
        <v>106.81</v>
      </c>
      <c r="H17" s="54">
        <v>30.91</v>
      </c>
      <c r="I17" s="54">
        <v>1.53</v>
      </c>
      <c r="J17" s="54">
        <v>0.47</v>
      </c>
      <c r="K17" s="54">
        <v>354.62</v>
      </c>
      <c r="L17" s="54">
        <v>29.15</v>
      </c>
      <c r="M17" s="54">
        <v>84.64</v>
      </c>
      <c r="N17" s="54">
        <v>383</v>
      </c>
      <c r="O17" s="54">
        <v>0</v>
      </c>
      <c r="P17" s="54">
        <v>1.1299999999999999</v>
      </c>
      <c r="Q17" s="54">
        <v>16.149999999999999</v>
      </c>
      <c r="R17" s="43"/>
      <c r="S17" s="43"/>
      <c r="T17" s="43"/>
      <c r="U17" s="43"/>
    </row>
    <row r="18" spans="1:21" s="11" customFormat="1" ht="15">
      <c r="A18" s="53" t="s">
        <v>671</v>
      </c>
      <c r="B18" s="54">
        <v>18.47</v>
      </c>
      <c r="C18" s="54">
        <v>20.49</v>
      </c>
      <c r="D18" s="54">
        <v>25.95</v>
      </c>
      <c r="E18" s="54">
        <v>3.21</v>
      </c>
      <c r="F18" s="54">
        <v>5.52</v>
      </c>
      <c r="G18" s="54">
        <v>117.83</v>
      </c>
      <c r="H18" s="54">
        <v>41.15</v>
      </c>
      <c r="I18" s="54">
        <v>1.56</v>
      </c>
      <c r="J18" s="54">
        <v>0.77</v>
      </c>
      <c r="K18" s="54">
        <v>150.29</v>
      </c>
      <c r="L18" s="54">
        <v>27.17</v>
      </c>
      <c r="M18" s="54">
        <v>84.12</v>
      </c>
      <c r="N18" s="54">
        <v>615.29999999999995</v>
      </c>
      <c r="O18" s="54">
        <v>0</v>
      </c>
      <c r="P18" s="54">
        <v>0.99</v>
      </c>
      <c r="Q18" s="54">
        <v>16.010000000000002</v>
      </c>
      <c r="R18" s="43"/>
      <c r="S18" s="43"/>
      <c r="T18" s="43"/>
      <c r="U18" s="43"/>
    </row>
    <row r="19" spans="1:21" s="11" customFormat="1" ht="15">
      <c r="A19" s="53" t="s">
        <v>672</v>
      </c>
      <c r="B19" s="54">
        <v>12.02</v>
      </c>
      <c r="C19" s="54">
        <v>26.84</v>
      </c>
      <c r="D19" s="54">
        <v>22.94</v>
      </c>
      <c r="E19" s="54">
        <v>4.22</v>
      </c>
      <c r="F19" s="54">
        <v>17.559999999999999</v>
      </c>
      <c r="G19" s="54">
        <v>117.83</v>
      </c>
      <c r="H19" s="54">
        <v>41.15</v>
      </c>
      <c r="I19" s="54">
        <v>1.53</v>
      </c>
      <c r="J19" s="54">
        <v>1.1399999999999999</v>
      </c>
      <c r="K19" s="54">
        <v>338.46</v>
      </c>
      <c r="L19" s="54">
        <v>28.27</v>
      </c>
      <c r="M19" s="54">
        <v>79.099999999999994</v>
      </c>
      <c r="N19" s="54">
        <v>636.20000000000005</v>
      </c>
      <c r="O19" s="54">
        <v>0</v>
      </c>
      <c r="P19" s="54">
        <v>0.94</v>
      </c>
      <c r="Q19" s="54">
        <v>15.17</v>
      </c>
      <c r="R19" s="43"/>
      <c r="S19" s="43"/>
      <c r="T19" s="43"/>
      <c r="U19" s="43"/>
    </row>
    <row r="20" spans="1:21" s="11" customFormat="1" ht="15">
      <c r="A20" s="53" t="s">
        <v>673</v>
      </c>
      <c r="B20" s="54">
        <v>14.28</v>
      </c>
      <c r="C20" s="54">
        <v>55.96</v>
      </c>
      <c r="D20" s="54">
        <v>43.43</v>
      </c>
      <c r="E20" s="54">
        <v>3.94</v>
      </c>
      <c r="F20" s="54">
        <v>5.41</v>
      </c>
      <c r="G20" s="54">
        <v>96.01</v>
      </c>
      <c r="H20" s="54">
        <v>37.58</v>
      </c>
      <c r="I20" s="54">
        <v>1.55</v>
      </c>
      <c r="J20" s="54">
        <v>1.40</v>
      </c>
      <c r="K20" s="54">
        <v>336.87</v>
      </c>
      <c r="L20" s="54">
        <v>31.72</v>
      </c>
      <c r="M20" s="54">
        <v>78.66</v>
      </c>
      <c r="N20" s="54">
        <v>889.10</v>
      </c>
      <c r="O20" s="54">
        <v>0</v>
      </c>
      <c r="P20" s="54">
        <v>1.31</v>
      </c>
      <c r="Q20" s="54">
        <v>13.56</v>
      </c>
      <c r="R20" s="43"/>
      <c r="S20" s="43"/>
      <c r="T20" s="43"/>
      <c r="U20" s="43"/>
    </row>
    <row r="21" spans="1:21" s="11" customFormat="1" ht="15">
      <c r="A21" s="53" t="s">
        <v>674</v>
      </c>
      <c r="B21" s="54">
        <v>10.09</v>
      </c>
      <c r="C21" s="54">
        <v>38.729999999999997</v>
      </c>
      <c r="D21" s="54">
        <v>30.66</v>
      </c>
      <c r="E21" s="54">
        <v>3.40</v>
      </c>
      <c r="F21" s="54">
        <v>5.38</v>
      </c>
      <c r="G21" s="54">
        <v>74.12</v>
      </c>
      <c r="H21" s="54">
        <v>29.87</v>
      </c>
      <c r="I21" s="54">
        <v>1.5</v>
      </c>
      <c r="J21" s="54">
        <v>2.02</v>
      </c>
      <c r="K21" s="54">
        <v>335.01</v>
      </c>
      <c r="L21" s="54">
        <v>32.19</v>
      </c>
      <c r="M21" s="54">
        <v>64</v>
      </c>
      <c r="N21" s="54">
        <v>873.70</v>
      </c>
      <c r="O21" s="54">
        <v>0</v>
      </c>
      <c r="P21" s="54">
        <v>1.1399999999999999</v>
      </c>
      <c r="Q21" s="54">
        <v>11.81</v>
      </c>
      <c r="R21" s="43"/>
      <c r="S21" s="43"/>
      <c r="T21" s="43"/>
      <c r="U21" s="43"/>
    </row>
    <row r="22" spans="1:21" s="11" customFormat="1" ht="15">
      <c r="A22" s="53" t="s">
        <v>675</v>
      </c>
      <c r="B22" s="54">
        <v>6.56</v>
      </c>
      <c r="C22" s="54">
        <v>30.71</v>
      </c>
      <c r="D22" s="54">
        <v>22.07</v>
      </c>
      <c r="E22" s="54">
        <v>2.77</v>
      </c>
      <c r="F22" s="54">
        <v>5.39</v>
      </c>
      <c r="G22" s="54">
        <v>88.91</v>
      </c>
      <c r="H22" s="54">
        <v>25.61</v>
      </c>
      <c r="I22" s="54">
        <v>1.59</v>
      </c>
      <c r="J22" s="54">
        <v>1.73</v>
      </c>
      <c r="K22" s="54">
        <v>337.64</v>
      </c>
      <c r="L22" s="54">
        <v>31.74</v>
      </c>
      <c r="M22" s="54">
        <v>61.63</v>
      </c>
      <c r="N22" s="54">
        <v>636.5</v>
      </c>
      <c r="O22" s="54">
        <v>0</v>
      </c>
      <c r="P22" s="54">
        <v>0.83</v>
      </c>
      <c r="Q22" s="54">
        <v>11.07</v>
      </c>
      <c r="R22" s="43"/>
      <c r="S22" s="43"/>
      <c r="T22" s="43"/>
      <c r="U22" s="43"/>
    </row>
    <row r="23" spans="1:21" s="11" customFormat="1" ht="15">
      <c r="A23" s="53" t="s">
        <v>676</v>
      </c>
      <c r="B23" s="54">
        <v>8.64</v>
      </c>
      <c r="C23" s="54">
        <v>50.69</v>
      </c>
      <c r="D23" s="54">
        <v>34.659999999999997</v>
      </c>
      <c r="E23" s="54">
        <v>2.90</v>
      </c>
      <c r="F23" s="54">
        <v>20.60</v>
      </c>
      <c r="G23" s="54">
        <v>88.91</v>
      </c>
      <c r="H23" s="54">
        <v>27.27</v>
      </c>
      <c r="I23" s="54">
        <v>1.51</v>
      </c>
      <c r="J23" s="54">
        <v>1.33</v>
      </c>
      <c r="K23" s="54">
        <v>340.88</v>
      </c>
      <c r="L23" s="54">
        <v>31.51</v>
      </c>
      <c r="M23" s="54">
        <v>60.88</v>
      </c>
      <c r="N23" s="54">
        <v>389.80</v>
      </c>
      <c r="O23" s="54">
        <v>0</v>
      </c>
      <c r="P23" s="54">
        <v>0.82</v>
      </c>
      <c r="Q23" s="54">
        <v>12.04</v>
      </c>
      <c r="R23" s="43"/>
      <c r="S23" s="43"/>
      <c r="T23" s="43"/>
      <c r="U23" s="43"/>
    </row>
    <row r="24" spans="1:21" s="11" customFormat="1" ht="15">
      <c r="A24" s="53" t="s">
        <v>677</v>
      </c>
      <c r="B24" s="54">
        <v>4.55</v>
      </c>
      <c r="C24" s="54">
        <v>48.63</v>
      </c>
      <c r="D24" s="54">
        <v>31.78</v>
      </c>
      <c r="E24" s="54">
        <v>5.37</v>
      </c>
      <c r="F24" s="54">
        <v>14.77</v>
      </c>
      <c r="G24" s="54">
        <v>168.76</v>
      </c>
      <c r="H24" s="54">
        <v>27.27</v>
      </c>
      <c r="I24" s="54">
        <v>1.5</v>
      </c>
      <c r="J24" s="54">
        <v>1.23</v>
      </c>
      <c r="K24" s="54">
        <v>110.36</v>
      </c>
      <c r="L24" s="54">
        <v>29.33</v>
      </c>
      <c r="M24" s="54">
        <v>76.84</v>
      </c>
      <c r="N24" s="54">
        <v>297</v>
      </c>
      <c r="O24" s="54">
        <v>0</v>
      </c>
      <c r="P24" s="54">
        <v>0.80</v>
      </c>
      <c r="Q24" s="54">
        <v>12.56</v>
      </c>
      <c r="R24" s="43"/>
      <c r="S24" s="43"/>
      <c r="T24" s="43"/>
      <c r="U24" s="43"/>
    </row>
    <row r="25" spans="1:21" s="11" customFormat="1" ht="15">
      <c r="A25" s="53" t="s">
        <v>678</v>
      </c>
      <c r="B25" s="54">
        <v>2.84</v>
      </c>
      <c r="C25" s="54">
        <v>26.29</v>
      </c>
      <c r="D25" s="54">
        <v>18.079999999999998</v>
      </c>
      <c r="E25" s="54">
        <v>6.46</v>
      </c>
      <c r="F25" s="54">
        <v>7.97</v>
      </c>
      <c r="G25" s="54">
        <v>168.76</v>
      </c>
      <c r="H25" s="54">
        <v>26.91</v>
      </c>
      <c r="I25" s="54">
        <v>1.49</v>
      </c>
      <c r="J25" s="54">
        <v>1.47</v>
      </c>
      <c r="K25" s="54">
        <v>166.28</v>
      </c>
      <c r="L25" s="54">
        <v>26.09</v>
      </c>
      <c r="M25" s="54">
        <v>86.15</v>
      </c>
      <c r="N25" s="54">
        <v>58.70</v>
      </c>
      <c r="O25" s="54">
        <v>0</v>
      </c>
      <c r="P25" s="54">
        <v>0.5</v>
      </c>
      <c r="Q25" s="54">
        <v>13.41</v>
      </c>
      <c r="R25" s="43"/>
      <c r="S25" s="43"/>
      <c r="T25" s="43"/>
      <c r="U25" s="43"/>
    </row>
    <row r="26" spans="1:21" s="11" customFormat="1" ht="15">
      <c r="A26" s="53" t="s">
        <v>679</v>
      </c>
      <c r="B26" s="54">
        <v>3.77</v>
      </c>
      <c r="C26" s="54">
        <v>19</v>
      </c>
      <c r="D26" s="54">
        <v>14.80</v>
      </c>
      <c r="E26" s="54">
        <v>4.51</v>
      </c>
      <c r="F26" s="54">
        <v>7.67</v>
      </c>
      <c r="G26" s="54">
        <v>25.68</v>
      </c>
      <c r="H26" s="54">
        <v>25.82</v>
      </c>
      <c r="I26" s="54">
        <v>1.58</v>
      </c>
      <c r="J26" s="54">
        <v>0.80</v>
      </c>
      <c r="K26" s="54">
        <v>156.94</v>
      </c>
      <c r="L26" s="54">
        <v>23.87</v>
      </c>
      <c r="M26" s="54">
        <v>90.85</v>
      </c>
      <c r="N26" s="54">
        <v>16.70</v>
      </c>
      <c r="O26" s="54">
        <v>0</v>
      </c>
      <c r="P26" s="54">
        <v>0.40</v>
      </c>
      <c r="Q26" s="54">
        <v>13.18</v>
      </c>
      <c r="R26" s="43"/>
      <c r="S26" s="43"/>
      <c r="T26" s="43"/>
      <c r="U26" s="43"/>
    </row>
    <row r="27" spans="1:21" s="11" customFormat="1" ht="15">
      <c r="A27" s="53" t="s">
        <v>680</v>
      </c>
      <c r="B27" s="54">
        <v>3.39</v>
      </c>
      <c r="C27" s="54">
        <v>13.67</v>
      </c>
      <c r="D27" s="54">
        <v>11.36</v>
      </c>
      <c r="E27" s="54">
        <v>3.89</v>
      </c>
      <c r="F27" s="54">
        <v>4.03</v>
      </c>
      <c r="G27" s="54">
        <v>5.78</v>
      </c>
      <c r="H27" s="54">
        <v>19.690000000000001</v>
      </c>
      <c r="I27" s="54">
        <v>1.58</v>
      </c>
      <c r="J27" s="54">
        <v>0.39</v>
      </c>
      <c r="K27" s="54">
        <v>290.56</v>
      </c>
      <c r="L27" s="54">
        <v>23.59</v>
      </c>
      <c r="M27" s="54">
        <v>94.04</v>
      </c>
      <c r="N27" s="54">
        <v>9.40</v>
      </c>
      <c r="O27" s="54">
        <v>0</v>
      </c>
      <c r="P27" s="54">
        <v>0.41</v>
      </c>
      <c r="Q27" s="54">
        <v>12.26</v>
      </c>
      <c r="R27" s="43"/>
      <c r="S27" s="43"/>
      <c r="T27" s="43"/>
      <c r="U27" s="43"/>
    </row>
    <row r="28" spans="1:21" s="11" customFormat="1" ht="15">
      <c r="A28" s="53" t="s">
        <v>681</v>
      </c>
      <c r="B28" s="54">
        <v>12.06</v>
      </c>
      <c r="C28" s="54">
        <v>38.78</v>
      </c>
      <c r="D28" s="54">
        <v>32.36</v>
      </c>
      <c r="E28" s="54">
        <v>4.63</v>
      </c>
      <c r="F28" s="54">
        <v>7.54</v>
      </c>
      <c r="G28" s="54">
        <v>143.76</v>
      </c>
      <c r="H28" s="54">
        <v>14.52</v>
      </c>
      <c r="I28" s="54">
        <v>1.53</v>
      </c>
      <c r="J28" s="54">
        <v>0.30</v>
      </c>
      <c r="K28" s="54">
        <v>341.92</v>
      </c>
      <c r="L28" s="54">
        <v>23.58</v>
      </c>
      <c r="M28" s="54">
        <v>96.10</v>
      </c>
      <c r="N28" s="54">
        <v>9.40</v>
      </c>
      <c r="O28" s="54">
        <v>0</v>
      </c>
      <c r="P28" s="54">
        <v>0.83</v>
      </c>
      <c r="Q28" s="54">
        <v>13.55</v>
      </c>
      <c r="R28" s="43"/>
      <c r="S28" s="43"/>
      <c r="T28" s="43"/>
      <c r="U28" s="43"/>
    </row>
    <row r="29" spans="1:21" s="11" customFormat="1" ht="15">
      <c r="A29" s="53" t="s">
        <v>682</v>
      </c>
      <c r="B29" s="54">
        <v>5.0199999999999996</v>
      </c>
      <c r="C29" s="54">
        <v>20.190000000000001</v>
      </c>
      <c r="D29" s="54">
        <v>15.47</v>
      </c>
      <c r="E29" s="54">
        <v>2.5499999999999998</v>
      </c>
      <c r="F29" s="54">
        <v>9.3800000000000008</v>
      </c>
      <c r="G29" s="54">
        <v>143.76</v>
      </c>
      <c r="H29" s="54">
        <v>13.20</v>
      </c>
      <c r="I29" s="54">
        <v>1.5</v>
      </c>
      <c r="J29" s="54">
        <v>0.92</v>
      </c>
      <c r="K29" s="54">
        <v>166.24</v>
      </c>
      <c r="L29" s="54">
        <v>23.42</v>
      </c>
      <c r="M29" s="54">
        <v>98.25</v>
      </c>
      <c r="N29" s="54">
        <v>9.5</v>
      </c>
      <c r="O29" s="54">
        <v>0</v>
      </c>
      <c r="P29" s="54">
        <v>0.48</v>
      </c>
      <c r="Q29" s="54">
        <v>13.48</v>
      </c>
      <c r="R29" s="43"/>
      <c r="S29" s="43"/>
      <c r="T29" s="43"/>
      <c r="U29" s="43"/>
    </row>
    <row r="30" spans="1:21" s="11" customFormat="1" ht="15">
      <c r="A30" s="53" t="s">
        <v>683</v>
      </c>
      <c r="B30" s="54">
        <v>4.68</v>
      </c>
      <c r="C30" s="54">
        <v>10.220000000000001</v>
      </c>
      <c r="D30" s="54">
        <v>10.66</v>
      </c>
      <c r="E30" s="54">
        <v>3.06</v>
      </c>
      <c r="F30" s="54">
        <v>3.46</v>
      </c>
      <c r="G30" s="54">
        <v>36.520000000000003</v>
      </c>
      <c r="H30" s="54">
        <v>12.60</v>
      </c>
      <c r="I30" s="54">
        <v>1.56</v>
      </c>
      <c r="J30" s="54">
        <v>0.28000000000000003</v>
      </c>
      <c r="K30" s="54">
        <v>184.03</v>
      </c>
      <c r="L30" s="54">
        <v>23.08</v>
      </c>
      <c r="M30" s="54">
        <v>98.83</v>
      </c>
      <c r="N30" s="54">
        <v>9.5</v>
      </c>
      <c r="O30" s="54">
        <v>0</v>
      </c>
      <c r="P30" s="54">
        <v>0.44</v>
      </c>
      <c r="Q30" s="54">
        <v>12.95</v>
      </c>
      <c r="R30" s="43"/>
      <c r="S30" s="43"/>
      <c r="T30" s="43"/>
      <c r="U30" s="43"/>
    </row>
    <row r="31" spans="1:21" s="11" customFormat="1" ht="15">
      <c r="A31" s="53" t="s">
        <v>684</v>
      </c>
      <c r="B31" s="54">
        <v>4.22</v>
      </c>
      <c r="C31" s="54">
        <v>12.88</v>
      </c>
      <c r="D31" s="54">
        <v>11.32</v>
      </c>
      <c r="E31" s="54">
        <v>3</v>
      </c>
      <c r="F31" s="54">
        <v>6.83</v>
      </c>
      <c r="G31" s="54">
        <v>17.149999999999999</v>
      </c>
      <c r="H31" s="54">
        <v>11.66</v>
      </c>
      <c r="I31" s="54">
        <v>1.54</v>
      </c>
      <c r="J31" s="54">
        <v>0.11</v>
      </c>
      <c r="K31" s="54">
        <v>350.84</v>
      </c>
      <c r="L31" s="54">
        <v>22.79</v>
      </c>
      <c r="M31" s="54">
        <v>98.83</v>
      </c>
      <c r="N31" s="54">
        <v>9.1999999999999993</v>
      </c>
      <c r="O31" s="54">
        <v>0</v>
      </c>
      <c r="P31" s="54">
        <v>0.42</v>
      </c>
      <c r="Q31" s="54">
        <v>14</v>
      </c>
      <c r="R31" s="43"/>
      <c r="S31" s="43"/>
      <c r="T31" s="43"/>
      <c r="U31" s="43"/>
    </row>
    <row r="32" spans="1:21" s="11" customFormat="1" ht="15">
      <c r="A32" s="53" t="s">
        <v>685</v>
      </c>
      <c r="B32" s="54">
        <v>5.93</v>
      </c>
      <c r="C32" s="54">
        <v>13.21</v>
      </c>
      <c r="D32" s="54">
        <v>13.25</v>
      </c>
      <c r="E32" s="54">
        <v>2.5499999999999998</v>
      </c>
      <c r="F32" s="54">
        <v>5.81</v>
      </c>
      <c r="G32" s="54">
        <v>34.75</v>
      </c>
      <c r="H32" s="54">
        <v>11.66</v>
      </c>
      <c r="I32" s="54">
        <v>1.55</v>
      </c>
      <c r="J32" s="54">
        <v>0.06</v>
      </c>
      <c r="K32" s="54">
        <v>336.96</v>
      </c>
      <c r="L32" s="54">
        <v>22.51</v>
      </c>
      <c r="M32" s="54">
        <v>98.83</v>
      </c>
      <c r="N32" s="54">
        <v>9.1999999999999993</v>
      </c>
      <c r="O32" s="54">
        <v>0</v>
      </c>
      <c r="P32" s="54">
        <v>0.42</v>
      </c>
      <c r="Q32" s="54">
        <v>14.14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2.8399999999999999</v>
      </c>
      <c r="C34" s="28">
        <f t="shared" si="0"/>
        <v>10.220000000000001</v>
      </c>
      <c r="D34" s="28">
        <f t="shared" si="0"/>
        <v>10.66</v>
      </c>
      <c r="E34" s="28">
        <f t="shared" si="0"/>
        <v>1.0900000000000001</v>
      </c>
      <c r="F34" s="28">
        <f t="shared" si="0"/>
        <v>0.81000000000000005</v>
      </c>
      <c r="G34" s="28">
        <f t="shared" si="0"/>
        <v>5.7800000000000002</v>
      </c>
      <c r="H34" s="28">
        <f t="shared" si="0"/>
        <v>11.66</v>
      </c>
      <c r="I34" s="28">
        <f t="shared" si="0"/>
        <v>1.49</v>
      </c>
      <c r="J34" s="28">
        <f t="shared" si="0"/>
        <v>0.059999999999999998</v>
      </c>
      <c r="K34" s="28">
        <f t="shared" si="0"/>
        <v>110.36</v>
      </c>
      <c r="L34" s="28">
        <f t="shared" si="0"/>
        <v>21.789999999999999</v>
      </c>
      <c r="M34" s="28">
        <f t="shared" si="0"/>
        <v>60.880000000000003</v>
      </c>
      <c r="N34" s="28">
        <f t="shared" si="0"/>
        <v>9.1999999999999993</v>
      </c>
      <c r="O34" s="28">
        <f t="shared" si="0"/>
        <v>0</v>
      </c>
      <c r="P34" s="28">
        <f t="shared" si="0"/>
        <v>0.40000000000000002</v>
      </c>
      <c r="Q34" s="28">
        <f t="shared" si="0"/>
        <v>11.07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24.949999999999999</v>
      </c>
      <c r="C35" s="29">
        <f t="shared" si="1"/>
        <v>55.960000000000001</v>
      </c>
      <c r="D35" s="29">
        <f t="shared" si="1"/>
        <v>43.43</v>
      </c>
      <c r="E35" s="29">
        <f t="shared" si="1"/>
        <v>6.46</v>
      </c>
      <c r="F35" s="29">
        <f t="shared" si="1"/>
        <v>20.600000000000001</v>
      </c>
      <c r="G35" s="29">
        <f t="shared" si="1"/>
        <v>168.75999999999999</v>
      </c>
      <c r="H35" s="29">
        <f t="shared" si="1"/>
        <v>41.149999999999999</v>
      </c>
      <c r="I35" s="29">
        <f t="shared" si="1"/>
        <v>1.6100000000000001</v>
      </c>
      <c r="J35" s="29">
        <f t="shared" si="1"/>
        <v>2.02</v>
      </c>
      <c r="K35" s="29">
        <f t="shared" si="1"/>
        <v>354.62</v>
      </c>
      <c r="L35" s="29">
        <f t="shared" si="1"/>
        <v>32.189999999999998</v>
      </c>
      <c r="M35" s="29">
        <f t="shared" si="1"/>
        <v>98.900000000000006</v>
      </c>
      <c r="N35" s="29">
        <f t="shared" si="1"/>
        <v>889.10000000000002</v>
      </c>
      <c r="O35" s="29">
        <f t="shared" si="1"/>
        <v>0</v>
      </c>
      <c r="P35" s="29">
        <f t="shared" si="1"/>
        <v>1.3100000000000001</v>
      </c>
      <c r="Q35" s="29">
        <f t="shared" si="1"/>
        <v>16.149999999999999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11.005000000000003</v>
      </c>
      <c r="C36" s="28">
        <f t="shared" si="2"/>
        <v>24.656250000000004</v>
      </c>
      <c r="D36" s="28">
        <f t="shared" si="2"/>
        <v>23.007083333333338</v>
      </c>
      <c r="E36" s="28">
        <f t="shared" si="2"/>
        <v>2.9541666666666662</v>
      </c>
      <c r="F36" s="28">
        <f t="shared" si="2"/>
        <v>6.0916666666666686</v>
      </c>
      <c r="G36" s="28">
        <f t="shared" si="2"/>
        <v>80.73875000000001</v>
      </c>
      <c r="H36" s="28">
        <f t="shared" si="2"/>
        <v>21.807083333333335</v>
      </c>
      <c r="I36" s="28">
        <f t="shared" si="2"/>
        <v>1.5454166666666664</v>
      </c>
      <c r="J36" s="28">
        <f t="shared" si="2"/>
        <v>0.6741666666666668</v>
      </c>
      <c r="K36" s="28">
        <f t="shared" si="2"/>
        <v>275.88583333333332</v>
      </c>
      <c r="L36" s="28">
        <f t="shared" si="2"/>
        <v>25.612083333333331</v>
      </c>
      <c r="M36" s="28">
        <f t="shared" si="2"/>
        <v>88.90291666666667</v>
      </c>
      <c r="N36" s="28">
        <f t="shared" si="2"/>
        <v>224.14583333333329</v>
      </c>
      <c r="O36" s="28">
        <f t="shared" si="2"/>
        <v>0</v>
      </c>
      <c r="P36" s="28">
        <f t="shared" si="2"/>
        <v>0.78791666666666682</v>
      </c>
      <c r="Q36" s="28">
        <f t="shared" si="2"/>
        <v>14.087499999999999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6.3243635184138043</v>
      </c>
      <c r="C37" s="28">
        <f t="shared" si="3" ref="C37:Q37">STDEV(C9:C32)</f>
        <v>13.298841012757784</v>
      </c>
      <c r="D37" s="28">
        <f t="shared" si="3"/>
        <v>9.0342230864287476</v>
      </c>
      <c r="E37" s="28">
        <f t="shared" si="3"/>
        <v>1.4049165739324694</v>
      </c>
      <c r="F37" s="28">
        <f t="shared" si="3"/>
        <v>5.1256810081296935</v>
      </c>
      <c r="G37" s="28">
        <f t="shared" si="3"/>
        <v>45.406465572216348</v>
      </c>
      <c r="H37" s="28">
        <f t="shared" si="3"/>
        <v>9.2811986103588673</v>
      </c>
      <c r="I37" s="28">
        <f t="shared" si="3"/>
        <v>0.032966276136664911</v>
      </c>
      <c r="J37" s="28">
        <f t="shared" si="3"/>
        <v>0.59369818614501746</v>
      </c>
      <c r="K37" s="28">
        <f t="shared" si="3"/>
        <v>84.314488925413286</v>
      </c>
      <c r="L37" s="28">
        <f t="shared" si="3"/>
        <v>3.723704302423092</v>
      </c>
      <c r="M37" s="28">
        <f t="shared" si="3"/>
        <v>12.694056972754474</v>
      </c>
      <c r="N37" s="28">
        <f t="shared" si="3"/>
        <v>298.97922710909808</v>
      </c>
      <c r="O37" s="28">
        <f t="shared" si="3"/>
        <v>0</v>
      </c>
      <c r="P37" s="28">
        <f t="shared" si="3"/>
        <v>0.26987886439896552</v>
      </c>
      <c r="Q37" s="28">
        <f t="shared" si="3"/>
        <v>1.4753046848171938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34ab207-0765-4ba7-86d8-c19b32960337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7" sqref="G67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27-09-2023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0" t="s">
        <v>58</v>
      </c>
      <c r="C7" s="50" t="s">
        <v>43</v>
      </c>
      <c r="D7" s="50" t="s">
        <v>44</v>
      </c>
      <c r="E7" s="50" t="s">
        <v>45</v>
      </c>
      <c r="F7" s="50" t="s">
        <v>46</v>
      </c>
      <c r="G7" s="50" t="s">
        <v>47</v>
      </c>
      <c r="H7" s="50" t="s">
        <v>48</v>
      </c>
      <c r="I7" s="50" t="s">
        <v>49</v>
      </c>
      <c r="J7" s="50" t="s">
        <v>50</v>
      </c>
      <c r="K7" s="50" t="s">
        <v>51</v>
      </c>
      <c r="L7" s="50" t="s">
        <v>52</v>
      </c>
      <c r="M7" s="50" t="s">
        <v>53</v>
      </c>
      <c r="N7" s="50" t="s">
        <v>54</v>
      </c>
      <c r="O7" s="50" t="s">
        <v>55</v>
      </c>
      <c r="P7" s="50" t="s">
        <v>56</v>
      </c>
      <c r="Q7" s="50" t="s">
        <v>57</v>
      </c>
      <c r="R7" s="27"/>
      <c r="S7" s="29"/>
      <c r="T7" s="27"/>
      <c r="U7" s="27"/>
    </row>
    <row r="8" spans="1:21" s="21" customFormat="1" ht="15">
      <c r="A8" s="58"/>
      <c r="B8" s="59" t="s">
        <v>22</v>
      </c>
      <c r="C8" s="59" t="s">
        <v>22</v>
      </c>
      <c r="D8" s="29" t="s">
        <v>61</v>
      </c>
      <c r="E8" s="59" t="s">
        <v>22</v>
      </c>
      <c r="F8" s="59" t="s">
        <v>22</v>
      </c>
      <c r="G8" s="59" t="s">
        <v>23</v>
      </c>
      <c r="H8" s="59" t="s">
        <v>22</v>
      </c>
      <c r="I8" s="59" t="s">
        <v>22</v>
      </c>
      <c r="J8" s="59" t="s">
        <v>24</v>
      </c>
      <c r="K8" s="59" t="s">
        <v>25</v>
      </c>
      <c r="L8" s="58" t="s">
        <v>27</v>
      </c>
      <c r="M8" s="59" t="s">
        <v>26</v>
      </c>
      <c r="N8" s="59" t="s">
        <v>28</v>
      </c>
      <c r="O8" s="58" t="s">
        <v>29</v>
      </c>
      <c r="P8" s="59" t="s">
        <v>22</v>
      </c>
      <c r="Q8" s="59" t="s">
        <v>22</v>
      </c>
      <c r="R8" s="27"/>
      <c r="S8" s="29"/>
      <c r="T8" s="27"/>
      <c r="U8" s="27"/>
    </row>
    <row r="9" spans="1:21" s="11" customFormat="1" ht="15">
      <c r="A9" s="53" t="s">
        <v>686</v>
      </c>
      <c r="B9" s="54">
        <v>5.19</v>
      </c>
      <c r="C9" s="54">
        <v>10.25</v>
      </c>
      <c r="D9" s="54">
        <v>10.90</v>
      </c>
      <c r="E9" s="54">
        <v>1.99</v>
      </c>
      <c r="F9" s="54">
        <v>1.63</v>
      </c>
      <c r="G9" s="54">
        <v>34.75</v>
      </c>
      <c r="H9" s="54">
        <v>8.42</v>
      </c>
      <c r="I9" s="54">
        <v>1.56</v>
      </c>
      <c r="J9" s="54">
        <v>0.12</v>
      </c>
      <c r="K9" s="54">
        <v>337.38</v>
      </c>
      <c r="L9" s="54">
        <v>22.19</v>
      </c>
      <c r="M9" s="54">
        <v>98.87</v>
      </c>
      <c r="N9" s="54">
        <v>9.10</v>
      </c>
      <c r="O9" s="54">
        <v>0</v>
      </c>
      <c r="P9" s="54">
        <v>0.44</v>
      </c>
      <c r="Q9" s="54">
        <v>13.07</v>
      </c>
      <c r="R9" s="43"/>
      <c r="S9" s="43"/>
      <c r="T9" s="43"/>
      <c r="U9" s="43"/>
    </row>
    <row r="10" spans="1:21" s="11" customFormat="1" ht="15">
      <c r="A10" s="53" t="s">
        <v>687</v>
      </c>
      <c r="B10" s="54">
        <v>8.02</v>
      </c>
      <c r="C10" s="54">
        <v>18.34</v>
      </c>
      <c r="D10" s="54">
        <v>17.850000000000001</v>
      </c>
      <c r="E10" s="54">
        <v>1.74</v>
      </c>
      <c r="F10" s="54">
        <v>4.6500000000000004</v>
      </c>
      <c r="G10" s="54">
        <v>41.20</v>
      </c>
      <c r="H10" s="54">
        <v>7.87</v>
      </c>
      <c r="I10" s="54">
        <v>1.49</v>
      </c>
      <c r="J10" s="54">
        <v>0.32</v>
      </c>
      <c r="K10" s="54">
        <v>342.95</v>
      </c>
      <c r="L10" s="54">
        <v>22.13</v>
      </c>
      <c r="M10" s="54">
        <v>98.88</v>
      </c>
      <c r="N10" s="54">
        <v>9.10</v>
      </c>
      <c r="O10" s="54">
        <v>0</v>
      </c>
      <c r="P10" s="54">
        <v>0.51</v>
      </c>
      <c r="Q10" s="54">
        <v>14.75</v>
      </c>
      <c r="R10" s="43"/>
      <c r="S10" s="43"/>
      <c r="T10" s="43"/>
      <c r="U10" s="43"/>
    </row>
    <row r="11" spans="1:21" s="11" customFormat="1" ht="15">
      <c r="A11" s="53" t="s">
        <v>688</v>
      </c>
      <c r="B11" s="54">
        <v>6.22</v>
      </c>
      <c r="C11" s="54">
        <v>14.97</v>
      </c>
      <c r="D11" s="54">
        <v>13.91</v>
      </c>
      <c r="E11" s="54">
        <v>1.91</v>
      </c>
      <c r="F11" s="54">
        <v>5.35</v>
      </c>
      <c r="G11" s="54">
        <v>41.20</v>
      </c>
      <c r="H11" s="54">
        <v>9.4600000000000009</v>
      </c>
      <c r="I11" s="54">
        <v>1.47</v>
      </c>
      <c r="J11" s="54">
        <v>0.30</v>
      </c>
      <c r="K11" s="54">
        <v>356.35</v>
      </c>
      <c r="L11" s="54">
        <v>22.36</v>
      </c>
      <c r="M11" s="54">
        <v>98.88</v>
      </c>
      <c r="N11" s="54">
        <v>9.40</v>
      </c>
      <c r="O11" s="54">
        <v>0</v>
      </c>
      <c r="P11" s="54">
        <v>0.48</v>
      </c>
      <c r="Q11" s="54">
        <v>15.14</v>
      </c>
      <c r="R11" s="43"/>
      <c r="S11" s="43"/>
      <c r="T11" s="43"/>
      <c r="U11" s="43"/>
    </row>
    <row r="12" spans="1:21" s="11" customFormat="1" ht="15">
      <c r="A12" s="53" t="s">
        <v>689</v>
      </c>
      <c r="B12" s="54">
        <v>6.09</v>
      </c>
      <c r="C12" s="54">
        <v>11.05</v>
      </c>
      <c r="D12" s="54">
        <v>12.19</v>
      </c>
      <c r="E12" s="54">
        <v>1.89</v>
      </c>
      <c r="F12" s="54">
        <v>1.0900000000000001</v>
      </c>
      <c r="G12" s="54">
        <v>50.53</v>
      </c>
      <c r="H12" s="54">
        <v>12.54</v>
      </c>
      <c r="I12" s="54">
        <v>1.54</v>
      </c>
      <c r="J12" s="54">
        <v>0.17</v>
      </c>
      <c r="K12" s="54">
        <v>280.91000000000003</v>
      </c>
      <c r="L12" s="54">
        <v>22.18</v>
      </c>
      <c r="M12" s="54">
        <v>98.88</v>
      </c>
      <c r="N12" s="54">
        <v>9.1999999999999993</v>
      </c>
      <c r="O12" s="54">
        <v>0</v>
      </c>
      <c r="P12" s="54">
        <v>0.53</v>
      </c>
      <c r="Q12" s="54">
        <v>14.18</v>
      </c>
      <c r="R12" s="43"/>
      <c r="S12" s="43"/>
      <c r="T12" s="43"/>
      <c r="U12" s="43"/>
    </row>
    <row r="13" spans="1:21" s="11" customFormat="1" ht="15">
      <c r="A13" s="53" t="s">
        <v>690</v>
      </c>
      <c r="B13" s="54">
        <v>6.20</v>
      </c>
      <c r="C13" s="54">
        <v>17.510000000000002</v>
      </c>
      <c r="D13" s="54">
        <v>15.93</v>
      </c>
      <c r="E13" s="54">
        <v>3.05</v>
      </c>
      <c r="F13" s="54">
        <v>2.37</v>
      </c>
      <c r="G13" s="54">
        <v>53.77</v>
      </c>
      <c r="H13" s="54">
        <v>13.40</v>
      </c>
      <c r="I13" s="54">
        <v>1.51</v>
      </c>
      <c r="J13" s="54">
        <v>0.35</v>
      </c>
      <c r="K13" s="54">
        <v>118.41</v>
      </c>
      <c r="L13" s="54">
        <v>22.42</v>
      </c>
      <c r="M13" s="54">
        <v>98.88</v>
      </c>
      <c r="N13" s="54">
        <v>9.1999999999999993</v>
      </c>
      <c r="O13" s="54">
        <v>0</v>
      </c>
      <c r="P13" s="54">
        <v>0.56000000000000005</v>
      </c>
      <c r="Q13" s="54">
        <v>16.190000000000001</v>
      </c>
      <c r="R13" s="43"/>
      <c r="S13" s="43"/>
      <c r="T13" s="43"/>
      <c r="U13" s="43"/>
    </row>
    <row r="14" spans="1:21" s="11" customFormat="1" ht="15">
      <c r="A14" s="53" t="s">
        <v>691</v>
      </c>
      <c r="B14" s="54">
        <v>9.27</v>
      </c>
      <c r="C14" s="54">
        <v>16.649999999999999</v>
      </c>
      <c r="D14" s="54">
        <v>17.84</v>
      </c>
      <c r="E14" s="54">
        <v>2.93</v>
      </c>
      <c r="F14" s="54">
        <v>0.66</v>
      </c>
      <c r="G14" s="54">
        <v>53.77</v>
      </c>
      <c r="H14" s="54">
        <v>13.40</v>
      </c>
      <c r="I14" s="54">
        <v>1.54</v>
      </c>
      <c r="J14" s="54">
        <v>0.44</v>
      </c>
      <c r="K14" s="54">
        <v>335.30</v>
      </c>
      <c r="L14" s="54">
        <v>22</v>
      </c>
      <c r="M14" s="54">
        <v>98.89</v>
      </c>
      <c r="N14" s="54">
        <v>15.20</v>
      </c>
      <c r="O14" s="54">
        <v>0</v>
      </c>
      <c r="P14" s="54">
        <v>0.54</v>
      </c>
      <c r="Q14" s="54">
        <v>16.72</v>
      </c>
      <c r="R14" s="43"/>
      <c r="S14" s="43"/>
      <c r="T14" s="43"/>
      <c r="U14" s="43"/>
    </row>
    <row r="15" spans="1:21" s="11" customFormat="1" ht="15">
      <c r="A15" s="53" t="s">
        <v>692</v>
      </c>
      <c r="B15" s="54">
        <v>14.62</v>
      </c>
      <c r="C15" s="54">
        <v>12.53</v>
      </c>
      <c r="D15" s="54">
        <v>19.93</v>
      </c>
      <c r="E15" s="54">
        <v>2.80</v>
      </c>
      <c r="F15" s="54">
        <v>1.27</v>
      </c>
      <c r="G15" s="54">
        <v>49.77</v>
      </c>
      <c r="H15" s="54">
        <v>13.17</v>
      </c>
      <c r="I15" s="54">
        <v>1.54</v>
      </c>
      <c r="J15" s="54">
        <v>0.51</v>
      </c>
      <c r="K15" s="54">
        <v>106.48</v>
      </c>
      <c r="L15" s="54">
        <v>23.09</v>
      </c>
      <c r="M15" s="54">
        <v>98.88</v>
      </c>
      <c r="N15" s="54">
        <v>103.70</v>
      </c>
      <c r="O15" s="54">
        <v>0</v>
      </c>
      <c r="P15" s="54">
        <v>0.56000000000000005</v>
      </c>
      <c r="Q15" s="54">
        <v>15.70</v>
      </c>
      <c r="R15" s="43"/>
      <c r="S15" s="43"/>
      <c r="T15" s="43"/>
      <c r="U15" s="43"/>
    </row>
    <row r="16" spans="1:21" s="11" customFormat="1" ht="15">
      <c r="A16" s="53" t="s">
        <v>693</v>
      </c>
      <c r="B16" s="54">
        <v>12.72</v>
      </c>
      <c r="C16" s="54">
        <v>18.350000000000001</v>
      </c>
      <c r="D16" s="54">
        <v>21.62</v>
      </c>
      <c r="E16" s="54">
        <v>3.26</v>
      </c>
      <c r="F16" s="54">
        <v>6.81</v>
      </c>
      <c r="G16" s="54">
        <v>58.64</v>
      </c>
      <c r="H16" s="54">
        <v>13.79</v>
      </c>
      <c r="I16" s="54">
        <v>1.54</v>
      </c>
      <c r="J16" s="54">
        <v>0.61</v>
      </c>
      <c r="K16" s="54">
        <v>139.32</v>
      </c>
      <c r="L16" s="54">
        <v>26.08</v>
      </c>
      <c r="M16" s="54">
        <v>98.83</v>
      </c>
      <c r="N16" s="54">
        <v>319.20</v>
      </c>
      <c r="O16" s="54">
        <v>0</v>
      </c>
      <c r="P16" s="54">
        <v>0.61</v>
      </c>
      <c r="Q16" s="54">
        <v>18.54</v>
      </c>
      <c r="R16" s="43"/>
      <c r="S16" s="43"/>
      <c r="T16" s="43"/>
      <c r="U16" s="43"/>
    </row>
    <row r="17" spans="1:21" s="11" customFormat="1" ht="15">
      <c r="A17" s="53" t="s">
        <v>694</v>
      </c>
      <c r="B17" s="54">
        <v>15.07</v>
      </c>
      <c r="C17" s="54">
        <v>18.46</v>
      </c>
      <c r="D17" s="54">
        <v>22.95</v>
      </c>
      <c r="E17" s="54">
        <v>2.2000000000000002</v>
      </c>
      <c r="F17" s="54">
        <v>2.29</v>
      </c>
      <c r="G17" s="54">
        <v>85.19</v>
      </c>
      <c r="H17" s="54">
        <v>16.440000000000001</v>
      </c>
      <c r="I17" s="54">
        <v>1.56</v>
      </c>
      <c r="J17" s="54">
        <v>0.65</v>
      </c>
      <c r="K17" s="54">
        <v>350.32</v>
      </c>
      <c r="L17" s="54">
        <v>30.39</v>
      </c>
      <c r="M17" s="54">
        <v>83.51</v>
      </c>
      <c r="N17" s="54">
        <v>529.90</v>
      </c>
      <c r="O17" s="54">
        <v>0</v>
      </c>
      <c r="P17" s="54">
        <v>0.68</v>
      </c>
      <c r="Q17" s="54">
        <v>18.38</v>
      </c>
      <c r="R17" s="43"/>
      <c r="S17" s="43"/>
      <c r="T17" s="43"/>
      <c r="U17" s="43"/>
    </row>
    <row r="18" spans="1:21" s="11" customFormat="1" ht="15">
      <c r="A18" s="53" t="s">
        <v>695</v>
      </c>
      <c r="B18" s="54">
        <v>14.65</v>
      </c>
      <c r="C18" s="54">
        <v>20.64</v>
      </c>
      <c r="D18" s="54">
        <v>23.16</v>
      </c>
      <c r="E18" s="54">
        <v>2.42</v>
      </c>
      <c r="F18" s="54">
        <v>7.5</v>
      </c>
      <c r="G18" s="54">
        <v>99.53</v>
      </c>
      <c r="H18" s="54">
        <v>19.02</v>
      </c>
      <c r="I18" s="54">
        <v>1.51</v>
      </c>
      <c r="J18" s="54">
        <v>0.38</v>
      </c>
      <c r="K18" s="54">
        <v>351.71</v>
      </c>
      <c r="L18" s="54">
        <v>30.44</v>
      </c>
      <c r="M18" s="54">
        <v>70.73</v>
      </c>
      <c r="N18" s="54">
        <v>591.70000000000005</v>
      </c>
      <c r="O18" s="54">
        <v>0</v>
      </c>
      <c r="P18" s="54">
        <v>0.75</v>
      </c>
      <c r="Q18" s="54">
        <v>17.239999999999998</v>
      </c>
      <c r="R18" s="43"/>
      <c r="S18" s="43"/>
      <c r="T18" s="43"/>
      <c r="U18" s="43"/>
    </row>
    <row r="19" spans="1:21" s="11" customFormat="1" ht="15">
      <c r="A19" s="53" t="s">
        <v>696</v>
      </c>
      <c r="B19" s="54">
        <v>15.74</v>
      </c>
      <c r="C19" s="54">
        <v>30.84</v>
      </c>
      <c r="D19" s="54">
        <v>30.41</v>
      </c>
      <c r="E19" s="54">
        <v>3.14</v>
      </c>
      <c r="F19" s="54">
        <v>8.58</v>
      </c>
      <c r="G19" s="54">
        <v>103.43</v>
      </c>
      <c r="H19" s="54">
        <v>27.99</v>
      </c>
      <c r="I19" s="54">
        <v>1.53</v>
      </c>
      <c r="J19" s="54">
        <v>0.74</v>
      </c>
      <c r="K19" s="54">
        <v>336</v>
      </c>
      <c r="L19" s="54">
        <v>30.77</v>
      </c>
      <c r="M19" s="54">
        <v>69.459999999999994</v>
      </c>
      <c r="N19" s="54">
        <v>726.90</v>
      </c>
      <c r="O19" s="54">
        <v>0</v>
      </c>
      <c r="P19" s="54">
        <v>0.94</v>
      </c>
      <c r="Q19" s="54">
        <v>18.63</v>
      </c>
      <c r="R19" s="43"/>
      <c r="S19" s="43"/>
      <c r="T19" s="43"/>
      <c r="U19" s="43"/>
    </row>
    <row r="20" spans="1:21" s="11" customFormat="1" ht="15">
      <c r="A20" s="53" t="s">
        <v>697</v>
      </c>
      <c r="B20" s="54">
        <v>20.239999999999998</v>
      </c>
      <c r="C20" s="54">
        <v>43.67</v>
      </c>
      <c r="D20" s="54">
        <v>41.62</v>
      </c>
      <c r="E20" s="54">
        <v>4.8600000000000003</v>
      </c>
      <c r="F20" s="54">
        <v>1</v>
      </c>
      <c r="G20" s="54">
        <v>148.33000000000001</v>
      </c>
      <c r="H20" s="54">
        <v>33.74</v>
      </c>
      <c r="I20" s="54">
        <v>1.53</v>
      </c>
      <c r="J20" s="54">
        <v>0.39</v>
      </c>
      <c r="K20" s="54">
        <v>359.68</v>
      </c>
      <c r="L20" s="54">
        <v>29.34</v>
      </c>
      <c r="M20" s="54">
        <v>81.5</v>
      </c>
      <c r="N20" s="54">
        <v>432.80</v>
      </c>
      <c r="O20" s="54">
        <v>0</v>
      </c>
      <c r="P20" s="54">
        <v>1.17</v>
      </c>
      <c r="Q20" s="54">
        <v>17.940000000000001</v>
      </c>
      <c r="R20" s="43"/>
      <c r="S20" s="43"/>
      <c r="T20" s="43"/>
      <c r="U20" s="43"/>
    </row>
    <row r="21" spans="1:21" s="11" customFormat="1" ht="15">
      <c r="A21" s="53" t="s">
        <v>698</v>
      </c>
      <c r="B21" s="54">
        <v>19.78</v>
      </c>
      <c r="C21" s="54">
        <v>45.39</v>
      </c>
      <c r="D21" s="54">
        <v>39.57</v>
      </c>
      <c r="E21" s="54">
        <v>8.3800000000000008</v>
      </c>
      <c r="F21" s="54">
        <v>13.67</v>
      </c>
      <c r="G21" s="54">
        <v>148.33000000000001</v>
      </c>
      <c r="H21" s="54">
        <v>35.520000000000003</v>
      </c>
      <c r="I21" s="54">
        <v>1.53</v>
      </c>
      <c r="J21" s="54">
        <v>1.19</v>
      </c>
      <c r="K21" s="54">
        <v>325.06</v>
      </c>
      <c r="L21" s="54">
        <v>31.35</v>
      </c>
      <c r="M21" s="54">
        <v>72.70</v>
      </c>
      <c r="N21" s="54">
        <v>571.60</v>
      </c>
      <c r="O21" s="54">
        <v>0</v>
      </c>
      <c r="P21" s="54">
        <v>1.1599999999999999</v>
      </c>
      <c r="Q21" s="54">
        <v>14.65</v>
      </c>
      <c r="R21" s="43"/>
      <c r="S21" s="43"/>
      <c r="T21" s="43"/>
      <c r="U21" s="43"/>
    </row>
    <row r="22" spans="1:21" s="11" customFormat="1" ht="15">
      <c r="A22" s="53" t="s">
        <v>699</v>
      </c>
      <c r="B22" s="54">
        <v>15.41</v>
      </c>
      <c r="C22" s="54">
        <v>51.94</v>
      </c>
      <c r="D22" s="54">
        <v>41.80</v>
      </c>
      <c r="E22" s="54">
        <v>6.43</v>
      </c>
      <c r="F22" s="54">
        <v>18.829999999999998</v>
      </c>
      <c r="G22" s="54">
        <v>101.63</v>
      </c>
      <c r="H22" s="54">
        <v>35.520000000000003</v>
      </c>
      <c r="I22" s="54">
        <v>1.59</v>
      </c>
      <c r="J22" s="54">
        <v>0.78</v>
      </c>
      <c r="K22" s="54">
        <v>338.60</v>
      </c>
      <c r="L22" s="54">
        <v>30.19</v>
      </c>
      <c r="M22" s="54">
        <v>72.75</v>
      </c>
      <c r="N22" s="54">
        <v>438.90</v>
      </c>
      <c r="O22" s="54">
        <v>0</v>
      </c>
      <c r="P22" s="54">
        <v>0.94</v>
      </c>
      <c r="Q22" s="54">
        <v>12.79</v>
      </c>
      <c r="R22" s="43"/>
      <c r="S22" s="43"/>
      <c r="T22" s="43"/>
      <c r="U22" s="43"/>
    </row>
    <row r="23" spans="1:21" s="11" customFormat="1" ht="15">
      <c r="A23" s="53" t="s">
        <v>700</v>
      </c>
      <c r="B23" s="54">
        <v>15.13</v>
      </c>
      <c r="C23" s="54">
        <v>46.45</v>
      </c>
      <c r="D23" s="54">
        <v>39.06</v>
      </c>
      <c r="E23" s="54">
        <v>9.2799999999999994</v>
      </c>
      <c r="F23" s="54">
        <v>20.350000000000001</v>
      </c>
      <c r="G23" s="54">
        <v>118.82</v>
      </c>
      <c r="H23" s="54">
        <v>35.450000000000003</v>
      </c>
      <c r="I23" s="54">
        <v>1.52</v>
      </c>
      <c r="J23" s="54">
        <v>0.47</v>
      </c>
      <c r="K23" s="54">
        <v>340.54</v>
      </c>
      <c r="L23" s="54">
        <v>29.17</v>
      </c>
      <c r="M23" s="54">
        <v>69.37</v>
      </c>
      <c r="N23" s="54">
        <v>194.20</v>
      </c>
      <c r="O23" s="54">
        <v>0</v>
      </c>
      <c r="P23" s="54">
        <v>1.02</v>
      </c>
      <c r="Q23" s="54">
        <v>13.52</v>
      </c>
      <c r="R23" s="43"/>
      <c r="S23" s="43"/>
      <c r="T23" s="43"/>
      <c r="U23" s="43"/>
    </row>
    <row r="24" spans="1:21" s="11" customFormat="1" ht="15">
      <c r="A24" s="53" t="s">
        <v>701</v>
      </c>
      <c r="B24" s="54">
        <v>10.30</v>
      </c>
      <c r="C24" s="54">
        <v>55.01</v>
      </c>
      <c r="D24" s="54">
        <v>36.67</v>
      </c>
      <c r="E24" s="54">
        <v>11.85</v>
      </c>
      <c r="F24" s="54">
        <v>19.010000000000002</v>
      </c>
      <c r="G24" s="54">
        <v>120.87</v>
      </c>
      <c r="H24" s="54">
        <v>37.43</v>
      </c>
      <c r="I24" s="54">
        <v>1.54</v>
      </c>
      <c r="J24" s="54">
        <v>0.43</v>
      </c>
      <c r="K24" s="54">
        <v>355.79</v>
      </c>
      <c r="L24" s="54">
        <v>27.72</v>
      </c>
      <c r="M24" s="54">
        <v>90</v>
      </c>
      <c r="N24" s="54">
        <v>0</v>
      </c>
      <c r="O24" s="54">
        <v>0</v>
      </c>
      <c r="P24" s="54">
        <v>0.97</v>
      </c>
      <c r="Q24" s="54">
        <v>14.06</v>
      </c>
      <c r="R24" s="43"/>
      <c r="S24" s="43"/>
      <c r="T24" s="43"/>
      <c r="U24" s="43"/>
    </row>
    <row r="25" spans="1:21" s="11" customFormat="1" ht="15">
      <c r="A25" s="53" t="s">
        <v>702</v>
      </c>
      <c r="B25" s="54">
        <v>14.54</v>
      </c>
      <c r="C25" s="54">
        <v>66.069999999999993</v>
      </c>
      <c r="D25" s="54">
        <v>48.86</v>
      </c>
      <c r="E25" s="54">
        <v>6.16</v>
      </c>
      <c r="F25" s="54">
        <v>32.159999999999997</v>
      </c>
      <c r="G25" s="54">
        <v>120.87</v>
      </c>
      <c r="H25" s="54">
        <v>38.25</v>
      </c>
      <c r="I25" s="54">
        <v>1.47</v>
      </c>
      <c r="J25" s="54">
        <v>0.28000000000000003</v>
      </c>
      <c r="K25" s="54">
        <v>329</v>
      </c>
      <c r="L25" s="54">
        <v>27.72</v>
      </c>
      <c r="M25" s="54">
        <v>86.75</v>
      </c>
      <c r="N25" s="54">
        <v>0</v>
      </c>
      <c r="O25" s="54">
        <v>0</v>
      </c>
      <c r="P25" s="54">
        <v>1.25</v>
      </c>
      <c r="Q25" s="54">
        <v>13.20</v>
      </c>
      <c r="R25" s="43"/>
      <c r="S25" s="43"/>
      <c r="T25" s="43"/>
      <c r="U25" s="43"/>
    </row>
    <row r="26" spans="1:21" s="11" customFormat="1" ht="15">
      <c r="A26" s="53" t="s">
        <v>703</v>
      </c>
      <c r="B26" s="54">
        <v>3.41</v>
      </c>
      <c r="C26" s="54">
        <v>46.70</v>
      </c>
      <c r="D26" s="54">
        <v>29.80</v>
      </c>
      <c r="E26" s="54">
        <v>3.87</v>
      </c>
      <c r="F26" s="54">
        <v>29.08</v>
      </c>
      <c r="G26" s="54">
        <v>120.65</v>
      </c>
      <c r="H26" s="54">
        <v>39.21</v>
      </c>
      <c r="I26" s="54">
        <v>1.52</v>
      </c>
      <c r="J26" s="54">
        <v>0.31</v>
      </c>
      <c r="K26" s="54">
        <v>121.51</v>
      </c>
      <c r="L26" s="54">
        <v>27.48</v>
      </c>
      <c r="M26" s="54">
        <v>82.73</v>
      </c>
      <c r="N26" s="54">
        <v>0</v>
      </c>
      <c r="O26" s="54">
        <v>0</v>
      </c>
      <c r="P26" s="54">
        <v>0.91</v>
      </c>
      <c r="Q26" s="54">
        <v>12.78</v>
      </c>
      <c r="R26" s="43"/>
      <c r="S26" s="43"/>
      <c r="T26" s="43"/>
      <c r="U26" s="43"/>
    </row>
    <row r="27" spans="1:21" s="11" customFormat="1" ht="15">
      <c r="A27" s="53" t="s">
        <v>704</v>
      </c>
      <c r="B27" s="54">
        <v>17.23</v>
      </c>
      <c r="C27" s="54">
        <v>65.70</v>
      </c>
      <c r="D27" s="54">
        <v>51.36</v>
      </c>
      <c r="E27" s="54">
        <v>4.0199999999999996</v>
      </c>
      <c r="F27" s="54">
        <v>16.850000000000001</v>
      </c>
      <c r="G27" s="54">
        <v>107.97</v>
      </c>
      <c r="H27" s="54">
        <v>39.21</v>
      </c>
      <c r="I27" s="54">
        <v>1.54</v>
      </c>
      <c r="J27" s="54">
        <v>0.32</v>
      </c>
      <c r="K27" s="54">
        <v>352.87</v>
      </c>
      <c r="L27" s="54">
        <v>26.27</v>
      </c>
      <c r="M27" s="54">
        <v>97.43</v>
      </c>
      <c r="N27" s="54">
        <v>0</v>
      </c>
      <c r="O27" s="54">
        <v>0</v>
      </c>
      <c r="P27" s="54">
        <v>2.08</v>
      </c>
      <c r="Q27" s="54">
        <v>11.43</v>
      </c>
      <c r="R27" s="43"/>
      <c r="S27" s="43"/>
      <c r="T27" s="43"/>
      <c r="U27" s="43"/>
    </row>
    <row r="28" spans="1:21" s="11" customFormat="1" ht="15">
      <c r="A28" s="53" t="s">
        <v>705</v>
      </c>
      <c r="B28" s="54">
        <v>36.04</v>
      </c>
      <c r="C28" s="54">
        <v>62.87</v>
      </c>
      <c r="D28" s="54">
        <v>64.80</v>
      </c>
      <c r="E28" s="54">
        <v>4.5</v>
      </c>
      <c r="F28" s="54">
        <v>7.25</v>
      </c>
      <c r="G28" s="54">
        <v>131.58000000000001</v>
      </c>
      <c r="H28" s="54">
        <v>37.81</v>
      </c>
      <c r="I28" s="54">
        <v>1.54</v>
      </c>
      <c r="J28" s="54">
        <v>0.20</v>
      </c>
      <c r="K28" s="54">
        <v>359.68</v>
      </c>
      <c r="L28" s="54">
        <v>25.10</v>
      </c>
      <c r="M28" s="54">
        <v>98.82</v>
      </c>
      <c r="N28" s="54">
        <v>9.3000000000000007</v>
      </c>
      <c r="O28" s="54">
        <v>0</v>
      </c>
      <c r="P28" s="54">
        <v>2.89</v>
      </c>
      <c r="Q28" s="54">
        <v>11.16</v>
      </c>
      <c r="R28" s="43"/>
      <c r="S28" s="43"/>
      <c r="T28" s="43"/>
      <c r="U28" s="43"/>
    </row>
    <row r="29" spans="1:21" s="11" customFormat="1" ht="15">
      <c r="A29" s="53" t="s">
        <v>706</v>
      </c>
      <c r="B29" s="54">
        <v>25.56</v>
      </c>
      <c r="C29" s="54">
        <v>49.45</v>
      </c>
      <c r="D29" s="54">
        <v>49.08</v>
      </c>
      <c r="E29" s="54">
        <v>2.2799999999999998</v>
      </c>
      <c r="F29" s="54">
        <v>5.83</v>
      </c>
      <c r="G29" s="54">
        <v>143.15</v>
      </c>
      <c r="H29" s="54">
        <v>43.62</v>
      </c>
      <c r="I29" s="54">
        <v>1.54</v>
      </c>
      <c r="J29" s="54">
        <v>0.17</v>
      </c>
      <c r="K29" s="54">
        <v>210.63</v>
      </c>
      <c r="L29" s="54">
        <v>24.72</v>
      </c>
      <c r="M29" s="54">
        <v>98.85</v>
      </c>
      <c r="N29" s="54">
        <v>9.1999999999999993</v>
      </c>
      <c r="O29" s="54">
        <v>0</v>
      </c>
      <c r="P29" s="54">
        <v>2.25</v>
      </c>
      <c r="Q29" s="54">
        <v>13.51</v>
      </c>
      <c r="R29" s="43"/>
      <c r="S29" s="43"/>
      <c r="T29" s="43"/>
      <c r="U29" s="43"/>
    </row>
    <row r="30" spans="1:21" s="11" customFormat="1" ht="15">
      <c r="A30" s="53" t="s">
        <v>707</v>
      </c>
      <c r="B30" s="54">
        <v>12.10</v>
      </c>
      <c r="C30" s="54">
        <v>28.01</v>
      </c>
      <c r="D30" s="54">
        <v>21.79</v>
      </c>
      <c r="E30" s="54">
        <v>1.34</v>
      </c>
      <c r="F30" s="54">
        <v>8.0500000000000007</v>
      </c>
      <c r="G30" s="54">
        <v>143.15</v>
      </c>
      <c r="H30" s="54">
        <v>43.62</v>
      </c>
      <c r="I30" s="54">
        <v>1.53</v>
      </c>
      <c r="J30" s="54">
        <v>0.21</v>
      </c>
      <c r="K30" s="54">
        <v>210.70</v>
      </c>
      <c r="L30" s="54">
        <v>24.24</v>
      </c>
      <c r="M30" s="54">
        <v>98.87</v>
      </c>
      <c r="N30" s="54">
        <v>9.10</v>
      </c>
      <c r="O30" s="54">
        <v>0</v>
      </c>
      <c r="P30" s="54">
        <v>1.44</v>
      </c>
      <c r="Q30" s="54">
        <v>14.75</v>
      </c>
      <c r="R30" s="43"/>
      <c r="S30" s="43"/>
      <c r="T30" s="43"/>
      <c r="U30" s="43"/>
    </row>
    <row r="31" spans="1:21" s="11" customFormat="1" ht="15">
      <c r="A31" s="53" t="s">
        <v>708</v>
      </c>
      <c r="B31" s="54">
        <v>12.10</v>
      </c>
      <c r="C31" s="54">
        <v>30.69</v>
      </c>
      <c r="D31" s="54">
        <v>26.86</v>
      </c>
      <c r="E31" s="54">
        <v>1.17</v>
      </c>
      <c r="F31" s="54">
        <v>6.27</v>
      </c>
      <c r="G31" s="54">
        <v>110.88</v>
      </c>
      <c r="H31" s="54">
        <v>42.05</v>
      </c>
      <c r="I31" s="54">
        <v>1.53</v>
      </c>
      <c r="J31" s="54">
        <v>0.070000000000000007</v>
      </c>
      <c r="K31" s="54">
        <v>339.28</v>
      </c>
      <c r="L31" s="54">
        <v>24.02</v>
      </c>
      <c r="M31" s="54">
        <v>98.88</v>
      </c>
      <c r="N31" s="54">
        <v>9.10</v>
      </c>
      <c r="O31" s="54">
        <v>0</v>
      </c>
      <c r="P31" s="54">
        <v>1.37</v>
      </c>
      <c r="Q31" s="54">
        <v>15.01</v>
      </c>
      <c r="R31" s="43"/>
      <c r="S31" s="43"/>
      <c r="T31" s="43"/>
      <c r="U31" s="43"/>
    </row>
    <row r="32" spans="1:21" s="11" customFormat="1" ht="15">
      <c r="A32" s="53" t="s">
        <v>709</v>
      </c>
      <c r="B32" s="54">
        <v>17.559999999999999</v>
      </c>
      <c r="C32" s="54">
        <v>20.94</v>
      </c>
      <c r="D32" s="54">
        <v>26.93</v>
      </c>
      <c r="E32" s="54">
        <v>1.59</v>
      </c>
      <c r="F32" s="54">
        <v>3.17</v>
      </c>
      <c r="G32" s="54">
        <v>91.26</v>
      </c>
      <c r="H32" s="54">
        <v>39.909999999999997</v>
      </c>
      <c r="I32" s="54">
        <v>1.55</v>
      </c>
      <c r="J32" s="54">
        <v>0.08</v>
      </c>
      <c r="K32" s="54">
        <v>356.25</v>
      </c>
      <c r="L32" s="54">
        <v>23.82</v>
      </c>
      <c r="M32" s="54">
        <v>98.85</v>
      </c>
      <c r="N32" s="54">
        <v>9.10</v>
      </c>
      <c r="O32" s="54">
        <v>0</v>
      </c>
      <c r="P32" s="54">
        <v>1.40</v>
      </c>
      <c r="Q32" s="54">
        <v>14.86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3.4100000000000001</v>
      </c>
      <c r="C34" s="28">
        <f t="shared" si="0"/>
        <v>10.25</v>
      </c>
      <c r="D34" s="28">
        <f t="shared" si="0"/>
        <v>10.9</v>
      </c>
      <c r="E34" s="28">
        <f t="shared" si="0"/>
        <v>1.1699999999999999</v>
      </c>
      <c r="F34" s="28">
        <f t="shared" si="0"/>
        <v>0.66000000000000003</v>
      </c>
      <c r="G34" s="28">
        <f t="shared" si="0"/>
        <v>34.75</v>
      </c>
      <c r="H34" s="28">
        <f t="shared" si="0"/>
        <v>7.8700000000000001</v>
      </c>
      <c r="I34" s="28">
        <f t="shared" si="0"/>
        <v>1.47</v>
      </c>
      <c r="J34" s="28">
        <f t="shared" si="0"/>
        <v>0.070000000000000007</v>
      </c>
      <c r="K34" s="28">
        <f t="shared" si="0"/>
        <v>106.48</v>
      </c>
      <c r="L34" s="28">
        <f t="shared" si="0"/>
        <v>22</v>
      </c>
      <c r="M34" s="28">
        <f t="shared" si="0"/>
        <v>69.370000000000005</v>
      </c>
      <c r="N34" s="28">
        <f t="shared" si="0"/>
        <v>0</v>
      </c>
      <c r="O34" s="28">
        <f t="shared" si="0"/>
        <v>0</v>
      </c>
      <c r="P34" s="28">
        <f t="shared" si="0"/>
        <v>0.44</v>
      </c>
      <c r="Q34" s="28">
        <f t="shared" si="0"/>
        <v>11.16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36.039999999999999</v>
      </c>
      <c r="C35" s="29">
        <f t="shared" si="1"/>
        <v>66.069999999999993</v>
      </c>
      <c r="D35" s="29">
        <f t="shared" si="1"/>
        <v>64.799999999999997</v>
      </c>
      <c r="E35" s="29">
        <f t="shared" si="1"/>
        <v>11.85</v>
      </c>
      <c r="F35" s="29">
        <f t="shared" si="1"/>
        <v>32.159999999999997</v>
      </c>
      <c r="G35" s="29">
        <f t="shared" si="1"/>
        <v>148.33000000000001</v>
      </c>
      <c r="H35" s="29">
        <f t="shared" si="1"/>
        <v>43.619999999999997</v>
      </c>
      <c r="I35" s="29">
        <f t="shared" si="1"/>
        <v>1.5900000000000001</v>
      </c>
      <c r="J35" s="29">
        <f t="shared" si="1"/>
        <v>1.1899999999999999</v>
      </c>
      <c r="K35" s="29">
        <f t="shared" si="1"/>
        <v>359.68000000000001</v>
      </c>
      <c r="L35" s="29">
        <f t="shared" si="1"/>
        <v>31.350000000000001</v>
      </c>
      <c r="M35" s="29">
        <f t="shared" si="1"/>
        <v>98.890000000000001</v>
      </c>
      <c r="N35" s="29">
        <f t="shared" si="1"/>
        <v>726.89999999999998</v>
      </c>
      <c r="O35" s="29">
        <f t="shared" si="1"/>
        <v>0</v>
      </c>
      <c r="P35" s="29">
        <f t="shared" si="1"/>
        <v>2.8900000000000001</v>
      </c>
      <c r="Q35" s="29">
        <f t="shared" si="1"/>
        <v>18.629999999999999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13.882916666666668</v>
      </c>
      <c r="C36" s="28">
        <f t="shared" si="2"/>
        <v>33.436666666666675</v>
      </c>
      <c r="D36" s="28">
        <f t="shared" si="2"/>
        <v>30.203749999999999</v>
      </c>
      <c r="E36" s="28">
        <f t="shared" si="2"/>
        <v>3.8774999999999999</v>
      </c>
      <c r="F36" s="28">
        <f t="shared" si="2"/>
        <v>9.3216666666666654</v>
      </c>
      <c r="G36" s="28">
        <f t="shared" si="2"/>
        <v>94.969583333333347</v>
      </c>
      <c r="H36" s="28">
        <f t="shared" si="2"/>
        <v>27.368333333333329</v>
      </c>
      <c r="I36" s="28">
        <f t="shared" si="2"/>
        <v>1.53</v>
      </c>
      <c r="J36" s="28">
        <f t="shared" si="2"/>
        <v>0.39541666666666669</v>
      </c>
      <c r="K36" s="28">
        <f t="shared" si="2"/>
        <v>293.94666666666666</v>
      </c>
      <c r="L36" s="28">
        <f t="shared" si="2"/>
        <v>26.049583333333342</v>
      </c>
      <c r="M36" s="28">
        <f t="shared" si="2"/>
        <v>90.091250000000002</v>
      </c>
      <c r="N36" s="28">
        <f t="shared" si="2"/>
        <v>167.32916666666665</v>
      </c>
      <c r="O36" s="28">
        <f t="shared" si="2"/>
        <v>0</v>
      </c>
      <c r="P36" s="28">
        <f t="shared" si="2"/>
        <v>1.0604166666666668</v>
      </c>
      <c r="Q36" s="28">
        <f t="shared" si="2"/>
        <v>14.924999999999999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7.1549225858946137</v>
      </c>
      <c r="C37" s="28">
        <f t="shared" si="3" ref="C37:Q37">STDEV(C9:C32)</f>
        <v>18.679294900263617</v>
      </c>
      <c r="D37" s="28">
        <f t="shared" si="3"/>
        <v>14.24600991048249</v>
      </c>
      <c r="E37" s="28">
        <f t="shared" si="3"/>
        <v>2.7364881493082245</v>
      </c>
      <c r="F37" s="28">
        <f t="shared" si="3"/>
        <v>8.9449751095318799</v>
      </c>
      <c r="G37" s="28">
        <f t="shared" si="3"/>
        <v>37.91136063287923</v>
      </c>
      <c r="H37" s="28">
        <f t="shared" si="3"/>
        <v>13.178588585332244</v>
      </c>
      <c r="I37" s="28">
        <f t="shared" si="3"/>
        <v>0.026702873970059302</v>
      </c>
      <c r="J37" s="28">
        <f t="shared" si="3"/>
        <v>0.2578840178581579</v>
      </c>
      <c r="K37" s="28">
        <f t="shared" si="3"/>
        <v>88.478480688399685</v>
      </c>
      <c r="L37" s="28">
        <f t="shared" si="3"/>
        <v>3.2710023449364072</v>
      </c>
      <c r="M37" s="28">
        <f t="shared" si="3"/>
        <v>11.553999989651585</v>
      </c>
      <c r="N37" s="28">
        <f t="shared" si="3"/>
        <v>241.86006999946258</v>
      </c>
      <c r="O37" s="28">
        <f t="shared" si="3"/>
        <v>0</v>
      </c>
      <c r="P37" s="28">
        <f t="shared" si="3"/>
        <v>0.61849381682380233</v>
      </c>
      <c r="Q37" s="28">
        <f t="shared" si="3"/>
        <v>2.1472408989819782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669291338582677" right="2.63779527559055" top="0.196850393700787" bottom="2.08661417322835" header="0.31496062992126" footer="0.15748031496063"/>
  <pageSetup orientation="landscape" paperSize="9" scale="90"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71a0584-a8b0-4924-83ea-4cf7dc1f092e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G67" sqref="G67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28-09-2023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710</v>
      </c>
      <c r="B9" s="54">
        <v>15.41</v>
      </c>
      <c r="C9" s="54">
        <v>24.35</v>
      </c>
      <c r="D9" s="54">
        <v>25.66</v>
      </c>
      <c r="E9" s="54">
        <v>1.56</v>
      </c>
      <c r="F9" s="54">
        <v>3.64</v>
      </c>
      <c r="G9" s="54">
        <v>84.04</v>
      </c>
      <c r="H9" s="54">
        <v>36.61</v>
      </c>
      <c r="I9" s="54">
        <v>1.58</v>
      </c>
      <c r="J9" s="54">
        <v>0.11</v>
      </c>
      <c r="K9" s="54">
        <v>337.68</v>
      </c>
      <c r="L9" s="54">
        <v>23.68</v>
      </c>
      <c r="M9" s="54">
        <v>98.87</v>
      </c>
      <c r="N9" s="54">
        <v>9.5</v>
      </c>
      <c r="O9" s="54">
        <v>0</v>
      </c>
      <c r="P9" s="54">
        <v>1.32</v>
      </c>
      <c r="Q9" s="54">
        <v>14.47</v>
      </c>
      <c r="R9" s="43"/>
      <c r="S9" s="43"/>
      <c r="T9" s="43"/>
      <c r="U9" s="43"/>
    </row>
    <row r="10" spans="1:21" s="11" customFormat="1" ht="15">
      <c r="A10" s="53" t="s">
        <v>711</v>
      </c>
      <c r="B10" s="54">
        <v>10.60</v>
      </c>
      <c r="C10" s="54">
        <v>26.85</v>
      </c>
      <c r="D10" s="54">
        <v>22.93</v>
      </c>
      <c r="E10" s="54">
        <v>1.27</v>
      </c>
      <c r="F10" s="54">
        <v>4.42</v>
      </c>
      <c r="G10" s="54">
        <v>81.849999999999994</v>
      </c>
      <c r="H10" s="54">
        <v>34.619999999999997</v>
      </c>
      <c r="I10" s="54">
        <v>1.55</v>
      </c>
      <c r="J10" s="54">
        <v>0.13</v>
      </c>
      <c r="K10" s="54">
        <v>271.36</v>
      </c>
      <c r="L10" s="54">
        <v>23.40</v>
      </c>
      <c r="M10" s="54">
        <v>98.89</v>
      </c>
      <c r="N10" s="54">
        <v>9.40</v>
      </c>
      <c r="O10" s="54">
        <v>0</v>
      </c>
      <c r="P10" s="54">
        <v>1.0900000000000001</v>
      </c>
      <c r="Q10" s="54">
        <v>15.65</v>
      </c>
      <c r="R10" s="43"/>
      <c r="S10" s="43"/>
      <c r="T10" s="43"/>
      <c r="U10" s="43"/>
    </row>
    <row r="11" spans="1:21" s="11" customFormat="1" ht="15">
      <c r="A11" s="53" t="s">
        <v>712</v>
      </c>
      <c r="B11" s="54">
        <v>11.08</v>
      </c>
      <c r="C11" s="54">
        <v>14.53</v>
      </c>
      <c r="D11" s="54">
        <v>17.14</v>
      </c>
      <c r="E11" s="54">
        <v>1.23</v>
      </c>
      <c r="F11" s="54">
        <v>2.40</v>
      </c>
      <c r="G11" s="54">
        <v>78.69</v>
      </c>
      <c r="H11" s="54">
        <v>31.73</v>
      </c>
      <c r="I11" s="54">
        <v>1.56</v>
      </c>
      <c r="J11" s="54">
        <v>0.17</v>
      </c>
      <c r="K11" s="54">
        <v>226.05</v>
      </c>
      <c r="L11" s="54">
        <v>23.12</v>
      </c>
      <c r="M11" s="54">
        <v>98.87</v>
      </c>
      <c r="N11" s="54">
        <v>9.1999999999999993</v>
      </c>
      <c r="O11" s="54">
        <v>0</v>
      </c>
      <c r="P11" s="54">
        <v>1.1599999999999999</v>
      </c>
      <c r="Q11" s="54">
        <v>15.14</v>
      </c>
      <c r="R11" s="43"/>
      <c r="S11" s="43"/>
      <c r="T11" s="43"/>
      <c r="U11" s="43"/>
    </row>
    <row r="12" spans="1:21" s="11" customFormat="1" ht="15">
      <c r="A12" s="53" t="s">
        <v>713</v>
      </c>
      <c r="B12" s="54">
        <v>8.9600000000000009</v>
      </c>
      <c r="C12" s="54">
        <v>12.38</v>
      </c>
      <c r="D12" s="54">
        <v>14.03</v>
      </c>
      <c r="E12" s="54">
        <v>1.1299999999999999</v>
      </c>
      <c r="F12" s="54">
        <v>7.88</v>
      </c>
      <c r="G12" s="54">
        <v>64.70</v>
      </c>
      <c r="H12" s="54">
        <v>31.73</v>
      </c>
      <c r="I12" s="54">
        <v>1.58</v>
      </c>
      <c r="J12" s="54">
        <v>0.09</v>
      </c>
      <c r="K12" s="54">
        <v>347.33</v>
      </c>
      <c r="L12" s="54">
        <v>22.95</v>
      </c>
      <c r="M12" s="54">
        <v>98.88</v>
      </c>
      <c r="N12" s="54">
        <v>9.3000000000000007</v>
      </c>
      <c r="O12" s="54">
        <v>0</v>
      </c>
      <c r="P12" s="54">
        <v>0.94</v>
      </c>
      <c r="Q12" s="54">
        <v>15.58</v>
      </c>
      <c r="R12" s="43"/>
      <c r="S12" s="43"/>
      <c r="T12" s="43"/>
      <c r="U12" s="43"/>
    </row>
    <row r="13" spans="1:21" s="11" customFormat="1" ht="15">
      <c r="A13" s="53" t="s">
        <v>714</v>
      </c>
      <c r="B13" s="54">
        <v>7.79</v>
      </c>
      <c r="C13" s="54">
        <v>14.11</v>
      </c>
      <c r="D13" s="54">
        <v>14.37</v>
      </c>
      <c r="E13" s="54">
        <v>2.31</v>
      </c>
      <c r="F13" s="54">
        <v>7.21</v>
      </c>
      <c r="G13" s="54">
        <v>56.54</v>
      </c>
      <c r="H13" s="54">
        <v>27.93</v>
      </c>
      <c r="I13" s="54">
        <v>1.56</v>
      </c>
      <c r="J13" s="54">
        <v>0.13</v>
      </c>
      <c r="K13" s="54">
        <v>299.87</v>
      </c>
      <c r="L13" s="54">
        <v>22.67</v>
      </c>
      <c r="M13" s="54">
        <v>98.88</v>
      </c>
      <c r="N13" s="54">
        <v>9.1999999999999993</v>
      </c>
      <c r="O13" s="54">
        <v>0</v>
      </c>
      <c r="P13" s="54">
        <v>0.82</v>
      </c>
      <c r="Q13" s="54">
        <v>16.16</v>
      </c>
      <c r="R13" s="43"/>
      <c r="S13" s="43"/>
      <c r="T13" s="43"/>
      <c r="U13" s="43"/>
    </row>
    <row r="14" spans="1:21" s="11" customFormat="1" ht="15">
      <c r="A14" s="53" t="s">
        <v>715</v>
      </c>
      <c r="B14" s="54">
        <v>8.57</v>
      </c>
      <c r="C14" s="54">
        <v>14.44</v>
      </c>
      <c r="D14" s="54">
        <v>15.02</v>
      </c>
      <c r="E14" s="54">
        <v>1.78</v>
      </c>
      <c r="F14" s="54">
        <v>1.21</v>
      </c>
      <c r="G14" s="54">
        <v>54.12</v>
      </c>
      <c r="H14" s="54">
        <v>24.64</v>
      </c>
      <c r="I14" s="54">
        <v>1.54</v>
      </c>
      <c r="J14" s="54">
        <v>0.06</v>
      </c>
      <c r="K14" s="54">
        <v>276.48</v>
      </c>
      <c r="L14" s="54">
        <v>22.42</v>
      </c>
      <c r="M14" s="54">
        <v>98.88</v>
      </c>
      <c r="N14" s="54">
        <v>16.600000000000001</v>
      </c>
      <c r="O14" s="54">
        <v>0</v>
      </c>
      <c r="P14" s="54">
        <v>0.84</v>
      </c>
      <c r="Q14" s="54">
        <v>15.23</v>
      </c>
      <c r="R14" s="43"/>
      <c r="S14" s="43"/>
      <c r="T14" s="43"/>
      <c r="U14" s="43"/>
    </row>
    <row r="15" spans="1:21" s="11" customFormat="1" ht="15">
      <c r="A15" s="53" t="s">
        <v>716</v>
      </c>
      <c r="B15" s="54">
        <v>39.54</v>
      </c>
      <c r="C15" s="54">
        <v>27.53</v>
      </c>
      <c r="D15" s="54">
        <v>44.84</v>
      </c>
      <c r="E15" s="54">
        <v>2.38</v>
      </c>
      <c r="F15" s="54">
        <v>4.25</v>
      </c>
      <c r="G15" s="54">
        <v>50.71</v>
      </c>
      <c r="H15" s="54">
        <v>23.79</v>
      </c>
      <c r="I15" s="54">
        <v>1.55</v>
      </c>
      <c r="J15" s="54">
        <v>0.26</v>
      </c>
      <c r="K15" s="54">
        <v>352.08</v>
      </c>
      <c r="L15" s="54">
        <v>24.60</v>
      </c>
      <c r="M15" s="54">
        <v>98.88</v>
      </c>
      <c r="N15" s="54">
        <v>123.40</v>
      </c>
      <c r="O15" s="54">
        <v>0</v>
      </c>
      <c r="P15" s="54">
        <v>1.08</v>
      </c>
      <c r="Q15" s="54">
        <v>15.10</v>
      </c>
      <c r="R15" s="43"/>
      <c r="S15" s="43"/>
      <c r="T15" s="43"/>
      <c r="U15" s="43"/>
    </row>
    <row r="16" spans="1:21" s="11" customFormat="1" ht="15">
      <c r="A16" s="53" t="s">
        <v>717</v>
      </c>
      <c r="B16" s="54">
        <v>19.82</v>
      </c>
      <c r="C16" s="54">
        <v>23.86</v>
      </c>
      <c r="D16" s="54">
        <v>30.01</v>
      </c>
      <c r="E16" s="54">
        <v>2.2000000000000002</v>
      </c>
      <c r="F16" s="54">
        <v>6.22</v>
      </c>
      <c r="G16" s="54">
        <v>58.21</v>
      </c>
      <c r="H16" s="54">
        <v>23.79</v>
      </c>
      <c r="I16" s="54">
        <v>1.57</v>
      </c>
      <c r="J16" s="54">
        <v>0.37</v>
      </c>
      <c r="K16" s="54">
        <v>346.5</v>
      </c>
      <c r="L16" s="54">
        <v>28.81</v>
      </c>
      <c r="M16" s="54">
        <v>91.94</v>
      </c>
      <c r="N16" s="54">
        <v>220.90</v>
      </c>
      <c r="O16" s="54">
        <v>0</v>
      </c>
      <c r="P16" s="54">
        <v>1</v>
      </c>
      <c r="Q16" s="54">
        <v>17.010000000000002</v>
      </c>
      <c r="R16" s="43"/>
      <c r="S16" s="43"/>
      <c r="T16" s="43"/>
      <c r="U16" s="43"/>
    </row>
    <row r="17" spans="1:21" s="11" customFormat="1" ht="15">
      <c r="A17" s="53" t="s">
        <v>718</v>
      </c>
      <c r="B17" s="54">
        <v>24.14</v>
      </c>
      <c r="C17" s="54">
        <v>35.78</v>
      </c>
      <c r="D17" s="54">
        <v>40.40</v>
      </c>
      <c r="E17" s="54">
        <v>3</v>
      </c>
      <c r="F17" s="54">
        <v>5.81</v>
      </c>
      <c r="G17" s="54">
        <v>74.13</v>
      </c>
      <c r="H17" s="54">
        <v>25.33</v>
      </c>
      <c r="I17" s="54">
        <v>1.56</v>
      </c>
      <c r="J17" s="54">
        <v>0.42</v>
      </c>
      <c r="K17" s="54">
        <v>343.62</v>
      </c>
      <c r="L17" s="54">
        <v>30.23</v>
      </c>
      <c r="M17" s="54">
        <v>80.02</v>
      </c>
      <c r="N17" s="54">
        <v>342.10</v>
      </c>
      <c r="O17" s="54">
        <v>0</v>
      </c>
      <c r="P17" s="54">
        <v>1.1100000000000001</v>
      </c>
      <c r="Q17" s="54">
        <v>16.11</v>
      </c>
      <c r="R17" s="43"/>
      <c r="S17" s="43"/>
      <c r="T17" s="43"/>
      <c r="U17" s="43"/>
    </row>
    <row r="18" spans="1:21" s="11" customFormat="1" ht="15">
      <c r="A18" s="53" t="s">
        <v>719</v>
      </c>
      <c r="B18" s="54">
        <v>27.15</v>
      </c>
      <c r="C18" s="54">
        <v>52.42</v>
      </c>
      <c r="D18" s="54">
        <v>51.99</v>
      </c>
      <c r="E18" s="54">
        <v>3.98</v>
      </c>
      <c r="F18" s="54">
        <v>15.67</v>
      </c>
      <c r="G18" s="54">
        <v>74.13</v>
      </c>
      <c r="H18" s="54">
        <v>40.31</v>
      </c>
      <c r="I18" s="54">
        <v>1.65</v>
      </c>
      <c r="J18" s="54">
        <v>0.52</v>
      </c>
      <c r="K18" s="54">
        <v>342.82</v>
      </c>
      <c r="L18" s="54">
        <v>29.81</v>
      </c>
      <c r="M18" s="54">
        <v>74.72</v>
      </c>
      <c r="N18" s="54">
        <v>586</v>
      </c>
      <c r="O18" s="54">
        <v>0</v>
      </c>
      <c r="P18" s="54">
        <v>1.58</v>
      </c>
      <c r="Q18" s="54">
        <v>17.09</v>
      </c>
      <c r="R18" s="43"/>
      <c r="S18" s="43"/>
      <c r="T18" s="43"/>
      <c r="U18" s="43"/>
    </row>
    <row r="19" spans="1:21" s="11" customFormat="1" ht="15">
      <c r="A19" s="53" t="s">
        <v>720</v>
      </c>
      <c r="B19" s="54">
        <v>15.63</v>
      </c>
      <c r="C19" s="54">
        <v>20.54</v>
      </c>
      <c r="D19" s="54">
        <v>23.89</v>
      </c>
      <c r="E19" s="54">
        <v>7.92</v>
      </c>
      <c r="F19" s="54">
        <v>12.75</v>
      </c>
      <c r="G19" s="54">
        <v>126.85</v>
      </c>
      <c r="H19" s="54">
        <v>41.72</v>
      </c>
      <c r="I19" s="54">
        <v>1.53</v>
      </c>
      <c r="J19" s="54">
        <v>0.89</v>
      </c>
      <c r="K19" s="54">
        <v>340.48</v>
      </c>
      <c r="L19" s="54">
        <v>30.66</v>
      </c>
      <c r="M19" s="54">
        <v>72.37</v>
      </c>
      <c r="N19" s="54">
        <v>762.20</v>
      </c>
      <c r="O19" s="54">
        <v>0</v>
      </c>
      <c r="P19" s="54">
        <v>1.1000000000000001</v>
      </c>
      <c r="Q19" s="54">
        <v>19.510000000000002</v>
      </c>
      <c r="R19" s="43"/>
      <c r="S19" s="43"/>
      <c r="T19" s="43"/>
      <c r="U19" s="43"/>
    </row>
    <row r="20" spans="1:21" s="11" customFormat="1" ht="15">
      <c r="A20" s="53" t="s">
        <v>721</v>
      </c>
      <c r="B20" s="54">
        <v>13.69</v>
      </c>
      <c r="C20" s="54">
        <v>22.09</v>
      </c>
      <c r="D20" s="54">
        <v>24.46</v>
      </c>
      <c r="E20" s="54">
        <v>10.36</v>
      </c>
      <c r="F20" s="54">
        <v>9.48</v>
      </c>
      <c r="G20" s="54">
        <v>126.85</v>
      </c>
      <c r="H20" s="54">
        <v>41.72</v>
      </c>
      <c r="I20" s="54">
        <v>1.62</v>
      </c>
      <c r="J20" s="54">
        <v>0.52</v>
      </c>
      <c r="K20" s="54">
        <v>339.71</v>
      </c>
      <c r="L20" s="54">
        <v>31.76</v>
      </c>
      <c r="M20" s="54">
        <v>81.25</v>
      </c>
      <c r="N20" s="54">
        <v>529.70000000000005</v>
      </c>
      <c r="O20" s="54">
        <v>0</v>
      </c>
      <c r="P20" s="54">
        <v>1.05</v>
      </c>
      <c r="Q20" s="54">
        <v>17.84</v>
      </c>
      <c r="R20" s="43"/>
      <c r="S20" s="43"/>
      <c r="T20" s="43"/>
      <c r="U20" s="43"/>
    </row>
    <row r="21" spans="1:21" s="11" customFormat="1" ht="15">
      <c r="A21" s="53" t="s">
        <v>722</v>
      </c>
      <c r="B21" s="54">
        <v>9.48</v>
      </c>
      <c r="C21" s="54">
        <v>37.270000000000003</v>
      </c>
      <c r="D21" s="54">
        <v>28.20</v>
      </c>
      <c r="E21" s="54">
        <v>9</v>
      </c>
      <c r="F21" s="54">
        <v>17.559999999999999</v>
      </c>
      <c r="G21" s="54">
        <v>114.23</v>
      </c>
      <c r="H21" s="54">
        <v>38.96</v>
      </c>
      <c r="I21" s="54">
        <v>1.52</v>
      </c>
      <c r="J21" s="54">
        <v>0.46</v>
      </c>
      <c r="K21" s="54">
        <v>327.64999999999998</v>
      </c>
      <c r="L21" s="54">
        <v>29.19</v>
      </c>
      <c r="M21" s="54">
        <v>76.80</v>
      </c>
      <c r="N21" s="54">
        <v>280.30</v>
      </c>
      <c r="O21" s="54">
        <v>0</v>
      </c>
      <c r="P21" s="54">
        <v>1.04</v>
      </c>
      <c r="Q21" s="54">
        <v>16.079999999999998</v>
      </c>
      <c r="R21" s="43"/>
      <c r="S21" s="43"/>
      <c r="T21" s="43"/>
      <c r="U21" s="43"/>
    </row>
    <row r="22" spans="1:21" s="11" customFormat="1" ht="15">
      <c r="A22" s="53" t="s">
        <v>723</v>
      </c>
      <c r="B22" s="54">
        <v>9.15</v>
      </c>
      <c r="C22" s="54">
        <v>27.79</v>
      </c>
      <c r="D22" s="54">
        <v>22.91</v>
      </c>
      <c r="E22" s="54">
        <v>8.5399999999999991</v>
      </c>
      <c r="F22" s="54">
        <v>16.18</v>
      </c>
      <c r="G22" s="54">
        <v>114.23</v>
      </c>
      <c r="H22" s="54">
        <v>41.26</v>
      </c>
      <c r="I22" s="54">
        <v>1.53</v>
      </c>
      <c r="J22" s="54">
        <v>0.41</v>
      </c>
      <c r="K22" s="54">
        <v>355.16</v>
      </c>
      <c r="L22" s="54">
        <v>30.65</v>
      </c>
      <c r="M22" s="54">
        <v>70.12</v>
      </c>
      <c r="N22" s="54">
        <v>581.10</v>
      </c>
      <c r="O22" s="54">
        <v>0</v>
      </c>
      <c r="P22" s="54">
        <v>0.98</v>
      </c>
      <c r="Q22" s="54">
        <v>15.63</v>
      </c>
      <c r="R22" s="43"/>
      <c r="S22" s="43"/>
      <c r="T22" s="43"/>
      <c r="U22" s="43"/>
    </row>
    <row r="23" spans="1:21" s="11" customFormat="1" ht="15">
      <c r="A23" s="53" t="s">
        <v>724</v>
      </c>
      <c r="B23" s="54">
        <v>7.23</v>
      </c>
      <c r="C23" s="54">
        <v>26.96</v>
      </c>
      <c r="D23" s="54">
        <v>21.32</v>
      </c>
      <c r="E23" s="54">
        <v>13.53</v>
      </c>
      <c r="F23" s="54">
        <v>16.309999999999999</v>
      </c>
      <c r="G23" s="54">
        <v>109.46</v>
      </c>
      <c r="H23" s="54">
        <v>41.26</v>
      </c>
      <c r="I23" s="54">
        <v>1.52</v>
      </c>
      <c r="J23" s="54">
        <v>0.72</v>
      </c>
      <c r="K23" s="54">
        <v>344.92</v>
      </c>
      <c r="L23" s="54">
        <v>30.54</v>
      </c>
      <c r="M23" s="54">
        <v>62.95</v>
      </c>
      <c r="N23" s="54">
        <v>252.40</v>
      </c>
      <c r="O23" s="54">
        <v>0</v>
      </c>
      <c r="P23" s="54">
        <v>0.92</v>
      </c>
      <c r="Q23" s="54">
        <v>15.02</v>
      </c>
      <c r="R23" s="43"/>
      <c r="S23" s="43"/>
      <c r="T23" s="43"/>
      <c r="U23" s="43"/>
    </row>
    <row r="24" spans="1:21" s="11" customFormat="1" ht="15">
      <c r="A24" s="53" t="s">
        <v>725</v>
      </c>
      <c r="B24" s="54">
        <v>9.27</v>
      </c>
      <c r="C24" s="54">
        <v>41.60</v>
      </c>
      <c r="D24" s="54">
        <v>31.68</v>
      </c>
      <c r="E24" s="54">
        <v>13.5</v>
      </c>
      <c r="F24" s="54">
        <v>31.32</v>
      </c>
      <c r="G24" s="54">
        <v>109.46</v>
      </c>
      <c r="H24" s="54">
        <v>40.909999999999997</v>
      </c>
      <c r="I24" s="54">
        <v>1.52</v>
      </c>
      <c r="J24" s="54">
        <v>0.76</v>
      </c>
      <c r="K24" s="54">
        <v>356.21</v>
      </c>
      <c r="L24" s="54">
        <v>29.90</v>
      </c>
      <c r="M24" s="54">
        <v>63.36</v>
      </c>
      <c r="N24" s="54">
        <v>231</v>
      </c>
      <c r="O24" s="54">
        <v>0</v>
      </c>
      <c r="P24" s="54">
        <v>0.99</v>
      </c>
      <c r="Q24" s="54">
        <v>16.059999999999999</v>
      </c>
      <c r="R24" s="43"/>
      <c r="S24" s="43"/>
      <c r="T24" s="43"/>
      <c r="U24" s="43"/>
    </row>
    <row r="25" spans="1:21" s="11" customFormat="1" ht="15">
      <c r="A25" s="53" t="s">
        <v>726</v>
      </c>
      <c r="B25" s="54">
        <v>7.79</v>
      </c>
      <c r="C25" s="54">
        <v>36.729999999999997</v>
      </c>
      <c r="D25" s="54">
        <v>27.81</v>
      </c>
      <c r="E25" s="54">
        <v>11.40</v>
      </c>
      <c r="F25" s="54">
        <v>33.67</v>
      </c>
      <c r="G25" s="54">
        <v>105.96</v>
      </c>
      <c r="H25" s="54">
        <v>42.29</v>
      </c>
      <c r="I25" s="54">
        <v>1.60</v>
      </c>
      <c r="J25" s="54">
        <v>0.80</v>
      </c>
      <c r="K25" s="54">
        <v>341.19</v>
      </c>
      <c r="L25" s="54">
        <v>29.08</v>
      </c>
      <c r="M25" s="54">
        <v>73.599999999999994</v>
      </c>
      <c r="N25" s="54">
        <v>134.80000000000001</v>
      </c>
      <c r="O25" s="54">
        <v>0</v>
      </c>
      <c r="P25" s="54">
        <v>0.90</v>
      </c>
      <c r="Q25" s="54">
        <v>16.739999999999998</v>
      </c>
      <c r="R25" s="43"/>
      <c r="S25" s="43"/>
      <c r="T25" s="43"/>
      <c r="U25" s="43"/>
    </row>
    <row r="26" spans="1:21" s="11" customFormat="1" ht="15">
      <c r="A26" s="53" t="s">
        <v>727</v>
      </c>
      <c r="B26" s="54">
        <v>6.02</v>
      </c>
      <c r="C26" s="54">
        <v>36.53</v>
      </c>
      <c r="D26" s="54">
        <v>26.28</v>
      </c>
      <c r="E26" s="54">
        <v>13.39</v>
      </c>
      <c r="F26" s="54">
        <v>23.13</v>
      </c>
      <c r="G26" s="54">
        <v>105.96</v>
      </c>
      <c r="H26" s="54">
        <v>42.29</v>
      </c>
      <c r="I26" s="54">
        <v>1.52</v>
      </c>
      <c r="J26" s="54">
        <v>0.60</v>
      </c>
      <c r="K26" s="54">
        <v>107.45</v>
      </c>
      <c r="L26" s="54">
        <v>27.49</v>
      </c>
      <c r="M26" s="54">
        <v>79.849999999999994</v>
      </c>
      <c r="N26" s="54">
        <v>44.10</v>
      </c>
      <c r="O26" s="54">
        <v>0</v>
      </c>
      <c r="P26" s="54">
        <v>0.90</v>
      </c>
      <c r="Q26" s="54">
        <v>16.21</v>
      </c>
      <c r="R26" s="43"/>
      <c r="S26" s="43"/>
      <c r="T26" s="43"/>
      <c r="U26" s="43"/>
    </row>
    <row r="27" spans="1:21" s="11" customFormat="1" ht="15">
      <c r="A27" s="53" t="s">
        <v>728</v>
      </c>
      <c r="B27" s="54">
        <v>13.84</v>
      </c>
      <c r="C27" s="54">
        <v>55.55</v>
      </c>
      <c r="D27" s="54">
        <v>43.05</v>
      </c>
      <c r="E27" s="54">
        <v>5.90</v>
      </c>
      <c r="F27" s="54">
        <v>19.52</v>
      </c>
      <c r="G27" s="54">
        <v>100.40</v>
      </c>
      <c r="H27" s="54">
        <v>37.61</v>
      </c>
      <c r="I27" s="54">
        <v>1.62</v>
      </c>
      <c r="J27" s="54">
        <v>0.28000000000000003</v>
      </c>
      <c r="K27" s="54">
        <v>99.59</v>
      </c>
      <c r="L27" s="54">
        <v>26.62</v>
      </c>
      <c r="M27" s="54">
        <v>84.56</v>
      </c>
      <c r="N27" s="54">
        <v>9.40</v>
      </c>
      <c r="O27" s="54">
        <v>0</v>
      </c>
      <c r="P27" s="54">
        <v>1.42</v>
      </c>
      <c r="Q27" s="54">
        <v>16.63</v>
      </c>
      <c r="R27" s="43"/>
      <c r="S27" s="43"/>
      <c r="T27" s="43"/>
      <c r="U27" s="43"/>
    </row>
    <row r="28" spans="1:21" s="11" customFormat="1" ht="15">
      <c r="A28" s="53" t="s">
        <v>729</v>
      </c>
      <c r="B28" s="54">
        <v>18.87</v>
      </c>
      <c r="C28" s="54">
        <v>52.81</v>
      </c>
      <c r="D28" s="54">
        <v>45.57</v>
      </c>
      <c r="E28" s="54">
        <v>3.64</v>
      </c>
      <c r="F28" s="54">
        <v>13.27</v>
      </c>
      <c r="G28" s="54">
        <v>74.61</v>
      </c>
      <c r="H28" s="54">
        <v>34.700000000000003</v>
      </c>
      <c r="I28" s="54">
        <v>1.52</v>
      </c>
      <c r="J28" s="54">
        <v>0.18</v>
      </c>
      <c r="K28" s="54">
        <v>89.56</v>
      </c>
      <c r="L28" s="54">
        <v>26.11</v>
      </c>
      <c r="M28" s="54">
        <v>89.43</v>
      </c>
      <c r="N28" s="54">
        <v>9.3000000000000007</v>
      </c>
      <c r="O28" s="54">
        <v>0</v>
      </c>
      <c r="P28" s="54">
        <v>1.67</v>
      </c>
      <c r="Q28" s="54">
        <v>16.489999999999998</v>
      </c>
      <c r="R28" s="43"/>
      <c r="S28" s="43"/>
      <c r="T28" s="43"/>
      <c r="U28" s="43"/>
    </row>
    <row r="29" spans="1:21" s="11" customFormat="1" ht="15">
      <c r="A29" s="53" t="s">
        <v>730</v>
      </c>
      <c r="B29" s="54">
        <v>8.91</v>
      </c>
      <c r="C29" s="54">
        <v>48.70</v>
      </c>
      <c r="D29" s="54">
        <v>35.31</v>
      </c>
      <c r="E29" s="54">
        <v>2.0499999999999998</v>
      </c>
      <c r="F29" s="54">
        <v>11.5</v>
      </c>
      <c r="G29" s="54">
        <v>90.19</v>
      </c>
      <c r="H29" s="54">
        <v>34.700000000000003</v>
      </c>
      <c r="I29" s="54">
        <v>1.59</v>
      </c>
      <c r="J29" s="54">
        <v>0.41</v>
      </c>
      <c r="K29" s="54">
        <v>116.57</v>
      </c>
      <c r="L29" s="54">
        <v>25.96</v>
      </c>
      <c r="M29" s="54">
        <v>91.72</v>
      </c>
      <c r="N29" s="54">
        <v>9.10</v>
      </c>
      <c r="O29" s="54">
        <v>0</v>
      </c>
      <c r="P29" s="54">
        <v>1.39</v>
      </c>
      <c r="Q29" s="54">
        <v>15.19</v>
      </c>
      <c r="R29" s="43"/>
      <c r="S29" s="43"/>
      <c r="T29" s="43"/>
      <c r="U29" s="43"/>
    </row>
    <row r="30" spans="1:21" s="11" customFormat="1" ht="15">
      <c r="A30" s="53" t="s">
        <v>731</v>
      </c>
      <c r="B30" s="54">
        <v>58.83</v>
      </c>
      <c r="C30" s="54">
        <v>74.790000000000006</v>
      </c>
      <c r="D30" s="54">
        <v>84.32</v>
      </c>
      <c r="E30" s="54">
        <v>2.25</v>
      </c>
      <c r="F30" s="54">
        <v>10.09</v>
      </c>
      <c r="G30" s="54">
        <v>90.19</v>
      </c>
      <c r="H30" s="54">
        <v>30.31</v>
      </c>
      <c r="I30" s="54">
        <v>1.53</v>
      </c>
      <c r="J30" s="54">
        <v>0.17</v>
      </c>
      <c r="K30" s="54">
        <v>348.47</v>
      </c>
      <c r="L30" s="54">
        <v>25.73</v>
      </c>
      <c r="M30" s="54">
        <v>98.76</v>
      </c>
      <c r="N30" s="54">
        <v>9.5</v>
      </c>
      <c r="O30" s="54">
        <v>0</v>
      </c>
      <c r="P30" s="54">
        <v>2.25</v>
      </c>
      <c r="Q30" s="54">
        <v>14.82</v>
      </c>
      <c r="R30" s="43"/>
      <c r="S30" s="43"/>
      <c r="T30" s="43"/>
      <c r="U30" s="43"/>
    </row>
    <row r="31" spans="1:21" s="11" customFormat="1" ht="15">
      <c r="A31" s="53" t="s">
        <v>732</v>
      </c>
      <c r="B31" s="54">
        <v>38.97</v>
      </c>
      <c r="C31" s="54">
        <v>74.02</v>
      </c>
      <c r="D31" s="54">
        <v>73.39</v>
      </c>
      <c r="E31" s="54">
        <v>2.61</v>
      </c>
      <c r="F31" s="54">
        <v>3.79</v>
      </c>
      <c r="G31" s="54">
        <v>111.72</v>
      </c>
      <c r="H31" s="54">
        <v>35.700000000000003</v>
      </c>
      <c r="I31" s="54">
        <v>1.52</v>
      </c>
      <c r="J31" s="54">
        <v>0.08</v>
      </c>
      <c r="K31" s="54">
        <v>352.09</v>
      </c>
      <c r="L31" s="54">
        <v>24.81</v>
      </c>
      <c r="M31" s="54">
        <v>98.83</v>
      </c>
      <c r="N31" s="54">
        <v>9.1999999999999993</v>
      </c>
      <c r="O31" s="54">
        <v>0</v>
      </c>
      <c r="P31" s="54">
        <v>2.15</v>
      </c>
      <c r="Q31" s="54">
        <v>17.04</v>
      </c>
      <c r="R31" s="43"/>
      <c r="S31" s="43"/>
      <c r="T31" s="43"/>
      <c r="U31" s="43"/>
    </row>
    <row r="32" spans="1:21" s="11" customFormat="1" ht="15">
      <c r="A32" s="53" t="s">
        <v>733</v>
      </c>
      <c r="B32" s="54">
        <v>14.37</v>
      </c>
      <c r="C32" s="54">
        <v>30.14</v>
      </c>
      <c r="D32" s="54">
        <v>27.36</v>
      </c>
      <c r="E32" s="54">
        <v>1.1200000000000001</v>
      </c>
      <c r="F32" s="54">
        <v>2.83</v>
      </c>
      <c r="G32" s="54">
        <v>111.72</v>
      </c>
      <c r="H32" s="54">
        <v>35.700000000000003</v>
      </c>
      <c r="I32" s="54">
        <v>1.5</v>
      </c>
      <c r="J32" s="54">
        <v>0.070000000000000007</v>
      </c>
      <c r="K32" s="54">
        <v>314.70999999999998</v>
      </c>
      <c r="L32" s="54">
        <v>24.56</v>
      </c>
      <c r="M32" s="54">
        <v>98.88</v>
      </c>
      <c r="N32" s="54">
        <v>9.10</v>
      </c>
      <c r="O32" s="54">
        <v>0</v>
      </c>
      <c r="P32" s="54">
        <v>1.24</v>
      </c>
      <c r="Q32" s="54">
        <v>16.14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6.0199999999999996</v>
      </c>
      <c r="C34" s="28">
        <f t="shared" si="0"/>
        <v>12.380000000000001</v>
      </c>
      <c r="D34" s="28">
        <f t="shared" si="0"/>
        <v>14.029999999999999</v>
      </c>
      <c r="E34" s="28">
        <f t="shared" si="0"/>
        <v>1.1200000000000001</v>
      </c>
      <c r="F34" s="28">
        <f t="shared" si="0"/>
        <v>1.21</v>
      </c>
      <c r="G34" s="28">
        <f t="shared" si="0"/>
        <v>50.710000000000001</v>
      </c>
      <c r="H34" s="28">
        <f t="shared" si="0"/>
        <v>23.789999999999999</v>
      </c>
      <c r="I34" s="28">
        <f t="shared" si="0"/>
        <v>1.5</v>
      </c>
      <c r="J34" s="28">
        <f t="shared" si="0"/>
        <v>0.059999999999999998</v>
      </c>
      <c r="K34" s="28">
        <f t="shared" si="0"/>
        <v>89.560000000000002</v>
      </c>
      <c r="L34" s="28">
        <f t="shared" si="0"/>
        <v>22.420000000000002</v>
      </c>
      <c r="M34" s="28">
        <f t="shared" si="0"/>
        <v>62.950000000000003</v>
      </c>
      <c r="N34" s="28">
        <f t="shared" si="0"/>
        <v>9.0999999999999996</v>
      </c>
      <c r="O34" s="28">
        <f t="shared" si="0"/>
        <v>0</v>
      </c>
      <c r="P34" s="28">
        <f t="shared" si="0"/>
        <v>0.81999999999999995</v>
      </c>
      <c r="Q34" s="28">
        <f t="shared" si="0"/>
        <v>14.470000000000001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58.829999999999998</v>
      </c>
      <c r="C35" s="29">
        <f t="shared" si="1"/>
        <v>74.790000000000006</v>
      </c>
      <c r="D35" s="29">
        <f t="shared" si="1"/>
        <v>84.319999999999993</v>
      </c>
      <c r="E35" s="29">
        <f t="shared" si="1"/>
        <v>13.529999999999999</v>
      </c>
      <c r="F35" s="29">
        <f t="shared" si="1"/>
        <v>33.670000000000002</v>
      </c>
      <c r="G35" s="29">
        <f t="shared" si="1"/>
        <v>126.84999999999999</v>
      </c>
      <c r="H35" s="29">
        <f t="shared" si="1"/>
        <v>42.289999999999999</v>
      </c>
      <c r="I35" s="29">
        <f t="shared" si="1"/>
        <v>1.6499999999999999</v>
      </c>
      <c r="J35" s="29">
        <f t="shared" si="1"/>
        <v>0.89000000000000001</v>
      </c>
      <c r="K35" s="29">
        <f t="shared" si="1"/>
        <v>356.20999999999998</v>
      </c>
      <c r="L35" s="29">
        <f t="shared" si="1"/>
        <v>31.760000000000002</v>
      </c>
      <c r="M35" s="29">
        <f t="shared" si="1"/>
        <v>98.890000000000001</v>
      </c>
      <c r="N35" s="29">
        <f t="shared" si="1"/>
        <v>762.20000000000005</v>
      </c>
      <c r="O35" s="29">
        <f t="shared" si="1"/>
        <v>0</v>
      </c>
      <c r="P35" s="29">
        <f t="shared" si="1"/>
        <v>2.25</v>
      </c>
      <c r="Q35" s="29">
        <f t="shared" si="1"/>
        <v>19.510000000000002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16.879583333333333</v>
      </c>
      <c r="C36" s="28">
        <f t="shared" si="2"/>
        <v>34.657083333333325</v>
      </c>
      <c r="D36" s="28">
        <f t="shared" si="2"/>
        <v>32.997499999999995</v>
      </c>
      <c r="E36" s="28">
        <f t="shared" si="2"/>
        <v>5.2520833333333341</v>
      </c>
      <c r="F36" s="28">
        <f t="shared" si="2"/>
        <v>11.671250000000001</v>
      </c>
      <c r="G36" s="28">
        <f t="shared" si="2"/>
        <v>90.372916666666654</v>
      </c>
      <c r="H36" s="28">
        <f t="shared" si="2"/>
        <v>34.983750000000001</v>
      </c>
      <c r="I36" s="28">
        <f t="shared" si="2"/>
        <v>1.5558333333333338</v>
      </c>
      <c r="J36" s="28">
        <f t="shared" si="2"/>
        <v>0.35874999999999996</v>
      </c>
      <c r="K36" s="28">
        <f t="shared" si="2"/>
        <v>290.73124999999999</v>
      </c>
      <c r="L36" s="28">
        <f t="shared" si="2"/>
        <v>26.864583333333329</v>
      </c>
      <c r="M36" s="28">
        <f t="shared" si="2"/>
        <v>86.721249999999984</v>
      </c>
      <c r="N36" s="28">
        <f t="shared" si="2"/>
        <v>175.28333333333339</v>
      </c>
      <c r="O36" s="28">
        <f t="shared" si="2"/>
        <v>0</v>
      </c>
      <c r="P36" s="28">
        <f t="shared" si="2"/>
        <v>1.2058333333333331</v>
      </c>
      <c r="Q36" s="28">
        <f t="shared" si="2"/>
        <v>16.122499999999999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12.81744174405793</v>
      </c>
      <c r="C37" s="28">
        <f t="shared" si="3" ref="C37:Q37">STDEV(C9:C32)</f>
        <v>17.51250968510838</v>
      </c>
      <c r="D37" s="28">
        <f t="shared" si="3"/>
        <v>17.512508138594775</v>
      </c>
      <c r="E37" s="28">
        <f t="shared" si="3"/>
        <v>4.436029343971895</v>
      </c>
      <c r="F37" s="28">
        <f t="shared" si="3"/>
        <v>8.7790963744666719</v>
      </c>
      <c r="G37" s="28">
        <f t="shared" si="3"/>
        <v>23.569544549134285</v>
      </c>
      <c r="H37" s="28">
        <f t="shared" si="3"/>
        <v>6.2901640349800658</v>
      </c>
      <c r="I37" s="28">
        <f t="shared" si="3"/>
        <v>0.038888543821795525</v>
      </c>
      <c r="J37" s="28">
        <f t="shared" si="3"/>
        <v>0.25590950336602097</v>
      </c>
      <c r="K37" s="28">
        <f t="shared" si="3"/>
        <v>91.223076281145083</v>
      </c>
      <c r="L37" s="28">
        <f t="shared" si="3"/>
        <v>3.0655887854455517</v>
      </c>
      <c r="M37" s="28">
        <f t="shared" si="3"/>
        <v>12.627243257442025</v>
      </c>
      <c r="N37" s="28">
        <f t="shared" si="3"/>
        <v>228.72567519356809</v>
      </c>
      <c r="O37" s="28">
        <f t="shared" si="3"/>
        <v>0</v>
      </c>
      <c r="P37" s="28">
        <f t="shared" si="3"/>
        <v>0.37860058874373392</v>
      </c>
      <c r="Q37" s="28">
        <f t="shared" si="3"/>
        <v>1.1005818619178716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04c44b7-421c-4131-9efa-92b0368d1a4c}">
  <sheetPr codeName=""/>
  <dimension ref="A1:U119"/>
  <sheetViews>
    <sheetView workbookViewId="0" topLeftCell="A1">
      <selection pane="topLeft" activeCell="G52" sqref="G52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29-09-2023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734</v>
      </c>
      <c r="B9" s="54">
        <v>9.94</v>
      </c>
      <c r="C9" s="54">
        <v>25.71</v>
      </c>
      <c r="D9" s="54">
        <v>23.45</v>
      </c>
      <c r="E9" s="54">
        <v>1.57</v>
      </c>
      <c r="F9" s="54">
        <v>8.06</v>
      </c>
      <c r="G9" s="54">
        <v>102.04</v>
      </c>
      <c r="H9" s="54">
        <v>34.909999999999997</v>
      </c>
      <c r="I9" s="54">
        <v>1.53</v>
      </c>
      <c r="J9" s="54">
        <v>0.13</v>
      </c>
      <c r="K9" s="54">
        <v>347.17</v>
      </c>
      <c r="L9" s="54">
        <v>24.20</v>
      </c>
      <c r="M9" s="54">
        <v>98.87</v>
      </c>
      <c r="N9" s="54">
        <v>9.1999999999999993</v>
      </c>
      <c r="O9" s="54">
        <v>0</v>
      </c>
      <c r="P9" s="54">
        <v>0.84</v>
      </c>
      <c r="Q9" s="54">
        <v>17.170000000000002</v>
      </c>
      <c r="R9" s="43"/>
      <c r="S9" s="43"/>
      <c r="T9" s="43"/>
      <c r="U9" s="43"/>
    </row>
    <row r="10" spans="1:21" s="11" customFormat="1" ht="15">
      <c r="A10" s="53" t="s">
        <v>735</v>
      </c>
      <c r="B10" s="54">
        <v>12.75</v>
      </c>
      <c r="C10" s="54">
        <v>20.59</v>
      </c>
      <c r="D10" s="54">
        <v>20.18</v>
      </c>
      <c r="E10" s="54">
        <v>1.86</v>
      </c>
      <c r="F10" s="54">
        <v>2.63</v>
      </c>
      <c r="G10" s="54">
        <v>68.64</v>
      </c>
      <c r="H10" s="54">
        <v>32.96</v>
      </c>
      <c r="I10" s="54">
        <v>1.54</v>
      </c>
      <c r="J10" s="54">
        <v>0.49</v>
      </c>
      <c r="K10" s="54">
        <v>357.71</v>
      </c>
      <c r="L10" s="54">
        <v>23.55</v>
      </c>
      <c r="M10" s="54">
        <v>98.88</v>
      </c>
      <c r="N10" s="54">
        <v>9.1999999999999993</v>
      </c>
      <c r="O10" s="54">
        <v>0</v>
      </c>
      <c r="P10" s="54">
        <v>1.08</v>
      </c>
      <c r="Q10" s="54">
        <v>17.23</v>
      </c>
      <c r="R10" s="43"/>
      <c r="S10" s="43"/>
      <c r="T10" s="43"/>
      <c r="U10" s="43"/>
    </row>
    <row r="11" spans="1:21" s="11" customFormat="1" ht="15">
      <c r="A11" s="53" t="s">
        <v>736</v>
      </c>
      <c r="B11" s="54">
        <v>11.14</v>
      </c>
      <c r="C11" s="54">
        <v>20.43</v>
      </c>
      <c r="D11" s="54">
        <v>19.32</v>
      </c>
      <c r="E11" s="54">
        <v>1.51</v>
      </c>
      <c r="F11" s="54">
        <v>2.2999999999999998</v>
      </c>
      <c r="G11" s="54">
        <v>56.67</v>
      </c>
      <c r="H11" s="54">
        <v>30.11</v>
      </c>
      <c r="I11" s="54">
        <v>1.58</v>
      </c>
      <c r="J11" s="54">
        <v>0.36</v>
      </c>
      <c r="K11" s="54">
        <v>345.89</v>
      </c>
      <c r="L11" s="54">
        <v>23.29</v>
      </c>
      <c r="M11" s="54">
        <v>98.88</v>
      </c>
      <c r="N11" s="54">
        <v>9.10</v>
      </c>
      <c r="O11" s="54">
        <v>0</v>
      </c>
      <c r="P11" s="54">
        <v>0.97</v>
      </c>
      <c r="Q11" s="54">
        <v>15.67</v>
      </c>
      <c r="R11" s="43"/>
      <c r="S11" s="43"/>
      <c r="T11" s="43"/>
      <c r="U11" s="43"/>
    </row>
    <row r="12" spans="1:21" s="11" customFormat="1" ht="15">
      <c r="A12" s="53" t="s">
        <v>737</v>
      </c>
      <c r="B12" s="54">
        <v>7.03</v>
      </c>
      <c r="C12" s="54">
        <v>28.85</v>
      </c>
      <c r="D12" s="54">
        <v>22.02</v>
      </c>
      <c r="E12" s="54">
        <v>1.22</v>
      </c>
      <c r="F12" s="54">
        <v>4.4800000000000004</v>
      </c>
      <c r="G12" s="54">
        <v>78.20</v>
      </c>
      <c r="H12" s="54">
        <v>31.88</v>
      </c>
      <c r="I12" s="54">
        <v>1.53</v>
      </c>
      <c r="J12" s="54">
        <v>0.36</v>
      </c>
      <c r="K12" s="54">
        <v>323.83</v>
      </c>
      <c r="L12" s="54">
        <v>23.48</v>
      </c>
      <c r="M12" s="54">
        <v>98.88</v>
      </c>
      <c r="N12" s="54">
        <v>9.10</v>
      </c>
      <c r="O12" s="54">
        <v>0</v>
      </c>
      <c r="P12" s="54">
        <v>0.85</v>
      </c>
      <c r="Q12" s="54">
        <v>16.809999999999999</v>
      </c>
      <c r="R12" s="43"/>
      <c r="S12" s="43"/>
      <c r="T12" s="43"/>
      <c r="U12" s="43"/>
    </row>
    <row r="13" spans="1:21" s="11" customFormat="1" ht="15">
      <c r="A13" s="53" t="s">
        <v>738</v>
      </c>
      <c r="B13" s="54">
        <v>11.27</v>
      </c>
      <c r="C13" s="54">
        <v>19.690000000000001</v>
      </c>
      <c r="D13" s="54">
        <v>20.70</v>
      </c>
      <c r="E13" s="54">
        <v>1.76</v>
      </c>
      <c r="F13" s="54">
        <v>1.92</v>
      </c>
      <c r="G13" s="54">
        <v>103.96</v>
      </c>
      <c r="H13" s="54">
        <v>32.96</v>
      </c>
      <c r="I13" s="54">
        <v>1.55</v>
      </c>
      <c r="J13" s="54">
        <v>0.32</v>
      </c>
      <c r="K13" s="54">
        <v>303.79000000000002</v>
      </c>
      <c r="L13" s="54">
        <v>23.47</v>
      </c>
      <c r="M13" s="54">
        <v>98.85</v>
      </c>
      <c r="N13" s="54">
        <v>9.10</v>
      </c>
      <c r="O13" s="54">
        <v>0</v>
      </c>
      <c r="P13" s="54">
        <v>0.92</v>
      </c>
      <c r="Q13" s="54">
        <v>16.850000000000001</v>
      </c>
      <c r="R13" s="43"/>
      <c r="S13" s="43"/>
      <c r="T13" s="43"/>
      <c r="U13" s="43"/>
    </row>
    <row r="14" spans="1:21" s="11" customFormat="1" ht="15">
      <c r="A14" s="53" t="s">
        <v>739</v>
      </c>
      <c r="B14" s="54">
        <v>15.28</v>
      </c>
      <c r="C14" s="54">
        <v>20.46</v>
      </c>
      <c r="D14" s="54">
        <v>24.56</v>
      </c>
      <c r="E14" s="54">
        <v>1.78</v>
      </c>
      <c r="F14" s="54">
        <v>4.84</v>
      </c>
      <c r="G14" s="54">
        <v>108.84</v>
      </c>
      <c r="H14" s="54">
        <v>34.11</v>
      </c>
      <c r="I14" s="54">
        <v>1.54</v>
      </c>
      <c r="J14" s="54">
        <v>0.10</v>
      </c>
      <c r="K14" s="54">
        <v>107.80</v>
      </c>
      <c r="L14" s="54">
        <v>23.24</v>
      </c>
      <c r="M14" s="54">
        <v>98.86</v>
      </c>
      <c r="N14" s="54">
        <v>14.40</v>
      </c>
      <c r="O14" s="54">
        <v>0</v>
      </c>
      <c r="P14" s="54">
        <v>0.89</v>
      </c>
      <c r="Q14" s="54">
        <v>16.079999999999998</v>
      </c>
      <c r="R14" s="43"/>
      <c r="S14" s="43"/>
      <c r="T14" s="43"/>
      <c r="U14" s="43"/>
    </row>
    <row r="15" spans="1:21" s="11" customFormat="1" ht="15">
      <c r="A15" s="53" t="s">
        <v>740</v>
      </c>
      <c r="B15" s="54">
        <v>27</v>
      </c>
      <c r="C15" s="54">
        <v>33.880000000000003</v>
      </c>
      <c r="D15" s="54">
        <v>41.64</v>
      </c>
      <c r="E15" s="54">
        <v>1.91</v>
      </c>
      <c r="F15" s="54">
        <v>4.2699999999999996</v>
      </c>
      <c r="G15" s="54">
        <v>108.84</v>
      </c>
      <c r="H15" s="54">
        <v>34.11</v>
      </c>
      <c r="I15" s="54">
        <v>1.51</v>
      </c>
      <c r="J15" s="54">
        <v>0.13</v>
      </c>
      <c r="K15" s="54">
        <v>336.99</v>
      </c>
      <c r="L15" s="54">
        <v>24.33</v>
      </c>
      <c r="M15" s="54">
        <v>98.85</v>
      </c>
      <c r="N15" s="54">
        <v>60.5</v>
      </c>
      <c r="O15" s="54">
        <v>0</v>
      </c>
      <c r="P15" s="54">
        <v>1</v>
      </c>
      <c r="Q15" s="54">
        <v>16.059999999999999</v>
      </c>
      <c r="R15" s="43"/>
      <c r="S15" s="43"/>
      <c r="T15" s="43"/>
      <c r="U15" s="43"/>
    </row>
    <row r="16" spans="1:21" s="11" customFormat="1" ht="15">
      <c r="A16" s="53" t="s">
        <v>741</v>
      </c>
      <c r="B16" s="54">
        <v>21.55</v>
      </c>
      <c r="C16" s="54">
        <v>21.57</v>
      </c>
      <c r="D16" s="54">
        <v>28.16</v>
      </c>
      <c r="E16" s="54">
        <v>1.96</v>
      </c>
      <c r="F16" s="54">
        <v>3.43</v>
      </c>
      <c r="G16" s="54">
        <v>112.67</v>
      </c>
      <c r="H16" s="54">
        <v>33.28</v>
      </c>
      <c r="I16" s="54">
        <v>1.53</v>
      </c>
      <c r="J16" s="54">
        <v>0.28999999999999998</v>
      </c>
      <c r="K16" s="54">
        <v>348.86</v>
      </c>
      <c r="L16" s="54">
        <v>26.68</v>
      </c>
      <c r="M16" s="54">
        <v>96.41</v>
      </c>
      <c r="N16" s="54">
        <v>267</v>
      </c>
      <c r="O16" s="54">
        <v>0</v>
      </c>
      <c r="P16" s="54">
        <v>0.97</v>
      </c>
      <c r="Q16" s="54">
        <v>17.079999999999998</v>
      </c>
      <c r="R16" s="43"/>
      <c r="S16" s="43"/>
      <c r="T16" s="43"/>
      <c r="U16" s="43"/>
    </row>
    <row r="17" spans="1:21" s="11" customFormat="1" ht="15">
      <c r="A17" s="53" t="s">
        <v>742</v>
      </c>
      <c r="B17" s="54">
        <v>20.60</v>
      </c>
      <c r="C17" s="54">
        <v>23.38</v>
      </c>
      <c r="D17" s="54">
        <v>28.80</v>
      </c>
      <c r="E17" s="54">
        <v>3.28</v>
      </c>
      <c r="F17" s="54">
        <v>12.08</v>
      </c>
      <c r="G17" s="54">
        <v>114.43</v>
      </c>
      <c r="H17" s="54">
        <v>31.62</v>
      </c>
      <c r="I17" s="54">
        <v>1.54</v>
      </c>
      <c r="J17" s="54">
        <v>0.79</v>
      </c>
      <c r="K17" s="54">
        <v>339.42</v>
      </c>
      <c r="L17" s="54">
        <v>28.97</v>
      </c>
      <c r="M17" s="54">
        <v>78.150000000000006</v>
      </c>
      <c r="N17" s="54">
        <v>485.70</v>
      </c>
      <c r="O17" s="54">
        <v>0</v>
      </c>
      <c r="P17" s="54">
        <v>0.94</v>
      </c>
      <c r="Q17" s="54">
        <v>17.02</v>
      </c>
      <c r="R17" s="43"/>
      <c r="S17" s="43"/>
      <c r="T17" s="43"/>
      <c r="U17" s="43"/>
    </row>
    <row r="18" spans="1:21" s="11" customFormat="1" ht="15">
      <c r="A18" s="53" t="s">
        <v>743</v>
      </c>
      <c r="B18" s="54">
        <v>11.94</v>
      </c>
      <c r="C18" s="54">
        <v>24.83</v>
      </c>
      <c r="D18" s="54">
        <v>24.34</v>
      </c>
      <c r="E18" s="54">
        <v>3.5</v>
      </c>
      <c r="F18" s="54">
        <v>16.899999999999999</v>
      </c>
      <c r="G18" s="54">
        <v>114.43</v>
      </c>
      <c r="H18" s="54">
        <v>31.62</v>
      </c>
      <c r="I18" s="54">
        <v>1.52</v>
      </c>
      <c r="J18" s="54">
        <v>0.65</v>
      </c>
      <c r="K18" s="54">
        <v>128.44</v>
      </c>
      <c r="L18" s="54">
        <v>28.60</v>
      </c>
      <c r="M18" s="54">
        <v>79.27</v>
      </c>
      <c r="N18" s="54">
        <v>520.10</v>
      </c>
      <c r="O18" s="54">
        <v>0</v>
      </c>
      <c r="P18" s="54">
        <v>0.84</v>
      </c>
      <c r="Q18" s="54">
        <v>19.30</v>
      </c>
      <c r="R18" s="43"/>
      <c r="S18" s="43"/>
      <c r="T18" s="43"/>
      <c r="U18" s="43"/>
    </row>
    <row r="19" spans="1:21" s="11" customFormat="1" ht="15">
      <c r="A19" s="53" t="s">
        <v>744</v>
      </c>
      <c r="B19" s="54">
        <v>12</v>
      </c>
      <c r="C19" s="54">
        <v>18.649999999999999</v>
      </c>
      <c r="D19" s="54">
        <v>20.20</v>
      </c>
      <c r="E19" s="54">
        <v>9.49</v>
      </c>
      <c r="F19" s="54">
        <v>18.27</v>
      </c>
      <c r="G19" s="54">
        <v>109.78</v>
      </c>
      <c r="H19" s="54">
        <v>30.02</v>
      </c>
      <c r="I19" s="54">
        <v>1.53</v>
      </c>
      <c r="J19" s="54">
        <v>0.71</v>
      </c>
      <c r="K19" s="54">
        <v>141.87</v>
      </c>
      <c r="L19" s="54">
        <v>29.61</v>
      </c>
      <c r="M19" s="54">
        <v>73.260000000000005</v>
      </c>
      <c r="N19" s="54">
        <v>669.30</v>
      </c>
      <c r="O19" s="54">
        <v>0</v>
      </c>
      <c r="P19" s="54">
        <v>0.84</v>
      </c>
      <c r="Q19" s="54">
        <v>19.73</v>
      </c>
      <c r="R19" s="43"/>
      <c r="S19" s="43"/>
      <c r="T19" s="43"/>
      <c r="U19" s="43"/>
    </row>
    <row r="20" spans="1:21" s="11" customFormat="1" ht="15">
      <c r="A20" s="53" t="s">
        <v>745</v>
      </c>
      <c r="B20" s="54">
        <v>4.46</v>
      </c>
      <c r="C20" s="54">
        <v>21.47</v>
      </c>
      <c r="D20" s="54">
        <v>16.37</v>
      </c>
      <c r="E20" s="54">
        <v>12.95</v>
      </c>
      <c r="F20" s="54">
        <v>8.5</v>
      </c>
      <c r="G20" s="54">
        <v>88.83</v>
      </c>
      <c r="H20" s="54">
        <v>31.39</v>
      </c>
      <c r="I20" s="54">
        <v>1.52</v>
      </c>
      <c r="J20" s="54">
        <v>1.64</v>
      </c>
      <c r="K20" s="54">
        <v>339.92</v>
      </c>
      <c r="L20" s="54">
        <v>29.59</v>
      </c>
      <c r="M20" s="54">
        <v>85.70</v>
      </c>
      <c r="N20" s="54">
        <v>289.60000000000002</v>
      </c>
      <c r="O20" s="54">
        <v>0</v>
      </c>
      <c r="P20" s="54">
        <v>0.66</v>
      </c>
      <c r="Q20" s="54">
        <v>15.19</v>
      </c>
      <c r="R20" s="43"/>
      <c r="S20" s="43"/>
      <c r="T20" s="43"/>
      <c r="U20" s="43"/>
    </row>
    <row r="21" spans="1:21" s="11" customFormat="1" ht="15">
      <c r="A21" s="53" t="s">
        <v>746</v>
      </c>
      <c r="B21" s="54">
        <v>14.72</v>
      </c>
      <c r="C21" s="54">
        <v>30.07</v>
      </c>
      <c r="D21" s="54">
        <v>29.69</v>
      </c>
      <c r="E21" s="54">
        <v>9.11</v>
      </c>
      <c r="F21" s="54">
        <v>8.01</v>
      </c>
      <c r="G21" s="54">
        <v>82.20</v>
      </c>
      <c r="H21" s="54">
        <v>31.39</v>
      </c>
      <c r="I21" s="54">
        <v>1.51</v>
      </c>
      <c r="J21" s="54">
        <v>1.98</v>
      </c>
      <c r="K21" s="54">
        <v>339.60</v>
      </c>
      <c r="L21" s="54">
        <v>28.71</v>
      </c>
      <c r="M21" s="54">
        <v>80.42</v>
      </c>
      <c r="N21" s="54">
        <v>593.70000000000005</v>
      </c>
      <c r="O21" s="54">
        <v>0</v>
      </c>
      <c r="P21" s="54">
        <v>0.67</v>
      </c>
      <c r="Q21" s="54">
        <v>13.95</v>
      </c>
      <c r="R21" s="43"/>
      <c r="S21" s="43"/>
      <c r="T21" s="43"/>
      <c r="U21" s="43"/>
    </row>
    <row r="22" spans="1:21" s="11" customFormat="1" ht="15">
      <c r="A22" s="53" t="s">
        <v>747</v>
      </c>
      <c r="B22" s="54">
        <v>8.43</v>
      </c>
      <c r="C22" s="54">
        <v>35.409999999999997</v>
      </c>
      <c r="D22" s="54">
        <v>27.07</v>
      </c>
      <c r="E22" s="54">
        <v>8.59</v>
      </c>
      <c r="F22" s="54">
        <v>4.59</v>
      </c>
      <c r="G22" s="54">
        <v>79.31</v>
      </c>
      <c r="H22" s="54">
        <v>28.04</v>
      </c>
      <c r="I22" s="54">
        <v>1.56</v>
      </c>
      <c r="J22" s="54">
        <v>1.71</v>
      </c>
      <c r="K22" s="54">
        <v>339.02</v>
      </c>
      <c r="L22" s="54">
        <v>30.87</v>
      </c>
      <c r="M22" s="54">
        <v>69.099999999999994</v>
      </c>
      <c r="N22" s="54">
        <v>515.10</v>
      </c>
      <c r="O22" s="54">
        <v>0</v>
      </c>
      <c r="P22" s="54">
        <v>0.78</v>
      </c>
      <c r="Q22" s="54">
        <v>13.32</v>
      </c>
      <c r="R22" s="43"/>
      <c r="S22" s="43"/>
      <c r="T22" s="43"/>
      <c r="U22" s="43"/>
    </row>
    <row r="23" spans="1:21" s="11" customFormat="1" ht="15">
      <c r="A23" s="53" t="s">
        <v>748</v>
      </c>
      <c r="B23" s="54">
        <v>13.78</v>
      </c>
      <c r="C23" s="54">
        <v>37.39</v>
      </c>
      <c r="D23" s="54">
        <v>32.979999999999997</v>
      </c>
      <c r="E23" s="54">
        <v>7.37</v>
      </c>
      <c r="F23" s="54">
        <v>14.83</v>
      </c>
      <c r="G23" s="54">
        <v>97.13</v>
      </c>
      <c r="H23" s="54">
        <v>33.83</v>
      </c>
      <c r="I23" s="54">
        <v>1.54</v>
      </c>
      <c r="J23" s="54">
        <v>1.1000000000000001</v>
      </c>
      <c r="K23" s="54">
        <v>343.52</v>
      </c>
      <c r="L23" s="54">
        <v>30.97</v>
      </c>
      <c r="M23" s="54">
        <v>65.59</v>
      </c>
      <c r="N23" s="54">
        <v>352.5</v>
      </c>
      <c r="O23" s="54">
        <v>0</v>
      </c>
      <c r="P23" s="54">
        <v>0.91</v>
      </c>
      <c r="Q23" s="54">
        <v>12.82</v>
      </c>
      <c r="R23" s="43"/>
      <c r="S23" s="43"/>
      <c r="T23" s="43"/>
      <c r="U23" s="43"/>
    </row>
    <row r="24" spans="1:21" s="11" customFormat="1" ht="15">
      <c r="A24" s="53" t="s">
        <v>749</v>
      </c>
      <c r="B24" s="54">
        <v>22.93</v>
      </c>
      <c r="C24" s="54">
        <v>66.80</v>
      </c>
      <c r="D24" s="54">
        <v>56.55</v>
      </c>
      <c r="E24" s="54">
        <v>6.73</v>
      </c>
      <c r="F24" s="54">
        <v>17.71</v>
      </c>
      <c r="G24" s="54">
        <v>106.19</v>
      </c>
      <c r="H24" s="54">
        <v>36.770000000000003</v>
      </c>
      <c r="I24" s="54">
        <v>1.60</v>
      </c>
      <c r="J24" s="54">
        <v>0.75</v>
      </c>
      <c r="K24" s="54">
        <v>343.84</v>
      </c>
      <c r="L24" s="54">
        <v>29.05</v>
      </c>
      <c r="M24" s="54">
        <v>72.86</v>
      </c>
      <c r="N24" s="54">
        <v>137.69999999999999</v>
      </c>
      <c r="O24" s="54">
        <v>0</v>
      </c>
      <c r="P24" s="54">
        <v>1.29</v>
      </c>
      <c r="Q24" s="54">
        <v>11.12</v>
      </c>
      <c r="R24" s="43"/>
      <c r="S24" s="43"/>
      <c r="T24" s="43"/>
      <c r="U24" s="43"/>
    </row>
    <row r="25" spans="1:21" s="11" customFormat="1" ht="15">
      <c r="A25" s="53" t="s">
        <v>750</v>
      </c>
      <c r="B25" s="54">
        <v>19.47</v>
      </c>
      <c r="C25" s="54">
        <v>46.61</v>
      </c>
      <c r="D25" s="54">
        <v>42.63</v>
      </c>
      <c r="E25" s="54">
        <v>13.57</v>
      </c>
      <c r="F25" s="54">
        <v>11.64</v>
      </c>
      <c r="G25" s="54">
        <v>119.08</v>
      </c>
      <c r="H25" s="54">
        <v>36.85</v>
      </c>
      <c r="I25" s="54">
        <v>1.53</v>
      </c>
      <c r="J25" s="54">
        <v>1.06</v>
      </c>
      <c r="K25" s="54">
        <v>340.55</v>
      </c>
      <c r="L25" s="54">
        <v>28.07</v>
      </c>
      <c r="M25" s="54">
        <v>87.13</v>
      </c>
      <c r="N25" s="54">
        <v>64.70</v>
      </c>
      <c r="O25" s="54">
        <v>0</v>
      </c>
      <c r="P25" s="54">
        <v>1.21</v>
      </c>
      <c r="Q25" s="54">
        <v>13.10</v>
      </c>
      <c r="R25" s="43"/>
      <c r="S25" s="43"/>
      <c r="T25" s="43"/>
      <c r="U25" s="43"/>
    </row>
    <row r="26" spans="1:21" s="11" customFormat="1" ht="15">
      <c r="A26" s="53" t="s">
        <v>751</v>
      </c>
      <c r="B26" s="54">
        <v>19.05</v>
      </c>
      <c r="C26" s="54">
        <v>42.32</v>
      </c>
      <c r="D26" s="54">
        <v>38.86</v>
      </c>
      <c r="E26" s="54">
        <v>7.40</v>
      </c>
      <c r="F26" s="54">
        <v>6.74</v>
      </c>
      <c r="G26" s="54">
        <v>119.08</v>
      </c>
      <c r="H26" s="54">
        <v>36.85</v>
      </c>
      <c r="I26" s="54">
        <v>1.55</v>
      </c>
      <c r="J26" s="54">
        <v>0.69</v>
      </c>
      <c r="K26" s="54">
        <v>332.01</v>
      </c>
      <c r="L26" s="54">
        <v>26.88</v>
      </c>
      <c r="M26" s="54">
        <v>95.23</v>
      </c>
      <c r="N26" s="54">
        <v>34.40</v>
      </c>
      <c r="O26" s="54">
        <v>0</v>
      </c>
      <c r="P26" s="54">
        <v>1.30</v>
      </c>
      <c r="Q26" s="54">
        <v>13.79</v>
      </c>
      <c r="R26" s="43"/>
      <c r="S26" s="43"/>
      <c r="T26" s="43"/>
      <c r="U26" s="43"/>
    </row>
    <row r="27" spans="1:21" s="11" customFormat="1" ht="15">
      <c r="A27" s="53" t="s">
        <v>752</v>
      </c>
      <c r="B27" s="54">
        <v>14.12</v>
      </c>
      <c r="C27" s="54">
        <v>26.16</v>
      </c>
      <c r="D27" s="54">
        <v>27.05</v>
      </c>
      <c r="E27" s="54">
        <v>4.17</v>
      </c>
      <c r="F27" s="54">
        <v>2.86</v>
      </c>
      <c r="G27" s="54">
        <v>99.99</v>
      </c>
      <c r="H27" s="54">
        <v>36.67</v>
      </c>
      <c r="I27" s="54">
        <v>1.54</v>
      </c>
      <c r="J27" s="54">
        <v>1.23</v>
      </c>
      <c r="K27" s="54">
        <v>191.97</v>
      </c>
      <c r="L27" s="54">
        <v>24.04</v>
      </c>
      <c r="M27" s="54">
        <v>96.98</v>
      </c>
      <c r="N27" s="54">
        <v>12.80</v>
      </c>
      <c r="O27" s="54">
        <v>0</v>
      </c>
      <c r="P27" s="54">
        <v>1.1200000000000001</v>
      </c>
      <c r="Q27" s="54">
        <v>13.83</v>
      </c>
      <c r="R27" s="43"/>
      <c r="S27" s="43"/>
      <c r="T27" s="43"/>
      <c r="U27" s="43"/>
    </row>
    <row r="28" spans="1:21" s="11" customFormat="1" ht="15">
      <c r="A28" s="53" t="s">
        <v>753</v>
      </c>
      <c r="B28" s="54">
        <v>4.67</v>
      </c>
      <c r="C28" s="54">
        <v>17.93</v>
      </c>
      <c r="D28" s="54">
        <v>14.94</v>
      </c>
      <c r="E28" s="54">
        <v>4.4000000000000004</v>
      </c>
      <c r="F28" s="54">
        <v>2.67</v>
      </c>
      <c r="G28" s="54">
        <v>97.16</v>
      </c>
      <c r="H28" s="54">
        <v>31.91</v>
      </c>
      <c r="I28" s="54">
        <v>1.52</v>
      </c>
      <c r="J28" s="54">
        <v>0.21</v>
      </c>
      <c r="K28" s="54">
        <v>256.63</v>
      </c>
      <c r="L28" s="54">
        <v>22.94</v>
      </c>
      <c r="M28" s="54">
        <v>97.96</v>
      </c>
      <c r="N28" s="54">
        <v>9.40</v>
      </c>
      <c r="O28" s="54">
        <v>0</v>
      </c>
      <c r="P28" s="54">
        <v>0.82</v>
      </c>
      <c r="Q28" s="54">
        <v>12.52</v>
      </c>
      <c r="R28" s="43"/>
      <c r="S28" s="43"/>
      <c r="T28" s="43"/>
      <c r="U28" s="43"/>
    </row>
    <row r="29" spans="1:21" s="11" customFormat="1" ht="15">
      <c r="A29" s="53" t="s">
        <v>754</v>
      </c>
      <c r="B29" s="54">
        <v>7.03</v>
      </c>
      <c r="C29" s="54">
        <v>22.08</v>
      </c>
      <c r="D29" s="54">
        <v>18.579999999999998</v>
      </c>
      <c r="E29" s="54">
        <v>5.35</v>
      </c>
      <c r="F29" s="54">
        <v>5.45</v>
      </c>
      <c r="G29" s="54">
        <v>63.23</v>
      </c>
      <c r="H29" s="54">
        <v>21.20</v>
      </c>
      <c r="I29" s="54">
        <v>1.57</v>
      </c>
      <c r="J29" s="54">
        <v>0.64</v>
      </c>
      <c r="K29" s="54">
        <v>320.20</v>
      </c>
      <c r="L29" s="54">
        <v>23.04</v>
      </c>
      <c r="M29" s="54">
        <v>95.86</v>
      </c>
      <c r="N29" s="54">
        <v>9.90</v>
      </c>
      <c r="O29" s="54">
        <v>0</v>
      </c>
      <c r="P29" s="54">
        <v>0.81</v>
      </c>
      <c r="Q29" s="54">
        <v>12.67</v>
      </c>
      <c r="R29" s="43"/>
      <c r="S29" s="43"/>
      <c r="T29" s="43"/>
      <c r="U29" s="43"/>
    </row>
    <row r="30" spans="1:21" s="11" customFormat="1" ht="15">
      <c r="A30" s="53" t="s">
        <v>755</v>
      </c>
      <c r="B30" s="54">
        <v>13.33</v>
      </c>
      <c r="C30" s="54">
        <v>18.39</v>
      </c>
      <c r="D30" s="54">
        <v>19.13</v>
      </c>
      <c r="E30" s="54">
        <v>4.25</v>
      </c>
      <c r="F30" s="54">
        <v>3.30</v>
      </c>
      <c r="G30" s="54">
        <v>46.08</v>
      </c>
      <c r="H30" s="54">
        <v>17.48</v>
      </c>
      <c r="I30" s="54">
        <v>1.55</v>
      </c>
      <c r="J30" s="54">
        <v>0.24</v>
      </c>
      <c r="K30" s="54">
        <v>356.82</v>
      </c>
      <c r="L30" s="54">
        <v>22.24</v>
      </c>
      <c r="M30" s="54">
        <v>98.86</v>
      </c>
      <c r="N30" s="54">
        <v>9.5</v>
      </c>
      <c r="O30" s="54">
        <v>0</v>
      </c>
      <c r="P30" s="54">
        <v>0.85</v>
      </c>
      <c r="Q30" s="54">
        <v>13.33</v>
      </c>
      <c r="R30" s="43"/>
      <c r="S30" s="43"/>
      <c r="T30" s="43"/>
      <c r="U30" s="43"/>
    </row>
    <row r="31" spans="1:21" s="11" customFormat="1" ht="15">
      <c r="A31" s="53" t="s">
        <v>756</v>
      </c>
      <c r="B31" s="54">
        <v>10.24</v>
      </c>
      <c r="C31" s="54">
        <v>13.32</v>
      </c>
      <c r="D31" s="54">
        <v>16.850000000000001</v>
      </c>
      <c r="E31" s="54">
        <v>3.72</v>
      </c>
      <c r="F31" s="54">
        <v>0.93</v>
      </c>
      <c r="G31" s="54">
        <v>43.82</v>
      </c>
      <c r="H31" s="54">
        <v>15.28</v>
      </c>
      <c r="I31" s="54">
        <v>1.55</v>
      </c>
      <c r="J31" s="54">
        <v>0.16</v>
      </c>
      <c r="K31" s="54">
        <v>275.67</v>
      </c>
      <c r="L31" s="54">
        <v>21.80</v>
      </c>
      <c r="M31" s="54">
        <v>98.87</v>
      </c>
      <c r="N31" s="54">
        <v>9.8000000000000007</v>
      </c>
      <c r="O31" s="54">
        <v>0</v>
      </c>
      <c r="P31" s="54">
        <v>0.80</v>
      </c>
      <c r="Q31" s="54">
        <v>13.53</v>
      </c>
      <c r="R31" s="43"/>
      <c r="S31" s="43"/>
      <c r="T31" s="43"/>
      <c r="U31" s="43"/>
    </row>
    <row r="32" spans="1:21" s="11" customFormat="1" ht="15">
      <c r="A32" s="53" t="s">
        <v>757</v>
      </c>
      <c r="B32" s="54">
        <v>9.4600000000000009</v>
      </c>
      <c r="C32" s="54">
        <v>13.53</v>
      </c>
      <c r="D32" s="54">
        <v>14.86</v>
      </c>
      <c r="E32" s="54">
        <v>3.48</v>
      </c>
      <c r="F32" s="54">
        <v>3.57</v>
      </c>
      <c r="G32" s="54">
        <v>35.85</v>
      </c>
      <c r="H32" s="54">
        <v>15.28</v>
      </c>
      <c r="I32" s="54">
        <v>1.57</v>
      </c>
      <c r="J32" s="54">
        <v>0.12</v>
      </c>
      <c r="K32" s="54">
        <v>337.13</v>
      </c>
      <c r="L32" s="54">
        <v>21.74</v>
      </c>
      <c r="M32" s="54">
        <v>98.88</v>
      </c>
      <c r="N32" s="54">
        <v>9.40</v>
      </c>
      <c r="O32" s="54">
        <v>0</v>
      </c>
      <c r="P32" s="54">
        <v>0.74</v>
      </c>
      <c r="Q32" s="54">
        <v>13.85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4.46</v>
      </c>
      <c r="C34" s="28">
        <f t="shared" si="0"/>
        <v>13.32</v>
      </c>
      <c r="D34" s="28">
        <f t="shared" si="0"/>
        <v>14.859999999999999</v>
      </c>
      <c r="E34" s="28">
        <f t="shared" si="0"/>
        <v>1.22</v>
      </c>
      <c r="F34" s="28">
        <f t="shared" si="0"/>
        <v>0.93000000000000005</v>
      </c>
      <c r="G34" s="28">
        <f t="shared" si="0"/>
        <v>35.850000000000001</v>
      </c>
      <c r="H34" s="28">
        <f t="shared" si="0"/>
        <v>15.279999999999999</v>
      </c>
      <c r="I34" s="28">
        <f t="shared" si="0"/>
        <v>1.51</v>
      </c>
      <c r="J34" s="28">
        <f t="shared" si="0"/>
        <v>0.10000000000000001</v>
      </c>
      <c r="K34" s="28">
        <f t="shared" si="0"/>
        <v>107.8</v>
      </c>
      <c r="L34" s="28">
        <f t="shared" si="0"/>
        <v>21.739999999999998</v>
      </c>
      <c r="M34" s="28">
        <f t="shared" si="0"/>
        <v>65.590000000000003</v>
      </c>
      <c r="N34" s="28">
        <f t="shared" si="0"/>
        <v>9.0999999999999996</v>
      </c>
      <c r="O34" s="28">
        <f t="shared" si="0"/>
        <v>0</v>
      </c>
      <c r="P34" s="28">
        <f t="shared" si="0"/>
        <v>0.66000000000000003</v>
      </c>
      <c r="Q34" s="28">
        <f t="shared" si="0"/>
        <v>11.119999999999999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27</v>
      </c>
      <c r="C35" s="29">
        <f t="shared" si="1"/>
        <v>66.799999999999997</v>
      </c>
      <c r="D35" s="29">
        <f t="shared" si="1"/>
        <v>56.549999999999997</v>
      </c>
      <c r="E35" s="29">
        <f t="shared" si="1"/>
        <v>13.57</v>
      </c>
      <c r="F35" s="29">
        <f t="shared" si="1"/>
        <v>18.27</v>
      </c>
      <c r="G35" s="29">
        <f t="shared" si="1"/>
        <v>119.08</v>
      </c>
      <c r="H35" s="29">
        <f t="shared" si="1"/>
        <v>36.850000000000001</v>
      </c>
      <c r="I35" s="29">
        <f t="shared" si="1"/>
        <v>1.6000000000000001</v>
      </c>
      <c r="J35" s="29">
        <f t="shared" si="1"/>
        <v>1.98</v>
      </c>
      <c r="K35" s="29">
        <f t="shared" si="1"/>
        <v>357.70999999999998</v>
      </c>
      <c r="L35" s="29">
        <f t="shared" si="1"/>
        <v>30.969999999999999</v>
      </c>
      <c r="M35" s="29">
        <f t="shared" si="1"/>
        <v>98.879999999999995</v>
      </c>
      <c r="N35" s="29">
        <f t="shared" si="1"/>
        <v>669.29999999999995</v>
      </c>
      <c r="O35" s="29">
        <f t="shared" si="1"/>
        <v>0</v>
      </c>
      <c r="P35" s="29">
        <f t="shared" si="1"/>
        <v>1.3</v>
      </c>
      <c r="Q35" s="29">
        <f t="shared" si="1"/>
        <v>19.73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13.424583333333333</v>
      </c>
      <c r="C36" s="28">
        <f t="shared" si="2"/>
        <v>27.063333333333333</v>
      </c>
      <c r="D36" s="28">
        <f t="shared" si="2"/>
        <v>26.205416666666668</v>
      </c>
      <c r="E36" s="28">
        <f t="shared" si="2"/>
        <v>5.0387500000000012</v>
      </c>
      <c r="F36" s="28">
        <f t="shared" si="2"/>
        <v>7.0824999999999996</v>
      </c>
      <c r="G36" s="28">
        <f t="shared" si="2"/>
        <v>89.852083333333326</v>
      </c>
      <c r="H36" s="28">
        <f t="shared" si="2"/>
        <v>30.438333333333333</v>
      </c>
      <c r="I36" s="28">
        <f t="shared" si="2"/>
        <v>1.542083333333333</v>
      </c>
      <c r="J36" s="28">
        <f t="shared" si="2"/>
        <v>0.66083333333333338</v>
      </c>
      <c r="K36" s="28">
        <f t="shared" si="2"/>
        <v>299.94375000000002</v>
      </c>
      <c r="L36" s="28">
        <f t="shared" si="2"/>
        <v>25.806666666666661</v>
      </c>
      <c r="M36" s="28">
        <f t="shared" si="2"/>
        <v>90.108333333333306</v>
      </c>
      <c r="N36" s="28">
        <f t="shared" si="2"/>
        <v>171.29999999999998</v>
      </c>
      <c r="O36" s="28">
        <f t="shared" si="2"/>
        <v>0</v>
      </c>
      <c r="P36" s="28">
        <f t="shared" si="2"/>
        <v>0.92083333333333339</v>
      </c>
      <c r="Q36" s="28">
        <f t="shared" si="2"/>
        <v>15.084166666666667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5.8323363796104521</v>
      </c>
      <c r="C37" s="28">
        <f t="shared" si="3" ref="C37:Q37">STDEV(C9:C32)</f>
        <v>12.017521507715555</v>
      </c>
      <c r="D37" s="28">
        <f t="shared" si="3"/>
        <v>10.19048617655177</v>
      </c>
      <c r="E37" s="28">
        <f t="shared" si="3"/>
        <v>3.6089337369077987</v>
      </c>
      <c r="F37" s="28">
        <f t="shared" si="3"/>
        <v>5.3457656953485362</v>
      </c>
      <c r="G37" s="28">
        <f t="shared" si="3"/>
        <v>25.449545648830078</v>
      </c>
      <c r="H37" s="28">
        <f t="shared" si="3"/>
        <v>6.487764850364349</v>
      </c>
      <c r="I37" s="28">
        <f t="shared" si="3"/>
        <v>0.022062986251159232</v>
      </c>
      <c r="J37" s="28">
        <f t="shared" si="3"/>
        <v>0.54253764979886454</v>
      </c>
      <c r="K37" s="28">
        <f t="shared" si="3"/>
        <v>76.686700327144123</v>
      </c>
      <c r="L37" s="28">
        <f t="shared" si="3"/>
        <v>3.1125729139937839</v>
      </c>
      <c r="M37" s="28">
        <f t="shared" si="3"/>
        <v>11.385957280282087</v>
      </c>
      <c r="N37" s="28">
        <f t="shared" si="3"/>
        <v>226.17658165017122</v>
      </c>
      <c r="O37" s="28">
        <f t="shared" si="3"/>
        <v>0</v>
      </c>
      <c r="P37" s="28">
        <f t="shared" si="3"/>
        <v>0.17337861727311163</v>
      </c>
      <c r="Q37" s="28">
        <f t="shared" si="3"/>
        <v>2.2484911204718254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7133f26-e2a6-4ff0-8c12-363904c2f877}">
  <sheetPr codeName=""/>
  <dimension ref="A1:U119"/>
  <sheetViews>
    <sheetView workbookViewId="0" topLeftCell="A1">
      <selection pane="topLeft" activeCell="G58" sqref="G5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6" width="9.14285714285714" style="20" customWidth="1"/>
    <col min="17" max="17" width="16.4285714285714" style="20" customWidth="1"/>
    <col min="18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30-09-2023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3" t="s">
        <v>758</v>
      </c>
      <c r="B9" s="54">
        <v>8.51</v>
      </c>
      <c r="C9" s="54">
        <v>11.90</v>
      </c>
      <c r="D9" s="54">
        <v>13.28</v>
      </c>
      <c r="E9" s="54">
        <v>3</v>
      </c>
      <c r="F9" s="54">
        <v>7.14</v>
      </c>
      <c r="G9" s="54">
        <v>27.11</v>
      </c>
      <c r="H9" s="54">
        <v>15.25</v>
      </c>
      <c r="I9" s="54">
        <v>1.52</v>
      </c>
      <c r="J9" s="54">
        <v>0.09</v>
      </c>
      <c r="K9" s="54">
        <v>210.45</v>
      </c>
      <c r="L9" s="54">
        <v>21.77</v>
      </c>
      <c r="M9" s="54">
        <v>98.89</v>
      </c>
      <c r="N9" s="54">
        <v>9.40</v>
      </c>
      <c r="O9" s="54">
        <v>0</v>
      </c>
      <c r="P9" s="54">
        <v>0.68</v>
      </c>
      <c r="Q9" s="54">
        <v>14.96</v>
      </c>
      <c r="R9" s="43"/>
      <c r="S9" s="43"/>
      <c r="T9" s="43"/>
      <c r="U9" s="43"/>
    </row>
    <row r="10" spans="1:21" s="11" customFormat="1" ht="15">
      <c r="A10" s="53" t="s">
        <v>759</v>
      </c>
      <c r="B10" s="54">
        <v>8.52</v>
      </c>
      <c r="C10" s="54">
        <v>8.5299999999999994</v>
      </c>
      <c r="D10" s="54">
        <v>12.75</v>
      </c>
      <c r="E10" s="54">
        <v>3.71</v>
      </c>
      <c r="F10" s="54">
        <v>0.98</v>
      </c>
      <c r="G10" s="54">
        <v>24.54</v>
      </c>
      <c r="H10" s="54">
        <v>11.89</v>
      </c>
      <c r="I10" s="54">
        <v>1.60</v>
      </c>
      <c r="J10" s="54">
        <v>0.08</v>
      </c>
      <c r="K10" s="54">
        <v>284.92</v>
      </c>
      <c r="L10" s="54">
        <v>21.67</v>
      </c>
      <c r="M10" s="54">
        <v>98.90</v>
      </c>
      <c r="N10" s="54">
        <v>9.5</v>
      </c>
      <c r="O10" s="54">
        <v>0</v>
      </c>
      <c r="P10" s="54">
        <v>0.64</v>
      </c>
      <c r="Q10" s="54">
        <v>14.32</v>
      </c>
      <c r="R10" s="43"/>
      <c r="S10" s="43"/>
      <c r="T10" s="43"/>
      <c r="U10" s="43"/>
    </row>
    <row r="11" spans="1:21" s="11" customFormat="1" ht="15">
      <c r="A11" s="53" t="s">
        <v>760</v>
      </c>
      <c r="B11" s="54">
        <v>7.42</v>
      </c>
      <c r="C11" s="54">
        <v>10.18</v>
      </c>
      <c r="D11" s="54">
        <v>11.55</v>
      </c>
      <c r="E11" s="54">
        <v>3.22</v>
      </c>
      <c r="F11" s="54">
        <v>4.59</v>
      </c>
      <c r="G11" s="54">
        <v>23.09</v>
      </c>
      <c r="H11" s="54">
        <v>8.51</v>
      </c>
      <c r="I11" s="54">
        <v>1.54</v>
      </c>
      <c r="J11" s="54">
        <v>0.05</v>
      </c>
      <c r="K11" s="54">
        <v>348.12</v>
      </c>
      <c r="L11" s="54">
        <v>21.51</v>
      </c>
      <c r="M11" s="54">
        <v>98.90</v>
      </c>
      <c r="N11" s="54">
        <v>9.40</v>
      </c>
      <c r="O11" s="54">
        <v>0</v>
      </c>
      <c r="P11" s="54">
        <v>0.59</v>
      </c>
      <c r="Q11" s="54">
        <v>14.25</v>
      </c>
      <c r="R11" s="43"/>
      <c r="S11" s="43"/>
      <c r="T11" s="43"/>
      <c r="U11" s="43"/>
    </row>
    <row r="12" spans="1:21" s="11" customFormat="1" ht="15">
      <c r="A12" s="53" t="s">
        <v>761</v>
      </c>
      <c r="B12" s="54">
        <v>6.63</v>
      </c>
      <c r="C12" s="54">
        <v>10.54</v>
      </c>
      <c r="D12" s="54">
        <v>11.73</v>
      </c>
      <c r="E12" s="54">
        <v>2.66</v>
      </c>
      <c r="F12" s="54">
        <v>3.30</v>
      </c>
      <c r="G12" s="54">
        <v>16.48</v>
      </c>
      <c r="H12" s="54">
        <v>6.38</v>
      </c>
      <c r="I12" s="54">
        <v>1.52</v>
      </c>
      <c r="J12" s="54">
        <v>0.06</v>
      </c>
      <c r="K12" s="54">
        <v>343.27</v>
      </c>
      <c r="L12" s="54">
        <v>21.39</v>
      </c>
      <c r="M12" s="54">
        <v>98.91</v>
      </c>
      <c r="N12" s="54">
        <v>9.3000000000000007</v>
      </c>
      <c r="O12" s="54">
        <v>0</v>
      </c>
      <c r="P12" s="54">
        <v>0.52</v>
      </c>
      <c r="Q12" s="54">
        <v>14.89</v>
      </c>
      <c r="R12" s="43"/>
      <c r="S12" s="43"/>
      <c r="T12" s="43"/>
      <c r="U12" s="43"/>
    </row>
    <row r="13" spans="1:21" s="11" customFormat="1" ht="15">
      <c r="A13" s="53" t="s">
        <v>762</v>
      </c>
      <c r="B13" s="54">
        <v>6.5</v>
      </c>
      <c r="C13" s="54">
        <v>7.90</v>
      </c>
      <c r="D13" s="54">
        <v>10.74</v>
      </c>
      <c r="E13" s="54">
        <v>2.14</v>
      </c>
      <c r="F13" s="54">
        <v>1.0900000000000001</v>
      </c>
      <c r="G13" s="54">
        <v>16.48</v>
      </c>
      <c r="H13" s="54">
        <v>6.38</v>
      </c>
      <c r="I13" s="54">
        <v>1.54</v>
      </c>
      <c r="J13" s="54">
        <v>0.26</v>
      </c>
      <c r="K13" s="54">
        <v>354.37</v>
      </c>
      <c r="L13" s="54">
        <v>21.34</v>
      </c>
      <c r="M13" s="54">
        <v>98.91</v>
      </c>
      <c r="N13" s="54">
        <v>9.40</v>
      </c>
      <c r="O13" s="54">
        <v>0</v>
      </c>
      <c r="P13" s="54">
        <v>0.49</v>
      </c>
      <c r="Q13" s="54">
        <v>14.78</v>
      </c>
      <c r="R13" s="43"/>
      <c r="S13" s="43"/>
      <c r="T13" s="43"/>
      <c r="U13" s="43"/>
    </row>
    <row r="14" spans="1:21" s="11" customFormat="1" ht="15">
      <c r="A14" s="53" t="s">
        <v>763</v>
      </c>
      <c r="B14" s="54">
        <v>5.85</v>
      </c>
      <c r="C14" s="54">
        <v>10.64</v>
      </c>
      <c r="D14" s="54">
        <v>11.51</v>
      </c>
      <c r="E14" s="54">
        <v>1.5</v>
      </c>
      <c r="F14" s="54">
        <v>2.77</v>
      </c>
      <c r="G14" s="54">
        <v>15.89</v>
      </c>
      <c r="H14" s="54">
        <v>5.52</v>
      </c>
      <c r="I14" s="54">
        <v>1.53</v>
      </c>
      <c r="J14" s="54">
        <v>0.35</v>
      </c>
      <c r="K14" s="54">
        <v>179.38</v>
      </c>
      <c r="L14" s="54">
        <v>21.51</v>
      </c>
      <c r="M14" s="54">
        <v>98.92</v>
      </c>
      <c r="N14" s="54">
        <v>12.90</v>
      </c>
      <c r="O14" s="54">
        <v>0</v>
      </c>
      <c r="P14" s="54">
        <v>0.44</v>
      </c>
      <c r="Q14" s="54">
        <v>15.35</v>
      </c>
      <c r="R14" s="43"/>
      <c r="S14" s="43"/>
      <c r="T14" s="43"/>
      <c r="U14" s="43"/>
    </row>
    <row r="15" spans="1:21" s="11" customFormat="1" ht="15">
      <c r="A15" s="53" t="s">
        <v>764</v>
      </c>
      <c r="B15" s="54">
        <v>6.55</v>
      </c>
      <c r="C15" s="54">
        <v>10.94</v>
      </c>
      <c r="D15" s="54">
        <v>12.58</v>
      </c>
      <c r="E15" s="54">
        <v>2.23</v>
      </c>
      <c r="F15" s="54">
        <v>3.07</v>
      </c>
      <c r="G15" s="54">
        <v>17.59</v>
      </c>
      <c r="H15" s="54">
        <v>6.53</v>
      </c>
      <c r="I15" s="54">
        <v>1.57</v>
      </c>
      <c r="J15" s="54">
        <v>0.26</v>
      </c>
      <c r="K15" s="54">
        <v>254.51</v>
      </c>
      <c r="L15" s="54">
        <v>21.75</v>
      </c>
      <c r="M15" s="54">
        <v>98.91</v>
      </c>
      <c r="N15" s="54">
        <v>42.30</v>
      </c>
      <c r="O15" s="54">
        <v>0</v>
      </c>
      <c r="P15" s="54">
        <v>0.42</v>
      </c>
      <c r="Q15" s="54">
        <v>15.63</v>
      </c>
      <c r="R15" s="43"/>
      <c r="S15" s="43"/>
      <c r="T15" s="43"/>
      <c r="U15" s="43"/>
    </row>
    <row r="16" spans="1:21" s="11" customFormat="1" ht="15">
      <c r="A16" s="53" t="s">
        <v>765</v>
      </c>
      <c r="B16" s="54">
        <v>5.93</v>
      </c>
      <c r="C16" s="54">
        <v>8.5399999999999991</v>
      </c>
      <c r="D16" s="54">
        <v>10.53</v>
      </c>
      <c r="E16" s="54">
        <v>2.0099999999999998</v>
      </c>
      <c r="F16" s="54">
        <v>1.32</v>
      </c>
      <c r="G16" s="54">
        <v>17.59</v>
      </c>
      <c r="H16" s="54">
        <v>8.56</v>
      </c>
      <c r="I16" s="54">
        <v>1.51</v>
      </c>
      <c r="J16" s="54">
        <v>0.75</v>
      </c>
      <c r="K16" s="54">
        <v>164.99</v>
      </c>
      <c r="L16" s="54">
        <v>22.40</v>
      </c>
      <c r="M16" s="54">
        <v>98.88</v>
      </c>
      <c r="N16" s="54">
        <v>141.80000000000001</v>
      </c>
      <c r="O16" s="54">
        <v>0</v>
      </c>
      <c r="P16" s="54">
        <v>0.43</v>
      </c>
      <c r="Q16" s="54">
        <v>14.73</v>
      </c>
      <c r="R16" s="43"/>
      <c r="S16" s="43"/>
      <c r="T16" s="43"/>
      <c r="U16" s="43"/>
    </row>
    <row r="17" spans="1:21" s="11" customFormat="1" ht="15">
      <c r="A17" s="53" t="s">
        <v>766</v>
      </c>
      <c r="B17" s="54">
        <v>8.36</v>
      </c>
      <c r="C17" s="54">
        <v>12.09</v>
      </c>
      <c r="D17" s="54">
        <v>14.67</v>
      </c>
      <c r="E17" s="54">
        <v>2.79</v>
      </c>
      <c r="F17" s="54">
        <v>2.25</v>
      </c>
      <c r="G17" s="54">
        <v>24.45</v>
      </c>
      <c r="H17" s="54">
        <v>9.3000000000000007</v>
      </c>
      <c r="I17" s="54">
        <v>1.56</v>
      </c>
      <c r="J17" s="54">
        <v>0.08</v>
      </c>
      <c r="K17" s="54">
        <v>44.57</v>
      </c>
      <c r="L17" s="54">
        <v>24.80</v>
      </c>
      <c r="M17" s="54">
        <v>98.86</v>
      </c>
      <c r="N17" s="54">
        <v>460.40</v>
      </c>
      <c r="O17" s="54">
        <v>0</v>
      </c>
      <c r="P17" s="54">
        <v>0.52</v>
      </c>
      <c r="Q17" s="54">
        <v>15.30</v>
      </c>
      <c r="R17" s="43"/>
      <c r="S17" s="43"/>
      <c r="T17" s="43"/>
      <c r="U17" s="43"/>
    </row>
    <row r="18" spans="1:21" s="11" customFormat="1" ht="15">
      <c r="A18" s="53" t="s">
        <v>767</v>
      </c>
      <c r="B18" s="54">
        <v>9.34</v>
      </c>
      <c r="C18" s="54">
        <v>14.01</v>
      </c>
      <c r="D18" s="54">
        <v>15.54</v>
      </c>
      <c r="E18" s="54">
        <v>2.83</v>
      </c>
      <c r="F18" s="54">
        <v>1.84</v>
      </c>
      <c r="G18" s="54">
        <v>35.020000000000003</v>
      </c>
      <c r="H18" s="54">
        <v>12.46</v>
      </c>
      <c r="I18" s="54">
        <v>1.51</v>
      </c>
      <c r="J18" s="54">
        <v>0.26</v>
      </c>
      <c r="K18" s="54">
        <v>358.39</v>
      </c>
      <c r="L18" s="54">
        <v>27.33</v>
      </c>
      <c r="M18" s="54">
        <v>88.70</v>
      </c>
      <c r="N18" s="54">
        <v>452.60</v>
      </c>
      <c r="O18" s="54">
        <v>0</v>
      </c>
      <c r="P18" s="54">
        <v>0.63</v>
      </c>
      <c r="Q18" s="54">
        <v>14.99</v>
      </c>
      <c r="R18" s="43"/>
      <c r="S18" s="43"/>
      <c r="T18" s="43"/>
      <c r="U18" s="43"/>
    </row>
    <row r="19" spans="1:21" s="11" customFormat="1" ht="15">
      <c r="A19" s="53" t="s">
        <v>768</v>
      </c>
      <c r="B19" s="54">
        <v>9.4700000000000006</v>
      </c>
      <c r="C19" s="54">
        <v>24.03</v>
      </c>
      <c r="D19" s="54">
        <v>20.98</v>
      </c>
      <c r="E19" s="54">
        <v>2.78</v>
      </c>
      <c r="F19" s="54">
        <v>2.70</v>
      </c>
      <c r="G19" s="54">
        <v>52.61</v>
      </c>
      <c r="H19" s="54">
        <v>16.47</v>
      </c>
      <c r="I19" s="54">
        <v>1.5</v>
      </c>
      <c r="J19" s="54">
        <v>0.45</v>
      </c>
      <c r="K19" s="54">
        <v>353.52</v>
      </c>
      <c r="L19" s="54">
        <v>29.5</v>
      </c>
      <c r="M19" s="54">
        <v>81.80</v>
      </c>
      <c r="N19" s="54">
        <v>622.5</v>
      </c>
      <c r="O19" s="54">
        <v>0</v>
      </c>
      <c r="P19" s="54">
        <v>1.30</v>
      </c>
      <c r="Q19" s="54">
        <v>14.41</v>
      </c>
      <c r="R19" s="43"/>
      <c r="S19" s="43"/>
      <c r="T19" s="43"/>
      <c r="U19" s="43"/>
    </row>
    <row r="20" spans="1:21" s="11" customFormat="1" ht="15">
      <c r="A20" s="53" t="s">
        <v>769</v>
      </c>
      <c r="B20" s="54">
        <v>9.18</v>
      </c>
      <c r="C20" s="54">
        <v>34.520000000000003</v>
      </c>
      <c r="D20" s="54">
        <v>27.33</v>
      </c>
      <c r="E20" s="54">
        <v>3.01</v>
      </c>
      <c r="F20" s="54">
        <v>16.46</v>
      </c>
      <c r="G20" s="54">
        <v>88.64</v>
      </c>
      <c r="H20" s="54">
        <v>27.04</v>
      </c>
      <c r="I20" s="54">
        <v>1.52</v>
      </c>
      <c r="J20" s="54">
        <v>0.36</v>
      </c>
      <c r="K20" s="54">
        <v>347.61</v>
      </c>
      <c r="L20" s="54">
        <v>30.58</v>
      </c>
      <c r="M20" s="54">
        <v>72.239999999999995</v>
      </c>
      <c r="N20" s="54">
        <v>685.90</v>
      </c>
      <c r="O20" s="54">
        <v>0</v>
      </c>
      <c r="P20" s="54">
        <v>1.57</v>
      </c>
      <c r="Q20" s="54">
        <v>14.46</v>
      </c>
      <c r="R20" s="43"/>
      <c r="S20" s="43"/>
      <c r="T20" s="43"/>
      <c r="U20" s="43"/>
    </row>
    <row r="21" spans="1:21" s="11" customFormat="1" ht="15">
      <c r="A21" s="53" t="s">
        <v>770</v>
      </c>
      <c r="B21" s="54">
        <v>9.75</v>
      </c>
      <c r="C21" s="54">
        <v>28.98</v>
      </c>
      <c r="D21" s="54">
        <v>25.11</v>
      </c>
      <c r="E21" s="54">
        <v>2.61</v>
      </c>
      <c r="F21" s="54">
        <v>8.31</v>
      </c>
      <c r="G21" s="54">
        <v>117.16</v>
      </c>
      <c r="H21" s="54">
        <v>30.55</v>
      </c>
      <c r="I21" s="54">
        <v>1.56</v>
      </c>
      <c r="J21" s="54">
        <v>0.53</v>
      </c>
      <c r="K21" s="54">
        <v>343.22</v>
      </c>
      <c r="L21" s="54">
        <v>30.74</v>
      </c>
      <c r="M21" s="54">
        <v>72.48</v>
      </c>
      <c r="N21" s="54">
        <v>629.60</v>
      </c>
      <c r="O21" s="54">
        <v>0</v>
      </c>
      <c r="P21" s="54">
        <v>1.66</v>
      </c>
      <c r="Q21" s="54">
        <v>12.62</v>
      </c>
      <c r="R21" s="43"/>
      <c r="S21" s="43"/>
      <c r="T21" s="43"/>
      <c r="U21" s="43"/>
    </row>
    <row r="22" spans="1:21" s="11" customFormat="1" ht="15">
      <c r="A22" s="53" t="s">
        <v>771</v>
      </c>
      <c r="B22" s="54">
        <v>4.92</v>
      </c>
      <c r="C22" s="54">
        <v>26.44</v>
      </c>
      <c r="D22" s="54">
        <v>19.82</v>
      </c>
      <c r="E22" s="54">
        <v>2.99</v>
      </c>
      <c r="F22" s="54">
        <v>6.49</v>
      </c>
      <c r="G22" s="54">
        <v>117.16</v>
      </c>
      <c r="H22" s="54">
        <v>32.270000000000003</v>
      </c>
      <c r="I22" s="54">
        <v>1.56</v>
      </c>
      <c r="J22" s="54">
        <v>0.45</v>
      </c>
      <c r="K22" s="54">
        <v>348.09</v>
      </c>
      <c r="L22" s="54">
        <v>30.12</v>
      </c>
      <c r="M22" s="54">
        <v>71.91</v>
      </c>
      <c r="N22" s="54">
        <v>561.79999999999995</v>
      </c>
      <c r="O22" s="54">
        <v>0</v>
      </c>
      <c r="P22" s="54">
        <v>1.39</v>
      </c>
      <c r="Q22" s="54">
        <v>11.37</v>
      </c>
      <c r="R22" s="43"/>
      <c r="S22" s="43"/>
      <c r="T22" s="43"/>
      <c r="U22" s="43"/>
    </row>
    <row r="23" spans="1:21" s="11" customFormat="1" ht="15">
      <c r="A23" s="53" t="s">
        <v>772</v>
      </c>
      <c r="B23" s="54">
        <v>2.5499999999999998</v>
      </c>
      <c r="C23" s="54">
        <v>21.69</v>
      </c>
      <c r="D23" s="54">
        <v>15.18</v>
      </c>
      <c r="E23" s="54">
        <v>2.54</v>
      </c>
      <c r="F23" s="54">
        <v>12.72</v>
      </c>
      <c r="G23" s="54">
        <v>105.52</v>
      </c>
      <c r="H23" s="54">
        <v>32.270000000000003</v>
      </c>
      <c r="I23" s="54">
        <v>1.57</v>
      </c>
      <c r="J23" s="54">
        <v>0.34</v>
      </c>
      <c r="K23" s="54">
        <v>351.57</v>
      </c>
      <c r="L23" s="54">
        <v>29.49</v>
      </c>
      <c r="M23" s="54">
        <v>78.319999999999993</v>
      </c>
      <c r="N23" s="54">
        <v>397.20</v>
      </c>
      <c r="O23" s="54">
        <v>0</v>
      </c>
      <c r="P23" s="54">
        <v>1.1499999999999999</v>
      </c>
      <c r="Q23" s="54">
        <v>11.62</v>
      </c>
      <c r="R23" s="43"/>
      <c r="S23" s="43"/>
      <c r="T23" s="43"/>
      <c r="U23" s="43"/>
    </row>
    <row r="24" spans="1:21" s="11" customFormat="1" ht="15">
      <c r="A24" s="53" t="s">
        <v>773</v>
      </c>
      <c r="B24" s="54">
        <v>2.52</v>
      </c>
      <c r="C24" s="54">
        <v>17.84</v>
      </c>
      <c r="D24" s="54">
        <v>12.97</v>
      </c>
      <c r="E24" s="54">
        <v>2.5499999999999998</v>
      </c>
      <c r="F24" s="54">
        <v>5.09</v>
      </c>
      <c r="G24" s="54">
        <v>89.98</v>
      </c>
      <c r="H24" s="54">
        <v>31.53</v>
      </c>
      <c r="I24" s="54">
        <v>1.57</v>
      </c>
      <c r="J24" s="54">
        <v>0.39</v>
      </c>
      <c r="K24" s="54">
        <v>19.190000000000001</v>
      </c>
      <c r="L24" s="54">
        <v>28.34</v>
      </c>
      <c r="M24" s="54">
        <v>77.010000000000005</v>
      </c>
      <c r="N24" s="54">
        <v>228.90</v>
      </c>
      <c r="O24" s="54">
        <v>0</v>
      </c>
      <c r="P24" s="54">
        <v>0.81</v>
      </c>
      <c r="Q24" s="54">
        <v>10.87</v>
      </c>
      <c r="R24" s="43"/>
      <c r="S24" s="43"/>
      <c r="T24" s="43"/>
      <c r="U24" s="43"/>
    </row>
    <row r="25" spans="1:21" s="11" customFormat="1" ht="15">
      <c r="A25" s="53" t="s">
        <v>774</v>
      </c>
      <c r="B25" s="54">
        <v>3.29</v>
      </c>
      <c r="C25" s="54">
        <v>17.12</v>
      </c>
      <c r="D25" s="54">
        <v>13.38</v>
      </c>
      <c r="E25" s="54">
        <v>2.94</v>
      </c>
      <c r="F25" s="54">
        <v>3.33</v>
      </c>
      <c r="G25" s="54">
        <v>72.62</v>
      </c>
      <c r="H25" s="54">
        <v>31.13</v>
      </c>
      <c r="I25" s="54">
        <v>1.49</v>
      </c>
      <c r="J25" s="54">
        <v>0.34</v>
      </c>
      <c r="K25" s="54">
        <v>23.80</v>
      </c>
      <c r="L25" s="54">
        <v>27.42</v>
      </c>
      <c r="M25" s="54">
        <v>85.81</v>
      </c>
      <c r="N25" s="54">
        <v>106.10</v>
      </c>
      <c r="O25" s="54">
        <v>0</v>
      </c>
      <c r="P25" s="54">
        <v>0.68</v>
      </c>
      <c r="Q25" s="54">
        <v>10.55</v>
      </c>
      <c r="R25" s="43"/>
      <c r="S25" s="43"/>
      <c r="T25" s="43"/>
      <c r="U25" s="43"/>
    </row>
    <row r="26" spans="1:21" s="11" customFormat="1" ht="15">
      <c r="A26" s="53" t="s">
        <v>775</v>
      </c>
      <c r="B26" s="54">
        <v>6.53</v>
      </c>
      <c r="C26" s="54">
        <v>17.559999999999999</v>
      </c>
      <c r="D26" s="54">
        <v>16.22</v>
      </c>
      <c r="E26" s="54">
        <v>3.03</v>
      </c>
      <c r="F26" s="54">
        <v>2.96</v>
      </c>
      <c r="G26" s="54">
        <v>65.58</v>
      </c>
      <c r="H26" s="54">
        <v>26.04</v>
      </c>
      <c r="I26" s="54">
        <v>1.52</v>
      </c>
      <c r="J26" s="54">
        <v>0.56000000000000005</v>
      </c>
      <c r="K26" s="54">
        <v>343.74</v>
      </c>
      <c r="L26" s="54">
        <v>25.93</v>
      </c>
      <c r="M26" s="54">
        <v>87.34</v>
      </c>
      <c r="N26" s="54">
        <v>26.60</v>
      </c>
      <c r="O26" s="54">
        <v>0</v>
      </c>
      <c r="P26" s="54">
        <v>0.62</v>
      </c>
      <c r="Q26" s="54">
        <v>11.01</v>
      </c>
      <c r="R26" s="43"/>
      <c r="S26" s="43"/>
      <c r="T26" s="43"/>
      <c r="U26" s="43"/>
    </row>
    <row r="27" spans="1:21" s="11" customFormat="1" ht="15">
      <c r="A27" s="53" t="s">
        <v>776</v>
      </c>
      <c r="B27" s="54">
        <v>9.11</v>
      </c>
      <c r="C27" s="54">
        <v>20.99</v>
      </c>
      <c r="D27" s="54">
        <v>18.420000000000002</v>
      </c>
      <c r="E27" s="54">
        <v>3.05</v>
      </c>
      <c r="F27" s="54">
        <v>2.89</v>
      </c>
      <c r="G27" s="54">
        <v>58.22</v>
      </c>
      <c r="H27" s="54">
        <v>23.19</v>
      </c>
      <c r="I27" s="54">
        <v>1.57</v>
      </c>
      <c r="J27" s="54">
        <v>0.40</v>
      </c>
      <c r="K27" s="54">
        <v>348.36</v>
      </c>
      <c r="L27" s="54">
        <v>24.56</v>
      </c>
      <c r="M27" s="54">
        <v>88.57</v>
      </c>
      <c r="N27" s="54">
        <v>9.5</v>
      </c>
      <c r="O27" s="54">
        <v>0</v>
      </c>
      <c r="P27" s="54">
        <v>0.72</v>
      </c>
      <c r="Q27" s="54">
        <v>11</v>
      </c>
      <c r="R27" s="43"/>
      <c r="S27" s="43"/>
      <c r="T27" s="43"/>
      <c r="U27" s="43"/>
    </row>
    <row r="28" spans="1:21" s="11" customFormat="1" ht="15">
      <c r="A28" s="53" t="s">
        <v>777</v>
      </c>
      <c r="B28" s="54">
        <v>10.34</v>
      </c>
      <c r="C28" s="54">
        <v>17.48</v>
      </c>
      <c r="D28" s="54">
        <v>19.23</v>
      </c>
      <c r="E28" s="54">
        <v>3.09</v>
      </c>
      <c r="F28" s="54">
        <v>1.05</v>
      </c>
      <c r="G28" s="54">
        <v>54.47</v>
      </c>
      <c r="H28" s="54">
        <v>19.45</v>
      </c>
      <c r="I28" s="54">
        <v>1.57</v>
      </c>
      <c r="J28" s="54">
        <v>0.20</v>
      </c>
      <c r="K28" s="54">
        <v>333.74</v>
      </c>
      <c r="L28" s="54">
        <v>24.22</v>
      </c>
      <c r="M28" s="54">
        <v>93.51</v>
      </c>
      <c r="N28" s="54">
        <v>9.1999999999999993</v>
      </c>
      <c r="O28" s="54">
        <v>0</v>
      </c>
      <c r="P28" s="54">
        <v>0.95</v>
      </c>
      <c r="Q28" s="54">
        <v>11.58</v>
      </c>
      <c r="R28" s="43"/>
      <c r="S28" s="43"/>
      <c r="T28" s="43"/>
      <c r="U28" s="43"/>
    </row>
    <row r="29" spans="1:21" s="11" customFormat="1" ht="15">
      <c r="A29" s="53" t="s">
        <v>778</v>
      </c>
      <c r="B29" s="54">
        <v>16.87</v>
      </c>
      <c r="C29" s="54">
        <v>30.10</v>
      </c>
      <c r="D29" s="54">
        <v>31.43</v>
      </c>
      <c r="E29" s="54">
        <v>3.56</v>
      </c>
      <c r="F29" s="54">
        <v>2.54</v>
      </c>
      <c r="G29" s="54">
        <v>62.98</v>
      </c>
      <c r="H29" s="54">
        <v>20.47</v>
      </c>
      <c r="I29" s="54">
        <v>1.56</v>
      </c>
      <c r="J29" s="54">
        <v>0.17</v>
      </c>
      <c r="K29" s="54">
        <v>28.08</v>
      </c>
      <c r="L29" s="54">
        <v>23.74</v>
      </c>
      <c r="M29" s="54">
        <v>96.86</v>
      </c>
      <c r="N29" s="54">
        <v>9.10</v>
      </c>
      <c r="O29" s="54">
        <v>0</v>
      </c>
      <c r="P29" s="54">
        <v>1.53</v>
      </c>
      <c r="Q29" s="54">
        <v>11.25</v>
      </c>
      <c r="R29" s="43"/>
      <c r="S29" s="43"/>
      <c r="T29" s="43"/>
      <c r="U29" s="43"/>
    </row>
    <row r="30" spans="1:21" s="11" customFormat="1" ht="15">
      <c r="A30" s="53" t="s">
        <v>779</v>
      </c>
      <c r="B30" s="54">
        <v>11.08</v>
      </c>
      <c r="C30" s="54">
        <v>15.78</v>
      </c>
      <c r="D30" s="54">
        <v>18.88</v>
      </c>
      <c r="E30" s="54">
        <v>3.51</v>
      </c>
      <c r="F30" s="54">
        <v>2.15</v>
      </c>
      <c r="G30" s="54">
        <v>62.98</v>
      </c>
      <c r="H30" s="54">
        <v>20.47</v>
      </c>
      <c r="I30" s="54">
        <v>1.58</v>
      </c>
      <c r="J30" s="54">
        <v>0.24</v>
      </c>
      <c r="K30" s="54">
        <v>27.68</v>
      </c>
      <c r="L30" s="54">
        <v>23.61</v>
      </c>
      <c r="M30" s="54">
        <v>98.43</v>
      </c>
      <c r="N30" s="54">
        <v>9.10</v>
      </c>
      <c r="O30" s="54">
        <v>0</v>
      </c>
      <c r="P30" s="54">
        <v>1.05</v>
      </c>
      <c r="Q30" s="54">
        <v>12.24</v>
      </c>
      <c r="R30" s="43"/>
      <c r="S30" s="43"/>
      <c r="T30" s="43"/>
      <c r="U30" s="43"/>
    </row>
    <row r="31" spans="1:21" s="11" customFormat="1" ht="15">
      <c r="A31" s="53" t="s">
        <v>780</v>
      </c>
      <c r="B31" s="54">
        <v>10.34</v>
      </c>
      <c r="C31" s="54">
        <v>15.52</v>
      </c>
      <c r="D31" s="54">
        <v>17.86</v>
      </c>
      <c r="E31" s="54">
        <v>3.11</v>
      </c>
      <c r="F31" s="54">
        <v>1</v>
      </c>
      <c r="G31" s="54">
        <v>59.5</v>
      </c>
      <c r="H31" s="54">
        <v>20.399999999999999</v>
      </c>
      <c r="I31" s="54">
        <v>1.55</v>
      </c>
      <c r="J31" s="54">
        <v>0.25</v>
      </c>
      <c r="K31" s="54">
        <v>356.22</v>
      </c>
      <c r="L31" s="54">
        <v>23.39</v>
      </c>
      <c r="M31" s="54">
        <v>98.84</v>
      </c>
      <c r="N31" s="54">
        <v>9.1999999999999993</v>
      </c>
      <c r="O31" s="54">
        <v>0</v>
      </c>
      <c r="P31" s="54">
        <v>1.01</v>
      </c>
      <c r="Q31" s="54">
        <v>11.89</v>
      </c>
      <c r="R31" s="43"/>
      <c r="S31" s="43"/>
      <c r="T31" s="43"/>
      <c r="U31" s="43"/>
    </row>
    <row r="32" spans="1:21" s="11" customFormat="1" ht="15">
      <c r="A32" s="53" t="s">
        <v>781</v>
      </c>
      <c r="B32" s="54">
        <v>13.02</v>
      </c>
      <c r="C32" s="54">
        <v>25.90</v>
      </c>
      <c r="D32" s="54">
        <v>26.03</v>
      </c>
      <c r="E32" s="54">
        <v>3.06</v>
      </c>
      <c r="F32" s="54">
        <v>5.34</v>
      </c>
      <c r="G32" s="54">
        <v>55.85</v>
      </c>
      <c r="H32" s="54">
        <v>18.399999999999999</v>
      </c>
      <c r="I32" s="54">
        <v>1.56</v>
      </c>
      <c r="J32" s="54">
        <v>0.15</v>
      </c>
      <c r="K32" s="54">
        <v>26.92</v>
      </c>
      <c r="L32" s="54">
        <v>23.17</v>
      </c>
      <c r="M32" s="54">
        <v>98.85</v>
      </c>
      <c r="N32" s="54">
        <v>9.3000000000000007</v>
      </c>
      <c r="O32" s="54">
        <v>0</v>
      </c>
      <c r="P32" s="54">
        <v>1.1000000000000001</v>
      </c>
      <c r="Q32" s="54">
        <v>12.15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2.52</v>
      </c>
      <c r="C34" s="28">
        <f t="shared" si="0"/>
        <v>7.9000000000000004</v>
      </c>
      <c r="D34" s="28">
        <f t="shared" si="0"/>
        <v>10.529999999999999</v>
      </c>
      <c r="E34" s="28">
        <f t="shared" si="0"/>
        <v>1.5</v>
      </c>
      <c r="F34" s="28">
        <f t="shared" si="0"/>
        <v>0.97999999999999998</v>
      </c>
      <c r="G34" s="28">
        <f t="shared" si="0"/>
        <v>15.890000000000001</v>
      </c>
      <c r="H34" s="28">
        <f t="shared" si="0"/>
        <v>5.5199999999999996</v>
      </c>
      <c r="I34" s="28">
        <f t="shared" si="0"/>
        <v>1.49</v>
      </c>
      <c r="J34" s="28">
        <f t="shared" si="0"/>
        <v>0.050000000000000003</v>
      </c>
      <c r="K34" s="28">
        <f t="shared" si="0"/>
        <v>19.190000000000001</v>
      </c>
      <c r="L34" s="28">
        <f t="shared" si="0"/>
        <v>21.34</v>
      </c>
      <c r="M34" s="28">
        <f t="shared" si="0"/>
        <v>71.909999999999997</v>
      </c>
      <c r="N34" s="28">
        <f t="shared" si="0"/>
        <v>9.0999999999999996</v>
      </c>
      <c r="O34" s="28">
        <f t="shared" si="0"/>
        <v>0</v>
      </c>
      <c r="P34" s="28">
        <f t="shared" si="0"/>
        <v>0.41999999999999998</v>
      </c>
      <c r="Q34" s="28">
        <f t="shared" si="0"/>
        <v>10.550000000000001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16.870000000000001</v>
      </c>
      <c r="C35" s="29">
        <f t="shared" si="1"/>
        <v>34.520000000000003</v>
      </c>
      <c r="D35" s="29">
        <f t="shared" si="1"/>
        <v>31.43</v>
      </c>
      <c r="E35" s="29">
        <f t="shared" si="1"/>
        <v>3.71</v>
      </c>
      <c r="F35" s="29">
        <f t="shared" si="1"/>
        <v>16.460000000000001</v>
      </c>
      <c r="G35" s="29">
        <f t="shared" si="1"/>
        <v>117.16</v>
      </c>
      <c r="H35" s="29">
        <f t="shared" si="1"/>
        <v>32.270000000000003</v>
      </c>
      <c r="I35" s="29">
        <f t="shared" si="1"/>
        <v>1.6000000000000001</v>
      </c>
      <c r="J35" s="29">
        <f t="shared" si="1"/>
        <v>0.75</v>
      </c>
      <c r="K35" s="29">
        <f t="shared" si="1"/>
        <v>358.38999999999999</v>
      </c>
      <c r="L35" s="29">
        <f t="shared" si="1"/>
        <v>30.739999999999998</v>
      </c>
      <c r="M35" s="29">
        <f t="shared" si="1"/>
        <v>98.920000000000002</v>
      </c>
      <c r="N35" s="29">
        <f t="shared" si="1"/>
        <v>685.89999999999998</v>
      </c>
      <c r="O35" s="29">
        <f t="shared" si="1"/>
        <v>0</v>
      </c>
      <c r="P35" s="29">
        <f t="shared" si="1"/>
        <v>1.6599999999999999</v>
      </c>
      <c r="Q35" s="29">
        <f t="shared" si="1"/>
        <v>15.630000000000001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8.0241666666666678</v>
      </c>
      <c r="C36" s="28">
        <f t="shared" si="2"/>
        <v>17.467499999999998</v>
      </c>
      <c r="D36" s="28">
        <f t="shared" si="2"/>
        <v>16.988333333333333</v>
      </c>
      <c r="E36" s="28">
        <f t="shared" si="2"/>
        <v>2.8300000000000001</v>
      </c>
      <c r="F36" s="28">
        <f t="shared" si="2"/>
        <v>4.2241666666666671</v>
      </c>
      <c r="G36" s="28">
        <f t="shared" si="2"/>
        <v>53.396250000000002</v>
      </c>
      <c r="H36" s="28">
        <f t="shared" si="2"/>
        <v>18.352500000000003</v>
      </c>
      <c r="I36" s="28">
        <f t="shared" si="2"/>
        <v>1.5449999999999997</v>
      </c>
      <c r="J36" s="28">
        <f t="shared" si="2"/>
        <v>0.29458333333333336</v>
      </c>
      <c r="K36" s="28">
        <f t="shared" si="2"/>
        <v>241.44624999999999</v>
      </c>
      <c r="L36" s="28">
        <f t="shared" si="2"/>
        <v>25.011666666666667</v>
      </c>
      <c r="M36" s="28">
        <f t="shared" si="2"/>
        <v>90.864583333333314</v>
      </c>
      <c r="N36" s="28">
        <f t="shared" si="2"/>
        <v>186.29166666666671</v>
      </c>
      <c r="O36" s="28">
        <f t="shared" si="2"/>
        <v>0</v>
      </c>
      <c r="P36" s="28">
        <f t="shared" si="2"/>
        <v>0.87083333333333357</v>
      </c>
      <c r="Q36" s="28">
        <f t="shared" si="2"/>
        <v>13.175833333333332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3.2547088518245224</v>
      </c>
      <c r="C37" s="28">
        <f t="shared" si="3" ref="C37:Q37">STDEV(C9:C32)</f>
        <v>7.5987323027394318</v>
      </c>
      <c r="D37" s="28">
        <f t="shared" si="3"/>
        <v>5.7416386591942201</v>
      </c>
      <c r="E37" s="28">
        <f t="shared" si="3"/>
        <v>0.50344033798757437</v>
      </c>
      <c r="F37" s="28">
        <f t="shared" si="3"/>
        <v>3.7943183115383654</v>
      </c>
      <c r="G37" s="28">
        <f t="shared" si="3"/>
        <v>32.64647431693178</v>
      </c>
      <c r="H37" s="28">
        <f t="shared" si="3"/>
        <v>9.327188984245252</v>
      </c>
      <c r="I37" s="28">
        <f t="shared" si="3"/>
        <v>0.028590056039606279</v>
      </c>
      <c r="J37" s="28">
        <f t="shared" si="3"/>
        <v>0.17643767631429633</v>
      </c>
      <c r="K37" s="28">
        <f t="shared" si="3"/>
        <v>137.5151886887725</v>
      </c>
      <c r="L37" s="28">
        <f t="shared" si="3"/>
        <v>3.3228192150991309</v>
      </c>
      <c r="M37" s="28">
        <f t="shared" si="3"/>
        <v>10.069097355670616</v>
      </c>
      <c r="N37" s="28">
        <f t="shared" si="3"/>
        <v>246.63205813812868</v>
      </c>
      <c r="O37" s="28">
        <f t="shared" si="3"/>
        <v>0</v>
      </c>
      <c r="P37" s="28">
        <f t="shared" si="3"/>
        <v>0.39091772365379696</v>
      </c>
      <c r="Q37" s="28">
        <f t="shared" si="3"/>
        <v>1.7786583039805324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252166a-a13a-4e4a-8556-a01942e135c2}">
  <sheetPr codeName=""/>
  <dimension ref="A1:X54"/>
  <sheetViews>
    <sheetView tabSelected="1" workbookViewId="0" topLeftCell="A1">
      <pane xSplit="1" ySplit="8" topLeftCell="B9" activePane="bottomRight" state="frozen"/>
      <selection pane="topLeft" activeCell="B2" sqref="B2"/>
      <selection pane="topRight" activeCell="B2" sqref="B2"/>
      <selection pane="bottomLeft" activeCell="B2" sqref="B2"/>
      <selection pane="bottomRight" activeCell="H66" sqref="H66"/>
    </sheetView>
  </sheetViews>
  <sheetFormatPr defaultColWidth="8.85881696428571" defaultRowHeight="15"/>
  <cols>
    <col min="1" max="1" width="17.4285714285714" style="11" customWidth="1"/>
    <col min="2" max="2" width="17.8571428571429" style="11" customWidth="1"/>
    <col min="3" max="3" width="9.85714285714286" style="11" customWidth="1"/>
    <col min="4" max="4" width="12.5714285714286" style="11" customWidth="1"/>
    <col min="5" max="5" width="9.71428571428571" style="11" customWidth="1"/>
    <col min="6" max="6" width="8.85714285714286" style="11"/>
    <col min="7" max="7" width="11.2857142857143" style="11" customWidth="1"/>
    <col min="8" max="8" width="12.4285714285714" style="11" customWidth="1"/>
    <col min="9" max="9" width="13" style="11" customWidth="1"/>
    <col min="10" max="10" width="8.85714285714286" style="11"/>
    <col min="11" max="11" width="9.71428571428571" style="11" customWidth="1"/>
    <col min="12" max="12" width="11" style="11" customWidth="1"/>
    <col min="13" max="13" width="10" style="11" customWidth="1"/>
    <col min="14" max="15" width="8.85714285714286" style="11"/>
    <col min="16" max="16" width="11" style="11" customWidth="1"/>
    <col min="17" max="17" width="15.8571428571429" style="11" customWidth="1"/>
    <col min="18" max="18" width="8.85714285714286" style="11"/>
    <col min="19" max="19" width="12.1428571428571" style="11" customWidth="1"/>
    <col min="20" max="20" width="12.7142857142857" style="11" customWidth="1"/>
    <col min="21" max="16384" width="8.85714285714286" style="11"/>
  </cols>
  <sheetData>
    <row r="1" spans="1:21" s="21" customFormat="1" ht="27.75" customHeight="1">
      <c r="A1" s="14" t="s">
        <v>2</v>
      </c>
      <c r="B1" s="23" t="s">
        <v>42</v>
      </c>
      <c r="C1" s="2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01-09-2023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37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25"/>
      <c r="B8" s="29" t="s">
        <v>22</v>
      </c>
      <c r="C8" s="29" t="s">
        <v>22</v>
      </c>
      <c r="D8" s="29" t="s">
        <v>61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ht="15">
      <c r="A9" s="36" t="str">
        <f>'01'!$B$2</f>
        <v>01-09-2023 01:00</v>
      </c>
      <c r="B9" s="24">
        <f>'01'!B36</f>
        <v>27.981249999999999</v>
      </c>
      <c r="C9" s="24">
        <f>'01'!C36</f>
        <v>38.087499999999991</v>
      </c>
      <c r="D9" s="24">
        <f>'01'!D36</f>
        <v>42.899166666666666</v>
      </c>
      <c r="E9" s="24">
        <f>'01'!E36</f>
        <v>5.4224999999999994</v>
      </c>
      <c r="F9" s="24">
        <f>'01'!F36</f>
        <v>11.599583333333333</v>
      </c>
      <c r="G9" s="24">
        <f>'01'!G36</f>
        <v>83.215416666666655</v>
      </c>
      <c r="H9" s="24">
        <f>'01'!H36</f>
        <v>24.72666666666667</v>
      </c>
      <c r="I9" s="24">
        <f>'01'!I36</f>
        <v>0.12166666666666666</v>
      </c>
      <c r="J9" s="24">
        <f>'01'!J36</f>
        <v>0.37999999999999995</v>
      </c>
      <c r="K9" s="24">
        <f>'01'!K36</f>
        <v>318.58999999999997</v>
      </c>
      <c r="L9" s="24">
        <f>'01'!L36</f>
        <v>27.862500000000008</v>
      </c>
      <c r="M9" s="24">
        <f>'01'!M36</f>
        <v>85.460833333333326</v>
      </c>
      <c r="N9" s="24">
        <f>'01'!N36</f>
        <v>199.79583333333326</v>
      </c>
      <c r="O9" s="24">
        <f>'01'!O36</f>
        <v>0.34166666666666662</v>
      </c>
      <c r="P9" s="30">
        <f>'01'!$P$36</f>
        <v>1.0470833333333334</v>
      </c>
      <c r="Q9" s="24">
        <f>'01'!Q36</f>
        <v>19.757083333333334</v>
      </c>
      <c r="R9" s="45"/>
      <c r="S9" s="45"/>
      <c r="T9" s="45"/>
      <c r="U9" s="46"/>
    </row>
    <row r="10" spans="1:21" s="34" customFormat="1" ht="15">
      <c r="A10" s="36" t="str">
        <f>'02'!$B$2</f>
        <v>02-09-2023 01:00</v>
      </c>
      <c r="B10" s="33">
        <f>'02'!B36</f>
        <v>14.428749999999996</v>
      </c>
      <c r="C10" s="33">
        <f>'02'!C36</f>
        <v>24.592916666666667</v>
      </c>
      <c r="D10" s="33">
        <f>'02'!D36</f>
        <v>29.819166666666664</v>
      </c>
      <c r="E10" s="33">
        <f>'02'!E36</f>
        <v>4.952916666666666</v>
      </c>
      <c r="F10" s="33">
        <f>'02'!F36</f>
        <v>11.246666666666664</v>
      </c>
      <c r="G10" s="33">
        <f>'02'!G36</f>
        <v>69.210000000000008</v>
      </c>
      <c r="H10" s="33">
        <f>'02'!H36</f>
        <v>16.454782608695652</v>
      </c>
      <c r="I10" s="33">
        <f>'02'!I36</f>
        <v>0.12333333333333334</v>
      </c>
      <c r="J10" s="33">
        <f>'02'!J36</f>
        <v>0.80583333333333329</v>
      </c>
      <c r="K10" s="33">
        <f>'02'!K36</f>
        <v>280.68041666666664</v>
      </c>
      <c r="L10" s="33">
        <f>'02'!L36</f>
        <v>28.343333333333334</v>
      </c>
      <c r="M10" s="33">
        <f>'02'!M36</f>
        <v>81.305833333333325</v>
      </c>
      <c r="N10" s="33">
        <f>'02'!N36</f>
        <v>233.45416666666674</v>
      </c>
      <c r="O10" s="33">
        <f>'02'!O36</f>
        <v>0.016666666666666666</v>
      </c>
      <c r="P10" s="30">
        <f>'02'!$P$36</f>
        <v>0.62</v>
      </c>
      <c r="Q10" s="33">
        <f>'02'!Q36</f>
        <v>18.403333333333336</v>
      </c>
      <c r="R10" s="47"/>
      <c r="S10" s="47"/>
      <c r="T10" s="47"/>
      <c r="U10" s="47"/>
    </row>
    <row r="11" spans="1:21" s="34" customFormat="1" ht="15">
      <c r="A11" s="36" t="str">
        <f>'03'!$B$2</f>
        <v>03-09-2023 01:00</v>
      </c>
      <c r="B11" s="33">
        <f>'03'!B36</f>
        <v>9.1233333333333331</v>
      </c>
      <c r="C11" s="33">
        <f>'03'!C36</f>
        <v>16.58625</v>
      </c>
      <c r="D11" s="33">
        <f>'03'!D36</f>
        <v>25.594583333333336</v>
      </c>
      <c r="E11" s="33">
        <f>'03'!E36</f>
        <v>1.6666666666666667</v>
      </c>
      <c r="F11" s="33">
        <f>'03'!F36</f>
        <v>3.8600000000000008</v>
      </c>
      <c r="G11" s="33">
        <f>'03'!G36</f>
        <v>34.844999999999999</v>
      </c>
      <c r="H11" s="33">
        <f>'03'!H36</f>
        <v>11.099166666666664</v>
      </c>
      <c r="I11" s="33">
        <f>'03'!I36</f>
        <v>0.12749999999999997</v>
      </c>
      <c r="J11" s="33">
        <f>'03'!J36</f>
        <v>0.52333333333333332</v>
      </c>
      <c r="K11" s="33">
        <f>'03'!K36</f>
        <v>250.64499999999998</v>
      </c>
      <c r="L11" s="33">
        <f>'03'!L36</f>
        <v>23.631666666666664</v>
      </c>
      <c r="M11" s="33">
        <f>'03'!M36</f>
        <v>96.252083333333317</v>
      </c>
      <c r="N11" s="33">
        <f>'03'!N36</f>
        <v>111.09583333333336</v>
      </c>
      <c r="O11" s="33">
        <f>'03'!O36</f>
        <v>0.19999999999999998</v>
      </c>
      <c r="P11" s="30">
        <f>'03'!$P$36</f>
        <v>0.6283333333333333</v>
      </c>
      <c r="Q11" s="33">
        <f>'03'!Q36</f>
        <v>17.390833333333333</v>
      </c>
      <c r="R11" s="47"/>
      <c r="S11" s="47"/>
      <c r="T11" s="47"/>
      <c r="U11" s="47"/>
    </row>
    <row r="12" spans="1:21" s="34" customFormat="1" ht="15">
      <c r="A12" s="36" t="str">
        <f>'04'!$B$2</f>
        <v>04-09-2023 01:00</v>
      </c>
      <c r="B12" s="33">
        <f>'04'!B36</f>
        <v>9.0208333333333321</v>
      </c>
      <c r="C12" s="33">
        <f>'04'!C36</f>
        <v>20.362916666666667</v>
      </c>
      <c r="D12" s="33">
        <f>'04'!D36</f>
        <v>28.737916666666667</v>
      </c>
      <c r="E12" s="33">
        <f>'04'!E36</f>
        <v>2.1029166666666668</v>
      </c>
      <c r="F12" s="33">
        <f>'04'!F36</f>
        <v>4.7933333333333339</v>
      </c>
      <c r="G12" s="33">
        <f>'04'!G36</f>
        <v>40.232083333333343</v>
      </c>
      <c r="H12" s="33">
        <f>'04'!H36</f>
        <v>13.048749999999997</v>
      </c>
      <c r="I12" s="33">
        <f>'04'!I36</f>
        <v>0.12583333333333335</v>
      </c>
      <c r="J12" s="33">
        <f>'04'!J36</f>
        <v>0.65625000000000011</v>
      </c>
      <c r="K12" s="33">
        <f>'04'!K36</f>
        <v>288.58166666666665</v>
      </c>
      <c r="L12" s="33">
        <f>'04'!L36</f>
        <v>23.183333333333334</v>
      </c>
      <c r="M12" s="33">
        <f>'04'!M36</f>
        <v>95.810416666666654</v>
      </c>
      <c r="N12" s="33">
        <f>'04'!N36</f>
        <v>125.99583333333332</v>
      </c>
      <c r="O12" s="33">
        <f>'04'!O36</f>
        <v>0.38333333333333325</v>
      </c>
      <c r="P12" s="30">
        <f>'04'!$P$36</f>
        <v>0.78826086956521735</v>
      </c>
      <c r="Q12" s="33">
        <f>'04'!Q36</f>
        <v>15.36125</v>
      </c>
      <c r="R12" s="47"/>
      <c r="S12" s="47"/>
      <c r="T12" s="47"/>
      <c r="U12" s="47"/>
    </row>
    <row r="13" spans="1:21" s="34" customFormat="1" ht="15">
      <c r="A13" s="36" t="str">
        <f>'05'!$B$2</f>
        <v>05-09-2023 01:00</v>
      </c>
      <c r="B13" s="33">
        <f>'05'!B36</f>
        <v>11.534583333333332</v>
      </c>
      <c r="C13" s="33">
        <f>'05'!C36</f>
        <v>23.025000000000002</v>
      </c>
      <c r="D13" s="33">
        <f>'05'!D36</f>
        <v>33.992083333333326</v>
      </c>
      <c r="E13" s="33">
        <f>'05'!E36</f>
        <v>2.5441666666666665</v>
      </c>
      <c r="F13" s="33">
        <f>'05'!F36</f>
        <v>9.2904166666666672</v>
      </c>
      <c r="G13" s="33">
        <f>'05'!G36</f>
        <v>50.229166666666664</v>
      </c>
      <c r="H13" s="33">
        <f>'05'!H36</f>
        <v>18.962916666666665</v>
      </c>
      <c r="I13" s="33">
        <f>'05'!I36</f>
        <v>0.12791666666666665</v>
      </c>
      <c r="J13" s="33">
        <f>'05'!J36</f>
        <v>0.68083333333333351</v>
      </c>
      <c r="K13" s="33">
        <f>'05'!K36</f>
        <v>228.38166666666666</v>
      </c>
      <c r="L13" s="33">
        <f>'05'!L36</f>
        <v>24.303333333333338</v>
      </c>
      <c r="M13" s="33">
        <f>'05'!M36</f>
        <v>90.935416666666683</v>
      </c>
      <c r="N13" s="33">
        <f>'05'!N36</f>
        <v>201.97083333333333</v>
      </c>
      <c r="O13" s="33">
        <f>'05'!O36</f>
        <v>0.0083333333333333332</v>
      </c>
      <c r="P13" s="30">
        <f>'05'!$P$36</f>
        <v>0.78874999999999995</v>
      </c>
      <c r="Q13" s="33">
        <f>'05'!Q36</f>
        <v>19.377083333333335</v>
      </c>
      <c r="R13" s="47"/>
      <c r="S13" s="47"/>
      <c r="T13" s="47"/>
      <c r="U13" s="47"/>
    </row>
    <row r="14" spans="1:21" s="34" customFormat="1" ht="15">
      <c r="A14" s="36" t="str">
        <f>'06'!$B$2</f>
        <v>06-09-2023 01:00</v>
      </c>
      <c r="B14" s="33">
        <f>'06'!B36</f>
        <v>7.6633333333333349</v>
      </c>
      <c r="C14" s="33">
        <f>'06'!C36</f>
        <v>16.326249999999998</v>
      </c>
      <c r="D14" s="33">
        <f>'06'!D36</f>
        <v>23.614999999999998</v>
      </c>
      <c r="E14" s="33">
        <f>'06'!E36</f>
        <v>2.0250000000000004</v>
      </c>
      <c r="F14" s="33">
        <f>'06'!F36</f>
        <v>7.676666666666665</v>
      </c>
      <c r="G14" s="33">
        <f>'06'!G36</f>
        <v>29.478750000000002</v>
      </c>
      <c r="H14" s="33">
        <f>'06'!H36</f>
        <v>9.5874999999999986</v>
      </c>
      <c r="I14" s="33">
        <f>'06'!I36</f>
        <v>0.12708333333333335</v>
      </c>
      <c r="J14" s="33">
        <f>'06'!J36</f>
        <v>0.99208333333333343</v>
      </c>
      <c r="K14" s="33">
        <f>'06'!K36</f>
        <v>148.08166666666668</v>
      </c>
      <c r="L14" s="33">
        <f>'06'!L36</f>
        <v>24.921666666666667</v>
      </c>
      <c r="M14" s="33">
        <f>'06'!M36</f>
        <v>90.962499999999991</v>
      </c>
      <c r="N14" s="33">
        <f>'06'!N36</f>
        <v>248.37500000000003</v>
      </c>
      <c r="O14" s="33">
        <f>'06'!O36</f>
        <v>0.47499999999999992</v>
      </c>
      <c r="P14" s="30">
        <f>'06'!$P$36</f>
        <v>0.52250000000000008</v>
      </c>
      <c r="Q14" s="33">
        <f>'06'!Q36</f>
        <v>22.495833333333337</v>
      </c>
      <c r="R14" s="47"/>
      <c r="S14" s="47"/>
      <c r="T14" s="47"/>
      <c r="U14" s="47"/>
    </row>
    <row r="15" spans="1:21" s="34" customFormat="1" ht="15">
      <c r="A15" s="36" t="str">
        <f>'07'!$B$2</f>
        <v>07-09-2023 01:00</v>
      </c>
      <c r="B15" s="33">
        <f>'07'!B36</f>
        <v>5.8637500000000005</v>
      </c>
      <c r="C15" s="33">
        <f>'07'!C36</f>
        <v>12.480416666666668</v>
      </c>
      <c r="D15" s="33">
        <f>'07'!D36</f>
        <v>18.035833333333333</v>
      </c>
      <c r="E15" s="33">
        <f>'07'!E36</f>
        <v>1.9162500000000005</v>
      </c>
      <c r="F15" s="33">
        <f>'07'!F36</f>
        <v>6.3554166666666667</v>
      </c>
      <c r="G15" s="33">
        <f>'07'!G36</f>
        <v>13.145416666666662</v>
      </c>
      <c r="H15" s="33">
        <f>'07'!H36</f>
        <v>5.9675000000000011</v>
      </c>
      <c r="I15" s="33">
        <f>'07'!I36</f>
        <v>0.12916666666666668</v>
      </c>
      <c r="J15" s="33">
        <f>'07'!J36</f>
        <v>0.64124999999999999</v>
      </c>
      <c r="K15" s="33">
        <f>'07'!K36</f>
        <v>190.41374999999996</v>
      </c>
      <c r="L15" s="33">
        <f>'07'!L36</f>
        <v>23.889999999999997</v>
      </c>
      <c r="M15" s="33">
        <f>'07'!M36</f>
        <v>95.617499999999993</v>
      </c>
      <c r="N15" s="33">
        <f>'07'!N37</f>
        <v>342.88723394036617</v>
      </c>
      <c r="O15" s="33">
        <f>'07'!O37</f>
        <v>0.75450338787764271</v>
      </c>
      <c r="P15" s="30">
        <f>'07'!$P$36</f>
        <v>0.42500000000000004</v>
      </c>
      <c r="Q15" s="33">
        <f>'07'!Q36</f>
        <v>19.771666666666665</v>
      </c>
      <c r="R15" s="47"/>
      <c r="S15" s="47"/>
      <c r="T15" s="47"/>
      <c r="U15" s="47"/>
    </row>
    <row r="16" spans="1:21" s="34" customFormat="1" ht="15">
      <c r="A16" s="36" t="str">
        <f>'08'!$B$2</f>
        <v>08-09-2023 01:00</v>
      </c>
      <c r="B16" s="33">
        <f>'08'!B36</f>
        <v>5.5829166666666659</v>
      </c>
      <c r="C16" s="33">
        <f>'08'!C36</f>
        <v>10.813750000000001</v>
      </c>
      <c r="D16" s="33">
        <f>'08'!D36</f>
        <v>16.21541666666667</v>
      </c>
      <c r="E16" s="33">
        <f>'08'!E36</f>
        <v>1.9437499999999999</v>
      </c>
      <c r="F16" s="33">
        <f>'08'!F36</f>
        <v>3.4691666666666663</v>
      </c>
      <c r="G16" s="33">
        <f>'08'!G36</f>
        <v>12.067083333333334</v>
      </c>
      <c r="H16" s="33">
        <f>'08'!H36</f>
        <v>4.786666666666668</v>
      </c>
      <c r="I16" s="33">
        <f>'08'!I36</f>
        <v>0.12333333333333336</v>
      </c>
      <c r="J16" s="33">
        <f>'08'!J36</f>
        <v>0.46083333333333337</v>
      </c>
      <c r="K16" s="33">
        <f>'08'!K36</f>
        <v>201.04458333333332</v>
      </c>
      <c r="L16" s="33">
        <f>'08'!L36</f>
        <v>23.55875</v>
      </c>
      <c r="M16" s="33">
        <f>'08'!M36</f>
        <v>97.074166666666656</v>
      </c>
      <c r="N16" s="33">
        <f>'08'!N36</f>
        <v>142.98750000000001</v>
      </c>
      <c r="O16" s="33">
        <f>'08'!O36</f>
        <v>0</v>
      </c>
      <c r="P16" s="30">
        <f>'08'!$P$36</f>
        <v>0.2820833333333333</v>
      </c>
      <c r="Q16" s="33">
        <f>'08'!Q36</f>
        <v>15.084166666666668</v>
      </c>
      <c r="R16" s="47"/>
      <c r="S16" s="47"/>
      <c r="T16" s="47"/>
      <c r="U16" s="47"/>
    </row>
    <row r="17" spans="1:24" s="34" customFormat="1" ht="15">
      <c r="A17" s="36" t="str">
        <f>'09'!$B$2</f>
        <v>09-09-2023 01:00</v>
      </c>
      <c r="B17" s="33">
        <f>'09'!B36</f>
        <v>5.611250000000001</v>
      </c>
      <c r="C17" s="33">
        <f>'09'!C36</f>
        <v>11.737499999999997</v>
      </c>
      <c r="D17" s="33">
        <f>'09'!D36</f>
        <v>17.187500000000004</v>
      </c>
      <c r="E17" s="33">
        <f>'09'!E36</f>
        <v>1.8341666666666665</v>
      </c>
      <c r="F17" s="33">
        <f>'09'!F36</f>
        <v>4.770833333333333</v>
      </c>
      <c r="G17" s="33">
        <f>'09'!G36</f>
        <v>17.217083333333335</v>
      </c>
      <c r="H17" s="33">
        <f>'09'!H36</f>
        <v>6.4775000000000018</v>
      </c>
      <c r="I17" s="33">
        <f>'09'!I36</f>
        <v>0.12125000000000007</v>
      </c>
      <c r="J17" s="33">
        <f>'09'!J36</f>
        <v>0.41791666666666688</v>
      </c>
      <c r="K17" s="33">
        <f>'09'!K36</f>
        <v>183.55041666666668</v>
      </c>
      <c r="L17" s="33">
        <f>'09'!L36</f>
        <v>24.400833333333338</v>
      </c>
      <c r="M17" s="33">
        <f>'09'!M36</f>
        <v>91.987916666666663</v>
      </c>
      <c r="N17" s="33">
        <f>'09'!N37</f>
        <v>164.05464442890872</v>
      </c>
      <c r="O17" s="33">
        <f>'09'!O37</f>
        <v>0</v>
      </c>
      <c r="P17" s="30">
        <f>'09'!$P$36</f>
        <v>0.31000000000000011</v>
      </c>
      <c r="Q17" s="33">
        <f>'09'!Q36</f>
        <v>14.842500000000001</v>
      </c>
      <c r="R17" s="47"/>
      <c r="S17" s="47"/>
      <c r="T17" s="47"/>
      <c r="U17" s="47"/>
      <c r="V17" s="35"/>
      <c r="W17" s="35"/>
      <c r="X17" s="35"/>
    </row>
    <row r="18" spans="1:21" s="34" customFormat="1" ht="15">
      <c r="A18" s="36" t="str">
        <f>'10'!$B$2</f>
        <v>10-09-2023 01:00</v>
      </c>
      <c r="B18" s="33">
        <f>'10'!B36</f>
        <v>5.6341666666666681</v>
      </c>
      <c r="C18" s="33">
        <f>'10'!C36</f>
        <v>11.094166666666666</v>
      </c>
      <c r="D18" s="33">
        <f>'10'!D36</f>
        <v>16.523333333333337</v>
      </c>
      <c r="E18" s="33">
        <f>'10'!E36</f>
        <v>1.5695833333333333</v>
      </c>
      <c r="F18" s="33">
        <f>'10'!F36</f>
        <v>3.726666666666667</v>
      </c>
      <c r="G18" s="33">
        <f>'10'!G36</f>
        <v>22.634583333333325</v>
      </c>
      <c r="H18" s="33">
        <f>'10'!H36</f>
        <v>9.084583333333331</v>
      </c>
      <c r="I18" s="33">
        <f>'10'!I36</f>
        <v>0.12250000000000004</v>
      </c>
      <c r="J18" s="33">
        <f>'10'!J36</f>
        <v>0.56958333333333333</v>
      </c>
      <c r="K18" s="33">
        <f>'10'!K36</f>
        <v>160.45750000000001</v>
      </c>
      <c r="L18" s="33">
        <f>'10'!L36</f>
        <v>24.561666666666667</v>
      </c>
      <c r="M18" s="33">
        <f>'10'!M36</f>
        <v>94.652500000000018</v>
      </c>
      <c r="N18" s="33">
        <f>'10'!N36</f>
        <v>167.91249999999999</v>
      </c>
      <c r="O18" s="33">
        <f>'10'!O36</f>
        <v>0.10833333333333334</v>
      </c>
      <c r="P18" s="30">
        <f>'10'!$P$36</f>
        <v>0.37458333333333332</v>
      </c>
      <c r="Q18" s="33">
        <f>'10'!Q36</f>
        <v>17.323333333333334</v>
      </c>
      <c r="R18" s="47"/>
      <c r="S18" s="47"/>
      <c r="T18" s="47"/>
      <c r="U18" s="47"/>
    </row>
    <row r="19" spans="1:21" s="34" customFormat="1" ht="15">
      <c r="A19" s="36" t="str">
        <f>'11'!$B$2</f>
        <v>11-09-2023 01:00</v>
      </c>
      <c r="B19" s="33">
        <f>'11'!B36</f>
        <v>8.6513043478260858</v>
      </c>
      <c r="C19" s="33">
        <f>'11'!C36</f>
        <v>16.290434782608695</v>
      </c>
      <c r="D19" s="33">
        <f>'11'!D36</f>
        <v>24.528260869565205</v>
      </c>
      <c r="E19" s="33">
        <f>'11'!E36</f>
        <v>1.519166666666667</v>
      </c>
      <c r="F19" s="33">
        <f>'11'!F36</f>
        <v>3.1779166666666669</v>
      </c>
      <c r="G19" s="33">
        <f>'11'!G36</f>
        <v>39.256956521739127</v>
      </c>
      <c r="H19" s="33">
        <f>'11'!H36</f>
        <v>14.364782608695654</v>
      </c>
      <c r="I19" s="33">
        <f>'11'!I36</f>
        <v>0.11666666666666668</v>
      </c>
      <c r="J19" s="33">
        <f>'11'!J36</f>
        <v>0.32916666666666666</v>
      </c>
      <c r="K19" s="33">
        <f>'11'!K36</f>
        <v>188.72874999999996</v>
      </c>
      <c r="L19" s="33">
        <f>'11'!L36</f>
        <v>24.986666666666661</v>
      </c>
      <c r="M19" s="33">
        <f>'11'!M36</f>
        <v>93.918333333333365</v>
      </c>
      <c r="N19" s="33">
        <f>'11'!N36</f>
        <v>128.63749999999999</v>
      </c>
      <c r="O19" s="33">
        <f>'11'!O36</f>
        <v>0.0083333333333333332</v>
      </c>
      <c r="P19" s="33">
        <f>'11'!P36</f>
        <v>0.57541666666666658</v>
      </c>
      <c r="Q19" s="33">
        <f>'11'!Q36</f>
        <v>14.245833333333332</v>
      </c>
      <c r="R19" s="47"/>
      <c r="S19" s="47"/>
      <c r="T19" s="47"/>
      <c r="U19" s="47"/>
    </row>
    <row r="20" spans="1:21" s="34" customFormat="1" ht="15">
      <c r="A20" s="36" t="str">
        <f>'12'!$B$2</f>
        <v>12-09-2023 01:00</v>
      </c>
      <c r="B20" s="33">
        <f>'12'!B36</f>
        <v>8.5074999999999985</v>
      </c>
      <c r="C20" s="33">
        <f>'12'!C36</f>
        <v>14.075416666666667</v>
      </c>
      <c r="D20" s="33">
        <f>'12'!D36</f>
        <v>22.17958333333333</v>
      </c>
      <c r="E20" s="33">
        <f>'12'!E36</f>
        <v>1.7616666666666665</v>
      </c>
      <c r="F20" s="33">
        <f>'12'!F36</f>
        <v>2.5337500000000004</v>
      </c>
      <c r="G20" s="33">
        <f>'12'!G36</f>
        <v>42.595833333333339</v>
      </c>
      <c r="H20" s="33">
        <f>'12'!H36</f>
        <v>15.975416666666668</v>
      </c>
      <c r="I20" s="33">
        <f>'12'!I36</f>
        <v>0.12000000000000004</v>
      </c>
      <c r="J20" s="33">
        <f>'12'!J36</f>
        <v>0.38041666666666679</v>
      </c>
      <c r="K20" s="33">
        <f>'12'!K36</f>
        <v>185.42624999999998</v>
      </c>
      <c r="L20" s="33">
        <f>'12'!L36</f>
        <v>25.686250000000001</v>
      </c>
      <c r="M20" s="33">
        <f>'12'!M36</f>
        <v>90.526666666666642</v>
      </c>
      <c r="N20" s="33">
        <f>'12'!N36</f>
        <v>181.37916666666669</v>
      </c>
      <c r="O20" s="33">
        <f>'12'!O36</f>
        <v>0.074999999999999997</v>
      </c>
      <c r="P20" s="33">
        <f>'12'!P36</f>
        <v>0.5774999999999999</v>
      </c>
      <c r="Q20" s="33">
        <f>'12'!Q36</f>
        <v>13.681666666666667</v>
      </c>
      <c r="R20" s="47"/>
      <c r="S20" s="47"/>
      <c r="T20" s="47"/>
      <c r="U20" s="47"/>
    </row>
    <row r="21" spans="1:21" s="34" customFormat="1" ht="15">
      <c r="A21" s="36" t="str">
        <f>'13'!$B$2</f>
        <v>13-09-2023 01:00</v>
      </c>
      <c r="B21" s="33">
        <f>'13'!B36</f>
        <v>8.3978260869565222</v>
      </c>
      <c r="C21" s="33">
        <f>'13'!C36</f>
        <v>14.943913043478263</v>
      </c>
      <c r="D21" s="33">
        <f>'13'!D36</f>
        <v>22.847391304347827</v>
      </c>
      <c r="E21" s="33">
        <f>'13'!E36</f>
        <v>2.718260869565218</v>
      </c>
      <c r="F21" s="33">
        <f>'13'!F36</f>
        <v>2.5730434782608698</v>
      </c>
      <c r="G21" s="33">
        <f>'13'!G36</f>
        <v>37.492608695652173</v>
      </c>
      <c r="H21" s="33">
        <f>'13'!H36</f>
        <v>12.536956521739132</v>
      </c>
      <c r="I21" s="33">
        <f>'13'!I36</f>
        <v>0.11956521739130437</v>
      </c>
      <c r="J21" s="33">
        <f>'13'!J36</f>
        <v>0.83826086956521728</v>
      </c>
      <c r="K21" s="33">
        <f>'13'!K36</f>
        <v>272.55478260869575</v>
      </c>
      <c r="L21" s="33">
        <f>'13'!L36</f>
        <v>24.679130434782611</v>
      </c>
      <c r="M21" s="33">
        <f>'13'!M36</f>
        <v>92.12173913043479</v>
      </c>
      <c r="N21" s="33">
        <f>'13'!N36</f>
        <v>154.40000000000003</v>
      </c>
      <c r="O21" s="33">
        <f>'13'!O36</f>
        <v>0.71304347826086956</v>
      </c>
      <c r="P21" s="33">
        <f>'13'!P36</f>
        <v>0.48347826086956508</v>
      </c>
      <c r="Q21" s="33">
        <f>'13'!Q36</f>
        <v>14.506956521739129</v>
      </c>
      <c r="R21" s="47"/>
      <c r="S21" s="47"/>
      <c r="T21" s="47"/>
      <c r="U21" s="47"/>
    </row>
    <row r="22" spans="1:21" s="34" customFormat="1" ht="15">
      <c r="A22" s="36" t="str">
        <f>'14'!$B$2</f>
        <v>14-09-2023 01:00</v>
      </c>
      <c r="B22" s="30">
        <f>'14'!B36</f>
        <v>7.9904166666666656</v>
      </c>
      <c r="C22" s="30">
        <f>'14'!C36</f>
        <v>14.93</v>
      </c>
      <c r="D22" s="30">
        <f>'14'!D36</f>
        <v>22.597916666666666</v>
      </c>
      <c r="E22" s="30">
        <f>'14'!E36</f>
        <v>4.3131818181818184</v>
      </c>
      <c r="F22" s="30">
        <f>'14'!F36</f>
        <v>2.3322222222222222</v>
      </c>
      <c r="G22" s="30">
        <f>'14'!G36</f>
        <v>31.669166666666669</v>
      </c>
      <c r="H22" s="30">
        <f>'14'!H36</f>
        <v>10.742916666666666</v>
      </c>
      <c r="I22" s="30">
        <f>'14'!I36</f>
        <v>1.8409090909090908</v>
      </c>
      <c r="J22" s="30">
        <f>'14'!J36</f>
        <v>0.43624999999999997</v>
      </c>
      <c r="K22" s="30">
        <f>'14'!K36</f>
        <v>272.83708333333334</v>
      </c>
      <c r="L22" s="30">
        <f>'14'!L36</f>
        <v>23.368333333333329</v>
      </c>
      <c r="M22" s="30">
        <f>'14'!M36</f>
        <v>96.769999999999996</v>
      </c>
      <c r="N22" s="30">
        <f>'14'!N36</f>
        <v>86.200000000000003</v>
      </c>
      <c r="O22" s="30">
        <f>'14'!O36</f>
        <v>1.8499999999999999</v>
      </c>
      <c r="P22" s="30">
        <f>'14'!P36</f>
        <v>0.55833333333333324</v>
      </c>
      <c r="Q22" s="30">
        <f>'14'!Q36</f>
        <v>18.381304347826084</v>
      </c>
      <c r="R22" s="48"/>
      <c r="S22" s="48"/>
      <c r="T22" s="48"/>
      <c r="U22" s="48"/>
    </row>
    <row r="23" spans="1:21" s="34" customFormat="1" ht="15">
      <c r="A23" s="36" t="str">
        <f>'15'!$B$2</f>
        <v>15-09-2023 01:00</v>
      </c>
      <c r="B23" s="33">
        <f>'15'!B36</f>
        <v>3.6758333333333333</v>
      </c>
      <c r="C23" s="33">
        <f>'15'!C36</f>
        <v>10.317500000000001</v>
      </c>
      <c r="D23" s="33">
        <f>'15'!D36</f>
        <v>13.893333333333333</v>
      </c>
      <c r="E23" s="33">
        <f>'15'!E36</f>
        <v>4.7062500000000007</v>
      </c>
      <c r="F23" s="33">
        <f>'15'!F36</f>
        <v>2.0808333333333331</v>
      </c>
      <c r="G23" s="33">
        <f>'15'!G36</f>
        <v>10.772916666666662</v>
      </c>
      <c r="H23" s="33">
        <f>'15'!H36</f>
        <v>5.4366666666666665</v>
      </c>
      <c r="I23" s="33">
        <f>'15'!I36</f>
        <v>1.835</v>
      </c>
      <c r="J23" s="33">
        <f>'15'!J36</f>
        <v>0.84333333333333338</v>
      </c>
      <c r="K23" s="33">
        <f>'15'!K36</f>
        <v>182.79333333333338</v>
      </c>
      <c r="L23" s="33">
        <f>'15'!L36</f>
        <v>22.977083333333329</v>
      </c>
      <c r="M23" s="33">
        <f>'15'!M36</f>
        <v>97.339166666666657</v>
      </c>
      <c r="N23" s="33">
        <f>'15'!N36</f>
        <v>51.144444444444446</v>
      </c>
      <c r="O23" s="33">
        <f>'15'!O36</f>
        <v>0.37500000000000006</v>
      </c>
      <c r="P23" s="30">
        <f>'15'!P36</f>
        <v>0.34208333333333329</v>
      </c>
      <c r="Q23" s="30">
        <f>'15'!Q36</f>
        <v>10.647916666666667</v>
      </c>
      <c r="R23" s="48"/>
      <c r="S23" s="48"/>
      <c r="T23" s="48"/>
      <c r="U23" s="47"/>
    </row>
    <row r="24" spans="1:21" s="34" customFormat="1" ht="15">
      <c r="A24" s="36" t="str">
        <f>'16'!$B$2</f>
        <v>16-09-2023 01:00</v>
      </c>
      <c r="B24" s="33">
        <f>'16'!B36</f>
        <v>4.8145833333333332</v>
      </c>
      <c r="C24" s="33">
        <f>'16'!C36</f>
        <v>12.704166666666667</v>
      </c>
      <c r="D24" s="33">
        <f>'16'!D36</f>
        <v>17.268333333333338</v>
      </c>
      <c r="E24" s="33">
        <f>'16'!E36</f>
        <v>4.5816666666666661</v>
      </c>
      <c r="F24" s="33">
        <f>'16'!F36</f>
        <v>2.5408333333333335</v>
      </c>
      <c r="G24" s="33">
        <f>'16'!G36</f>
        <v>21.572083333333328</v>
      </c>
      <c r="H24" s="33">
        <f>'16'!H36</f>
        <v>9.6908333333333356</v>
      </c>
      <c r="I24" s="33">
        <f>'16'!I36</f>
        <v>1.8437500000000007</v>
      </c>
      <c r="J24" s="33">
        <f>'16'!J36</f>
        <v>0.51083333333333336</v>
      </c>
      <c r="K24" s="33">
        <f>'16'!K36</f>
        <v>170.64666666666668</v>
      </c>
      <c r="L24" s="33">
        <f>'16'!L36</f>
        <v>24.696666666666673</v>
      </c>
      <c r="M24" s="33">
        <f>'16'!M36</f>
        <v>89.509583333333339</v>
      </c>
      <c r="N24" s="33">
        <f>'16'!N36</f>
        <v>187.6173913043479</v>
      </c>
      <c r="O24" s="33">
        <f>'16'!O36</f>
        <v>0</v>
      </c>
      <c r="P24" s="30">
        <f>'16'!P36</f>
        <v>0.35708333333333336</v>
      </c>
      <c r="Q24" s="30">
        <f>'16'!Q36</f>
        <v>5.6126086956521757</v>
      </c>
      <c r="R24" s="48"/>
      <c r="S24" s="48"/>
      <c r="T24" s="48"/>
      <c r="U24" s="47"/>
    </row>
    <row r="25" spans="1:21" s="34" customFormat="1" ht="15">
      <c r="A25" s="36" t="str">
        <f>'17'!$B$2</f>
        <v>17-09-2023 01:00</v>
      </c>
      <c r="B25" s="33">
        <f>'17'!B36</f>
        <v>8.5283333333333342</v>
      </c>
      <c r="C25" s="33">
        <f>'17'!C36</f>
        <v>14.949166666666668</v>
      </c>
      <c r="D25" s="33">
        <f>'17'!D36</f>
        <v>23.0825</v>
      </c>
      <c r="E25" s="33">
        <f>'17'!E36</f>
        <v>4.597083333333333</v>
      </c>
      <c r="F25" s="33">
        <f>'17'!F36</f>
        <v>3.1749999999999994</v>
      </c>
      <c r="G25" s="33">
        <f>'17'!G36</f>
        <v>29.350833333333338</v>
      </c>
      <c r="H25" s="33">
        <f>'17'!H36</f>
        <v>10.50625</v>
      </c>
      <c r="I25" s="33">
        <f>'17'!I36</f>
        <v>1.8291666666666668</v>
      </c>
      <c r="J25" s="33">
        <f>'17'!J36</f>
        <v>0.27916666666666667</v>
      </c>
      <c r="K25" s="33">
        <f>'17'!K36</f>
        <v>244.99791666666658</v>
      </c>
      <c r="L25" s="33">
        <f>'17'!L36</f>
        <v>26.272916666666671</v>
      </c>
      <c r="M25" s="33">
        <f>'17'!M36</f>
        <v>82.48624999999997</v>
      </c>
      <c r="N25" s="33">
        <f>'17'!N36</f>
        <v>267.28333333333325</v>
      </c>
      <c r="O25" s="33">
        <f>'17'!O36</f>
        <v>0</v>
      </c>
      <c r="P25" s="30">
        <f>'17'!P36</f>
        <v>0.50624999999999998</v>
      </c>
      <c r="Q25" s="30">
        <f>'17'!Q36</f>
        <v>16.565833333333337</v>
      </c>
      <c r="R25" s="48"/>
      <c r="S25" s="48"/>
      <c r="T25" s="48"/>
      <c r="U25" s="47"/>
    </row>
    <row r="26" spans="1:21" s="34" customFormat="1" ht="15">
      <c r="A26" s="36" t="str">
        <f>'18'!$B$2</f>
        <v>18-09-2023 01:00</v>
      </c>
      <c r="B26" s="33">
        <f>'18'!B36</f>
        <v>10.674583333333336</v>
      </c>
      <c r="C26" s="33">
        <f>'18'!C36</f>
        <v>17.611666666666668</v>
      </c>
      <c r="D26" s="33">
        <f>'18'!D36</f>
        <v>27.462083333333339</v>
      </c>
      <c r="E26" s="33">
        <f>'18'!E36</f>
        <v>4.5566666666666675</v>
      </c>
      <c r="F26" s="33">
        <f>'18'!F36</f>
        <v>5.2058333333333335</v>
      </c>
      <c r="G26" s="33">
        <f>'18'!G36</f>
        <v>40.981250000000003</v>
      </c>
      <c r="H26" s="33">
        <f>'18'!H36</f>
        <v>14.176666666666668</v>
      </c>
      <c r="I26" s="33">
        <f>'18'!I36</f>
        <v>1.8441666666666663</v>
      </c>
      <c r="J26" s="33">
        <f>'18'!J36</f>
        <v>0.3987500000000001</v>
      </c>
      <c r="K26" s="33">
        <f>'18'!K36</f>
        <v>313.83333333333337</v>
      </c>
      <c r="L26" s="33">
        <f>'18'!L36</f>
        <v>27.938749999999999</v>
      </c>
      <c r="M26" s="33">
        <f>'18'!M36</f>
        <v>79.267499999999998</v>
      </c>
      <c r="N26" s="33">
        <f>'18'!N36</f>
        <v>239.1166666666667</v>
      </c>
      <c r="O26" s="33">
        <f>'18'!O36</f>
        <v>0</v>
      </c>
      <c r="P26" s="30">
        <f>'18'!P36</f>
        <v>0.61458333333333337</v>
      </c>
      <c r="Q26" s="30">
        <f>'18'!Q36</f>
        <v>8.3766666666666652</v>
      </c>
      <c r="R26" s="48"/>
      <c r="S26" s="48"/>
      <c r="T26" s="48"/>
      <c r="U26" s="47"/>
    </row>
    <row r="27" spans="1:21" s="34" customFormat="1" ht="15">
      <c r="A27" s="36" t="str">
        <f>'19'!$B$2</f>
        <v>19-09-2023 01:00</v>
      </c>
      <c r="B27" s="33">
        <f>'19'!B36</f>
        <v>11.509166666666665</v>
      </c>
      <c r="C27" s="33">
        <f>'19'!C36</f>
        <v>18.340416666666666</v>
      </c>
      <c r="D27" s="33">
        <f>'19'!D36</f>
        <v>29.156666666666666</v>
      </c>
      <c r="E27" s="33">
        <f>'19'!E36</f>
        <v>4.9074999999999998</v>
      </c>
      <c r="F27" s="33">
        <f>'19'!F36</f>
        <v>4.7908333333333344</v>
      </c>
      <c r="G27" s="33">
        <f>'19'!G36</f>
        <v>57.779583333333335</v>
      </c>
      <c r="H27" s="33">
        <f>'19'!H36</f>
        <v>19.80958333333334</v>
      </c>
      <c r="I27" s="33">
        <f>'19'!I36</f>
        <v>1.8445833333333328</v>
      </c>
      <c r="J27" s="33">
        <f>'19'!J36</f>
        <v>0.79333333333333345</v>
      </c>
      <c r="K27" s="33">
        <f>'19'!K36</f>
        <v>341.61499999999995</v>
      </c>
      <c r="L27" s="33">
        <f>'19'!L36</f>
        <v>28.419999999999998</v>
      </c>
      <c r="M27" s="33">
        <f>'19'!M36</f>
        <v>79.149583333333325</v>
      </c>
      <c r="N27" s="33">
        <f>'19'!N36</f>
        <v>238.16250000000002</v>
      </c>
      <c r="O27" s="33">
        <f>'19'!O36</f>
        <v>0</v>
      </c>
      <c r="P27" s="30">
        <f>'19'!P36</f>
        <v>0.65041666666666675</v>
      </c>
      <c r="Q27" s="30">
        <f>'19'!Q36</f>
        <v>8.2962499999999988</v>
      </c>
      <c r="R27" s="48"/>
      <c r="S27" s="48"/>
      <c r="T27" s="48"/>
      <c r="U27" s="47"/>
    </row>
    <row r="28" spans="1:21" s="34" customFormat="1" ht="15">
      <c r="A28" s="36" t="str">
        <f>'20'!$B$2</f>
        <v>20-09-2023 01:00</v>
      </c>
      <c r="B28" s="33">
        <f>'20'!B36</f>
        <v>9.3912499999999977</v>
      </c>
      <c r="C28" s="33">
        <f>'20'!C36</f>
        <v>16.667083333333331</v>
      </c>
      <c r="D28" s="33">
        <f>'20'!D36</f>
        <v>25.52</v>
      </c>
      <c r="E28" s="33">
        <f>'20'!E36</f>
        <v>6.8041666666666663</v>
      </c>
      <c r="F28" s="33">
        <f>'20'!F36</f>
        <v>5.4070833333333326</v>
      </c>
      <c r="G28" s="33">
        <f>'20'!G36</f>
        <v>55.646666666666668</v>
      </c>
      <c r="H28" s="33">
        <f>'20'!H36</f>
        <v>20.689166666666665</v>
      </c>
      <c r="I28" s="33">
        <f>'20'!I36</f>
        <v>1.8370833333333332</v>
      </c>
      <c r="J28" s="33">
        <f>'20'!J36</f>
        <v>0.71208333333333351</v>
      </c>
      <c r="K28" s="33">
        <f>'20'!K36</f>
        <v>304.81999999999999</v>
      </c>
      <c r="L28" s="33">
        <f>'20'!L36</f>
        <v>26.131666666666671</v>
      </c>
      <c r="M28" s="33">
        <f>'20'!M36</f>
        <v>88.128749999999982</v>
      </c>
      <c r="N28" s="33">
        <f>'20'!N36</f>
        <v>156.01666666666665</v>
      </c>
      <c r="O28" s="33">
        <f>'20'!O36</f>
        <v>0.29166666666666669</v>
      </c>
      <c r="P28" s="30">
        <f>'20'!P36</f>
        <v>0.69041666666666668</v>
      </c>
      <c r="Q28" s="30">
        <f>'20'!Q36</f>
        <v>8.6954166666666648</v>
      </c>
      <c r="R28" s="48"/>
      <c r="S28" s="48"/>
      <c r="T28" s="48"/>
      <c r="U28" s="47"/>
    </row>
    <row r="29" spans="1:21" s="34" customFormat="1" ht="15">
      <c r="A29" s="36" t="str">
        <f>'21'!$B$2</f>
        <v>21-09-2023 01:00</v>
      </c>
      <c r="B29" s="33">
        <f>'21'!B36</f>
        <v>7.4737499999999999</v>
      </c>
      <c r="C29" s="33">
        <f>'21'!C36</f>
        <v>14.680416666666668</v>
      </c>
      <c r="D29" s="33">
        <f>'21'!D36</f>
        <v>21.845416666666665</v>
      </c>
      <c r="E29" s="33">
        <f>'21'!E36</f>
        <v>4.0652173913043477</v>
      </c>
      <c r="F29" s="33">
        <f>'21'!F36</f>
        <v>2.9083333333333337</v>
      </c>
      <c r="G29" s="33">
        <f>'21'!G36</f>
        <v>30.109999999999996</v>
      </c>
      <c r="H29" s="33">
        <f>'21'!H36</f>
        <v>7.0662499999999993</v>
      </c>
      <c r="I29" s="33">
        <f>'21'!I36</f>
        <v>1.8387500000000001</v>
      </c>
      <c r="J29" s="33">
        <f>'21'!J36</f>
        <v>0.48125000000000001</v>
      </c>
      <c r="K29" s="33">
        <f>'21'!K36</f>
        <v>274.23208333333332</v>
      </c>
      <c r="L29" s="33">
        <f>'21'!L36</f>
        <v>23.305000000000003</v>
      </c>
      <c r="M29" s="33">
        <f>'21'!M36</f>
        <v>96.704999999999984</v>
      </c>
      <c r="N29" s="33">
        <f>'21'!N36</f>
        <v>94.191666666666663</v>
      </c>
      <c r="O29" s="33">
        <f>'21'!O36</f>
        <v>0.11666666666666668</v>
      </c>
      <c r="P29" s="30">
        <f>'21'!P36</f>
        <v>0.58875000000000011</v>
      </c>
      <c r="Q29" s="30">
        <f>'21'!Q36</f>
        <v>6.6945833333333331</v>
      </c>
      <c r="R29" s="48"/>
      <c r="S29" s="48"/>
      <c r="T29" s="48"/>
      <c r="U29" s="47"/>
    </row>
    <row r="30" spans="1:21" s="34" customFormat="1" ht="15">
      <c r="A30" s="36" t="str">
        <f>'22'!$B$2</f>
        <v>22-09-2023 01:00</v>
      </c>
      <c r="B30" s="33">
        <f>'22'!B36</f>
        <v>9.0866666666666678</v>
      </c>
      <c r="C30" s="33">
        <f>'22'!C36</f>
        <v>12.639999999999999</v>
      </c>
      <c r="D30" s="33">
        <f>'22'!D36</f>
        <v>21.40625</v>
      </c>
      <c r="E30" s="33">
        <f>'22'!E36</f>
        <v>1.6766666666666665</v>
      </c>
      <c r="F30" s="33">
        <f>'22'!F36</f>
        <v>1.1987500000000002</v>
      </c>
      <c r="G30" s="33">
        <f>'22'!G36</f>
        <v>18.559999999999999</v>
      </c>
      <c r="H30" s="33">
        <f>'22'!H36</f>
        <v>6.1858333333333322</v>
      </c>
      <c r="I30" s="33">
        <f>'22'!I36</f>
        <v>1.7058333333333335</v>
      </c>
      <c r="J30" s="33">
        <f>'22'!J36</f>
        <v>0.2416666666666667</v>
      </c>
      <c r="K30" s="33">
        <f>'22'!K36</f>
        <v>164.76291666666671</v>
      </c>
      <c r="L30" s="33">
        <f>'22'!L36</f>
        <v>22.253333333333334</v>
      </c>
      <c r="M30" s="33">
        <f>'22'!M36</f>
        <v>98.837083333333283</v>
      </c>
      <c r="N30" s="33">
        <f>'22'!N36</f>
        <v>60.845833333333331</v>
      </c>
      <c r="O30" s="33">
        <f>'22'!O36</f>
        <v>0</v>
      </c>
      <c r="P30" s="30">
        <f>'22'!P36</f>
        <v>0.59333333333333349</v>
      </c>
      <c r="Q30" s="30">
        <f>'22'!Q36</f>
        <v>12.552499999999997</v>
      </c>
      <c r="R30" s="48"/>
      <c r="S30" s="47"/>
      <c r="T30" s="47"/>
      <c r="U30" s="47"/>
    </row>
    <row r="31" spans="1:21" s="34" customFormat="1" ht="15">
      <c r="A31" s="36" t="str">
        <f>'23'!$B$2</f>
        <v>23-09-2023 01:00</v>
      </c>
      <c r="B31" s="33">
        <f>'23'!B36</f>
        <v>5.3041666666666663</v>
      </c>
      <c r="C31" s="33">
        <f>'23'!C36</f>
        <v>12.604999999999999</v>
      </c>
      <c r="D31" s="33">
        <f>'23'!D36</f>
        <v>17.725000000000001</v>
      </c>
      <c r="E31" s="33">
        <f>'23'!E36</f>
        <v>1.2012500000000002</v>
      </c>
      <c r="F31" s="33">
        <f>'23'!F36</f>
        <v>1.9633333333333336</v>
      </c>
      <c r="G31" s="33">
        <f>'23'!G36</f>
        <v>22.111666666666668</v>
      </c>
      <c r="H31" s="33">
        <f>'23'!H36</f>
        <v>6.630416666666668</v>
      </c>
      <c r="I31" s="33">
        <f>'23'!I36</f>
        <v>1.5441666666666667</v>
      </c>
      <c r="J31" s="33">
        <f>'23'!J36</f>
        <v>0.27916666666666667</v>
      </c>
      <c r="K31" s="33">
        <f>'23'!K36</f>
        <v>88.011666666666656</v>
      </c>
      <c r="L31" s="33">
        <f>'23'!L36</f>
        <v>23.241249999999997</v>
      </c>
      <c r="M31" s="33">
        <f>'23'!M36</f>
        <v>97.018749999999997</v>
      </c>
      <c r="N31" s="33">
        <f>'23'!N36</f>
        <v>124.30833333333334</v>
      </c>
      <c r="O31" s="33">
        <f>'23'!O36</f>
        <v>0</v>
      </c>
      <c r="P31" s="33">
        <f>'23'!P36</f>
        <v>0.47458333333333341</v>
      </c>
      <c r="Q31" s="33">
        <f>'23'!Q36</f>
        <v>10.842083333333335</v>
      </c>
      <c r="R31" s="47"/>
      <c r="S31" s="47"/>
      <c r="T31" s="47"/>
      <c r="U31" s="47"/>
    </row>
    <row r="32" spans="1:21" s="34" customFormat="1" ht="15">
      <c r="A32" s="36" t="str">
        <f>'24'!$B$2</f>
        <v>24-09-2023 01:00</v>
      </c>
      <c r="B32" s="33">
        <f>'24'!B36</f>
        <v>6.6495833333333323</v>
      </c>
      <c r="C32" s="33">
        <f>'24'!C36</f>
        <v>13.914583333333335</v>
      </c>
      <c r="D32" s="33">
        <f>'24'!D36</f>
        <v>20.243750000000002</v>
      </c>
      <c r="E32" s="33">
        <f>'24'!E36</f>
        <v>1.365</v>
      </c>
      <c r="F32" s="33">
        <f>'24'!F36</f>
        <v>4.0404166666666663</v>
      </c>
      <c r="G32" s="33">
        <f>'24'!G36</f>
        <v>35.434166666666677</v>
      </c>
      <c r="H32" s="33">
        <f>'24'!H36</f>
        <v>12.335416666666667</v>
      </c>
      <c r="I32" s="33">
        <f>'24'!I36</f>
        <v>1.5533333333333335</v>
      </c>
      <c r="J32" s="33">
        <f>'24'!J36</f>
        <v>0.21875000000000003</v>
      </c>
      <c r="K32" s="33">
        <f>'24'!K36</f>
        <v>224.4120833333333</v>
      </c>
      <c r="L32" s="33">
        <f>'24'!L36</f>
        <v>24.260833333333338</v>
      </c>
      <c r="M32" s="33">
        <f>'24'!M36</f>
        <v>95.049166666666665</v>
      </c>
      <c r="N32" s="33">
        <f>'24'!N36</f>
        <v>170.99583333333337</v>
      </c>
      <c r="O32" s="33">
        <f>'24'!O36</f>
        <v>0</v>
      </c>
      <c r="P32" s="33">
        <f>'24'!P36</f>
        <v>0.57124999999999992</v>
      </c>
      <c r="Q32" s="33">
        <f>'24'!Q36</f>
        <v>12.423333333333337</v>
      </c>
      <c r="R32" s="47"/>
      <c r="S32" s="47"/>
      <c r="T32" s="47"/>
      <c r="U32" s="47"/>
    </row>
    <row r="33" spans="1:21" s="34" customFormat="1" ht="15">
      <c r="A33" s="36" t="str">
        <f>'25'!$B$2</f>
        <v>25-09-2023 01:00</v>
      </c>
      <c r="B33" s="33">
        <f>'25'!B36</f>
        <v>11.897499999999999</v>
      </c>
      <c r="C33" s="33">
        <f>'25'!C36</f>
        <v>23.034583333333334</v>
      </c>
      <c r="D33" s="33">
        <f>'25'!D36</f>
        <v>26.673749999999998</v>
      </c>
      <c r="E33" s="33">
        <f>'25'!E36</f>
        <v>2.429583333333333</v>
      </c>
      <c r="F33" s="33">
        <f>'25'!F36</f>
        <v>6.8354166666666663</v>
      </c>
      <c r="G33" s="33">
        <f>'25'!G36</f>
        <v>65.683749999999989</v>
      </c>
      <c r="H33" s="33">
        <f>'25'!H36</f>
        <v>17.266666666666666</v>
      </c>
      <c r="I33" s="33">
        <f>'25'!I36</f>
        <v>1.5391666666666666</v>
      </c>
      <c r="J33" s="33">
        <f>'25'!J36</f>
        <v>0.40875</v>
      </c>
      <c r="K33" s="33">
        <f>'25'!K36</f>
        <v>290.60874999999999</v>
      </c>
      <c r="L33" s="33">
        <f>'25'!L36</f>
        <v>24.555416666666662</v>
      </c>
      <c r="M33" s="33">
        <f>'25'!M36</f>
        <v>92.884166666666658</v>
      </c>
      <c r="N33" s="33">
        <f>'25'!N36</f>
        <v>149.88333333333335</v>
      </c>
      <c r="O33" s="33">
        <f>'25'!O36</f>
        <v>0</v>
      </c>
      <c r="P33" s="33">
        <f>'25'!P36</f>
        <v>0.86833333333333329</v>
      </c>
      <c r="Q33" s="33">
        <f>'25'!Q36</f>
        <v>13.98625</v>
      </c>
      <c r="R33" s="47"/>
      <c r="S33" s="47"/>
      <c r="T33" s="47"/>
      <c r="U33" s="47"/>
    </row>
    <row r="34" spans="1:21" s="34" customFormat="1" ht="15">
      <c r="A34" s="36" t="str">
        <f>'26'!$B$2</f>
        <v>26-09-2023 01:00</v>
      </c>
      <c r="B34" s="33">
        <f>'26'!B36</f>
        <v>11.005000000000003</v>
      </c>
      <c r="C34" s="33">
        <f>'26'!C36</f>
        <v>24.656250000000004</v>
      </c>
      <c r="D34" s="33">
        <f>'26'!D36</f>
        <v>23.007083333333338</v>
      </c>
      <c r="E34" s="33">
        <f>'26'!E36</f>
        <v>2.9541666666666662</v>
      </c>
      <c r="F34" s="33">
        <f>'26'!F36</f>
        <v>6.0916666666666686</v>
      </c>
      <c r="G34" s="33">
        <f>'26'!G36</f>
        <v>80.73875000000001</v>
      </c>
      <c r="H34" s="33">
        <f>'26'!H36</f>
        <v>21.807083333333335</v>
      </c>
      <c r="I34" s="33">
        <f>'26'!I36</f>
        <v>1.5454166666666664</v>
      </c>
      <c r="J34" s="33">
        <f>'26'!J36</f>
        <v>0.6741666666666668</v>
      </c>
      <c r="K34" s="33">
        <f>'26'!K36</f>
        <v>275.88583333333332</v>
      </c>
      <c r="L34" s="33">
        <f>'26'!L36</f>
        <v>25.612083333333331</v>
      </c>
      <c r="M34" s="33">
        <f>'26'!M36</f>
        <v>88.90291666666667</v>
      </c>
      <c r="N34" s="33">
        <f>'26'!N36</f>
        <v>224.14583333333329</v>
      </c>
      <c r="O34" s="33">
        <f>'26'!O36</f>
        <v>0</v>
      </c>
      <c r="P34" s="33">
        <f>'26'!P36</f>
        <v>0.78791666666666682</v>
      </c>
      <c r="Q34" s="33">
        <f>'26'!Q36</f>
        <v>14.087499999999999</v>
      </c>
      <c r="R34" s="47"/>
      <c r="S34" s="47"/>
      <c r="T34" s="47"/>
      <c r="U34" s="47"/>
    </row>
    <row r="35" spans="1:21" s="34" customFormat="1" ht="15">
      <c r="A35" s="36" t="str">
        <f>'27'!$B$2</f>
        <v>27-09-2023 01:00</v>
      </c>
      <c r="B35" s="33">
        <f>'27'!B36</f>
        <v>13.882916666666668</v>
      </c>
      <c r="C35" s="33">
        <f>'27'!C36</f>
        <v>33.436666666666675</v>
      </c>
      <c r="D35" s="33">
        <f>'27'!D36</f>
        <v>30.203749999999999</v>
      </c>
      <c r="E35" s="33">
        <f>'27'!E36</f>
        <v>3.8774999999999999</v>
      </c>
      <c r="F35" s="33">
        <f>'27'!F36</f>
        <v>9.3216666666666654</v>
      </c>
      <c r="G35" s="33">
        <f>'27'!G36</f>
        <v>94.969583333333347</v>
      </c>
      <c r="H35" s="33">
        <f>'27'!H36</f>
        <v>27.368333333333329</v>
      </c>
      <c r="I35" s="33">
        <f>'27'!I36</f>
        <v>1.53</v>
      </c>
      <c r="J35" s="33">
        <f>'27'!J36</f>
        <v>0.39541666666666669</v>
      </c>
      <c r="K35" s="33">
        <f>'27'!K36</f>
        <v>293.94666666666666</v>
      </c>
      <c r="L35" s="33">
        <f>'27'!L36</f>
        <v>26.049583333333342</v>
      </c>
      <c r="M35" s="33">
        <f>'27'!M36</f>
        <v>90.091250000000002</v>
      </c>
      <c r="N35" s="33">
        <f>'27'!N36</f>
        <v>167.32916666666665</v>
      </c>
      <c r="O35" s="33">
        <f>'27'!O36</f>
        <v>0</v>
      </c>
      <c r="P35" s="30">
        <f>'27'!P36</f>
        <v>1.0604166666666668</v>
      </c>
      <c r="Q35" s="33">
        <f>'27'!Q36</f>
        <v>14.924999999999999</v>
      </c>
      <c r="R35" s="47"/>
      <c r="S35" s="47"/>
      <c r="T35" s="47"/>
      <c r="U35" s="47"/>
    </row>
    <row r="36" spans="1:21" s="34" customFormat="1" ht="15">
      <c r="A36" s="36" t="str">
        <f>'28'!$B$2</f>
        <v>28-09-2023 01:00</v>
      </c>
      <c r="B36" s="33">
        <f>'28'!B36</f>
        <v>16.879583333333333</v>
      </c>
      <c r="C36" s="33">
        <f>'28'!C36</f>
        <v>34.657083333333325</v>
      </c>
      <c r="D36" s="33">
        <f>'28'!D36</f>
        <v>32.997499999999995</v>
      </c>
      <c r="E36" s="33">
        <f>'28'!E36</f>
        <v>5.2520833333333341</v>
      </c>
      <c r="F36" s="33">
        <f>'28'!F36</f>
        <v>11.671250000000001</v>
      </c>
      <c r="G36" s="33">
        <f>'28'!G36</f>
        <v>90.372916666666654</v>
      </c>
      <c r="H36" s="33">
        <f>'28'!H36</f>
        <v>34.983750000000001</v>
      </c>
      <c r="I36" s="33">
        <f>'28'!I36</f>
        <v>1.5558333333333338</v>
      </c>
      <c r="J36" s="33">
        <f>'28'!J36</f>
        <v>0.35874999999999996</v>
      </c>
      <c r="K36" s="33">
        <f>'28'!K36</f>
        <v>290.73124999999999</v>
      </c>
      <c r="L36" s="33">
        <f>'28'!L36</f>
        <v>26.864583333333329</v>
      </c>
      <c r="M36" s="33">
        <f>'28'!M36</f>
        <v>86.721249999999984</v>
      </c>
      <c r="N36" s="33">
        <f>'28'!N36</f>
        <v>175.28333333333339</v>
      </c>
      <c r="O36" s="33">
        <f>'28'!O36</f>
        <v>0</v>
      </c>
      <c r="P36" s="30">
        <f>'28'!P36</f>
        <v>1.2058333333333331</v>
      </c>
      <c r="Q36" s="33">
        <f>'28'!Q36</f>
        <v>16.122499999999999</v>
      </c>
      <c r="R36" s="47"/>
      <c r="S36" s="47"/>
      <c r="T36" s="47"/>
      <c r="U36" s="47"/>
    </row>
    <row r="37" spans="1:21" s="34" customFormat="1" ht="15">
      <c r="A37" s="36" t="str">
        <f>'29'!$B$2</f>
        <v>29-09-2023 01:00</v>
      </c>
      <c r="B37" s="33">
        <f>'29'!B36</f>
        <v>13.424583333333333</v>
      </c>
      <c r="C37" s="33">
        <f>'29'!C36</f>
        <v>27.063333333333333</v>
      </c>
      <c r="D37" s="33">
        <f>'29'!D36</f>
        <v>26.205416666666668</v>
      </c>
      <c r="E37" s="33">
        <f>'29'!E36</f>
        <v>5.0387500000000012</v>
      </c>
      <c r="F37" s="33">
        <f>'29'!F36</f>
        <v>7.0824999999999996</v>
      </c>
      <c r="G37" s="33">
        <f>'29'!G36</f>
        <v>89.852083333333326</v>
      </c>
      <c r="H37" s="33">
        <f>'29'!H36</f>
        <v>30.438333333333333</v>
      </c>
      <c r="I37" s="33">
        <f>'29'!I36</f>
        <v>1.542083333333333</v>
      </c>
      <c r="J37" s="33">
        <f>'29'!J36</f>
        <v>0.66083333333333338</v>
      </c>
      <c r="K37" s="33">
        <f>'29'!K36</f>
        <v>299.94375000000002</v>
      </c>
      <c r="L37" s="33">
        <f>'29'!L36</f>
        <v>25.806666666666661</v>
      </c>
      <c r="M37" s="33">
        <f>'29'!M36</f>
        <v>90.108333333333306</v>
      </c>
      <c r="N37" s="33">
        <f>'29'!N36</f>
        <v>171.29999999999998</v>
      </c>
      <c r="O37" s="33">
        <f>'29'!O36</f>
        <v>0</v>
      </c>
      <c r="P37" s="33">
        <f>'29'!P36</f>
        <v>0.92083333333333339</v>
      </c>
      <c r="Q37" s="33">
        <f>'29'!Q36</f>
        <v>15.084166666666667</v>
      </c>
      <c r="R37" s="47"/>
      <c r="S37" s="47"/>
      <c r="T37" s="47"/>
      <c r="U37" s="47"/>
    </row>
    <row r="38" spans="1:21" s="34" customFormat="1" ht="15">
      <c r="A38" s="36" t="str">
        <f>'30'!$B$2</f>
        <v>30-09-2023 01:00</v>
      </c>
      <c r="B38" s="33">
        <f>'30'!B36</f>
        <v>8.0241666666666678</v>
      </c>
      <c r="C38" s="33">
        <f>'30'!C36</f>
        <v>17.467499999999998</v>
      </c>
      <c r="D38" s="33">
        <f>'30'!D36</f>
        <v>16.988333333333333</v>
      </c>
      <c r="E38" s="33">
        <f>'30'!E36</f>
        <v>2.8300000000000001</v>
      </c>
      <c r="F38" s="33">
        <f>'30'!F36</f>
        <v>4.2241666666666671</v>
      </c>
      <c r="G38" s="33">
        <f>'30'!G36</f>
        <v>53.396250000000002</v>
      </c>
      <c r="H38" s="33">
        <f>'30'!H36</f>
        <v>18.352500000000003</v>
      </c>
      <c r="I38" s="33">
        <f>'30'!I36</f>
        <v>1.5449999999999997</v>
      </c>
      <c r="J38" s="33">
        <f>'30'!J36</f>
        <v>0.29458333333333336</v>
      </c>
      <c r="K38" s="33">
        <f>'30'!K36</f>
        <v>241.44624999999999</v>
      </c>
      <c r="L38" s="33">
        <f>'30'!L36</f>
        <v>25.011666666666667</v>
      </c>
      <c r="M38" s="33">
        <f>'30'!M36</f>
        <v>90.864583333333314</v>
      </c>
      <c r="N38" s="33">
        <f>'30'!N36</f>
        <v>186.29166666666671</v>
      </c>
      <c r="O38" s="33">
        <f>'30'!O36</f>
        <v>0</v>
      </c>
      <c r="P38" s="33">
        <f>'30'!P36</f>
        <v>0.87083333333333357</v>
      </c>
      <c r="Q38" s="33">
        <f>'30'!Q36</f>
        <v>13.175833333333332</v>
      </c>
      <c r="R38" s="47"/>
      <c r="S38" s="47"/>
      <c r="T38" s="47"/>
      <c r="U38" s="47"/>
    </row>
    <row r="39" spans="2:21" ht="15"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0"/>
      <c r="S39" s="20"/>
      <c r="T39" s="20"/>
      <c r="U39" s="49"/>
    </row>
    <row r="40" spans="1:21" s="21" customFormat="1" ht="15">
      <c r="A40" s="14" t="s">
        <v>30</v>
      </c>
      <c r="B40" s="15">
        <f t="shared" si="0" ref="B40:Q40">MIN(B9:B38)</f>
        <v>3.6758333333333333</v>
      </c>
      <c r="C40" s="15">
        <f t="shared" si="0"/>
        <v>10.317500000000001</v>
      </c>
      <c r="D40" s="15">
        <f t="shared" si="0"/>
        <v>13.893333333333333</v>
      </c>
      <c r="E40" s="15">
        <f t="shared" si="0"/>
        <v>1.2012500000000002</v>
      </c>
      <c r="F40" s="15">
        <f t="shared" si="0"/>
        <v>1.1987500000000002</v>
      </c>
      <c r="G40" s="15">
        <f t="shared" si="0"/>
        <v>10.772916666666662</v>
      </c>
      <c r="H40" s="15">
        <f t="shared" si="0"/>
        <v>4.786666666666668</v>
      </c>
      <c r="I40" s="15">
        <f t="shared" si="0"/>
        <v>0.11666666666666668</v>
      </c>
      <c r="J40" s="15">
        <f t="shared" si="0"/>
        <v>0.21875000000000003</v>
      </c>
      <c r="K40" s="15">
        <f t="shared" si="0"/>
        <v>88.011666666666656</v>
      </c>
      <c r="L40" s="15">
        <f t="shared" si="0"/>
        <v>22.253333333333334</v>
      </c>
      <c r="M40" s="15">
        <f t="shared" si="0"/>
        <v>79.149583333333325</v>
      </c>
      <c r="N40" s="15">
        <f t="shared" si="0"/>
        <v>51.144444444444446</v>
      </c>
      <c r="O40" s="15">
        <f t="shared" si="0"/>
        <v>0</v>
      </c>
      <c r="P40" s="15">
        <f t="shared" si="0"/>
        <v>0.2820833333333333</v>
      </c>
      <c r="Q40" s="15">
        <f t="shared" si="0"/>
        <v>5.6126086956521757</v>
      </c>
      <c r="R40" s="28"/>
      <c r="S40" s="28"/>
      <c r="T40" s="28"/>
      <c r="U40" s="28"/>
    </row>
    <row r="41" spans="1:21" s="21" customFormat="1" ht="15">
      <c r="A41" s="14" t="s">
        <v>31</v>
      </c>
      <c r="B41" s="15">
        <f t="shared" si="1" ref="B41:Q41">MAX(B9:B38)</f>
        <v>27.981249999999999</v>
      </c>
      <c r="C41" s="15">
        <f t="shared" si="1"/>
        <v>38.087499999999991</v>
      </c>
      <c r="D41" s="15">
        <f t="shared" si="1"/>
        <v>42.899166666666666</v>
      </c>
      <c r="E41" s="15">
        <f t="shared" si="1"/>
        <v>6.8041666666666663</v>
      </c>
      <c r="F41" s="15">
        <f t="shared" si="1"/>
        <v>11.671250000000001</v>
      </c>
      <c r="G41" s="15">
        <f t="shared" si="1"/>
        <v>94.969583333333347</v>
      </c>
      <c r="H41" s="15">
        <f t="shared" si="1"/>
        <v>34.983750000000001</v>
      </c>
      <c r="I41" s="15">
        <f t="shared" si="1"/>
        <v>1.8445833333333328</v>
      </c>
      <c r="J41" s="15">
        <f t="shared" si="1"/>
        <v>0.99208333333333343</v>
      </c>
      <c r="K41" s="15">
        <f t="shared" si="1"/>
        <v>341.61499999999995</v>
      </c>
      <c r="L41" s="15">
        <f t="shared" si="1"/>
        <v>28.419999999999998</v>
      </c>
      <c r="M41" s="15">
        <f t="shared" si="1"/>
        <v>98.837083333333283</v>
      </c>
      <c r="N41" s="15">
        <f t="shared" si="1"/>
        <v>342.88723394036617</v>
      </c>
      <c r="O41" s="15">
        <f t="shared" si="1"/>
        <v>1.8499999999999999</v>
      </c>
      <c r="P41" s="15">
        <f t="shared" si="1"/>
        <v>1.2058333333333331</v>
      </c>
      <c r="Q41" s="15">
        <f t="shared" si="1"/>
        <v>22.495833333333337</v>
      </c>
      <c r="R41" s="28"/>
      <c r="S41" s="28"/>
      <c r="T41" s="28"/>
      <c r="U41" s="28"/>
    </row>
    <row r="42" spans="1:21" s="21" customFormat="1" ht="15">
      <c r="A42" s="14" t="s">
        <v>32</v>
      </c>
      <c r="B42" s="15">
        <f t="shared" si="2" ref="B42:Q42">AVERAGE(B9:B38)</f>
        <v>9.6070960144927522</v>
      </c>
      <c r="C42" s="15">
        <f t="shared" si="2"/>
        <v>18.336394927536229</v>
      </c>
      <c r="D42" s="15">
        <f t="shared" si="2"/>
        <v>23.948410628019317</v>
      </c>
      <c r="E42" s="15">
        <f t="shared" si="2"/>
        <v>3.2377914470794895</v>
      </c>
      <c r="F42" s="15">
        <f t="shared" si="2"/>
        <v>5.1981199677938816</v>
      </c>
      <c r="G42" s="15">
        <f t="shared" si="2"/>
        <v>44.020721618357484</v>
      </c>
      <c r="H42" s="15">
        <f t="shared" si="2"/>
        <v>14.551995169082126</v>
      </c>
      <c r="I42" s="15">
        <f t="shared" si="2"/>
        <v>1.0126685880544577</v>
      </c>
      <c r="J42" s="15">
        <f t="shared" si="2"/>
        <v>0.52209480676328501</v>
      </c>
      <c r="K42" s="15">
        <f t="shared" si="2"/>
        <v>239.08870108695652</v>
      </c>
      <c r="L42" s="15">
        <f t="shared" si="2"/>
        <v>25.02583212560387</v>
      </c>
      <c r="M42" s="15">
        <f t="shared" si="2"/>
        <v>91.215307971014497</v>
      </c>
      <c r="N42" s="15">
        <f t="shared" si="2"/>
        <v>171.76873491504668</v>
      </c>
      <c r="O42" s="15">
        <f t="shared" si="2"/>
        <v>0.19058489553795038</v>
      </c>
      <c r="P42" s="15">
        <f t="shared" si="2"/>
        <v>0.63614130434782623</v>
      </c>
      <c r="Q42" s="15">
        <f t="shared" si="2"/>
        <v>14.290376207729471</v>
      </c>
      <c r="R42" s="28"/>
      <c r="S42" s="28"/>
      <c r="T42" s="28"/>
      <c r="U42" s="28"/>
    </row>
    <row r="43" spans="1:21" s="21" customFormat="1" ht="15">
      <c r="A43" s="14" t="s">
        <v>38</v>
      </c>
      <c r="B43" s="15">
        <f t="shared" si="3" ref="B43:Q43">STDEV(B9:B38)</f>
        <v>4.6562372838809338</v>
      </c>
      <c r="C43" s="15">
        <f t="shared" si="3"/>
        <v>7.2803782076262227</v>
      </c>
      <c r="D43" s="15">
        <f t="shared" si="3"/>
        <v>6.3162594602158961</v>
      </c>
      <c r="E43" s="15">
        <f t="shared" si="3"/>
        <v>1.5602725592146849</v>
      </c>
      <c r="F43" s="15">
        <f t="shared" si="3"/>
        <v>2.9733074958626351</v>
      </c>
      <c r="G43" s="15">
        <f t="shared" si="3"/>
        <v>25.047057526990542</v>
      </c>
      <c r="H43" s="15">
        <f t="shared" si="3"/>
        <v>7.748136405719082</v>
      </c>
      <c r="I43" s="15">
        <f t="shared" si="3"/>
        <v>0.7983910663971322</v>
      </c>
      <c r="J43" s="15">
        <f t="shared" si="3"/>
        <v>0.20584018276300944</v>
      </c>
      <c r="K43" s="15">
        <f t="shared" si="3"/>
        <v>61.947999434061423</v>
      </c>
      <c r="L43" s="15">
        <f t="shared" si="3"/>
        <v>1.6545523861627964</v>
      </c>
      <c r="M43" s="15">
        <f t="shared" si="3"/>
        <v>5.4631212891541736</v>
      </c>
      <c r="N43" s="15">
        <f t="shared" si="3"/>
        <v>62.715952103731794</v>
      </c>
      <c r="O43" s="15">
        <f t="shared" si="3"/>
        <v>0.38042250472253936</v>
      </c>
      <c r="P43" s="15">
        <f t="shared" si="3"/>
        <v>0.23093520627430161</v>
      </c>
      <c r="Q43" s="15">
        <f t="shared" si="3"/>
        <v>4.093353075379917</v>
      </c>
      <c r="R43" s="28"/>
      <c r="S43" s="28"/>
      <c r="T43" s="28"/>
      <c r="U43" s="28"/>
    </row>
    <row r="44" spans="1:21" s="21" customFormat="1" ht="15">
      <c r="A44" s="14" t="s">
        <v>33</v>
      </c>
      <c r="B44" s="12">
        <f t="shared" si="4" ref="B44:Q44">COUNT(B9:B38)</f>
        <v>30</v>
      </c>
      <c r="C44" s="12">
        <f t="shared" si="4"/>
        <v>30</v>
      </c>
      <c r="D44" s="12">
        <f t="shared" si="4"/>
        <v>30</v>
      </c>
      <c r="E44" s="12">
        <f t="shared" si="4"/>
        <v>30</v>
      </c>
      <c r="F44" s="12">
        <f t="shared" si="4"/>
        <v>30</v>
      </c>
      <c r="G44" s="12">
        <f t="shared" si="4"/>
        <v>30</v>
      </c>
      <c r="H44" s="12">
        <f t="shared" si="4"/>
        <v>30</v>
      </c>
      <c r="I44" s="12">
        <f t="shared" si="4"/>
        <v>30</v>
      </c>
      <c r="J44" s="12">
        <f t="shared" si="4"/>
        <v>30</v>
      </c>
      <c r="K44" s="12">
        <f t="shared" si="4"/>
        <v>30</v>
      </c>
      <c r="L44" s="12">
        <f t="shared" si="4"/>
        <v>30</v>
      </c>
      <c r="M44" s="12">
        <f t="shared" si="4"/>
        <v>30</v>
      </c>
      <c r="N44" s="12">
        <f t="shared" si="4"/>
        <v>30</v>
      </c>
      <c r="O44" s="12">
        <f t="shared" si="4"/>
        <v>30</v>
      </c>
      <c r="P44" s="12">
        <f t="shared" si="4"/>
        <v>30</v>
      </c>
      <c r="Q44" s="12">
        <f t="shared" si="4"/>
        <v>30</v>
      </c>
      <c r="R44" s="29"/>
      <c r="S44" s="29"/>
      <c r="T44" s="29"/>
      <c r="U44" s="29"/>
    </row>
    <row r="45" spans="1:21" s="21" customFormat="1" ht="15">
      <c r="A45" s="14" t="s">
        <v>34</v>
      </c>
      <c r="B45" s="12" t="str">
        <f>IF(B44&gt;=28,"&gt;90%",IF(B44&lt;=28,"&lt;90%"))</f>
        <v>&gt;90%</v>
      </c>
      <c r="C45" s="12" t="str">
        <f t="shared" si="5" ref="C45:Q45">IF(C44&gt;=28,"&gt;90%",IF(C44&lt;=28,"&lt;90%"))</f>
        <v>&gt;90%</v>
      </c>
      <c r="D45" s="12" t="str">
        <f t="shared" si="5"/>
        <v>&gt;90%</v>
      </c>
      <c r="E45" s="12" t="str">
        <f t="shared" si="5"/>
        <v>&gt;90%</v>
      </c>
      <c r="F45" s="12" t="str">
        <f t="shared" si="5"/>
        <v>&gt;90%</v>
      </c>
      <c r="G45" s="12" t="str">
        <f t="shared" si="5"/>
        <v>&gt;90%</v>
      </c>
      <c r="H45" s="12" t="str">
        <f t="shared" si="5"/>
        <v>&gt;90%</v>
      </c>
      <c r="I45" s="12" t="str">
        <f t="shared" si="5"/>
        <v>&gt;90%</v>
      </c>
      <c r="J45" s="12" t="str">
        <f t="shared" si="5"/>
        <v>&gt;90%</v>
      </c>
      <c r="K45" s="12" t="str">
        <f t="shared" si="5"/>
        <v>&gt;90%</v>
      </c>
      <c r="L45" s="12" t="str">
        <f t="shared" si="5"/>
        <v>&gt;90%</v>
      </c>
      <c r="M45" s="12" t="str">
        <f t="shared" si="5"/>
        <v>&gt;90%</v>
      </c>
      <c r="N45" s="12" t="str">
        <f t="shared" si="5"/>
        <v>&gt;90%</v>
      </c>
      <c r="O45" s="12" t="str">
        <f t="shared" si="5"/>
        <v>&gt;90%</v>
      </c>
      <c r="P45" s="12" t="str">
        <f t="shared" si="5"/>
        <v>&gt;90%</v>
      </c>
      <c r="Q45" s="12" t="str">
        <f t="shared" si="5"/>
        <v>&gt;90%</v>
      </c>
      <c r="R45" s="29"/>
      <c r="S45" s="29"/>
      <c r="T45" s="29"/>
      <c r="U45" s="29"/>
    </row>
    <row r="46" spans="1:21" s="21" customFormat="1" ht="15">
      <c r="A46" s="14" t="s">
        <v>1</v>
      </c>
      <c r="B46" s="12" t="str">
        <f>IF(B44&gt;=28,"OK",IF(B44&lt;=28,"LESS"))</f>
        <v>OK</v>
      </c>
      <c r="C46" s="12" t="str">
        <f t="shared" si="6" ref="C46:Q46">IF(C44&gt;=28,"OK",IF(C44&lt;=28,"LESS"))</f>
        <v>OK</v>
      </c>
      <c r="D46" s="12" t="str">
        <f t="shared" si="6"/>
        <v>OK</v>
      </c>
      <c r="E46" s="12" t="str">
        <f t="shared" si="6"/>
        <v>OK</v>
      </c>
      <c r="F46" s="12" t="str">
        <f t="shared" si="6"/>
        <v>OK</v>
      </c>
      <c r="G46" s="12" t="str">
        <f t="shared" si="6"/>
        <v>OK</v>
      </c>
      <c r="H46" s="12" t="str">
        <f t="shared" si="6"/>
        <v>OK</v>
      </c>
      <c r="I46" s="12" t="str">
        <f t="shared" si="6"/>
        <v>OK</v>
      </c>
      <c r="J46" s="12" t="str">
        <f t="shared" si="6"/>
        <v>OK</v>
      </c>
      <c r="K46" s="12" t="str">
        <f t="shared" si="6"/>
        <v>OK</v>
      </c>
      <c r="L46" s="12" t="str">
        <f t="shared" si="6"/>
        <v>OK</v>
      </c>
      <c r="M46" s="12" t="str">
        <f t="shared" si="6"/>
        <v>OK</v>
      </c>
      <c r="N46" s="12" t="str">
        <f t="shared" si="6"/>
        <v>OK</v>
      </c>
      <c r="O46" s="12" t="str">
        <f t="shared" si="6"/>
        <v>OK</v>
      </c>
      <c r="P46" s="12" t="str">
        <f t="shared" si="6"/>
        <v>OK</v>
      </c>
      <c r="Q46" s="12" t="str">
        <f t="shared" si="6"/>
        <v>OK</v>
      </c>
      <c r="R46" s="29"/>
      <c r="S46" s="29"/>
      <c r="T46" s="29"/>
      <c r="U46" s="29"/>
    </row>
    <row r="47" spans="2:20" ht="15"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</row>
    <row r="49" spans="1:16" ht="15">
      <c r="A49" s="14" t="s">
        <v>35</v>
      </c>
      <c r="B49" s="40" t="s">
        <v>60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6" ht="15">
      <c r="A50" s="13"/>
      <c r="B50" s="21"/>
      <c r="C50" s="21"/>
      <c r="D50" s="1"/>
      <c r="E50" s="1"/>
      <c r="F50" s="1"/>
      <c r="G50" s="1"/>
      <c r="H50" s="1"/>
      <c r="I50" s="1"/>
      <c r="J50" s="21"/>
      <c r="K50" s="21"/>
      <c r="L50" s="21"/>
      <c r="M50" s="21"/>
      <c r="N50" s="21"/>
      <c r="O50" s="21"/>
      <c r="P50" s="21"/>
    </row>
    <row r="51" spans="1:16" ht="15.75">
      <c r="A51" s="17" t="s">
        <v>36</v>
      </c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</row>
    <row r="52" spans="1:16" ht="15">
      <c r="A52" s="13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6" ht="15">
      <c r="A53" s="13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ht="15">
      <c r="A54" s="13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</sheetData>
  <sheetProtection/>
  <mergeCells count="1">
    <mergeCell ref="B51:P51"/>
  </mergeCells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30</vt:lpstr>
    </vt:vector>
  </TitlesOfParts>
  <Template/>
  <Manager/>
  <Company>wbpcb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2018-07-30T12:51:54Z</cp:lastPrinted>
  <dcterms:created xsi:type="dcterms:W3CDTF">2013-08-23T16:44:31Z</dcterms:created>
  <dcterms:modified xsi:type="dcterms:W3CDTF">2024-08-28T14:04:41Z</dcterms:modified>
  <cp:category/>
</cp:coreProperties>
</file>