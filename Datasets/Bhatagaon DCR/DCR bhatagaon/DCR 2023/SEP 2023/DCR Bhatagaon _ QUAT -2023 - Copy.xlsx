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7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0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I110" i="41" l="1"/>
  <c r="I111" i="41" s="1"/>
  <c r="I110" i="40"/>
  <c r="I111" i="40" s="1"/>
  <c r="J110" i="33"/>
  <c r="G110" i="33"/>
  <c r="G112" i="33" s="1"/>
  <c r="H110" i="33"/>
  <c r="Q110" i="33"/>
  <c r="Q111" i="33" s="1"/>
  <c r="I110" i="32"/>
  <c r="Q110" i="31"/>
  <c r="Q112" i="31" s="1"/>
  <c r="H110" i="31"/>
  <c r="H111" i="31" s="1"/>
  <c r="G110" i="31"/>
  <c r="G112" i="31" s="1"/>
  <c r="I110" i="31"/>
  <c r="I111" i="31" s="1"/>
  <c r="I110" i="30"/>
  <c r="I112" i="30"/>
  <c r="J110" i="29"/>
  <c r="J110" i="28"/>
  <c r="I110" i="27"/>
  <c r="F110" i="26"/>
  <c r="F112" i="26" s="1"/>
  <c r="C110" i="26"/>
  <c r="D110" i="26"/>
  <c r="B110" i="26"/>
  <c r="E110" i="26"/>
  <c r="Q110" i="26"/>
  <c r="I110" i="26"/>
  <c r="H110" i="26"/>
  <c r="G110" i="26"/>
  <c r="C110" i="25"/>
  <c r="C111" i="25" s="1"/>
  <c r="D110" i="25"/>
  <c r="E110" i="25"/>
  <c r="F110" i="25"/>
  <c r="G110" i="25"/>
  <c r="H110" i="25"/>
  <c r="I110" i="25"/>
  <c r="J110" i="25"/>
  <c r="J112" i="25" s="1"/>
  <c r="K110" i="25"/>
  <c r="L110" i="25"/>
  <c r="M110" i="25"/>
  <c r="N110" i="25"/>
  <c r="O110" i="25"/>
  <c r="P110" i="25"/>
  <c r="Q110" i="25"/>
  <c r="B110" i="25"/>
  <c r="N110" i="23"/>
  <c r="J110" i="23"/>
  <c r="G110" i="22"/>
  <c r="H110" i="22"/>
  <c r="N110" i="21"/>
  <c r="N111" i="21" s="1"/>
  <c r="Q110" i="21"/>
  <c r="Q112" i="21"/>
  <c r="N110" i="20"/>
  <c r="N111" i="20" s="1"/>
  <c r="H110" i="20"/>
  <c r="H112" i="20" s="1"/>
  <c r="G110" i="20"/>
  <c r="G111" i="20" s="1"/>
  <c r="Q110" i="19"/>
  <c r="Q112" i="19" s="1"/>
  <c r="L110" i="19"/>
  <c r="M110" i="19"/>
  <c r="M111" i="19" s="1"/>
  <c r="N110" i="19"/>
  <c r="N112" i="19" s="1"/>
  <c r="O110" i="19"/>
  <c r="P110" i="19"/>
  <c r="K110" i="19"/>
  <c r="K111" i="19" s="1"/>
  <c r="H110" i="19"/>
  <c r="H112" i="19" s="1"/>
  <c r="G110" i="19"/>
  <c r="G112" i="19"/>
  <c r="J110" i="19"/>
  <c r="J112" i="19"/>
  <c r="I110" i="19"/>
  <c r="I112" i="19"/>
  <c r="F110" i="19"/>
  <c r="F112" i="19" s="1"/>
  <c r="E110" i="19"/>
  <c r="E111" i="19" s="1"/>
  <c r="C110" i="19"/>
  <c r="D110" i="19"/>
  <c r="B110" i="19"/>
  <c r="B112" i="19" s="1"/>
  <c r="C110" i="18"/>
  <c r="D110" i="18"/>
  <c r="E110" i="18"/>
  <c r="F110" i="18"/>
  <c r="G110" i="18"/>
  <c r="H110" i="18"/>
  <c r="I110" i="18"/>
  <c r="J110" i="18"/>
  <c r="K110" i="18"/>
  <c r="L110" i="18"/>
  <c r="M110" i="18"/>
  <c r="N110" i="18"/>
  <c r="O110" i="18"/>
  <c r="P110" i="18"/>
  <c r="Q110" i="18"/>
  <c r="B110" i="18"/>
  <c r="B112" i="18"/>
  <c r="Q110" i="17"/>
  <c r="Q112" i="17" s="1"/>
  <c r="Q110" i="16"/>
  <c r="Q112" i="16" s="1"/>
  <c r="H110" i="16"/>
  <c r="H111" i="16" s="1"/>
  <c r="G110" i="16"/>
  <c r="G112" i="16" s="1"/>
  <c r="Q110" i="15"/>
  <c r="Q110" i="14"/>
  <c r="Q111" i="14" s="1"/>
  <c r="I110" i="14"/>
  <c r="I112" i="14" s="1"/>
  <c r="I110" i="13"/>
  <c r="I111" i="13" s="1"/>
  <c r="E110" i="13"/>
  <c r="E112" i="13"/>
  <c r="F110" i="12"/>
  <c r="F111" i="12" s="1"/>
  <c r="G110" i="12"/>
  <c r="H110" i="12"/>
  <c r="H111" i="12"/>
  <c r="I110" i="12"/>
  <c r="C110" i="11"/>
  <c r="C112" i="11" s="1"/>
  <c r="D110" i="11"/>
  <c r="B110" i="11"/>
  <c r="B111" i="11"/>
  <c r="H110" i="11"/>
  <c r="I110" i="11"/>
  <c r="I111" i="11" s="1"/>
  <c r="Q110" i="8"/>
  <c r="Q111" i="8" s="1"/>
  <c r="C110" i="8"/>
  <c r="D110" i="8"/>
  <c r="E110" i="8"/>
  <c r="F110" i="8"/>
  <c r="G110" i="8"/>
  <c r="H110" i="8"/>
  <c r="I110" i="8"/>
  <c r="J110" i="8"/>
  <c r="J111" i="8" s="1"/>
  <c r="K110" i="8"/>
  <c r="L110" i="8"/>
  <c r="M110" i="8"/>
  <c r="N110" i="8"/>
  <c r="O110" i="8"/>
  <c r="P110" i="8"/>
  <c r="P112" i="8"/>
  <c r="B110" i="8"/>
  <c r="B112" i="8"/>
  <c r="I110" i="3"/>
  <c r="I112" i="3" s="1"/>
  <c r="H110" i="3"/>
  <c r="H111" i="3" s="1"/>
  <c r="G110" i="3"/>
  <c r="G111" i="3" s="1"/>
  <c r="F110" i="3"/>
  <c r="F112" i="3" s="1"/>
  <c r="E110" i="3"/>
  <c r="E111" i="3"/>
  <c r="C110" i="3"/>
  <c r="D110" i="3"/>
  <c r="D111" i="3" s="1"/>
  <c r="B110" i="3"/>
  <c r="B112" i="3" s="1"/>
  <c r="I110" i="2"/>
  <c r="I111" i="2" s="1"/>
  <c r="J110" i="41"/>
  <c r="J112" i="41" s="1"/>
  <c r="H110" i="41"/>
  <c r="H112" i="41" s="1"/>
  <c r="J110" i="40"/>
  <c r="J111" i="40" s="1"/>
  <c r="H110" i="40"/>
  <c r="H111" i="40"/>
  <c r="H112" i="33"/>
  <c r="I110" i="33"/>
  <c r="I112" i="33" s="1"/>
  <c r="J112" i="33"/>
  <c r="J110" i="32"/>
  <c r="J111" i="32"/>
  <c r="I112" i="32"/>
  <c r="H110" i="32"/>
  <c r="H111" i="32"/>
  <c r="J110" i="31"/>
  <c r="J111" i="31"/>
  <c r="J110" i="30"/>
  <c r="J112" i="30"/>
  <c r="H110" i="30"/>
  <c r="H112" i="30"/>
  <c r="J112" i="29"/>
  <c r="I110" i="29"/>
  <c r="I112" i="29" s="1"/>
  <c r="H110" i="29"/>
  <c r="H112" i="29"/>
  <c r="J112" i="28"/>
  <c r="I110" i="28"/>
  <c r="I112" i="28" s="1"/>
  <c r="H110" i="28"/>
  <c r="H111" i="28"/>
  <c r="I112" i="27"/>
  <c r="C110" i="27"/>
  <c r="C111" i="27" s="1"/>
  <c r="D110" i="27"/>
  <c r="D111" i="27" s="1"/>
  <c r="E110" i="27"/>
  <c r="F110" i="27"/>
  <c r="F112" i="27" s="1"/>
  <c r="G110" i="27"/>
  <c r="G111" i="27" s="1"/>
  <c r="H110" i="27"/>
  <c r="J110" i="27"/>
  <c r="J112" i="27"/>
  <c r="K110" i="27"/>
  <c r="K112" i="27" s="1"/>
  <c r="L110" i="27"/>
  <c r="L112" i="27" s="1"/>
  <c r="M110" i="27"/>
  <c r="M112" i="27" s="1"/>
  <c r="N110" i="27"/>
  <c r="N112" i="27" s="1"/>
  <c r="O110" i="27"/>
  <c r="O112" i="27"/>
  <c r="P110" i="27"/>
  <c r="P112" i="27" s="1"/>
  <c r="Q110" i="27"/>
  <c r="Q111" i="26"/>
  <c r="J110" i="26"/>
  <c r="J111" i="26"/>
  <c r="I112" i="26"/>
  <c r="H111" i="26"/>
  <c r="G112" i="26"/>
  <c r="E112" i="26"/>
  <c r="C112" i="26"/>
  <c r="B112" i="26"/>
  <c r="Q111" i="25"/>
  <c r="P111" i="25"/>
  <c r="O111" i="25"/>
  <c r="N111" i="25"/>
  <c r="M112" i="25"/>
  <c r="L112" i="25"/>
  <c r="K111" i="25"/>
  <c r="I111" i="25"/>
  <c r="H111" i="25"/>
  <c r="G111" i="25"/>
  <c r="F112" i="25"/>
  <c r="E111" i="25"/>
  <c r="D112" i="25"/>
  <c r="B112" i="25"/>
  <c r="J110" i="24"/>
  <c r="J111" i="24"/>
  <c r="I110" i="24"/>
  <c r="I112" i="24" s="1"/>
  <c r="H110" i="24"/>
  <c r="H111" i="24" s="1"/>
  <c r="J112" i="23"/>
  <c r="I110" i="23"/>
  <c r="I111" i="23"/>
  <c r="H110" i="23"/>
  <c r="J110" i="22"/>
  <c r="J112" i="22"/>
  <c r="I110" i="22"/>
  <c r="I112" i="22"/>
  <c r="H112" i="22"/>
  <c r="G111" i="22"/>
  <c r="J110" i="21"/>
  <c r="J111" i="21" s="1"/>
  <c r="I110" i="21"/>
  <c r="I111" i="21" s="1"/>
  <c r="H110" i="21"/>
  <c r="H111" i="21" s="1"/>
  <c r="I110" i="20"/>
  <c r="I111" i="20" s="1"/>
  <c r="J110" i="20"/>
  <c r="J111" i="20" s="1"/>
  <c r="J110" i="17"/>
  <c r="J112" i="17"/>
  <c r="I110" i="17"/>
  <c r="I111" i="17"/>
  <c r="H110" i="17"/>
  <c r="H112" i="17"/>
  <c r="I110" i="16"/>
  <c r="I111" i="16" s="1"/>
  <c r="J110" i="16"/>
  <c r="J112" i="16" s="1"/>
  <c r="H110" i="15"/>
  <c r="H111" i="15" s="1"/>
  <c r="I110" i="15"/>
  <c r="I112" i="15" s="1"/>
  <c r="J110" i="15"/>
  <c r="J112" i="15" s="1"/>
  <c r="Q111" i="15"/>
  <c r="J110" i="14"/>
  <c r="J112" i="14" s="1"/>
  <c r="H110" i="14"/>
  <c r="H111" i="14" s="1"/>
  <c r="D112" i="11"/>
  <c r="J110" i="13"/>
  <c r="J112" i="13"/>
  <c r="H110" i="13"/>
  <c r="H112" i="13"/>
  <c r="J110" i="12"/>
  <c r="J111" i="12" s="1"/>
  <c r="I111" i="12"/>
  <c r="J110" i="11"/>
  <c r="J111" i="11" s="1"/>
  <c r="H111" i="11"/>
  <c r="G110" i="11"/>
  <c r="G112" i="11"/>
  <c r="J110" i="10"/>
  <c r="J112" i="10"/>
  <c r="I110" i="10"/>
  <c r="I112" i="10" s="1"/>
  <c r="H110" i="10"/>
  <c r="H112" i="10" s="1"/>
  <c r="J110" i="9"/>
  <c r="J112" i="9" s="1"/>
  <c r="I110" i="9"/>
  <c r="I111" i="9" s="1"/>
  <c r="H110" i="9"/>
  <c r="H111" i="9" s="1"/>
  <c r="I111" i="8"/>
  <c r="H111" i="8"/>
  <c r="O112" i="8"/>
  <c r="L112" i="8"/>
  <c r="K111" i="8"/>
  <c r="G111" i="8"/>
  <c r="F111" i="8"/>
  <c r="B2" i="23"/>
  <c r="C110" i="2"/>
  <c r="C111" i="2"/>
  <c r="D110" i="2"/>
  <c r="E110" i="2"/>
  <c r="E111" i="2" s="1"/>
  <c r="F110" i="2"/>
  <c r="F112" i="2" s="1"/>
  <c r="G110" i="2"/>
  <c r="G112" i="2"/>
  <c r="H110" i="2"/>
  <c r="J110" i="2"/>
  <c r="K110" i="2"/>
  <c r="K111" i="2"/>
  <c r="L110" i="2"/>
  <c r="L112" i="2" s="1"/>
  <c r="M110" i="2"/>
  <c r="M112" i="2" s="1"/>
  <c r="N110" i="2"/>
  <c r="N112" i="2" s="1"/>
  <c r="O110" i="2"/>
  <c r="P110" i="2"/>
  <c r="P112" i="2"/>
  <c r="Q110" i="2"/>
  <c r="C111" i="3"/>
  <c r="J110" i="3"/>
  <c r="J111" i="3" s="1"/>
  <c r="K110" i="3"/>
  <c r="K111" i="3" s="1"/>
  <c r="L110" i="3"/>
  <c r="L111" i="3" s="1"/>
  <c r="M110" i="3"/>
  <c r="M112" i="3"/>
  <c r="N110" i="3"/>
  <c r="N111" i="3"/>
  <c r="O110" i="3"/>
  <c r="P110" i="3"/>
  <c r="Q110" i="3"/>
  <c r="Q110" i="41"/>
  <c r="Q111" i="41" s="1"/>
  <c r="P110" i="41"/>
  <c r="P112" i="41"/>
  <c r="O110" i="41"/>
  <c r="O112" i="41"/>
  <c r="N110" i="41"/>
  <c r="N112" i="41"/>
  <c r="M110" i="41"/>
  <c r="M112" i="41" s="1"/>
  <c r="L110" i="41"/>
  <c r="L112" i="41" s="1"/>
  <c r="K110" i="41"/>
  <c r="K112" i="41" s="1"/>
  <c r="G110" i="41"/>
  <c r="G112" i="41" s="1"/>
  <c r="F110" i="41"/>
  <c r="F112" i="41" s="1"/>
  <c r="E110" i="41"/>
  <c r="E112" i="41" s="1"/>
  <c r="D110" i="41"/>
  <c r="D112" i="41"/>
  <c r="C110" i="41"/>
  <c r="C112" i="4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 s="1"/>
  <c r="M108" i="41"/>
  <c r="L108" i="41"/>
  <c r="K108" i="41"/>
  <c r="J108" i="41"/>
  <c r="I108" i="41"/>
  <c r="I38" i="39" s="1"/>
  <c r="H108" i="41"/>
  <c r="G108" i="41"/>
  <c r="F108" i="41"/>
  <c r="E108" i="41"/>
  <c r="D108" i="4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/>
  <c r="P110" i="40"/>
  <c r="P112" i="40" s="1"/>
  <c r="O110" i="40"/>
  <c r="O112" i="40" s="1"/>
  <c r="N110" i="40"/>
  <c r="N112" i="40"/>
  <c r="M110" i="40"/>
  <c r="M112" i="40" s="1"/>
  <c r="L110" i="40"/>
  <c r="L112" i="40" s="1"/>
  <c r="K110" i="40"/>
  <c r="K112" i="40" s="1"/>
  <c r="G110" i="40"/>
  <c r="G112" i="40" s="1"/>
  <c r="F110" i="40"/>
  <c r="F112" i="40"/>
  <c r="E110" i="40"/>
  <c r="E112" i="40" s="1"/>
  <c r="D110" i="40"/>
  <c r="D112" i="40" s="1"/>
  <c r="C110" i="40"/>
  <c r="C112" i="40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J108" i="40"/>
  <c r="I108" i="40"/>
  <c r="H108" i="40"/>
  <c r="H37" i="39"/>
  <c r="G108" i="40"/>
  <c r="G37" i="39"/>
  <c r="F108" i="40"/>
  <c r="F37" i="39" s="1"/>
  <c r="E108" i="40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P110" i="33"/>
  <c r="P112" i="33" s="1"/>
  <c r="O110" i="33"/>
  <c r="O112" i="33"/>
  <c r="N110" i="33"/>
  <c r="N112" i="33"/>
  <c r="M110" i="33"/>
  <c r="M112" i="33"/>
  <c r="L110" i="33"/>
  <c r="L112" i="33" s="1"/>
  <c r="K110" i="33"/>
  <c r="K111" i="33"/>
  <c r="F110" i="33"/>
  <c r="F112" i="33"/>
  <c r="E110" i="33"/>
  <c r="E112" i="33"/>
  <c r="D110" i="33"/>
  <c r="D112" i="33" s="1"/>
  <c r="C110" i="33"/>
  <c r="C112" i="33"/>
  <c r="B110" i="33"/>
  <c r="B112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/>
  <c r="P108" i="33"/>
  <c r="O108" i="33"/>
  <c r="N108" i="33"/>
  <c r="M108" i="33"/>
  <c r="M36" i="39" s="1"/>
  <c r="L108" i="33"/>
  <c r="L36" i="39" s="1"/>
  <c r="K108" i="33"/>
  <c r="J108" i="33"/>
  <c r="I108" i="33"/>
  <c r="I36" i="39" s="1"/>
  <c r="H108" i="33"/>
  <c r="G108" i="33"/>
  <c r="F108" i="33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 s="1"/>
  <c r="O110" i="32"/>
  <c r="O112" i="32"/>
  <c r="N110" i="32"/>
  <c r="N111" i="32" s="1"/>
  <c r="M110" i="32"/>
  <c r="M112" i="32" s="1"/>
  <c r="L110" i="32"/>
  <c r="L112" i="32" s="1"/>
  <c r="K110" i="32"/>
  <c r="K112" i="32" s="1"/>
  <c r="G110" i="32"/>
  <c r="G112" i="32"/>
  <c r="F110" i="32"/>
  <c r="F112" i="32" s="1"/>
  <c r="E110" i="32"/>
  <c r="E111" i="32" s="1"/>
  <c r="D110" i="32"/>
  <c r="D112" i="32"/>
  <c r="C110" i="32"/>
  <c r="C111" i="32" s="1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 s="1"/>
  <c r="N108" i="32"/>
  <c r="M108" i="32"/>
  <c r="L108" i="32"/>
  <c r="K108" i="32"/>
  <c r="J108" i="32"/>
  <c r="J35" i="39" s="1"/>
  <c r="I108" i="32"/>
  <c r="I35" i="39"/>
  <c r="H108" i="32"/>
  <c r="G108" i="32"/>
  <c r="F108" i="32"/>
  <c r="F35" i="39" s="1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0" i="31"/>
  <c r="P112" i="31"/>
  <c r="O110" i="31"/>
  <c r="O112" i="31"/>
  <c r="N110" i="31"/>
  <c r="N112" i="31"/>
  <c r="M110" i="31"/>
  <c r="M111" i="31" s="1"/>
  <c r="L110" i="31"/>
  <c r="L112" i="31" s="1"/>
  <c r="K110" i="31"/>
  <c r="K111" i="31"/>
  <c r="F110" i="31"/>
  <c r="F112" i="31"/>
  <c r="E110" i="31"/>
  <c r="E112" i="31" s="1"/>
  <c r="D110" i="31"/>
  <c r="D112" i="31"/>
  <c r="C110" i="31"/>
  <c r="C112" i="31"/>
  <c r="B110" i="31"/>
  <c r="B112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/>
  <c r="N108" i="31"/>
  <c r="N34" i="39"/>
  <c r="M108" i="31"/>
  <c r="L108" i="31"/>
  <c r="K108" i="31"/>
  <c r="J108" i="31"/>
  <c r="I108" i="31"/>
  <c r="H108" i="31"/>
  <c r="G108" i="31"/>
  <c r="F108" i="31"/>
  <c r="E108" i="31"/>
  <c r="D108" i="31"/>
  <c r="D34" i="39" s="1"/>
  <c r="C108" i="31"/>
  <c r="C34" i="39" s="1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2" i="30"/>
  <c r="O110" i="30"/>
  <c r="O112" i="30" s="1"/>
  <c r="N110" i="30"/>
  <c r="N112" i="30" s="1"/>
  <c r="M110" i="30"/>
  <c r="M112" i="30"/>
  <c r="L110" i="30"/>
  <c r="L112" i="30" s="1"/>
  <c r="K110" i="30"/>
  <c r="K112" i="30" s="1"/>
  <c r="G110" i="30"/>
  <c r="G111" i="30" s="1"/>
  <c r="F110" i="30"/>
  <c r="F112" i="30" s="1"/>
  <c r="E110" i="30"/>
  <c r="E112" i="30"/>
  <c r="D110" i="30"/>
  <c r="D112" i="30" s="1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L108" i="30"/>
  <c r="K108" i="30"/>
  <c r="K33" i="39" s="1"/>
  <c r="J108" i="30"/>
  <c r="I108" i="30"/>
  <c r="H108" i="30"/>
  <c r="G108" i="30"/>
  <c r="F108" i="30"/>
  <c r="E108" i="30"/>
  <c r="E33" i="39"/>
  <c r="D108" i="30"/>
  <c r="D33" i="39"/>
  <c r="C108" i="30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Q110" i="29"/>
  <c r="Q111" i="29" s="1"/>
  <c r="P110" i="29"/>
  <c r="P112" i="29" s="1"/>
  <c r="O110" i="29"/>
  <c r="O112" i="29"/>
  <c r="N110" i="29"/>
  <c r="N112" i="29" s="1"/>
  <c r="M110" i="29"/>
  <c r="M112" i="29" s="1"/>
  <c r="L110" i="29"/>
  <c r="L112" i="29" s="1"/>
  <c r="K110" i="29"/>
  <c r="K112" i="29" s="1"/>
  <c r="G110" i="29"/>
  <c r="G111" i="29"/>
  <c r="F110" i="29"/>
  <c r="F111" i="29" s="1"/>
  <c r="E110" i="29"/>
  <c r="E112" i="29" s="1"/>
  <c r="D110" i="29"/>
  <c r="D112" i="29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/>
  <c r="O108" i="29"/>
  <c r="N108" i="29"/>
  <c r="M108" i="29"/>
  <c r="M32" i="39"/>
  <c r="L108" i="29"/>
  <c r="L32" i="39"/>
  <c r="K108" i="29"/>
  <c r="J108" i="29"/>
  <c r="I108" i="29"/>
  <c r="H108" i="29"/>
  <c r="G108" i="29"/>
  <c r="F108" i="29"/>
  <c r="E108" i="29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Q110" i="28"/>
  <c r="Q112" i="28"/>
  <c r="P110" i="28"/>
  <c r="P111" i="28"/>
  <c r="O110" i="28"/>
  <c r="O112" i="28"/>
  <c r="N110" i="28"/>
  <c r="N112" i="28" s="1"/>
  <c r="M110" i="28"/>
  <c r="M112" i="28"/>
  <c r="L110" i="28"/>
  <c r="L112" i="28"/>
  <c r="K110" i="28"/>
  <c r="K112" i="28"/>
  <c r="G110" i="28"/>
  <c r="G112" i="28"/>
  <c r="F110" i="28"/>
  <c r="F112" i="28"/>
  <c r="E110" i="28"/>
  <c r="E112" i="28"/>
  <c r="D110" i="28"/>
  <c r="D112" i="28"/>
  <c r="C110" i="28"/>
  <c r="C112" i="28" s="1"/>
  <c r="B110" i="28"/>
  <c r="B112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/>
  <c r="N108" i="28"/>
  <c r="M108" i="28"/>
  <c r="L108" i="28"/>
  <c r="L31" i="39"/>
  <c r="K108" i="28"/>
  <c r="K31" i="39"/>
  <c r="J108" i="28"/>
  <c r="I108" i="28"/>
  <c r="H108" i="28"/>
  <c r="H31" i="39" s="1"/>
  <c r="G108" i="28"/>
  <c r="F108" i="28"/>
  <c r="E108" i="28"/>
  <c r="E31" i="39"/>
  <c r="D108" i="28"/>
  <c r="D31" i="39"/>
  <c r="C108" i="28"/>
  <c r="C31" i="39"/>
  <c r="B108" i="28"/>
  <c r="B31" i="39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/>
  <c r="Q112" i="27"/>
  <c r="H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N30" i="39" s="1"/>
  <c r="M108" i="27"/>
  <c r="L108" i="27"/>
  <c r="K108" i="27"/>
  <c r="K30" i="39" s="1"/>
  <c r="J108" i="27"/>
  <c r="J30" i="39"/>
  <c r="I108" i="27"/>
  <c r="I30" i="39" s="1"/>
  <c r="H108" i="27"/>
  <c r="H30" i="39" s="1"/>
  <c r="G108" i="27"/>
  <c r="G30" i="39" s="1"/>
  <c r="F108" i="27"/>
  <c r="E108" i="27"/>
  <c r="E30" i="39"/>
  <c r="D108" i="27"/>
  <c r="D30" i="39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/>
  <c r="P110" i="26"/>
  <c r="P111" i="26" s="1"/>
  <c r="O110" i="26"/>
  <c r="O111" i="26"/>
  <c r="N110" i="26"/>
  <c r="N112" i="26"/>
  <c r="M110" i="26"/>
  <c r="M111" i="26"/>
  <c r="L110" i="26"/>
  <c r="L112" i="26"/>
  <c r="K110" i="26"/>
  <c r="K112" i="26"/>
  <c r="D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 s="1"/>
  <c r="N108" i="26"/>
  <c r="M108" i="26"/>
  <c r="L108" i="26"/>
  <c r="L29" i="39"/>
  <c r="K108" i="26"/>
  <c r="J108" i="26"/>
  <c r="I108" i="26"/>
  <c r="H108" i="26"/>
  <c r="H29" i="39" s="1"/>
  <c r="G108" i="26"/>
  <c r="F108" i="26"/>
  <c r="E108" i="26"/>
  <c r="D108" i="26"/>
  <c r="C108" i="26"/>
  <c r="C29" i="39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/>
  <c r="P110" i="24"/>
  <c r="P112" i="24"/>
  <c r="O110" i="24"/>
  <c r="O112" i="24"/>
  <c r="N110" i="24"/>
  <c r="N112" i="24" s="1"/>
  <c r="M110" i="24"/>
  <c r="M112" i="24"/>
  <c r="L110" i="24"/>
  <c r="L112" i="24"/>
  <c r="K110" i="24"/>
  <c r="K112" i="24"/>
  <c r="G110" i="24"/>
  <c r="G112" i="24"/>
  <c r="F110" i="24"/>
  <c r="F112" i="24"/>
  <c r="E110" i="24"/>
  <c r="E112" i="24"/>
  <c r="D110" i="24"/>
  <c r="D112" i="24"/>
  <c r="C110" i="24"/>
  <c r="C112" i="24" s="1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O108" i="24"/>
  <c r="N108" i="24"/>
  <c r="N27" i="39"/>
  <c r="M108" i="24"/>
  <c r="L108" i="24"/>
  <c r="K108" i="24"/>
  <c r="K27" i="39"/>
  <c r="J108" i="24"/>
  <c r="I108" i="24"/>
  <c r="H108" i="24"/>
  <c r="G108" i="24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/>
  <c r="N112" i="23"/>
  <c r="M110" i="23"/>
  <c r="M112" i="23"/>
  <c r="L110" i="23"/>
  <c r="L112" i="23"/>
  <c r="K110" i="23"/>
  <c r="K112" i="23"/>
  <c r="H112" i="23"/>
  <c r="G110" i="23"/>
  <c r="G111" i="23" s="1"/>
  <c r="F110" i="23"/>
  <c r="F111" i="23" s="1"/>
  <c r="E110" i="23"/>
  <c r="E112" i="23" s="1"/>
  <c r="D110" i="23"/>
  <c r="D112" i="23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/>
  <c r="M108" i="23"/>
  <c r="M26" i="39"/>
  <c r="L108" i="23"/>
  <c r="K108" i="23"/>
  <c r="J108" i="23"/>
  <c r="I108" i="23"/>
  <c r="H108" i="23"/>
  <c r="G108" i="23"/>
  <c r="F108" i="23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/>
  <c r="P110" i="22"/>
  <c r="P112" i="22"/>
  <c r="O110" i="22"/>
  <c r="O111" i="22"/>
  <c r="N110" i="22"/>
  <c r="N112" i="22" s="1"/>
  <c r="M110" i="22"/>
  <c r="M112" i="22"/>
  <c r="L110" i="22"/>
  <c r="L111" i="22"/>
  <c r="K110" i="22"/>
  <c r="K112" i="22"/>
  <c r="F110" i="22"/>
  <c r="F111" i="22" s="1"/>
  <c r="E110" i="22"/>
  <c r="E112" i="22"/>
  <c r="D110" i="22"/>
  <c r="D112" i="22"/>
  <c r="C110" i="22"/>
  <c r="C112" i="22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/>
  <c r="P108" i="22"/>
  <c r="P25" i="39"/>
  <c r="O108" i="22"/>
  <c r="N108" i="22"/>
  <c r="M108" i="22"/>
  <c r="M25" i="39" s="1"/>
  <c r="L108" i="22"/>
  <c r="K108" i="22"/>
  <c r="J108" i="22"/>
  <c r="I108" i="22"/>
  <c r="H108" i="22"/>
  <c r="G108" i="22"/>
  <c r="F108" i="22"/>
  <c r="E108" i="22"/>
  <c r="D108" i="22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/>
  <c r="P110" i="21"/>
  <c r="P111" i="21" s="1"/>
  <c r="O110" i="21"/>
  <c r="O112" i="21"/>
  <c r="M110" i="21"/>
  <c r="M112" i="21"/>
  <c r="L110" i="21"/>
  <c r="L112" i="21"/>
  <c r="K110" i="21"/>
  <c r="K112" i="21" s="1"/>
  <c r="G110" i="21"/>
  <c r="G112" i="21"/>
  <c r="F110" i="21"/>
  <c r="F112" i="21"/>
  <c r="E110" i="21"/>
  <c r="E111" i="21"/>
  <c r="D110" i="21"/>
  <c r="D111" i="21" s="1"/>
  <c r="C110" i="21"/>
  <c r="C112" i="21"/>
  <c r="B110" i="21"/>
  <c r="B112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/>
  <c r="P108" i="21"/>
  <c r="O108" i="21"/>
  <c r="O24" i="39" s="1"/>
  <c r="N108" i="21"/>
  <c r="N24" i="39" s="1"/>
  <c r="M108" i="21"/>
  <c r="M24" i="39" s="1"/>
  <c r="L108" i="21"/>
  <c r="L24" i="39" s="1"/>
  <c r="K108" i="21"/>
  <c r="K24" i="39"/>
  <c r="J108" i="21"/>
  <c r="J24" i="39" s="1"/>
  <c r="I108" i="21"/>
  <c r="I24" i="39" s="1"/>
  <c r="H108" i="21"/>
  <c r="H24" i="39"/>
  <c r="G108" i="21"/>
  <c r="F108" i="21"/>
  <c r="E108" i="21"/>
  <c r="D108" i="21"/>
  <c r="D24" i="39"/>
  <c r="C108" i="21"/>
  <c r="C24" i="39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/>
  <c r="M110" i="20"/>
  <c r="M112" i="20" s="1"/>
  <c r="L110" i="20"/>
  <c r="L112" i="20" s="1"/>
  <c r="K110" i="20"/>
  <c r="K112" i="20" s="1"/>
  <c r="F110" i="20"/>
  <c r="F112" i="20" s="1"/>
  <c r="E110" i="20"/>
  <c r="E112" i="20"/>
  <c r="D110" i="20"/>
  <c r="D112" i="20" s="1"/>
  <c r="C110" i="20"/>
  <c r="C112" i="20" s="1"/>
  <c r="B110" i="20"/>
  <c r="B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 s="1"/>
  <c r="I108" i="20"/>
  <c r="H108" i="20"/>
  <c r="G108" i="20"/>
  <c r="F108" i="20"/>
  <c r="F23" i="39" s="1"/>
  <c r="E108" i="20"/>
  <c r="D108" i="20"/>
  <c r="D23" i="39" s="1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/>
  <c r="P112" i="19"/>
  <c r="O112" i="19"/>
  <c r="L112" i="19"/>
  <c r="D112" i="19"/>
  <c r="C111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N108" i="19"/>
  <c r="N22" i="39" s="1"/>
  <c r="M108" i="19"/>
  <c r="L108" i="19"/>
  <c r="K108" i="19"/>
  <c r="K22" i="39"/>
  <c r="J108" i="19"/>
  <c r="I108" i="19"/>
  <c r="I22" i="39" s="1"/>
  <c r="H108" i="19"/>
  <c r="G108" i="19"/>
  <c r="F108" i="19"/>
  <c r="F22" i="39" s="1"/>
  <c r="E108" i="19"/>
  <c r="D108" i="19"/>
  <c r="D22" i="39"/>
  <c r="C108" i="19"/>
  <c r="C22" i="39" s="1"/>
  <c r="B108" i="19"/>
  <c r="B22" i="3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Q112" i="18"/>
  <c r="P112" i="18"/>
  <c r="O112" i="18"/>
  <c r="N112" i="18"/>
  <c r="M111" i="18"/>
  <c r="L112" i="18"/>
  <c r="K112" i="18"/>
  <c r="J111" i="18"/>
  <c r="I112" i="18"/>
  <c r="H112" i="18"/>
  <c r="G112" i="18"/>
  <c r="F112" i="18"/>
  <c r="E112" i="18"/>
  <c r="D112" i="18"/>
  <c r="C111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M108" i="18"/>
  <c r="L108" i="18"/>
  <c r="K108" i="18"/>
  <c r="J108" i="18"/>
  <c r="I108" i="18"/>
  <c r="I21" i="39" s="1"/>
  <c r="H108" i="18"/>
  <c r="H21" i="39"/>
  <c r="G108" i="18"/>
  <c r="F108" i="18"/>
  <c r="E108" i="18"/>
  <c r="E21" i="39" s="1"/>
  <c r="D108" i="18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2" i="17"/>
  <c r="O110" i="17"/>
  <c r="O112" i="17" s="1"/>
  <c r="N110" i="17"/>
  <c r="N111" i="17" s="1"/>
  <c r="M110" i="17"/>
  <c r="M112" i="17"/>
  <c r="L110" i="17"/>
  <c r="L111" i="17" s="1"/>
  <c r="K110" i="17"/>
  <c r="K111" i="17" s="1"/>
  <c r="G110" i="17"/>
  <c r="G112" i="17" s="1"/>
  <c r="F110" i="17"/>
  <c r="F111" i="17" s="1"/>
  <c r="E110" i="17"/>
  <c r="E111" i="17"/>
  <c r="D110" i="17"/>
  <c r="D111" i="17" s="1"/>
  <c r="C110" i="17"/>
  <c r="C111" i="17" s="1"/>
  <c r="B110" i="17"/>
  <c r="B112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/>
  <c r="N108" i="17"/>
  <c r="N20" i="39"/>
  <c r="M108" i="17"/>
  <c r="L108" i="17"/>
  <c r="K108" i="17"/>
  <c r="K20" i="39"/>
  <c r="J108" i="17"/>
  <c r="J20" i="39"/>
  <c r="I108" i="17"/>
  <c r="I20" i="39"/>
  <c r="H108" i="17"/>
  <c r="H20" i="39" s="1"/>
  <c r="G108" i="17"/>
  <c r="G20" i="39"/>
  <c r="F108" i="17"/>
  <c r="E108" i="17"/>
  <c r="D108" i="17"/>
  <c r="C108" i="17"/>
  <c r="C20" i="39" s="1"/>
  <c r="B108" i="17"/>
  <c r="B20" i="39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P110" i="16"/>
  <c r="P112" i="16"/>
  <c r="O110" i="16"/>
  <c r="O112" i="16"/>
  <c r="N110" i="16"/>
  <c r="N112" i="16" s="1"/>
  <c r="M110" i="16"/>
  <c r="M112" i="16"/>
  <c r="L110" i="16"/>
  <c r="L112" i="16"/>
  <c r="K110" i="16"/>
  <c r="K112" i="16"/>
  <c r="F110" i="16"/>
  <c r="F112" i="16"/>
  <c r="E110" i="16"/>
  <c r="E112" i="16"/>
  <c r="D110" i="16"/>
  <c r="D112" i="16"/>
  <c r="C110" i="16"/>
  <c r="C112" i="16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/>
  <c r="O108" i="16"/>
  <c r="O19" i="39"/>
  <c r="N108" i="16"/>
  <c r="M108" i="16"/>
  <c r="M19" i="39"/>
  <c r="L108" i="16"/>
  <c r="K108" i="16"/>
  <c r="J108" i="16"/>
  <c r="J19" i="39" s="1"/>
  <c r="I108" i="16"/>
  <c r="I19" i="39"/>
  <c r="H108" i="16"/>
  <c r="G108" i="16"/>
  <c r="F108" i="16"/>
  <c r="E108" i="16"/>
  <c r="E19" i="39"/>
  <c r="D108" i="16"/>
  <c r="D19" i="39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/>
  <c r="N110" i="15"/>
  <c r="N112" i="15"/>
  <c r="M110" i="15"/>
  <c r="M112" i="15" s="1"/>
  <c r="L110" i="15"/>
  <c r="L111" i="15" s="1"/>
  <c r="K110" i="15"/>
  <c r="K112" i="15" s="1"/>
  <c r="G110" i="15"/>
  <c r="G111" i="15"/>
  <c r="F110" i="15"/>
  <c r="F112" i="15" s="1"/>
  <c r="E110" i="15"/>
  <c r="E112" i="15" s="1"/>
  <c r="D110" i="15"/>
  <c r="D112" i="15"/>
  <c r="C110" i="15"/>
  <c r="C112" i="15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O108" i="15"/>
  <c r="N108" i="15"/>
  <c r="N18" i="39"/>
  <c r="M108" i="15"/>
  <c r="L108" i="15"/>
  <c r="K108" i="15"/>
  <c r="K18" i="39" s="1"/>
  <c r="J108" i="15"/>
  <c r="I108" i="15"/>
  <c r="H108" i="15"/>
  <c r="G108" i="15"/>
  <c r="F108" i="15"/>
  <c r="E108" i="15"/>
  <c r="D108" i="15"/>
  <c r="C108" i="15"/>
  <c r="C18" i="39"/>
  <c r="B108" i="15"/>
  <c r="B18" i="39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/>
  <c r="P110" i="14"/>
  <c r="P112" i="14"/>
  <c r="O110" i="14"/>
  <c r="O111" i="14"/>
  <c r="N110" i="14"/>
  <c r="N112" i="14" s="1"/>
  <c r="M110" i="14"/>
  <c r="M112" i="14"/>
  <c r="L110" i="14"/>
  <c r="L112" i="14"/>
  <c r="K110" i="14"/>
  <c r="K112" i="14"/>
  <c r="G110" i="14"/>
  <c r="G112" i="14"/>
  <c r="F110" i="14"/>
  <c r="F111" i="14"/>
  <c r="E110" i="14"/>
  <c r="E112" i="14"/>
  <c r="D110" i="14"/>
  <c r="D112" i="14"/>
  <c r="C110" i="14"/>
  <c r="C112" i="14" s="1"/>
  <c r="B110" i="14"/>
  <c r="B111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K108" i="14"/>
  <c r="K17" i="39"/>
  <c r="J108" i="14"/>
  <c r="I108" i="14"/>
  <c r="H108" i="14"/>
  <c r="G108" i="14"/>
  <c r="G17" i="39"/>
  <c r="F108" i="14"/>
  <c r="F17" i="39"/>
  <c r="E108" i="14"/>
  <c r="E17" i="39" s="1"/>
  <c r="D108" i="14"/>
  <c r="D17" i="39" s="1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/>
  <c r="P110" i="13"/>
  <c r="P111" i="13"/>
  <c r="O110" i="13"/>
  <c r="O111" i="13"/>
  <c r="N110" i="13"/>
  <c r="N112" i="13" s="1"/>
  <c r="M110" i="13"/>
  <c r="M111" i="13"/>
  <c r="L110" i="13"/>
  <c r="L112" i="13"/>
  <c r="K110" i="13"/>
  <c r="K112" i="13"/>
  <c r="G110" i="13"/>
  <c r="G112" i="13"/>
  <c r="F110" i="13"/>
  <c r="F112" i="13"/>
  <c r="D110" i="13"/>
  <c r="D111" i="13"/>
  <c r="C110" i="13"/>
  <c r="C112" i="13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P16" i="39" s="1"/>
  <c r="O108" i="13"/>
  <c r="O16" i="39" s="1"/>
  <c r="N108" i="13"/>
  <c r="M108" i="13"/>
  <c r="L108" i="13"/>
  <c r="K108" i="13"/>
  <c r="J108" i="13"/>
  <c r="I108" i="13"/>
  <c r="I16" i="39"/>
  <c r="H108" i="13"/>
  <c r="H16" i="39"/>
  <c r="G108" i="13"/>
  <c r="G16" i="39" s="1"/>
  <c r="F108" i="13"/>
  <c r="E108" i="13"/>
  <c r="E16" i="39" s="1"/>
  <c r="D108" i="13"/>
  <c r="D16" i="39" s="1"/>
  <c r="C108" i="13"/>
  <c r="C16" i="39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0" i="12"/>
  <c r="Q112" i="12" s="1"/>
  <c r="P110" i="12"/>
  <c r="P112" i="12" s="1"/>
  <c r="O110" i="12"/>
  <c r="O111" i="12"/>
  <c r="N110" i="12"/>
  <c r="N112" i="12"/>
  <c r="M110" i="12"/>
  <c r="M111" i="12" s="1"/>
  <c r="L110" i="12"/>
  <c r="L112" i="12" s="1"/>
  <c r="K110" i="12"/>
  <c r="K111" i="12" s="1"/>
  <c r="G112" i="12"/>
  <c r="E110" i="12"/>
  <c r="E112" i="12"/>
  <c r="D110" i="12"/>
  <c r="D112" i="12"/>
  <c r="C110" i="12"/>
  <c r="C112" i="12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N15" i="39" s="1"/>
  <c r="M108" i="12"/>
  <c r="L108" i="12"/>
  <c r="K108" i="12"/>
  <c r="J108" i="12"/>
  <c r="I108" i="12"/>
  <c r="I15" i="39"/>
  <c r="H108" i="12"/>
  <c r="G108" i="12"/>
  <c r="F108" i="12"/>
  <c r="E108" i="12"/>
  <c r="E15" i="39"/>
  <c r="D108" i="12"/>
  <c r="D15" i="39" s="1"/>
  <c r="C108" i="12"/>
  <c r="C15" i="39" s="1"/>
  <c r="B108" i="12"/>
  <c r="B15" i="39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/>
  <c r="O110" i="11"/>
  <c r="O112" i="11"/>
  <c r="N110" i="11"/>
  <c r="N112" i="11" s="1"/>
  <c r="M110" i="11"/>
  <c r="M112" i="11"/>
  <c r="L110" i="11"/>
  <c r="L112" i="11"/>
  <c r="K110" i="11"/>
  <c r="K112" i="11"/>
  <c r="F110" i="11"/>
  <c r="F112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/>
  <c r="P108" i="11"/>
  <c r="P14" i="39"/>
  <c r="O108" i="11"/>
  <c r="O14" i="39" s="1"/>
  <c r="N108" i="11"/>
  <c r="N14" i="39" s="1"/>
  <c r="M108" i="11"/>
  <c r="M14" i="39"/>
  <c r="L108" i="11"/>
  <c r="K108" i="11"/>
  <c r="K14" i="39" s="1"/>
  <c r="J108" i="11"/>
  <c r="J14" i="39"/>
  <c r="I108" i="11"/>
  <c r="H108" i="11"/>
  <c r="G108" i="11"/>
  <c r="G14" i="39" s="1"/>
  <c r="F108" i="11"/>
  <c r="E108" i="11"/>
  <c r="D108" i="11"/>
  <c r="C108" i="11"/>
  <c r="C14" i="39" s="1"/>
  <c r="B108" i="11"/>
  <c r="B14" i="39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Q110" i="10"/>
  <c r="Q112" i="10"/>
  <c r="P110" i="10"/>
  <c r="P112" i="10"/>
  <c r="O110" i="10"/>
  <c r="O111" i="10"/>
  <c r="N110" i="10"/>
  <c r="N112" i="10"/>
  <c r="M110" i="10"/>
  <c r="M111" i="10" s="1"/>
  <c r="L110" i="10"/>
  <c r="L111" i="10"/>
  <c r="K110" i="10"/>
  <c r="K112" i="10"/>
  <c r="G110" i="10"/>
  <c r="G112" i="10"/>
  <c r="F110" i="10"/>
  <c r="F112" i="10"/>
  <c r="E110" i="10"/>
  <c r="E112" i="10"/>
  <c r="D110" i="10"/>
  <c r="D112" i="10"/>
  <c r="C110" i="10"/>
  <c r="C112" i="10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/>
  <c r="P108" i="10"/>
  <c r="O108" i="10"/>
  <c r="O13" i="39" s="1"/>
  <c r="N108" i="10"/>
  <c r="N13" i="39" s="1"/>
  <c r="M108" i="10"/>
  <c r="M13" i="39" s="1"/>
  <c r="L108" i="10"/>
  <c r="L13" i="39" s="1"/>
  <c r="K108" i="10"/>
  <c r="K13" i="39"/>
  <c r="J108" i="10"/>
  <c r="J13" i="39"/>
  <c r="I108" i="10"/>
  <c r="I13" i="39" s="1"/>
  <c r="H108" i="10"/>
  <c r="H13" i="39" s="1"/>
  <c r="G108" i="10"/>
  <c r="G13" i="39"/>
  <c r="F108" i="10"/>
  <c r="F13" i="39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/>
  <c r="Q110" i="9"/>
  <c r="Q111" i="9"/>
  <c r="P110" i="9"/>
  <c r="P112" i="9" s="1"/>
  <c r="O110" i="9"/>
  <c r="O112" i="9" s="1"/>
  <c r="N110" i="9"/>
  <c r="N112" i="9" s="1"/>
  <c r="M110" i="9"/>
  <c r="M112" i="9"/>
  <c r="L110" i="9"/>
  <c r="L112" i="9" s="1"/>
  <c r="K110" i="9"/>
  <c r="K112" i="9" s="1"/>
  <c r="G110" i="9"/>
  <c r="G112" i="9"/>
  <c r="F110" i="9"/>
  <c r="F111" i="9"/>
  <c r="E110" i="9"/>
  <c r="E112" i="9" s="1"/>
  <c r="D110" i="9"/>
  <c r="D111" i="9" s="1"/>
  <c r="C110" i="9"/>
  <c r="C112" i="9" s="1"/>
  <c r="B110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N108" i="9"/>
  <c r="N12" i="39" s="1"/>
  <c r="M108" i="9"/>
  <c r="M12" i="39" s="1"/>
  <c r="L108" i="9"/>
  <c r="K108" i="9"/>
  <c r="K12" i="39" s="1"/>
  <c r="J108" i="9"/>
  <c r="J12" i="39"/>
  <c r="I108" i="9"/>
  <c r="H108" i="9"/>
  <c r="H12" i="39"/>
  <c r="G108" i="9"/>
  <c r="G12" i="39" s="1"/>
  <c r="F108" i="9"/>
  <c r="F12" i="39" s="1"/>
  <c r="E108" i="9"/>
  <c r="E12" i="39"/>
  <c r="D108" i="9"/>
  <c r="C108" i="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/>
  <c r="N112" i="8"/>
  <c r="M112" i="8"/>
  <c r="E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/>
  <c r="N108" i="8"/>
  <c r="M108" i="8"/>
  <c r="M11" i="39" s="1"/>
  <c r="L108" i="8"/>
  <c r="L11" i="39"/>
  <c r="K108" i="8"/>
  <c r="K11" i="39"/>
  <c r="J108" i="8"/>
  <c r="I108" i="8"/>
  <c r="I11" i="39"/>
  <c r="H108" i="8"/>
  <c r="H11" i="39" s="1"/>
  <c r="G108" i="8"/>
  <c r="G11" i="39" s="1"/>
  <c r="F108" i="8"/>
  <c r="F11" i="39" s="1"/>
  <c r="E108" i="8"/>
  <c r="E11" i="39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/>
  <c r="Q112" i="3"/>
  <c r="P112" i="3"/>
  <c r="O112" i="3"/>
  <c r="K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 s="1"/>
  <c r="M108" i="3"/>
  <c r="M10" i="39" s="1"/>
  <c r="L108" i="3"/>
  <c r="L10" i="39" s="1"/>
  <c r="K108" i="3"/>
  <c r="K10" i="39"/>
  <c r="J108" i="3"/>
  <c r="J10" i="39" s="1"/>
  <c r="I108" i="3"/>
  <c r="I10" i="39" s="1"/>
  <c r="H108" i="3"/>
  <c r="H10" i="39" s="1"/>
  <c r="G108" i="3"/>
  <c r="G10" i="39"/>
  <c r="F108" i="3"/>
  <c r="F10" i="39" s="1"/>
  <c r="E108" i="3"/>
  <c r="E10" i="39" s="1"/>
  <c r="D108" i="3"/>
  <c r="D10" i="39" s="1"/>
  <c r="C108" i="3"/>
  <c r="C10" i="39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F27" i="39"/>
  <c r="C27" i="39"/>
  <c r="N109" i="2"/>
  <c r="O109" i="2"/>
  <c r="P109" i="2"/>
  <c r="N108" i="2"/>
  <c r="N9" i="39" s="1"/>
  <c r="O108" i="2"/>
  <c r="P108" i="2"/>
  <c r="P9" i="39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H112" i="2"/>
  <c r="N21" i="39"/>
  <c r="N17" i="39"/>
  <c r="Q35" i="39"/>
  <c r="M35" i="39"/>
  <c r="L35" i="39"/>
  <c r="K35" i="39"/>
  <c r="H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L12" i="39"/>
  <c r="I12" i="39"/>
  <c r="D12" i="39"/>
  <c r="C12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M38" i="39"/>
  <c r="L38" i="39"/>
  <c r="K38" i="39"/>
  <c r="J38" i="39"/>
  <c r="H38" i="39"/>
  <c r="G38" i="39"/>
  <c r="F38" i="39"/>
  <c r="E38" i="39"/>
  <c r="D38" i="39"/>
  <c r="C38" i="39"/>
  <c r="O37" i="39"/>
  <c r="N37" i="39"/>
  <c r="M37" i="39"/>
  <c r="L37" i="39"/>
  <c r="K37" i="39"/>
  <c r="J37" i="39"/>
  <c r="I37" i="39"/>
  <c r="E37" i="39"/>
  <c r="C37" i="39"/>
  <c r="B37" i="39"/>
  <c r="A37" i="39"/>
  <c r="A26" i="39"/>
  <c r="C26" i="39"/>
  <c r="D26" i="39"/>
  <c r="H26" i="39"/>
  <c r="I26" i="39"/>
  <c r="J26" i="39"/>
  <c r="K26" i="39"/>
  <c r="L26" i="39"/>
  <c r="O25" i="39"/>
  <c r="N25" i="39"/>
  <c r="L25" i="39"/>
  <c r="K25" i="39"/>
  <c r="J25" i="39"/>
  <c r="H25" i="39"/>
  <c r="G25" i="39"/>
  <c r="F25" i="39"/>
  <c r="E25" i="39"/>
  <c r="D25" i="39"/>
  <c r="C25" i="39"/>
  <c r="G24" i="39"/>
  <c r="E24" i="39"/>
  <c r="A24" i="39"/>
  <c r="Q23" i="39"/>
  <c r="M23" i="39"/>
  <c r="L23" i="39"/>
  <c r="K23" i="39"/>
  <c r="I23" i="39"/>
  <c r="H23" i="39"/>
  <c r="E23" i="39"/>
  <c r="B23" i="39"/>
  <c r="M22" i="39"/>
  <c r="L22" i="39"/>
  <c r="G22" i="39"/>
  <c r="Q21" i="39"/>
  <c r="P21" i="39"/>
  <c r="M21" i="39"/>
  <c r="L21" i="39"/>
  <c r="K21" i="39"/>
  <c r="J21" i="39"/>
  <c r="G21" i="39"/>
  <c r="F21" i="39"/>
  <c r="D21" i="39"/>
  <c r="C21" i="39"/>
  <c r="B21" i="39"/>
  <c r="A21" i="39"/>
  <c r="M20" i="39"/>
  <c r="E20" i="39"/>
  <c r="A20" i="39"/>
  <c r="L19" i="39"/>
  <c r="K19" i="39"/>
  <c r="H19" i="39"/>
  <c r="G19" i="39"/>
  <c r="B19" i="39"/>
  <c r="M18" i="39"/>
  <c r="L18" i="39"/>
  <c r="J18" i="39"/>
  <c r="I18" i="39"/>
  <c r="H18" i="39"/>
  <c r="G18" i="39"/>
  <c r="E18" i="39"/>
  <c r="D18" i="39"/>
  <c r="P17" i="39"/>
  <c r="M17" i="39"/>
  <c r="L17" i="39"/>
  <c r="I17" i="39"/>
  <c r="C17" i="39"/>
  <c r="A17" i="39"/>
  <c r="Q16" i="39"/>
  <c r="L16" i="39"/>
  <c r="J16" i="39"/>
  <c r="F16" i="39"/>
  <c r="B16" i="39"/>
  <c r="M15" i="39"/>
  <c r="L15" i="39"/>
  <c r="H15" i="39"/>
  <c r="G15" i="39"/>
  <c r="F15" i="39"/>
  <c r="L14" i="39"/>
  <c r="I14" i="39"/>
  <c r="H14" i="39"/>
  <c r="F14" i="39"/>
  <c r="E14" i="39"/>
  <c r="D14" i="39"/>
  <c r="P13" i="39"/>
  <c r="D13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/>
  <c r="E108" i="2"/>
  <c r="E9" i="39" s="1"/>
  <c r="F108" i="2"/>
  <c r="F9" i="39" s="1"/>
  <c r="G108" i="2"/>
  <c r="G9" i="39" s="1"/>
  <c r="H108" i="2"/>
  <c r="H9" i="39"/>
  <c r="I108" i="2"/>
  <c r="I9" i="39" s="1"/>
  <c r="J108" i="2"/>
  <c r="J9" i="39" s="1"/>
  <c r="K108" i="2"/>
  <c r="K9" i="39" s="1"/>
  <c r="L108" i="2"/>
  <c r="L9" i="39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N36" i="39"/>
  <c r="K36" i="39"/>
  <c r="H36" i="39"/>
  <c r="G36" i="39"/>
  <c r="E36" i="39"/>
  <c r="D36" i="39"/>
  <c r="C36" i="39"/>
  <c r="A36" i="39"/>
  <c r="P35" i="39"/>
  <c r="G35" i="39"/>
  <c r="E35" i="39"/>
  <c r="C35" i="39"/>
  <c r="M34" i="39"/>
  <c r="L34" i="39"/>
  <c r="K34" i="39"/>
  <c r="J34" i="39"/>
  <c r="I34" i="39"/>
  <c r="H34" i="39"/>
  <c r="F34" i="39"/>
  <c r="M33" i="39"/>
  <c r="L33" i="39"/>
  <c r="J33" i="39"/>
  <c r="I33" i="39"/>
  <c r="H33" i="39"/>
  <c r="F33" i="39"/>
  <c r="C33" i="39"/>
  <c r="Q32" i="39"/>
  <c r="O32" i="39"/>
  <c r="N32" i="39"/>
  <c r="K32" i="39"/>
  <c r="I32" i="39"/>
  <c r="G32" i="39"/>
  <c r="F32" i="39"/>
  <c r="E32" i="39"/>
  <c r="C32" i="39"/>
  <c r="B32" i="39"/>
  <c r="Q31" i="39"/>
  <c r="P31" i="39"/>
  <c r="M31" i="39"/>
  <c r="J31" i="39"/>
  <c r="I31" i="39"/>
  <c r="F31" i="39"/>
  <c r="M30" i="39"/>
  <c r="L30" i="39"/>
  <c r="F30" i="39"/>
  <c r="C30" i="39"/>
  <c r="B30" i="39"/>
  <c r="Q29" i="39"/>
  <c r="M29" i="39"/>
  <c r="K29" i="39"/>
  <c r="J29" i="39"/>
  <c r="I29" i="39"/>
  <c r="G29" i="39"/>
  <c r="F29" i="39"/>
  <c r="E29" i="39"/>
  <c r="D29" i="39"/>
  <c r="P28" i="39"/>
  <c r="N28" i="39"/>
  <c r="M28" i="39"/>
  <c r="L28" i="39"/>
  <c r="K28" i="39"/>
  <c r="I28" i="39"/>
  <c r="H28" i="39"/>
  <c r="G28" i="39"/>
  <c r="F28" i="39"/>
  <c r="B28" i="39"/>
  <c r="P27" i="39"/>
  <c r="O27" i="39"/>
  <c r="M27" i="39"/>
  <c r="L27" i="39"/>
  <c r="H27" i="39"/>
  <c r="G27" i="39"/>
  <c r="B27" i="39"/>
  <c r="O26" i="39"/>
  <c r="G26" i="39"/>
  <c r="I25" i="39"/>
  <c r="P24" i="39"/>
  <c r="N23" i="39"/>
  <c r="C23" i="39"/>
  <c r="O22" i="39"/>
  <c r="O21" i="39"/>
  <c r="P20" i="39"/>
  <c r="F20" i="39"/>
  <c r="D20" i="39"/>
  <c r="F18" i="39"/>
  <c r="M16" i="39"/>
  <c r="K16" i="39"/>
  <c r="K15" i="39"/>
  <c r="J15" i="39"/>
  <c r="O12" i="39"/>
  <c r="B12" i="39"/>
  <c r="N11" i="39"/>
  <c r="P10" i="39"/>
  <c r="P36" i="39"/>
  <c r="E34" i="39"/>
  <c r="E26" i="39"/>
  <c r="P23" i="39"/>
  <c r="P18" i="39"/>
  <c r="Q17" i="39"/>
  <c r="P15" i="39"/>
  <c r="B2" i="2"/>
  <c r="A9" i="39"/>
  <c r="B2" i="39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B36" i="39"/>
  <c r="N35" i="39"/>
  <c r="G34" i="39"/>
  <c r="B34" i="39"/>
  <c r="J32" i="39"/>
  <c r="H32" i="39"/>
  <c r="D32" i="39"/>
  <c r="N29" i="39"/>
  <c r="B29" i="39"/>
  <c r="J28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6" i="39"/>
  <c r="F24" i="39"/>
  <c r="J22" i="39"/>
  <c r="L20" i="39"/>
  <c r="N19" i="39"/>
  <c r="F19" i="39"/>
  <c r="O18" i="39"/>
  <c r="O17" i="39"/>
  <c r="J17" i="39"/>
  <c r="H17" i="39"/>
  <c r="B17" i="39"/>
  <c r="N16" i="39"/>
  <c r="K28" i="6"/>
  <c r="J28" i="6"/>
  <c r="D9" i="5"/>
  <c r="D10" i="5"/>
  <c r="I119" i="6"/>
  <c r="J101" i="6"/>
  <c r="J81" i="6"/>
  <c r="J61" i="6"/>
  <c r="I21" i="6"/>
  <c r="O9" i="39"/>
  <c r="D8" i="5"/>
  <c r="D20" i="5"/>
  <c r="D21" i="5"/>
  <c r="D22" i="5"/>
  <c r="D23" i="5"/>
  <c r="D11" i="5"/>
  <c r="D24" i="5" s="1"/>
  <c r="D12" i="5"/>
  <c r="D13" i="5"/>
  <c r="D14" i="5"/>
  <c r="D15" i="5"/>
  <c r="D16" i="5"/>
  <c r="D44" i="5" s="1"/>
  <c r="D17" i="5"/>
  <c r="D18" i="5"/>
  <c r="D19" i="5"/>
  <c r="H111" i="2"/>
  <c r="H22" i="39"/>
  <c r="O111" i="2"/>
  <c r="P111" i="41"/>
  <c r="O111" i="41"/>
  <c r="N111" i="41"/>
  <c r="M111" i="41"/>
  <c r="L111" i="41"/>
  <c r="K111" i="41"/>
  <c r="G111" i="41"/>
  <c r="F111" i="41"/>
  <c r="E111" i="41"/>
  <c r="D111" i="41"/>
  <c r="C111" i="41"/>
  <c r="B111" i="41"/>
  <c r="Q111" i="40"/>
  <c r="P111" i="40"/>
  <c r="O111" i="40"/>
  <c r="N111" i="40"/>
  <c r="M111" i="40"/>
  <c r="K111" i="40"/>
  <c r="G111" i="40"/>
  <c r="F111" i="40"/>
  <c r="E111" i="40"/>
  <c r="C111" i="40"/>
  <c r="B111" i="40"/>
  <c r="P111" i="33"/>
  <c r="O111" i="33"/>
  <c r="N111" i="33"/>
  <c r="M111" i="33"/>
  <c r="L111" i="33"/>
  <c r="I111" i="33"/>
  <c r="F111" i="33"/>
  <c r="D111" i="33"/>
  <c r="C111" i="33"/>
  <c r="B111" i="33"/>
  <c r="Q111" i="32"/>
  <c r="O111" i="32"/>
  <c r="M111" i="32"/>
  <c r="L111" i="32"/>
  <c r="K111" i="32"/>
  <c r="G111" i="32"/>
  <c r="F111" i="32"/>
  <c r="D111" i="32"/>
  <c r="O111" i="31"/>
  <c r="N111" i="31"/>
  <c r="L111" i="31"/>
  <c r="F111" i="31"/>
  <c r="E111" i="31"/>
  <c r="D111" i="31"/>
  <c r="C111" i="31"/>
  <c r="B111" i="31"/>
  <c r="P111" i="30"/>
  <c r="O111" i="30"/>
  <c r="N111" i="30"/>
  <c r="M111" i="30"/>
  <c r="L111" i="30"/>
  <c r="E111" i="30"/>
  <c r="D111" i="30"/>
  <c r="B111" i="30"/>
  <c r="P111" i="29"/>
  <c r="N111" i="29"/>
  <c r="M111" i="29"/>
  <c r="L111" i="29"/>
  <c r="K111" i="29"/>
  <c r="E111" i="29"/>
  <c r="D111" i="29"/>
  <c r="C111" i="29"/>
  <c r="B111" i="29"/>
  <c r="Q111" i="28"/>
  <c r="O111" i="28"/>
  <c r="N111" i="28"/>
  <c r="M111" i="28"/>
  <c r="L111" i="28"/>
  <c r="K111" i="28"/>
  <c r="G111" i="28"/>
  <c r="F111" i="28"/>
  <c r="E111" i="28"/>
  <c r="D111" i="28"/>
  <c r="C111" i="28"/>
  <c r="P111" i="27"/>
  <c r="N111" i="27"/>
  <c r="M111" i="27"/>
  <c r="L111" i="27"/>
  <c r="E111" i="27"/>
  <c r="B111" i="27"/>
  <c r="N111" i="26"/>
  <c r="L111" i="26"/>
  <c r="K111" i="26"/>
  <c r="D111" i="26"/>
  <c r="P111" i="24"/>
  <c r="O111" i="24"/>
  <c r="N111" i="24"/>
  <c r="M111" i="24"/>
  <c r="L111" i="24"/>
  <c r="K111" i="24"/>
  <c r="Q111" i="24"/>
  <c r="F111" i="24"/>
  <c r="E111" i="24"/>
  <c r="D111" i="24"/>
  <c r="C111" i="24"/>
  <c r="B111" i="24"/>
  <c r="P111" i="23"/>
  <c r="N111" i="23"/>
  <c r="M111" i="23"/>
  <c r="L111" i="23"/>
  <c r="K111" i="23"/>
  <c r="H111" i="23"/>
  <c r="E111" i="23"/>
  <c r="D111" i="23"/>
  <c r="C111" i="23"/>
  <c r="B111" i="23"/>
  <c r="P111" i="22"/>
  <c r="N111" i="22"/>
  <c r="M111" i="22"/>
  <c r="K111" i="22"/>
  <c r="E111" i="22"/>
  <c r="D111" i="22"/>
  <c r="C111" i="22"/>
  <c r="B111" i="22"/>
  <c r="M111" i="21"/>
  <c r="L111" i="21"/>
  <c r="K111" i="21"/>
  <c r="G111" i="21"/>
  <c r="C111" i="21"/>
  <c r="B111" i="21"/>
  <c r="O111" i="20"/>
  <c r="Q112" i="20"/>
  <c r="M111" i="20"/>
  <c r="L111" i="20"/>
  <c r="K111" i="20"/>
  <c r="F111" i="20"/>
  <c r="E111" i="20"/>
  <c r="D111" i="20"/>
  <c r="B111" i="20"/>
  <c r="P111" i="19"/>
  <c r="N111" i="19"/>
  <c r="L111" i="19"/>
  <c r="D111" i="19"/>
  <c r="Q111" i="18"/>
  <c r="P111" i="18"/>
  <c r="O111" i="18"/>
  <c r="N111" i="18"/>
  <c r="L111" i="18"/>
  <c r="I111" i="18"/>
  <c r="H111" i="18"/>
  <c r="G111" i="18"/>
  <c r="F111" i="18"/>
  <c r="E111" i="18"/>
  <c r="D111" i="18"/>
  <c r="P111" i="17"/>
  <c r="O111" i="17"/>
  <c r="G111" i="17"/>
  <c r="B111" i="17"/>
  <c r="O111" i="16"/>
  <c r="N111" i="16"/>
  <c r="L111" i="16"/>
  <c r="F111" i="16"/>
  <c r="E111" i="16"/>
  <c r="D111" i="16"/>
  <c r="P111" i="15"/>
  <c r="O111" i="15"/>
  <c r="N111" i="15"/>
  <c r="M111" i="15"/>
  <c r="K111" i="15"/>
  <c r="J111" i="15"/>
  <c r="F111" i="15"/>
  <c r="E111" i="15"/>
  <c r="D111" i="15"/>
  <c r="C111" i="15"/>
  <c r="B111" i="15"/>
  <c r="P111" i="14"/>
  <c r="N111" i="14"/>
  <c r="M111" i="14"/>
  <c r="L111" i="14"/>
  <c r="K111" i="14"/>
  <c r="G111" i="14"/>
  <c r="E111" i="14"/>
  <c r="C111" i="14"/>
  <c r="Q111" i="13"/>
  <c r="N111" i="13"/>
  <c r="L111" i="13"/>
  <c r="K111" i="13"/>
  <c r="G111" i="13"/>
  <c r="F111" i="13"/>
  <c r="C111" i="13"/>
  <c r="Q111" i="12"/>
  <c r="P111" i="12"/>
  <c r="N111" i="12"/>
  <c r="L111" i="12"/>
  <c r="E111" i="12"/>
  <c r="D111" i="12"/>
  <c r="C111" i="12"/>
  <c r="B111" i="12"/>
  <c r="O111" i="11"/>
  <c r="N111" i="11"/>
  <c r="M111" i="11"/>
  <c r="L111" i="11"/>
  <c r="K111" i="11"/>
  <c r="E111" i="11"/>
  <c r="Q111" i="10"/>
  <c r="P111" i="10"/>
  <c r="N111" i="10"/>
  <c r="K111" i="10"/>
  <c r="G111" i="10"/>
  <c r="F111" i="10"/>
  <c r="C111" i="10"/>
  <c r="B111" i="10"/>
  <c r="P111" i="9"/>
  <c r="N111" i="9"/>
  <c r="M111" i="9"/>
  <c r="K111" i="9"/>
  <c r="E111" i="9"/>
  <c r="M111" i="8"/>
  <c r="E111" i="8"/>
  <c r="D111" i="8"/>
  <c r="C111" i="8"/>
  <c r="Q111" i="3"/>
  <c r="P111" i="3"/>
  <c r="O111" i="3"/>
  <c r="C112" i="30"/>
  <c r="C112" i="17"/>
  <c r="D112" i="3"/>
  <c r="M111" i="2"/>
  <c r="K112" i="2"/>
  <c r="Q111" i="2"/>
  <c r="G111" i="2"/>
  <c r="J112" i="2"/>
  <c r="D111" i="2"/>
  <c r="L112" i="10"/>
  <c r="M112" i="10"/>
  <c r="E111" i="10"/>
  <c r="L111" i="9"/>
  <c r="G111" i="9"/>
  <c r="E112" i="2"/>
  <c r="C112" i="2"/>
  <c r="N111" i="2"/>
  <c r="B111" i="3"/>
  <c r="N112" i="3"/>
  <c r="L111" i="2"/>
  <c r="M111" i="3"/>
  <c r="J111" i="10"/>
  <c r="I111" i="10"/>
  <c r="I112" i="9"/>
  <c r="H112" i="9"/>
  <c r="B111" i="9"/>
  <c r="J112" i="8"/>
  <c r="P111" i="8"/>
  <c r="L111" i="8"/>
  <c r="B111" i="8"/>
  <c r="O111" i="8"/>
  <c r="I112" i="8"/>
  <c r="H112" i="8"/>
  <c r="G112" i="8"/>
  <c r="F112" i="8"/>
  <c r="N111" i="8"/>
  <c r="J111" i="13"/>
  <c r="I112" i="13"/>
  <c r="P112" i="13"/>
  <c r="J112" i="12"/>
  <c r="H112" i="12"/>
  <c r="I112" i="12"/>
  <c r="G111" i="12"/>
  <c r="O112" i="12"/>
  <c r="J112" i="11"/>
  <c r="Q112" i="11"/>
  <c r="P111" i="11"/>
  <c r="H112" i="11"/>
  <c r="G111" i="11"/>
  <c r="I112" i="11"/>
  <c r="D111" i="11"/>
  <c r="C111" i="11"/>
  <c r="C111" i="16"/>
  <c r="I112" i="16"/>
  <c r="P111" i="16"/>
  <c r="I111" i="15"/>
  <c r="Q112" i="15"/>
  <c r="H112" i="14"/>
  <c r="B112" i="14"/>
  <c r="J112" i="18"/>
  <c r="J111" i="17"/>
  <c r="I112" i="17"/>
  <c r="H111" i="17"/>
  <c r="N112" i="17"/>
  <c r="L112" i="17"/>
  <c r="M111" i="17"/>
  <c r="K112" i="17"/>
  <c r="F112" i="17"/>
  <c r="D112" i="17"/>
  <c r="E112" i="17"/>
  <c r="I112" i="20"/>
  <c r="J112" i="20"/>
  <c r="Q111" i="19"/>
  <c r="M112" i="19"/>
  <c r="C112" i="19"/>
  <c r="P112" i="25"/>
  <c r="O112" i="25"/>
  <c r="N112" i="25"/>
  <c r="L111" i="25"/>
  <c r="J111" i="25"/>
  <c r="H112" i="25"/>
  <c r="G112" i="25"/>
  <c r="F111" i="25"/>
  <c r="B111" i="25"/>
  <c r="Q112" i="25"/>
  <c r="D111" i="25"/>
  <c r="K112" i="25"/>
  <c r="C112" i="25"/>
  <c r="I112" i="25"/>
  <c r="J112" i="24"/>
  <c r="I111" i="24"/>
  <c r="H112" i="24"/>
  <c r="J111" i="23"/>
  <c r="Q111" i="23"/>
  <c r="O111" i="23"/>
  <c r="I112" i="23"/>
  <c r="G112" i="23"/>
  <c r="J111" i="22"/>
  <c r="H111" i="22"/>
  <c r="Q112" i="22"/>
  <c r="O112" i="22"/>
  <c r="J112" i="21"/>
  <c r="H112" i="21"/>
  <c r="P112" i="21"/>
  <c r="D112" i="27"/>
  <c r="C112" i="27"/>
  <c r="H111" i="27"/>
  <c r="Q111" i="27"/>
  <c r="Q112" i="26"/>
  <c r="J112" i="26"/>
  <c r="I111" i="26"/>
  <c r="G111" i="26"/>
  <c r="F111" i="26"/>
  <c r="E111" i="26"/>
  <c r="C111" i="26"/>
  <c r="B111" i="26"/>
  <c r="H112" i="26"/>
  <c r="P112" i="26"/>
  <c r="O111" i="27"/>
  <c r="K111" i="27"/>
  <c r="J111" i="27"/>
  <c r="I111" i="32"/>
  <c r="B112" i="32"/>
  <c r="J112" i="32"/>
  <c r="H112" i="32"/>
  <c r="P111" i="31"/>
  <c r="J111" i="30"/>
  <c r="H111" i="30"/>
  <c r="G112" i="30"/>
  <c r="J111" i="29"/>
  <c r="I111" i="29"/>
  <c r="H111" i="29"/>
  <c r="O111" i="29"/>
  <c r="G112" i="29"/>
  <c r="I111" i="28"/>
  <c r="H112" i="28"/>
  <c r="J111" i="28"/>
  <c r="B111" i="28"/>
  <c r="J112" i="40"/>
  <c r="H112" i="40"/>
  <c r="D111" i="40"/>
  <c r="J111" i="33"/>
  <c r="H111" i="33"/>
  <c r="J111" i="41"/>
  <c r="H111" i="41"/>
  <c r="I112" i="41"/>
  <c r="Q112" i="41"/>
  <c r="P111" i="2"/>
  <c r="F111" i="2"/>
  <c r="B111" i="2"/>
  <c r="J112" i="3"/>
  <c r="L112" i="3"/>
  <c r="C112" i="3"/>
  <c r="K112" i="8"/>
  <c r="F112" i="9"/>
  <c r="J111" i="9"/>
  <c r="Q112" i="9"/>
  <c r="D112" i="9"/>
  <c r="O111" i="9"/>
  <c r="D111" i="10"/>
  <c r="O112" i="10"/>
  <c r="H111" i="10"/>
  <c r="F111" i="11"/>
  <c r="K112" i="12"/>
  <c r="D112" i="13"/>
  <c r="O112" i="13"/>
  <c r="B112" i="13"/>
  <c r="M112" i="13"/>
  <c r="H111" i="13"/>
  <c r="F112" i="14"/>
  <c r="D111" i="14"/>
  <c r="O112" i="14"/>
  <c r="L112" i="15"/>
  <c r="G112" i="15"/>
  <c r="H112" i="15"/>
  <c r="H112" i="16"/>
  <c r="B111" i="16"/>
  <c r="M111" i="16"/>
  <c r="J111" i="16"/>
  <c r="K111" i="16"/>
  <c r="M112" i="18"/>
  <c r="C112" i="18"/>
  <c r="K111" i="18"/>
  <c r="P112" i="20"/>
  <c r="C111" i="20"/>
  <c r="H111" i="20"/>
  <c r="F111" i="21"/>
  <c r="D112" i="21"/>
  <c r="O111" i="21"/>
  <c r="I112" i="21"/>
  <c r="I111" i="22"/>
  <c r="L112" i="22"/>
  <c r="F112" i="22"/>
  <c r="G112" i="22"/>
  <c r="F112" i="23"/>
  <c r="G111" i="24"/>
  <c r="M111" i="25"/>
  <c r="E112" i="25"/>
  <c r="O112" i="26"/>
  <c r="M112" i="26"/>
  <c r="F111" i="27"/>
  <c r="G112" i="27"/>
  <c r="P112" i="28"/>
  <c r="F112" i="29"/>
  <c r="Q112" i="29"/>
  <c r="K111" i="30"/>
  <c r="F111" i="30"/>
  <c r="Q112" i="30"/>
  <c r="M112" i="31"/>
  <c r="K112" i="31"/>
  <c r="J112" i="31"/>
  <c r="E112" i="32"/>
  <c r="P111" i="32"/>
  <c r="C112" i="32"/>
  <c r="N112" i="32"/>
  <c r="K112" i="33"/>
  <c r="E111" i="33"/>
  <c r="L111" i="40"/>
  <c r="F112" i="12"/>
  <c r="M112" i="12"/>
  <c r="B112" i="11"/>
  <c r="Q112" i="8"/>
  <c r="I111" i="3"/>
  <c r="H112" i="3"/>
  <c r="G112" i="3"/>
  <c r="F111" i="3"/>
  <c r="E112" i="3"/>
  <c r="I112" i="2"/>
  <c r="Q112" i="14"/>
  <c r="I111" i="14"/>
  <c r="J111" i="14"/>
  <c r="E111" i="13"/>
  <c r="N112" i="21"/>
  <c r="Q111" i="21"/>
  <c r="E112" i="21"/>
  <c r="N112" i="20"/>
  <c r="G112" i="20"/>
  <c r="K112" i="19"/>
  <c r="J111" i="19"/>
  <c r="I111" i="19"/>
  <c r="H111" i="19"/>
  <c r="G111" i="19"/>
  <c r="F111" i="19"/>
  <c r="E112" i="19"/>
  <c r="B111" i="19"/>
  <c r="O111" i="19"/>
  <c r="B111" i="18"/>
  <c r="Q111" i="17"/>
  <c r="Q111" i="16"/>
  <c r="G111" i="16"/>
  <c r="I112" i="40"/>
  <c r="G111" i="33"/>
  <c r="Q112" i="33"/>
  <c r="G111" i="31"/>
  <c r="H112" i="31"/>
  <c r="I112" i="31"/>
  <c r="I111" i="30"/>
  <c r="G44" i="39" l="1"/>
  <c r="G43" i="39"/>
  <c r="G42" i="39"/>
  <c r="G41" i="39"/>
  <c r="G40" i="39"/>
  <c r="F41" i="39"/>
  <c r="F44" i="39"/>
  <c r="F43" i="39"/>
  <c r="F40" i="39"/>
  <c r="F42" i="39"/>
  <c r="E43" i="39"/>
  <c r="E41" i="39"/>
  <c r="E42" i="39"/>
  <c r="E44" i="39"/>
  <c r="E40" i="39"/>
  <c r="D41" i="39"/>
  <c r="D44" i="39"/>
  <c r="D42" i="39"/>
  <c r="D43" i="39"/>
  <c r="D40" i="39"/>
  <c r="C43" i="39"/>
  <c r="C40" i="39"/>
  <c r="C42" i="39"/>
  <c r="C41" i="39"/>
  <c r="C44" i="39"/>
  <c r="B41" i="39"/>
  <c r="B44" i="39"/>
  <c r="B42" i="39"/>
  <c r="B40" i="39"/>
  <c r="B43" i="39"/>
  <c r="N41" i="39"/>
  <c r="N43" i="39"/>
  <c r="N40" i="39"/>
  <c r="N44" i="39"/>
  <c r="N42" i="39"/>
  <c r="Q44" i="39"/>
  <c r="Q42" i="39"/>
  <c r="Q40" i="39"/>
  <c r="Q41" i="39"/>
  <c r="Q43" i="39"/>
  <c r="M41" i="39"/>
  <c r="M43" i="39"/>
  <c r="M44" i="39"/>
  <c r="M42" i="39"/>
  <c r="M40" i="39"/>
  <c r="H40" i="39"/>
  <c r="H41" i="39"/>
  <c r="H42" i="39"/>
  <c r="H44" i="39"/>
  <c r="H43" i="39"/>
  <c r="K43" i="39"/>
  <c r="K41" i="39"/>
  <c r="K40" i="39"/>
  <c r="K44" i="39"/>
  <c r="K42" i="39"/>
  <c r="J43" i="39"/>
  <c r="J41" i="39"/>
  <c r="J44" i="39"/>
  <c r="J40" i="39"/>
  <c r="J42" i="39"/>
  <c r="P40" i="39"/>
  <c r="P42" i="39"/>
  <c r="P41" i="39"/>
  <c r="P44" i="39"/>
  <c r="P43" i="39"/>
  <c r="I42" i="39"/>
  <c r="I44" i="39"/>
  <c r="I40" i="39"/>
  <c r="I41" i="39"/>
  <c r="I43" i="39"/>
  <c r="L44" i="39"/>
  <c r="L43" i="39"/>
  <c r="L42" i="39"/>
  <c r="L41" i="39"/>
  <c r="L40" i="39"/>
  <c r="O40" i="39"/>
  <c r="O41" i="39"/>
  <c r="O43" i="39"/>
  <c r="O44" i="39"/>
  <c r="O42" i="39"/>
  <c r="C111" i="9"/>
  <c r="I45" i="39" l="1"/>
  <c r="I46" i="39"/>
  <c r="N46" i="39"/>
  <c r="N45" i="39"/>
  <c r="H45" i="39"/>
  <c r="H46" i="39"/>
  <c r="D45" i="39"/>
  <c r="D46" i="39"/>
  <c r="G46" i="39"/>
  <c r="G45" i="39"/>
  <c r="P46" i="39"/>
  <c r="P45" i="39"/>
  <c r="E46" i="39"/>
  <c r="E45" i="39"/>
  <c r="M45" i="39"/>
  <c r="M46" i="39"/>
  <c r="B45" i="39"/>
  <c r="B46" i="39"/>
  <c r="J46" i="39"/>
  <c r="J45" i="39"/>
  <c r="C45" i="39"/>
  <c r="C46" i="39"/>
  <c r="O46" i="39"/>
  <c r="O45" i="39"/>
  <c r="L46" i="39"/>
  <c r="L45" i="39"/>
  <c r="F45" i="39"/>
  <c r="F46" i="39"/>
  <c r="K46" i="39"/>
  <c r="K45" i="39"/>
  <c r="Q45" i="39"/>
  <c r="Q46" i="39"/>
</calcChain>
</file>

<file path=xl/sharedStrings.xml><?xml version="1.0" encoding="utf-8"?>
<sst xmlns="http://schemas.openxmlformats.org/spreadsheetml/2006/main" count="6005" uniqueCount="3129">
  <si>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</si>
  <si>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</si>
  <si>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</si>
  <si>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</si>
  <si>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</si>
  <si>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</si>
  <si>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</si>
  <si>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</si>
  <si>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</si>
  <si>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</si>
  <si>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</si>
  <si>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</si>
  <si>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</si>
  <si>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</si>
  <si>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</si>
  <si>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</si>
  <si>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</si>
  <si>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</si>
  <si>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</si>
  <si>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</si>
  <si>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</si>
  <si>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</si>
  <si>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</si>
  <si>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</si>
  <si>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</si>
  <si>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</si>
  <si>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</si>
  <si>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</si>
  <si>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</si>
  <si>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</si>
  <si>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</si>
  <si>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</si>
  <si>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</si>
  <si>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</si>
  <si>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</si>
  <si>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</si>
  <si>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</si>
  <si>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</si>
  <si>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</si>
  <si>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</si>
  <si>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</si>
  <si>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</si>
  <si>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</si>
  <si>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</si>
  <si>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</si>
  <si>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</si>
  <si>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</si>
  <si>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</si>
  <si>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</si>
  <si>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</si>
  <si>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</si>
  <si>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</si>
  <si>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</si>
  <si>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</si>
  <si>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</si>
  <si>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</si>
  <si>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</si>
  <si>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</si>
  <si>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</si>
  <si>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</si>
  <si>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</si>
  <si>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</si>
  <si>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</si>
  <si>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</si>
  <si>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</si>
  <si>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</si>
  <si>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</si>
  <si>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</si>
  <si>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</si>
  <si>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</si>
  <si>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</si>
  <si>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</si>
  <si>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</si>
  <si>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</si>
  <si>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</si>
  <si>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</si>
  <si>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</si>
  <si>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</si>
  <si>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</si>
  <si>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</si>
  <si>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</si>
  <si>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</si>
  <si>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</si>
  <si>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</si>
  <si>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</si>
  <si>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</si>
  <si>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</si>
  <si>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</si>
  <si>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</si>
  <si>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</si>
  <si>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</si>
  <si>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</si>
  <si>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</si>
  <si>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</si>
  <si>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</si>
  <si>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</si>
  <si>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</si>
  <si>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</si>
  <si>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</si>
  <si>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</si>
  <si>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</si>
  <si>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</si>
  <si>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</si>
  <si>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</si>
  <si>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</si>
  <si>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</si>
  <si>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</si>
  <si>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</si>
  <si>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</si>
  <si>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</si>
  <si>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</si>
  <si>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</si>
  <si>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</si>
  <si>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</si>
  <si>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</si>
  <si>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</si>
  <si>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</si>
  <si>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</si>
  <si>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</si>
  <si>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</si>
  <si>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</si>
  <si>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</si>
  <si>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</si>
  <si>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</si>
  <si>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</si>
  <si>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</si>
  <si>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</si>
  <si>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</si>
  <si>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</si>
  <si>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</si>
  <si>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</si>
  <si>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</si>
  <si>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</si>
  <si>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</si>
  <si>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</si>
  <si>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</si>
  <si>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</si>
  <si>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</si>
  <si>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</si>
  <si>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</si>
  <si>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</si>
  <si>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</si>
  <si>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</si>
  <si>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</si>
  <si>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</si>
  <si>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</si>
  <si>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</si>
  <si>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</si>
  <si>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</si>
  <si>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</si>
  <si>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</si>
  <si>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</si>
  <si>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</si>
  <si>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</si>
  <si>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</si>
  <si>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</si>
  <si>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</si>
  <si>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</si>
  <si>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</si>
  <si>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</si>
  <si>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</si>
  <si>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</si>
  <si>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</si>
  <si>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</si>
  <si>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</si>
  <si>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</si>
  <si>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</si>
  <si>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</si>
  <si>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</si>
  <si>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</si>
  <si>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</si>
  <si>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</si>
  <si>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</si>
  <si>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</si>
  <si>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</si>
  <si>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</si>
  <si>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</si>
  <si>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</si>
  <si>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</si>
  <si>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</si>
  <si>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</si>
  <si>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</si>
  <si>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</si>
  <si>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</si>
  <si>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</si>
  <si>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</si>
  <si>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</si>
  <si>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</si>
  <si>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</si>
  <si>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</si>
  <si>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</si>
  <si>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</si>
  <si>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</si>
  <si>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</si>
  <si>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</si>
  <si>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</si>
  <si>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</si>
  <si>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</si>
  <si>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</si>
  <si>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</si>
  <si>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</si>
  <si>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</si>
  <si>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</si>
  <si>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</si>
  <si>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</si>
  <si>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</si>
  <si>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</si>
  <si>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</si>
  <si>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</si>
  <si>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</si>
  <si>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</si>
  <si>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</si>
  <si>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</si>
  <si>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</si>
  <si>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</si>
  <si>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</si>
  <si>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</si>
  <si>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</si>
  <si>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</si>
  <si>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</si>
  <si>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</si>
  <si>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</si>
  <si>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</si>
  <si>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</si>
  <si>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</si>
  <si>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</si>
  <si>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</si>
  <si>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</si>
  <si>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</si>
  <si>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</si>
  <si>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</si>
  <si>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</si>
  <si>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</si>
  <si>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</si>
  <si>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</si>
  <si>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</si>
  <si>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</si>
  <si>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</si>
  <si>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</si>
  <si>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</si>
  <si>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</si>
  <si>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</si>
  <si>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</si>
  <si>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</si>
  <si>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847 ug/cm2</t>
  </si>
  <si>
    <t>835 ug/cm2</t>
  </si>
  <si>
    <t>01/04/2023 - 30/04/2023</t>
  </si>
  <si>
    <t>ppb</t>
  </si>
  <si>
    <t>01-09-2023 00:15</t>
  </si>
  <si>
    <t>01-09-2023 00:30</t>
  </si>
  <si>
    <t>01-09-2023 00:45</t>
  </si>
  <si>
    <t>01-09-2023 01:00</t>
  </si>
  <si>
    <t>01-09-2023 01:15</t>
  </si>
  <si>
    <t>01-09-2023 01:30</t>
  </si>
  <si>
    <t>01-09-2023 01:45</t>
  </si>
  <si>
    <t>01-09-2023 02:00</t>
  </si>
  <si>
    <t>01-09-2023 02:15</t>
  </si>
  <si>
    <t>01-09-2023 02:30</t>
  </si>
  <si>
    <t>01-09-2023 02:45</t>
  </si>
  <si>
    <t>01-09-2023 03:00</t>
  </si>
  <si>
    <t>01-09-2023 03:15</t>
  </si>
  <si>
    <t>01-09-2023 03:30</t>
  </si>
  <si>
    <t>01-09-2023 03:45</t>
  </si>
  <si>
    <t>01-09-2023 04:00</t>
  </si>
  <si>
    <t>01-09-2023 04:15</t>
  </si>
  <si>
    <t>01-09-2023 04:30</t>
  </si>
  <si>
    <t>01-09-2023 04:45</t>
  </si>
  <si>
    <t>01-09-2023 05:00</t>
  </si>
  <si>
    <t>01-09-2023 05:15</t>
  </si>
  <si>
    <t>01-09-2023 05:30</t>
  </si>
  <si>
    <t>01-09-2023 05:45</t>
  </si>
  <si>
    <t>01-09-2023 06:00</t>
  </si>
  <si>
    <t>01-09-2023 06:15</t>
  </si>
  <si>
    <t>01-09-2023 06:30</t>
  </si>
  <si>
    <t>01-09-2023 06:45</t>
  </si>
  <si>
    <t>01-09-2023 07:00</t>
  </si>
  <si>
    <t>01-09-2023 07:15</t>
  </si>
  <si>
    <t>01-09-2023 07:30</t>
  </si>
  <si>
    <t>01-09-2023 07:45</t>
  </si>
  <si>
    <t>01-09-2023 08:00</t>
  </si>
  <si>
    <t>01-09-2023 08:15</t>
  </si>
  <si>
    <t>01-09-2023 08:30</t>
  </si>
  <si>
    <t>01-09-2023 08:45</t>
  </si>
  <si>
    <t>01-09-2023 09:00</t>
  </si>
  <si>
    <t>01-09-2023 09:15</t>
  </si>
  <si>
    <t>01-09-2023 09:30</t>
  </si>
  <si>
    <t>01-09-2023 09:45</t>
  </si>
  <si>
    <t>01-09-2023 10:00</t>
  </si>
  <si>
    <t>01-09-2023 10:15</t>
  </si>
  <si>
    <t>01-09-2023 10:30</t>
  </si>
  <si>
    <t>01-09-2023 10:45</t>
  </si>
  <si>
    <t>01-09-2023 11:00</t>
  </si>
  <si>
    <t>01-09-2023 11:15</t>
  </si>
  <si>
    <t>01-09-2023 11:30</t>
  </si>
  <si>
    <t>01-09-2023 11:45</t>
  </si>
  <si>
    <t>01-09-2023 12:00</t>
  </si>
  <si>
    <t>01-09-2023 12:15</t>
  </si>
  <si>
    <t>01-09-2023 12:30</t>
  </si>
  <si>
    <t>01-09-2023 12:45</t>
  </si>
  <si>
    <t>01-09-2023 13:00</t>
  </si>
  <si>
    <t>01-09-2023 13:15</t>
  </si>
  <si>
    <t>01-09-2023 13:30</t>
  </si>
  <si>
    <t>01-09-2023 13:45</t>
  </si>
  <si>
    <t>01-09-2023 14:00</t>
  </si>
  <si>
    <t>01-09-2023 14:15</t>
  </si>
  <si>
    <t>01-09-2023 14:30</t>
  </si>
  <si>
    <t>01-09-2023 14:45</t>
  </si>
  <si>
    <t>01-09-2023 15:00</t>
  </si>
  <si>
    <t>01-09-2023 15:15</t>
  </si>
  <si>
    <t>01-09-2023 15:30</t>
  </si>
  <si>
    <t>01-09-2023 15:45</t>
  </si>
  <si>
    <t>01-09-2023 16:00</t>
  </si>
  <si>
    <t>01-09-2023 16:15</t>
  </si>
  <si>
    <t>01-09-2023 16:30</t>
  </si>
  <si>
    <t>01-09-2023 16:45</t>
  </si>
  <si>
    <t>01-09-2023 17:00</t>
  </si>
  <si>
    <t>01-09-2023 17:15</t>
  </si>
  <si>
    <t>01-09-2023 17:30</t>
  </si>
  <si>
    <t>01-09-2023 17:45</t>
  </si>
  <si>
    <t>01-09-2023 18:00</t>
  </si>
  <si>
    <t>01-09-2023 18:15</t>
  </si>
  <si>
    <t>01-09-2023 18:30</t>
  </si>
  <si>
    <t>01-09-2023 18:45</t>
  </si>
  <si>
    <t>01-09-2023 19:00</t>
  </si>
  <si>
    <t>01-09-2023 19:15</t>
  </si>
  <si>
    <t>01-09-2023 19:30</t>
  </si>
  <si>
    <t>01-09-2023 19:45</t>
  </si>
  <si>
    <t>01-09-2023 20:00</t>
  </si>
  <si>
    <t>01-09-2023 20:15</t>
  </si>
  <si>
    <t>01-09-2023 20:30</t>
  </si>
  <si>
    <t>01-09-2023 20:45</t>
  </si>
  <si>
    <t>01-09-2023 21:00</t>
  </si>
  <si>
    <t>01-09-2023 21:15</t>
  </si>
  <si>
    <t>01-09-2023 21:30</t>
  </si>
  <si>
    <t>01-09-2023 21:45</t>
  </si>
  <si>
    <t>01-09-2023 22:00</t>
  </si>
  <si>
    <t>01-09-2023 22:15</t>
  </si>
  <si>
    <t>01-09-2023 22:30</t>
  </si>
  <si>
    <t>01-09-2023 22:45</t>
  </si>
  <si>
    <t>01-09-2023 23:00</t>
  </si>
  <si>
    <t>01-09-2023 23:15</t>
  </si>
  <si>
    <t>01-09-2023 23:30</t>
  </si>
  <si>
    <t>01-09-2023 23:45</t>
  </si>
  <si>
    <t>01-09-2023 24:00</t>
  </si>
  <si>
    <t>02-09-2023 00:15</t>
  </si>
  <si>
    <t>02-09-2023 00:30</t>
  </si>
  <si>
    <t>02-09-2023 00:45</t>
  </si>
  <si>
    <t>02-09-2023 01:00</t>
  </si>
  <si>
    <t>02-09-2023 01:15</t>
  </si>
  <si>
    <t>02-09-2023 01:30</t>
  </si>
  <si>
    <t>02-09-2023 01:45</t>
  </si>
  <si>
    <t>02-09-2023 02:00</t>
  </si>
  <si>
    <t>02-09-2023 02:15</t>
  </si>
  <si>
    <t>02-09-2023 02:30</t>
  </si>
  <si>
    <t>02-09-2023 02:45</t>
  </si>
  <si>
    <t>02-09-2023 03:00</t>
  </si>
  <si>
    <t>02-09-2023 03:15</t>
  </si>
  <si>
    <t>02-09-2023 03:30</t>
  </si>
  <si>
    <t>02-09-2023 03:45</t>
  </si>
  <si>
    <t>02-09-2023 04:00</t>
  </si>
  <si>
    <t>02-09-2023 04:15</t>
  </si>
  <si>
    <t>02-09-2023 04:30</t>
  </si>
  <si>
    <t>02-09-2023 04:45</t>
  </si>
  <si>
    <t>02-09-2023 05:00</t>
  </si>
  <si>
    <t>02-09-2023 05:15</t>
  </si>
  <si>
    <t>02-09-2023 05:30</t>
  </si>
  <si>
    <t>02-09-2023 05:45</t>
  </si>
  <si>
    <t>02-09-2023 06:00</t>
  </si>
  <si>
    <t>02-09-2023 06:15</t>
  </si>
  <si>
    <t>02-09-2023 06:30</t>
  </si>
  <si>
    <t>02-09-2023 06:45</t>
  </si>
  <si>
    <t>02-09-2023 07:00</t>
  </si>
  <si>
    <t>02-09-2023 07:15</t>
  </si>
  <si>
    <t>02-09-2023 07:30</t>
  </si>
  <si>
    <t>02-09-2023 07:45</t>
  </si>
  <si>
    <t>02-09-2023 08:00</t>
  </si>
  <si>
    <t>02-09-2023 08:15</t>
  </si>
  <si>
    <t>02-09-2023 08:30</t>
  </si>
  <si>
    <t>02-09-2023 08:45</t>
  </si>
  <si>
    <t>02-09-2023 09:00</t>
  </si>
  <si>
    <t>02-09-2023 09:15</t>
  </si>
  <si>
    <t>02-09-2023 09:30</t>
  </si>
  <si>
    <t>02-09-2023 09:45</t>
  </si>
  <si>
    <t>02-09-2023 10:00</t>
  </si>
  <si>
    <t>02-09-2023 10:15</t>
  </si>
  <si>
    <t>02-09-2023 10:30</t>
  </si>
  <si>
    <t>02-09-2023 10:45</t>
  </si>
  <si>
    <t>02-09-2023 11:00</t>
  </si>
  <si>
    <t>02-09-2023 11:15</t>
  </si>
  <si>
    <t>02-09-2023 11:30</t>
  </si>
  <si>
    <t>02-09-2023 11:45</t>
  </si>
  <si>
    <t>02-09-2023 12:00</t>
  </si>
  <si>
    <t>02-09-2023 12:15</t>
  </si>
  <si>
    <t>02-09-2023 12:30</t>
  </si>
  <si>
    <t>02-09-2023 12:45</t>
  </si>
  <si>
    <t>02-09-2023 13:00</t>
  </si>
  <si>
    <t>02-09-2023 13:15</t>
  </si>
  <si>
    <t>02-09-2023 13:30</t>
  </si>
  <si>
    <t>02-09-2023 13:45</t>
  </si>
  <si>
    <t>02-09-2023 14:00</t>
  </si>
  <si>
    <t>02-09-2023 14:15</t>
  </si>
  <si>
    <t>02-09-2023 14:30</t>
  </si>
  <si>
    <t>02-09-2023 14:45</t>
  </si>
  <si>
    <t>02-09-2023 15:00</t>
  </si>
  <si>
    <t>02-09-2023 15:15</t>
  </si>
  <si>
    <t>02-09-2023 15:30</t>
  </si>
  <si>
    <t>02-09-2023 15:45</t>
  </si>
  <si>
    <t>02-09-2023 16:00</t>
  </si>
  <si>
    <t>02-09-2023 16:15</t>
  </si>
  <si>
    <t>02-09-2023 16:30</t>
  </si>
  <si>
    <t>02-09-2023 16:45</t>
  </si>
  <si>
    <t>02-09-2023 17:00</t>
  </si>
  <si>
    <t>02-09-2023 17:15</t>
  </si>
  <si>
    <t>02-09-2023 17:30</t>
  </si>
  <si>
    <t>02-09-2023 17:45</t>
  </si>
  <si>
    <t>02-09-2023 18:00</t>
  </si>
  <si>
    <t>02-09-2023 18:15</t>
  </si>
  <si>
    <t>02-09-2023 18:30</t>
  </si>
  <si>
    <t>02-09-2023 18:45</t>
  </si>
  <si>
    <t>02-09-2023 19:00</t>
  </si>
  <si>
    <t>02-09-2023 19:15</t>
  </si>
  <si>
    <t>02-09-2023 19:30</t>
  </si>
  <si>
    <t>02-09-2023 19:45</t>
  </si>
  <si>
    <t>02-09-2023 20:00</t>
  </si>
  <si>
    <t>02-09-2023 20:15</t>
  </si>
  <si>
    <t>02-09-2023 20:30</t>
  </si>
  <si>
    <t>02-09-2023 20:45</t>
  </si>
  <si>
    <t>02-09-2023 21:00</t>
  </si>
  <si>
    <t>02-09-2023 21:15</t>
  </si>
  <si>
    <t>02-09-2023 21:30</t>
  </si>
  <si>
    <t>02-09-2023 21:45</t>
  </si>
  <si>
    <t>02-09-2023 22:00</t>
  </si>
  <si>
    <t>02-09-2023 22:15</t>
  </si>
  <si>
    <t>02-09-2023 22:30</t>
  </si>
  <si>
    <t>02-09-2023 22:45</t>
  </si>
  <si>
    <t>02-09-2023 23:00</t>
  </si>
  <si>
    <t>02-09-2023 23:15</t>
  </si>
  <si>
    <t>02-09-2023 23:30</t>
  </si>
  <si>
    <t>02-09-2023 23:45</t>
  </si>
  <si>
    <t>02-09-2023 24:00</t>
  </si>
  <si>
    <t>03-09-2023 00:15</t>
  </si>
  <si>
    <t>03-09-2023 00:30</t>
  </si>
  <si>
    <t>03-09-2023 00:45</t>
  </si>
  <si>
    <t>03-09-2023 01:00</t>
  </si>
  <si>
    <t>03-09-2023 01:15</t>
  </si>
  <si>
    <t>03-09-2023 01:30</t>
  </si>
  <si>
    <t>03-09-2023 01:45</t>
  </si>
  <si>
    <t>03-09-2023 02:00</t>
  </si>
  <si>
    <t>03-09-2023 02:15</t>
  </si>
  <si>
    <t>03-09-2023 02:30</t>
  </si>
  <si>
    <t>03-09-2023 02:45</t>
  </si>
  <si>
    <t>03-09-2023 03:00</t>
  </si>
  <si>
    <t>03-09-2023 03:15</t>
  </si>
  <si>
    <t>03-09-2023 03:30</t>
  </si>
  <si>
    <t>03-09-2023 03:45</t>
  </si>
  <si>
    <t>03-09-2023 04:00</t>
  </si>
  <si>
    <t>03-09-2023 04:15</t>
  </si>
  <si>
    <t>03-09-2023 04:30</t>
  </si>
  <si>
    <t>03-09-2023 04:45</t>
  </si>
  <si>
    <t>03-09-2023 05:00</t>
  </si>
  <si>
    <t>03-09-2023 05:15</t>
  </si>
  <si>
    <t>03-09-2023 05:30</t>
  </si>
  <si>
    <t>03-09-2023 05:45</t>
  </si>
  <si>
    <t>03-09-2023 06:00</t>
  </si>
  <si>
    <t>03-09-2023 06:15</t>
  </si>
  <si>
    <t>03-09-2023 06:30</t>
  </si>
  <si>
    <t>03-09-2023 06:45</t>
  </si>
  <si>
    <t>03-09-2023 07:00</t>
  </si>
  <si>
    <t>03-09-2023 07:15</t>
  </si>
  <si>
    <t>03-09-2023 07:30</t>
  </si>
  <si>
    <t>03-09-2023 07:45</t>
  </si>
  <si>
    <t>03-09-2023 08:00</t>
  </si>
  <si>
    <t>03-09-2023 08:15</t>
  </si>
  <si>
    <t>03-09-2023 08:30</t>
  </si>
  <si>
    <t>03-09-2023 08:45</t>
  </si>
  <si>
    <t>03-09-2023 09:00</t>
  </si>
  <si>
    <t>03-09-2023 09:15</t>
  </si>
  <si>
    <t>03-09-2023 09:30</t>
  </si>
  <si>
    <t>03-09-2023 09:45</t>
  </si>
  <si>
    <t>03-09-2023 10:00</t>
  </si>
  <si>
    <t>03-09-2023 10:15</t>
  </si>
  <si>
    <t>03-09-2023 10:30</t>
  </si>
  <si>
    <t>03-09-2023 10:45</t>
  </si>
  <si>
    <t>03-09-2023 11:00</t>
  </si>
  <si>
    <t>03-09-2023 11:15</t>
  </si>
  <si>
    <t>03-09-2023 11:30</t>
  </si>
  <si>
    <t>03-09-2023 11:45</t>
  </si>
  <si>
    <t>03-09-2023 12:00</t>
  </si>
  <si>
    <t>03-09-2023 12:15</t>
  </si>
  <si>
    <t>03-09-2023 12:30</t>
  </si>
  <si>
    <t>03-09-2023 12:45</t>
  </si>
  <si>
    <t>03-09-2023 13:00</t>
  </si>
  <si>
    <t>03-09-2023 13:15</t>
  </si>
  <si>
    <t>03-09-2023 13:30</t>
  </si>
  <si>
    <t>03-09-2023 13:45</t>
  </si>
  <si>
    <t>03-09-2023 14:00</t>
  </si>
  <si>
    <t>03-09-2023 14:15</t>
  </si>
  <si>
    <t>03-09-2023 14:30</t>
  </si>
  <si>
    <t>03-09-2023 14:45</t>
  </si>
  <si>
    <t>03-09-2023 15:00</t>
  </si>
  <si>
    <t>03-09-2023 15:15</t>
  </si>
  <si>
    <t>03-09-2023 15:30</t>
  </si>
  <si>
    <t>03-09-2023 15:45</t>
  </si>
  <si>
    <t>03-09-2023 16:00</t>
  </si>
  <si>
    <t>03-09-2023 16:15</t>
  </si>
  <si>
    <t>03-09-2023 16:30</t>
  </si>
  <si>
    <t>03-09-2023 16:45</t>
  </si>
  <si>
    <t>03-09-2023 17:00</t>
  </si>
  <si>
    <t>03-09-2023 17:15</t>
  </si>
  <si>
    <t>03-09-2023 17:30</t>
  </si>
  <si>
    <t>03-09-2023 17:45</t>
  </si>
  <si>
    <t>03-09-2023 18:00</t>
  </si>
  <si>
    <t>03-09-2023 18:15</t>
  </si>
  <si>
    <t>03-09-2023 18:30</t>
  </si>
  <si>
    <t>03-09-2023 18:45</t>
  </si>
  <si>
    <t>03-09-2023 19:00</t>
  </si>
  <si>
    <t>03-09-2023 19:15</t>
  </si>
  <si>
    <t>03-09-2023 19:30</t>
  </si>
  <si>
    <t>03-09-2023 19:45</t>
  </si>
  <si>
    <t>03-09-2023 20:00</t>
  </si>
  <si>
    <t>03-09-2023 20:15</t>
  </si>
  <si>
    <t>03-09-2023 20:30</t>
  </si>
  <si>
    <t>03-09-2023 20:45</t>
  </si>
  <si>
    <t>03-09-2023 21:00</t>
  </si>
  <si>
    <t>03-09-2023 21:15</t>
  </si>
  <si>
    <t>03-09-2023 21:30</t>
  </si>
  <si>
    <t>03-09-2023 21:45</t>
  </si>
  <si>
    <t>03-09-2023 22:00</t>
  </si>
  <si>
    <t>03-09-2023 22:15</t>
  </si>
  <si>
    <t>03-09-2023 22:30</t>
  </si>
  <si>
    <t>03-09-2023 22:45</t>
  </si>
  <si>
    <t>03-09-2023 23:00</t>
  </si>
  <si>
    <t>03-09-2023 23:15</t>
  </si>
  <si>
    <t>03-09-2023 23:30</t>
  </si>
  <si>
    <t>03-09-2023 23:45</t>
  </si>
  <si>
    <t>03-09-2023 24:00</t>
  </si>
  <si>
    <t>04-09-2023 00:15</t>
  </si>
  <si>
    <t>04-09-2023 00:30</t>
  </si>
  <si>
    <t>04-09-2023 00:45</t>
  </si>
  <si>
    <t>04-09-2023 01:00</t>
  </si>
  <si>
    <t>04-09-2023 01:15</t>
  </si>
  <si>
    <t>04-09-2023 01:30</t>
  </si>
  <si>
    <t>04-09-2023 01:45</t>
  </si>
  <si>
    <t>04-09-2023 02:00</t>
  </si>
  <si>
    <t>04-09-2023 02:15</t>
  </si>
  <si>
    <t>04-09-2023 02:30</t>
  </si>
  <si>
    <t>04-09-2023 02:45</t>
  </si>
  <si>
    <t>04-09-2023 03:00</t>
  </si>
  <si>
    <t>04-09-2023 03:15</t>
  </si>
  <si>
    <t>04-09-2023 03:30</t>
  </si>
  <si>
    <t>04-09-2023 03:45</t>
  </si>
  <si>
    <t>04-09-2023 04:00</t>
  </si>
  <si>
    <t>04-09-2023 04:15</t>
  </si>
  <si>
    <t>04-09-2023 04:30</t>
  </si>
  <si>
    <t>04-09-2023 04:45</t>
  </si>
  <si>
    <t>04-09-2023 05:00</t>
  </si>
  <si>
    <t>04-09-2023 05:15</t>
  </si>
  <si>
    <t>04-09-2023 05:30</t>
  </si>
  <si>
    <t>04-09-2023 05:45</t>
  </si>
  <si>
    <t>04-09-2023 06:00</t>
  </si>
  <si>
    <t>04-09-2023 06:15</t>
  </si>
  <si>
    <t>04-09-2023 06:30</t>
  </si>
  <si>
    <t>04-09-2023 06:45</t>
  </si>
  <si>
    <t>04-09-2023 07:00</t>
  </si>
  <si>
    <t>04-09-2023 07:15</t>
  </si>
  <si>
    <t>04-09-2023 07:30</t>
  </si>
  <si>
    <t>04-09-2023 07:45</t>
  </si>
  <si>
    <t>04-09-2023 08:00</t>
  </si>
  <si>
    <t>04-09-2023 08:15</t>
  </si>
  <si>
    <t>04-09-2023 08:30</t>
  </si>
  <si>
    <t>04-09-2023 08:45</t>
  </si>
  <si>
    <t>04-09-2023 09:00</t>
  </si>
  <si>
    <t>04-09-2023 09:15</t>
  </si>
  <si>
    <t>04-09-2023 09:30</t>
  </si>
  <si>
    <t>04-09-2023 09:45</t>
  </si>
  <si>
    <t>04-09-2023 10:00</t>
  </si>
  <si>
    <t>04-09-2023 10:15</t>
  </si>
  <si>
    <t>04-09-2023 10:30</t>
  </si>
  <si>
    <t>04-09-2023 10:45</t>
  </si>
  <si>
    <t>04-09-2023 11:00</t>
  </si>
  <si>
    <t>04-09-2023 11:15</t>
  </si>
  <si>
    <t>04-09-2023 11:30</t>
  </si>
  <si>
    <t>04-09-2023 11:45</t>
  </si>
  <si>
    <t>04-09-2023 12:00</t>
  </si>
  <si>
    <t>04-09-2023 12:15</t>
  </si>
  <si>
    <t>04-09-2023 12:30</t>
  </si>
  <si>
    <t>04-09-2023 12:45</t>
  </si>
  <si>
    <t>04-09-2023 13:00</t>
  </si>
  <si>
    <t>04-09-2023 13:15</t>
  </si>
  <si>
    <t>04-09-2023 13:30</t>
  </si>
  <si>
    <t>04-09-2023 13:45</t>
  </si>
  <si>
    <t>04-09-2023 14:00</t>
  </si>
  <si>
    <t>04-09-2023 14:15</t>
  </si>
  <si>
    <t>04-09-2023 14:30</t>
  </si>
  <si>
    <t>04-09-2023 14:45</t>
  </si>
  <si>
    <t>04-09-2023 15:00</t>
  </si>
  <si>
    <t>04-09-2023 15:15</t>
  </si>
  <si>
    <t>04-09-2023 15:30</t>
  </si>
  <si>
    <t>04-09-2023 15:45</t>
  </si>
  <si>
    <t>04-09-2023 16:00</t>
  </si>
  <si>
    <t>04-09-2023 16:15</t>
  </si>
  <si>
    <t>04-09-2023 16:30</t>
  </si>
  <si>
    <t>04-09-2023 16:45</t>
  </si>
  <si>
    <t>04-09-2023 17:00</t>
  </si>
  <si>
    <t>04-09-2023 17:15</t>
  </si>
  <si>
    <t>04-09-2023 17:30</t>
  </si>
  <si>
    <t>04-09-2023 17:45</t>
  </si>
  <si>
    <t>04-09-2023 18:00</t>
  </si>
  <si>
    <t>04-09-2023 18:15</t>
  </si>
  <si>
    <t>04-09-2023 18:30</t>
  </si>
  <si>
    <t>04-09-2023 18:45</t>
  </si>
  <si>
    <t>04-09-2023 19:00</t>
  </si>
  <si>
    <t>04-09-2023 19:15</t>
  </si>
  <si>
    <t>04-09-2023 19:30</t>
  </si>
  <si>
    <t>04-09-2023 19:45</t>
  </si>
  <si>
    <t>04-09-2023 20:00</t>
  </si>
  <si>
    <t>04-09-2023 20:15</t>
  </si>
  <si>
    <t>04-09-2023 20:30</t>
  </si>
  <si>
    <t>04-09-2023 20:45</t>
  </si>
  <si>
    <t>04-09-2023 21:00</t>
  </si>
  <si>
    <t>04-09-2023 21:15</t>
  </si>
  <si>
    <t>04-09-2023 21:30</t>
  </si>
  <si>
    <t>04-09-2023 21:45</t>
  </si>
  <si>
    <t>04-09-2023 22:00</t>
  </si>
  <si>
    <t>04-09-2023 22:15</t>
  </si>
  <si>
    <t>04-09-2023 22:30</t>
  </si>
  <si>
    <t>04-09-2023 22:45</t>
  </si>
  <si>
    <t>04-09-2023 23:00</t>
  </si>
  <si>
    <t>04-09-2023 23:15</t>
  </si>
  <si>
    <t>04-09-2023 23:30</t>
  </si>
  <si>
    <t>04-09-2023 23:45</t>
  </si>
  <si>
    <t>04-09-2023 24:00</t>
  </si>
  <si>
    <t>05-09-2023 00:15</t>
  </si>
  <si>
    <t>05-09-2023 00:30</t>
  </si>
  <si>
    <t>05-09-2023 00:45</t>
  </si>
  <si>
    <t>05-09-2023 01:00</t>
  </si>
  <si>
    <t>05-09-2023 01:15</t>
  </si>
  <si>
    <t>05-09-2023 01:30</t>
  </si>
  <si>
    <t>05-09-2023 01:45</t>
  </si>
  <si>
    <t>05-09-2023 02:00</t>
  </si>
  <si>
    <t>05-09-2023 02:15</t>
  </si>
  <si>
    <t>05-09-2023 02:30</t>
  </si>
  <si>
    <t>05-09-2023 02:45</t>
  </si>
  <si>
    <t>05-09-2023 03:00</t>
  </si>
  <si>
    <t>05-09-2023 03:15</t>
  </si>
  <si>
    <t>05-09-2023 03:30</t>
  </si>
  <si>
    <t>05-09-2023 03:45</t>
  </si>
  <si>
    <t>05-09-2023 04:00</t>
  </si>
  <si>
    <t>05-09-2023 04:15</t>
  </si>
  <si>
    <t>05-09-2023 04:30</t>
  </si>
  <si>
    <t>05-09-2023 04:45</t>
  </si>
  <si>
    <t>05-09-2023 05:00</t>
  </si>
  <si>
    <t>05-09-2023 05:15</t>
  </si>
  <si>
    <t>05-09-2023 05:30</t>
  </si>
  <si>
    <t>05-09-2023 05:45</t>
  </si>
  <si>
    <t>05-09-2023 06:00</t>
  </si>
  <si>
    <t>05-09-2023 06:15</t>
  </si>
  <si>
    <t>05-09-2023 06:30</t>
  </si>
  <si>
    <t>05-09-2023 06:45</t>
  </si>
  <si>
    <t>05-09-2023 07:00</t>
  </si>
  <si>
    <t>05-09-2023 07:15</t>
  </si>
  <si>
    <t>05-09-2023 07:30</t>
  </si>
  <si>
    <t>05-09-2023 07:45</t>
  </si>
  <si>
    <t>05-09-2023 08:00</t>
  </si>
  <si>
    <t>05-09-2023 08:15</t>
  </si>
  <si>
    <t>05-09-2023 08:30</t>
  </si>
  <si>
    <t>05-09-2023 08:45</t>
  </si>
  <si>
    <t>05-09-2023 09:00</t>
  </si>
  <si>
    <t>05-09-2023 09:15</t>
  </si>
  <si>
    <t>05-09-2023 09:30</t>
  </si>
  <si>
    <t>05-09-2023 09:45</t>
  </si>
  <si>
    <t>05-09-2023 10:00</t>
  </si>
  <si>
    <t>05-09-2023 10:15</t>
  </si>
  <si>
    <t>05-09-2023 10:30</t>
  </si>
  <si>
    <t>05-09-2023 10:45</t>
  </si>
  <si>
    <t>05-09-2023 11:00</t>
  </si>
  <si>
    <t>05-09-2023 11:15</t>
  </si>
  <si>
    <t>05-09-2023 11:30</t>
  </si>
  <si>
    <t>05-09-2023 11:45</t>
  </si>
  <si>
    <t>05-09-2023 12:00</t>
  </si>
  <si>
    <t>05-09-2023 12:15</t>
  </si>
  <si>
    <t>05-09-2023 12:30</t>
  </si>
  <si>
    <t>05-09-2023 12:45</t>
  </si>
  <si>
    <t>05-09-2023 13:00</t>
  </si>
  <si>
    <t>05-09-2023 13:15</t>
  </si>
  <si>
    <t>05-09-2023 13:30</t>
  </si>
  <si>
    <t>05-09-2023 13:45</t>
  </si>
  <si>
    <t>05-09-2023 14:00</t>
  </si>
  <si>
    <t>05-09-2023 14:15</t>
  </si>
  <si>
    <t>05-09-2023 14:30</t>
  </si>
  <si>
    <t>05-09-2023 14:45</t>
  </si>
  <si>
    <t>05-09-2023 15:00</t>
  </si>
  <si>
    <t>05-09-2023 15:15</t>
  </si>
  <si>
    <t>05-09-2023 15:30</t>
  </si>
  <si>
    <t>05-09-2023 15:45</t>
  </si>
  <si>
    <t>05-09-2023 16:00</t>
  </si>
  <si>
    <t>05-09-2023 16:15</t>
  </si>
  <si>
    <t>05-09-2023 16:30</t>
  </si>
  <si>
    <t>05-09-2023 16:45</t>
  </si>
  <si>
    <t>05-09-2023 17:00</t>
  </si>
  <si>
    <t>05-09-2023 17:15</t>
  </si>
  <si>
    <t>05-09-2023 17:30</t>
  </si>
  <si>
    <t>05-09-2023 17:45</t>
  </si>
  <si>
    <t>05-09-2023 18:00</t>
  </si>
  <si>
    <t>05-09-2023 18:15</t>
  </si>
  <si>
    <t>05-09-2023 18:30</t>
  </si>
  <si>
    <t>05-09-2023 18:45</t>
  </si>
  <si>
    <t>05-09-2023 19:00</t>
  </si>
  <si>
    <t>05-09-2023 19:15</t>
  </si>
  <si>
    <t>05-09-2023 19:30</t>
  </si>
  <si>
    <t>05-09-2023 19:45</t>
  </si>
  <si>
    <t>05-09-2023 20:00</t>
  </si>
  <si>
    <t>05-09-2023 20:15</t>
  </si>
  <si>
    <t>05-09-2023 20:30</t>
  </si>
  <si>
    <t>05-09-2023 20:45</t>
  </si>
  <si>
    <t>05-09-2023 21:00</t>
  </si>
  <si>
    <t>05-09-2023 21:15</t>
  </si>
  <si>
    <t>05-09-2023 21:30</t>
  </si>
  <si>
    <t>05-09-2023 21:45</t>
  </si>
  <si>
    <t>05-09-2023 22:00</t>
  </si>
  <si>
    <t>05-09-2023 22:15</t>
  </si>
  <si>
    <t>05-09-2023 22:30</t>
  </si>
  <si>
    <t>05-09-2023 22:45</t>
  </si>
  <si>
    <t>05-09-2023 23:00</t>
  </si>
  <si>
    <t>05-09-2023 23:15</t>
  </si>
  <si>
    <t>05-09-2023 23:30</t>
  </si>
  <si>
    <t>05-09-2023 23:45</t>
  </si>
  <si>
    <t>05-09-2023 24:00</t>
  </si>
  <si>
    <t>06-09-2023 00:15</t>
  </si>
  <si>
    <t>06-09-2023 00:30</t>
  </si>
  <si>
    <t>06-09-2023 00:45</t>
  </si>
  <si>
    <t>06-09-2023 01:00</t>
  </si>
  <si>
    <t>06-09-2023 01:15</t>
  </si>
  <si>
    <t>06-09-2023 01:30</t>
  </si>
  <si>
    <t>06-09-2023 01:45</t>
  </si>
  <si>
    <t>06-09-2023 02:00</t>
  </si>
  <si>
    <t>06-09-2023 02:15</t>
  </si>
  <si>
    <t>06-09-2023 02:30</t>
  </si>
  <si>
    <t>06-09-2023 02:45</t>
  </si>
  <si>
    <t>06-09-2023 03:00</t>
  </si>
  <si>
    <t>06-09-2023 03:15</t>
  </si>
  <si>
    <t>06-09-2023 03:30</t>
  </si>
  <si>
    <t>06-09-2023 03:45</t>
  </si>
  <si>
    <t>06-09-2023 04:00</t>
  </si>
  <si>
    <t>06-09-2023 04:15</t>
  </si>
  <si>
    <t>06-09-2023 04:30</t>
  </si>
  <si>
    <t>06-09-2023 04:45</t>
  </si>
  <si>
    <t>06-09-2023 05:00</t>
  </si>
  <si>
    <t>06-09-2023 05:15</t>
  </si>
  <si>
    <t>06-09-2023 05:30</t>
  </si>
  <si>
    <t>06-09-2023 05:45</t>
  </si>
  <si>
    <t>06-09-2023 06:00</t>
  </si>
  <si>
    <t>06-09-2023 06:15</t>
  </si>
  <si>
    <t>06-09-2023 06:30</t>
  </si>
  <si>
    <t>06-09-2023 06:45</t>
  </si>
  <si>
    <t>06-09-2023 07:00</t>
  </si>
  <si>
    <t>06-09-2023 07:15</t>
  </si>
  <si>
    <t>06-09-2023 07:30</t>
  </si>
  <si>
    <t>06-09-2023 07:45</t>
  </si>
  <si>
    <t>06-09-2023 08:00</t>
  </si>
  <si>
    <t>06-09-2023 08:15</t>
  </si>
  <si>
    <t>06-09-2023 08:30</t>
  </si>
  <si>
    <t>06-09-2023 08:45</t>
  </si>
  <si>
    <t>06-09-2023 09:00</t>
  </si>
  <si>
    <t>06-09-2023 09:15</t>
  </si>
  <si>
    <t>06-09-2023 09:30</t>
  </si>
  <si>
    <t>06-09-2023 09:45</t>
  </si>
  <si>
    <t>06-09-2023 10:00</t>
  </si>
  <si>
    <t>06-09-2023 10:15</t>
  </si>
  <si>
    <t>06-09-2023 10:30</t>
  </si>
  <si>
    <t>06-09-2023 10:45</t>
  </si>
  <si>
    <t>06-09-2023 11:00</t>
  </si>
  <si>
    <t>06-09-2023 11:15</t>
  </si>
  <si>
    <t>06-09-2023 11:30</t>
  </si>
  <si>
    <t>06-09-2023 11:45</t>
  </si>
  <si>
    <t>06-09-2023 12:00</t>
  </si>
  <si>
    <t>06-09-2023 12:15</t>
  </si>
  <si>
    <t>06-09-2023 12:30</t>
  </si>
  <si>
    <t>06-09-2023 12:45</t>
  </si>
  <si>
    <t>06-09-2023 13:00</t>
  </si>
  <si>
    <t>06-09-2023 13:15</t>
  </si>
  <si>
    <t>06-09-2023 13:30</t>
  </si>
  <si>
    <t>06-09-2023 13:45</t>
  </si>
  <si>
    <t>06-09-2023 14:00</t>
  </si>
  <si>
    <t>06-09-2023 14:15</t>
  </si>
  <si>
    <t>06-09-2023 14:30</t>
  </si>
  <si>
    <t>06-09-2023 14:45</t>
  </si>
  <si>
    <t>06-09-2023 15:00</t>
  </si>
  <si>
    <t>06-09-2023 15:15</t>
  </si>
  <si>
    <t>06-09-2023 15:30</t>
  </si>
  <si>
    <t>06-09-2023 15:45</t>
  </si>
  <si>
    <t>06-09-2023 16:00</t>
  </si>
  <si>
    <t>06-09-2023 16:15</t>
  </si>
  <si>
    <t>06-09-2023 16:30</t>
  </si>
  <si>
    <t>06-09-2023 16:45</t>
  </si>
  <si>
    <t>06-09-2023 17:00</t>
  </si>
  <si>
    <t>06-09-2023 17:15</t>
  </si>
  <si>
    <t>06-09-2023 17:30</t>
  </si>
  <si>
    <t>06-09-2023 17:45</t>
  </si>
  <si>
    <t>06-09-2023 18:00</t>
  </si>
  <si>
    <t>06-09-2023 18:15</t>
  </si>
  <si>
    <t>06-09-2023 18:30</t>
  </si>
  <si>
    <t>06-09-2023 18:45</t>
  </si>
  <si>
    <t>06-09-2023 19:00</t>
  </si>
  <si>
    <t>06-09-2023 19:15</t>
  </si>
  <si>
    <t>06-09-2023 19:30</t>
  </si>
  <si>
    <t>06-09-2023 19:45</t>
  </si>
  <si>
    <t>06-09-2023 20:00</t>
  </si>
  <si>
    <t>06-09-2023 20:15</t>
  </si>
  <si>
    <t>06-09-2023 20:30</t>
  </si>
  <si>
    <t>06-09-2023 20:45</t>
  </si>
  <si>
    <t>06-09-2023 21:00</t>
  </si>
  <si>
    <t>06-09-2023 21:15</t>
  </si>
  <si>
    <t>06-09-2023 21:30</t>
  </si>
  <si>
    <t>06-09-2023 21:45</t>
  </si>
  <si>
    <t>06-09-2023 22:00</t>
  </si>
  <si>
    <t>06-09-2023 22:15</t>
  </si>
  <si>
    <t>06-09-2023 22:30</t>
  </si>
  <si>
    <t>06-09-2023 22:45</t>
  </si>
  <si>
    <t>06-09-2023 23:00</t>
  </si>
  <si>
    <t>06-09-2023 23:15</t>
  </si>
  <si>
    <t>06-09-2023 23:30</t>
  </si>
  <si>
    <t>06-09-2023 23:45</t>
  </si>
  <si>
    <t>06-09-2023 24:00</t>
  </si>
  <si>
    <t>07-09-2023 00:15</t>
  </si>
  <si>
    <t>07-09-2023 00:30</t>
  </si>
  <si>
    <t>07-09-2023 00:45</t>
  </si>
  <si>
    <t>07-09-2023 01:00</t>
  </si>
  <si>
    <t>07-09-2023 01:15</t>
  </si>
  <si>
    <t>07-09-2023 01:30</t>
  </si>
  <si>
    <t>07-09-2023 01:45</t>
  </si>
  <si>
    <t>07-09-2023 02:00</t>
  </si>
  <si>
    <t>07-09-2023 02:15</t>
  </si>
  <si>
    <t>07-09-2023 02:30</t>
  </si>
  <si>
    <t>07-09-2023 02:45</t>
  </si>
  <si>
    <t>07-09-2023 03:00</t>
  </si>
  <si>
    <t>07-09-2023 03:15</t>
  </si>
  <si>
    <t>07-09-2023 03:30</t>
  </si>
  <si>
    <t>07-09-2023 03:45</t>
  </si>
  <si>
    <t>07-09-2023 04:00</t>
  </si>
  <si>
    <t>07-09-2023 04:15</t>
  </si>
  <si>
    <t>07-09-2023 04:30</t>
  </si>
  <si>
    <t>07-09-2023 04:45</t>
  </si>
  <si>
    <t>07-09-2023 05:00</t>
  </si>
  <si>
    <t>07-09-2023 05:15</t>
  </si>
  <si>
    <t>07-09-2023 05:30</t>
  </si>
  <si>
    <t>07-09-2023 05:45</t>
  </si>
  <si>
    <t>07-09-2023 06:00</t>
  </si>
  <si>
    <t>07-09-2023 06:15</t>
  </si>
  <si>
    <t>07-09-2023 06:30</t>
  </si>
  <si>
    <t>07-09-2023 06:45</t>
  </si>
  <si>
    <t>07-09-2023 07:00</t>
  </si>
  <si>
    <t>07-09-2023 07:15</t>
  </si>
  <si>
    <t>07-09-2023 07:30</t>
  </si>
  <si>
    <t>07-09-2023 07:45</t>
  </si>
  <si>
    <t>07-09-2023 08:00</t>
  </si>
  <si>
    <t>07-09-2023 08:15</t>
  </si>
  <si>
    <t>07-09-2023 08:30</t>
  </si>
  <si>
    <t>07-09-2023 08:45</t>
  </si>
  <si>
    <t>07-09-2023 09:00</t>
  </si>
  <si>
    <t>07-09-2023 09:15</t>
  </si>
  <si>
    <t>07-09-2023 09:30</t>
  </si>
  <si>
    <t>07-09-2023 09:45</t>
  </si>
  <si>
    <t>07-09-2023 10:00</t>
  </si>
  <si>
    <t>07-09-2023 10:15</t>
  </si>
  <si>
    <t>07-09-2023 10:30</t>
  </si>
  <si>
    <t>07-09-2023 10:45</t>
  </si>
  <si>
    <t>07-09-2023 11:00</t>
  </si>
  <si>
    <t>07-09-2023 11:15</t>
  </si>
  <si>
    <t>07-09-2023 11:30</t>
  </si>
  <si>
    <t>07-09-2023 11:45</t>
  </si>
  <si>
    <t>07-09-2023 12:00</t>
  </si>
  <si>
    <t>07-09-2023 12:15</t>
  </si>
  <si>
    <t>07-09-2023 12:30</t>
  </si>
  <si>
    <t>07-09-2023 12:45</t>
  </si>
  <si>
    <t>07-09-2023 13:00</t>
  </si>
  <si>
    <t>07-09-2023 13:15</t>
  </si>
  <si>
    <t>07-09-2023 13:30</t>
  </si>
  <si>
    <t>07-09-2023 13:45</t>
  </si>
  <si>
    <t>07-09-2023 14:00</t>
  </si>
  <si>
    <t>07-09-2023 14:15</t>
  </si>
  <si>
    <t>07-09-2023 14:30</t>
  </si>
  <si>
    <t>07-09-2023 14:45</t>
  </si>
  <si>
    <t>07-09-2023 15:00</t>
  </si>
  <si>
    <t>07-09-2023 15:15</t>
  </si>
  <si>
    <t>07-09-2023 15:30</t>
  </si>
  <si>
    <t>07-09-2023 15:45</t>
  </si>
  <si>
    <t>07-09-2023 16:00</t>
  </si>
  <si>
    <t>07-09-2023 16:15</t>
  </si>
  <si>
    <t>07-09-2023 16:30</t>
  </si>
  <si>
    <t>07-09-2023 16:45</t>
  </si>
  <si>
    <t>07-09-2023 17:00</t>
  </si>
  <si>
    <t>07-09-2023 17:15</t>
  </si>
  <si>
    <t>07-09-2023 17:30</t>
  </si>
  <si>
    <t>07-09-2023 17:45</t>
  </si>
  <si>
    <t>07-09-2023 18:00</t>
  </si>
  <si>
    <t>07-09-2023 18:15</t>
  </si>
  <si>
    <t>07-09-2023 18:30</t>
  </si>
  <si>
    <t>07-09-2023 18:45</t>
  </si>
  <si>
    <t>07-09-2023 19:00</t>
  </si>
  <si>
    <t>07-09-2023 19:15</t>
  </si>
  <si>
    <t>07-09-2023 19:30</t>
  </si>
  <si>
    <t>07-09-2023 19:45</t>
  </si>
  <si>
    <t>07-09-2023 20:00</t>
  </si>
  <si>
    <t>07-09-2023 20:15</t>
  </si>
  <si>
    <t>07-09-2023 20:30</t>
  </si>
  <si>
    <t>07-09-2023 20:45</t>
  </si>
  <si>
    <t>07-09-2023 21:00</t>
  </si>
  <si>
    <t>07-09-2023 21:15</t>
  </si>
  <si>
    <t>07-09-2023 21:30</t>
  </si>
  <si>
    <t>07-09-2023 21:45</t>
  </si>
  <si>
    <t>07-09-2023 22:00</t>
  </si>
  <si>
    <t>07-09-2023 22:15</t>
  </si>
  <si>
    <t>07-09-2023 22:30</t>
  </si>
  <si>
    <t>07-09-2023 22:45</t>
  </si>
  <si>
    <t>07-09-2023 23:00</t>
  </si>
  <si>
    <t>07-09-2023 23:15</t>
  </si>
  <si>
    <t>07-09-2023 23:30</t>
  </si>
  <si>
    <t>07-09-2023 23:45</t>
  </si>
  <si>
    <t>07-09-2023 24:00</t>
  </si>
  <si>
    <t>pm2.5</t>
  </si>
  <si>
    <t>08-09-2023 00:15</t>
  </si>
  <si>
    <t>08-09-2023 00:30</t>
  </si>
  <si>
    <t>08-09-2023 00:45</t>
  </si>
  <si>
    <t>08-09-2023 01:00</t>
  </si>
  <si>
    <t>08-09-2023 01:15</t>
  </si>
  <si>
    <t>08-09-2023 01:30</t>
  </si>
  <si>
    <t>08-09-2023 01:45</t>
  </si>
  <si>
    <t>08-09-2023 02:00</t>
  </si>
  <si>
    <t>08-09-2023 02:15</t>
  </si>
  <si>
    <t>08-09-2023 02:30</t>
  </si>
  <si>
    <t>08-09-2023 02:45</t>
  </si>
  <si>
    <t>08-09-2023 03:00</t>
  </si>
  <si>
    <t>08-09-2023 03:15</t>
  </si>
  <si>
    <t>08-09-2023 03:30</t>
  </si>
  <si>
    <t>08-09-2023 03:45</t>
  </si>
  <si>
    <t>08-09-2023 04:00</t>
  </si>
  <si>
    <t>08-09-2023 04:15</t>
  </si>
  <si>
    <t>08-09-2023 04:30</t>
  </si>
  <si>
    <t>08-09-2023 04:45</t>
  </si>
  <si>
    <t>08-09-2023 05:00</t>
  </si>
  <si>
    <t>08-09-2023 05:15</t>
  </si>
  <si>
    <t>08-09-2023 05:30</t>
  </si>
  <si>
    <t>08-09-2023 05:45</t>
  </si>
  <si>
    <t>08-09-2023 06:00</t>
  </si>
  <si>
    <t>08-09-2023 06:15</t>
  </si>
  <si>
    <t>08-09-2023 06:30</t>
  </si>
  <si>
    <t>08-09-2023 06:45</t>
  </si>
  <si>
    <t>08-09-2023 07:00</t>
  </si>
  <si>
    <t>08-09-2023 07:15</t>
  </si>
  <si>
    <t>08-09-2023 07:30</t>
  </si>
  <si>
    <t>08-09-2023 07:45</t>
  </si>
  <si>
    <t>08-09-2023 08:00</t>
  </si>
  <si>
    <t>08-09-2023 08:15</t>
  </si>
  <si>
    <t>08-09-2023 08:30</t>
  </si>
  <si>
    <t>08-09-2023 08:45</t>
  </si>
  <si>
    <t>08-09-2023 09:00</t>
  </si>
  <si>
    <t>08-09-2023 09:15</t>
  </si>
  <si>
    <t>08-09-2023 09:30</t>
  </si>
  <si>
    <t>08-09-2023 09:45</t>
  </si>
  <si>
    <t>08-09-2023 10:00</t>
  </si>
  <si>
    <t>08-09-2023 10:15</t>
  </si>
  <si>
    <t>08-09-2023 10:30</t>
  </si>
  <si>
    <t>08-09-2023 10:45</t>
  </si>
  <si>
    <t>08-09-2023 11:00</t>
  </si>
  <si>
    <t>08-09-2023 11:15</t>
  </si>
  <si>
    <t>08-09-2023 11:30</t>
  </si>
  <si>
    <t>08-09-2023 11:45</t>
  </si>
  <si>
    <t>08-09-2023 12:00</t>
  </si>
  <si>
    <t>08-09-2023 12:15</t>
  </si>
  <si>
    <t>08-09-2023 12:30</t>
  </si>
  <si>
    <t>08-09-2023 12:45</t>
  </si>
  <si>
    <t>08-09-2023 13:00</t>
  </si>
  <si>
    <t>08-09-2023 13:15</t>
  </si>
  <si>
    <t>08-09-2023 13:30</t>
  </si>
  <si>
    <t>08-09-2023 13:45</t>
  </si>
  <si>
    <t>08-09-2023 14:00</t>
  </si>
  <si>
    <t>08-09-2023 14:15</t>
  </si>
  <si>
    <t>08-09-2023 14:30</t>
  </si>
  <si>
    <t>08-09-2023 14:45</t>
  </si>
  <si>
    <t>08-09-2023 15:00</t>
  </si>
  <si>
    <t>08-09-2023 15:15</t>
  </si>
  <si>
    <t>08-09-2023 15:30</t>
  </si>
  <si>
    <t>08-09-2023 15:45</t>
  </si>
  <si>
    <t>08-09-2023 16:00</t>
  </si>
  <si>
    <t>08-09-2023 16:15</t>
  </si>
  <si>
    <t>08-09-2023 16:30</t>
  </si>
  <si>
    <t>08-09-2023 16:45</t>
  </si>
  <si>
    <t>08-09-2023 17:00</t>
  </si>
  <si>
    <t>08-09-2023 17:15</t>
  </si>
  <si>
    <t>08-09-2023 17:30</t>
  </si>
  <si>
    <t>08-09-2023 17:45</t>
  </si>
  <si>
    <t>08-09-2023 18:00</t>
  </si>
  <si>
    <t>08-09-2023 18:15</t>
  </si>
  <si>
    <t>08-09-2023 18:30</t>
  </si>
  <si>
    <t>08-09-2023 18:45</t>
  </si>
  <si>
    <t>08-09-2023 19:00</t>
  </si>
  <si>
    <t>08-09-2023 19:15</t>
  </si>
  <si>
    <t>08-09-2023 19:30</t>
  </si>
  <si>
    <t>08-09-2023 19:45</t>
  </si>
  <si>
    <t>08-09-2023 20:00</t>
  </si>
  <si>
    <t>08-09-2023 20:15</t>
  </si>
  <si>
    <t>08-09-2023 20:30</t>
  </si>
  <si>
    <t>08-09-2023 20:45</t>
  </si>
  <si>
    <t>08-09-2023 21:00</t>
  </si>
  <si>
    <t>08-09-2023 21:15</t>
  </si>
  <si>
    <t>08-09-2023 21:30</t>
  </si>
  <si>
    <t>08-09-2023 21:45</t>
  </si>
  <si>
    <t>08-09-2023 22:00</t>
  </si>
  <si>
    <t>08-09-2023 22:15</t>
  </si>
  <si>
    <t>08-09-2023 22:30</t>
  </si>
  <si>
    <t>08-09-2023 22:45</t>
  </si>
  <si>
    <t>08-09-2023 23:00</t>
  </si>
  <si>
    <t>08-09-2023 23:15</t>
  </si>
  <si>
    <t>08-09-2023 23:30</t>
  </si>
  <si>
    <t>08-09-2023 23:45</t>
  </si>
  <si>
    <t>08-09-2023 24:00</t>
  </si>
  <si>
    <t>09-09-2023 00:15</t>
  </si>
  <si>
    <t>09-09-2023 00:30</t>
  </si>
  <si>
    <t>09-09-2023 00:45</t>
  </si>
  <si>
    <t>09-09-2023 01:00</t>
  </si>
  <si>
    <t>09-09-2023 01:15</t>
  </si>
  <si>
    <t>09-09-2023 01:30</t>
  </si>
  <si>
    <t>09-09-2023 01:45</t>
  </si>
  <si>
    <t>09-09-2023 02:00</t>
  </si>
  <si>
    <t>09-09-2023 02:15</t>
  </si>
  <si>
    <t>09-09-2023 02:30</t>
  </si>
  <si>
    <t>09-09-2023 02:45</t>
  </si>
  <si>
    <t>09-09-2023 03:00</t>
  </si>
  <si>
    <t>09-09-2023 03:15</t>
  </si>
  <si>
    <t>09-09-2023 03:30</t>
  </si>
  <si>
    <t>09-09-2023 03:45</t>
  </si>
  <si>
    <t>09-09-2023 04:00</t>
  </si>
  <si>
    <t>09-09-2023 04:15</t>
  </si>
  <si>
    <t>09-09-2023 04:30</t>
  </si>
  <si>
    <t>09-09-2023 04:45</t>
  </si>
  <si>
    <t>09-09-2023 05:00</t>
  </si>
  <si>
    <t>09-09-2023 05:15</t>
  </si>
  <si>
    <t>09-09-2023 05:30</t>
  </si>
  <si>
    <t>09-09-2023 05:45</t>
  </si>
  <si>
    <t>09-09-2023 06:00</t>
  </si>
  <si>
    <t>09-09-2023 06:15</t>
  </si>
  <si>
    <t>09-09-2023 06:30</t>
  </si>
  <si>
    <t>09-09-2023 06:45</t>
  </si>
  <si>
    <t>09-09-2023 07:00</t>
  </si>
  <si>
    <t>09-09-2023 07:15</t>
  </si>
  <si>
    <t>09-09-2023 07:30</t>
  </si>
  <si>
    <t>09-09-2023 07:45</t>
  </si>
  <si>
    <t>09-09-2023 08:00</t>
  </si>
  <si>
    <t>09-09-2023 08:15</t>
  </si>
  <si>
    <t>09-09-2023 08:30</t>
  </si>
  <si>
    <t>09-09-2023 08:45</t>
  </si>
  <si>
    <t>09-09-2023 09:00</t>
  </si>
  <si>
    <t>09-09-2023 09:15</t>
  </si>
  <si>
    <t>09-09-2023 09:30</t>
  </si>
  <si>
    <t>09-09-2023 09:45</t>
  </si>
  <si>
    <t>09-09-2023 10:00</t>
  </si>
  <si>
    <t>09-09-2023 10:15</t>
  </si>
  <si>
    <t>09-09-2023 10:30</t>
  </si>
  <si>
    <t>09-09-2023 10:45</t>
  </si>
  <si>
    <t>09-09-2023 11:00</t>
  </si>
  <si>
    <t>09-09-2023 11:15</t>
  </si>
  <si>
    <t>09-09-2023 11:30</t>
  </si>
  <si>
    <t>09-09-2023 11:45</t>
  </si>
  <si>
    <t>09-09-2023 12:00</t>
  </si>
  <si>
    <t>09-09-2023 12:15</t>
  </si>
  <si>
    <t>09-09-2023 12:30</t>
  </si>
  <si>
    <t>09-09-2023 12:45</t>
  </si>
  <si>
    <t>09-09-2023 13:00</t>
  </si>
  <si>
    <t>09-09-2023 13:15</t>
  </si>
  <si>
    <t>09-09-2023 13:30</t>
  </si>
  <si>
    <t>09-09-2023 13:45</t>
  </si>
  <si>
    <t>09-09-2023 14:00</t>
  </si>
  <si>
    <t>09-09-2023 14:15</t>
  </si>
  <si>
    <t>09-09-2023 14:30</t>
  </si>
  <si>
    <t>09-09-2023 14:45</t>
  </si>
  <si>
    <t>09-09-2023 15:00</t>
  </si>
  <si>
    <t>09-09-2023 15:15</t>
  </si>
  <si>
    <t>09-09-2023 15:30</t>
  </si>
  <si>
    <t>09-09-2023 15:45</t>
  </si>
  <si>
    <t>09-09-2023 16:00</t>
  </si>
  <si>
    <t>09-09-2023 16:15</t>
  </si>
  <si>
    <t>09-09-2023 16:30</t>
  </si>
  <si>
    <t>09-09-2023 16:45</t>
  </si>
  <si>
    <t>09-09-2023 17:00</t>
  </si>
  <si>
    <t>09-09-2023 17:15</t>
  </si>
  <si>
    <t>09-09-2023 17:30</t>
  </si>
  <si>
    <t>09-09-2023 17:45</t>
  </si>
  <si>
    <t>09-09-2023 18:00</t>
  </si>
  <si>
    <t>09-09-2023 18:15</t>
  </si>
  <si>
    <t>09-09-2023 18:30</t>
  </si>
  <si>
    <t>09-09-2023 18:45</t>
  </si>
  <si>
    <t>09-09-2023 19:00</t>
  </si>
  <si>
    <t>09-09-2023 19:15</t>
  </si>
  <si>
    <t>09-09-2023 19:30</t>
  </si>
  <si>
    <t>09-09-2023 19:45</t>
  </si>
  <si>
    <t>09-09-2023 20:00</t>
  </si>
  <si>
    <t>09-09-2023 20:15</t>
  </si>
  <si>
    <t>09-09-2023 20:30</t>
  </si>
  <si>
    <t>09-09-2023 20:45</t>
  </si>
  <si>
    <t>09-09-2023 21:00</t>
  </si>
  <si>
    <t>09-09-2023 21:15</t>
  </si>
  <si>
    <t>09-09-2023 21:30</t>
  </si>
  <si>
    <t>09-09-2023 21:45</t>
  </si>
  <si>
    <t>09-09-2023 22:00</t>
  </si>
  <si>
    <t>09-09-2023 22:15</t>
  </si>
  <si>
    <t>09-09-2023 22:30</t>
  </si>
  <si>
    <t>09-09-2023 22:45</t>
  </si>
  <si>
    <t>09-09-2023 23:00</t>
  </si>
  <si>
    <t>09-09-2023 23:15</t>
  </si>
  <si>
    <t>09-09-2023 23:30</t>
  </si>
  <si>
    <t>09-09-2023 23:45</t>
  </si>
  <si>
    <t>09-09-2023 24:00</t>
  </si>
  <si>
    <t>10-09-2023 00:15</t>
  </si>
  <si>
    <t>10-09-2023 00:30</t>
  </si>
  <si>
    <t>10-09-2023 00:45</t>
  </si>
  <si>
    <t>10-09-2023 01:00</t>
  </si>
  <si>
    <t>10-09-2023 01:15</t>
  </si>
  <si>
    <t>10-09-2023 01:30</t>
  </si>
  <si>
    <t>10-09-2023 01:45</t>
  </si>
  <si>
    <t>10-09-2023 02:00</t>
  </si>
  <si>
    <t>10-09-2023 02:15</t>
  </si>
  <si>
    <t>10-09-2023 02:30</t>
  </si>
  <si>
    <t>10-09-2023 02:45</t>
  </si>
  <si>
    <t>10-09-2023 03:00</t>
  </si>
  <si>
    <t>10-09-2023 03:15</t>
  </si>
  <si>
    <t>10-09-2023 03:30</t>
  </si>
  <si>
    <t>10-09-2023 03:45</t>
  </si>
  <si>
    <t>10-09-2023 04:00</t>
  </si>
  <si>
    <t>10-09-2023 04:15</t>
  </si>
  <si>
    <t>10-09-2023 04:30</t>
  </si>
  <si>
    <t>10-09-2023 04:45</t>
  </si>
  <si>
    <t>10-09-2023 05:00</t>
  </si>
  <si>
    <t>10-09-2023 05:15</t>
  </si>
  <si>
    <t>10-09-2023 05:30</t>
  </si>
  <si>
    <t>10-09-2023 05:45</t>
  </si>
  <si>
    <t>10-09-2023 06:00</t>
  </si>
  <si>
    <t>10-09-2023 06:15</t>
  </si>
  <si>
    <t>10-09-2023 06:30</t>
  </si>
  <si>
    <t>10-09-2023 06:45</t>
  </si>
  <si>
    <t>10-09-2023 07:00</t>
  </si>
  <si>
    <t>10-09-2023 07:15</t>
  </si>
  <si>
    <t>10-09-2023 07:30</t>
  </si>
  <si>
    <t>10-09-2023 07:45</t>
  </si>
  <si>
    <t>10-09-2023 08:00</t>
  </si>
  <si>
    <t>10-09-2023 08:15</t>
  </si>
  <si>
    <t>10-09-2023 08:30</t>
  </si>
  <si>
    <t>10-09-2023 08:45</t>
  </si>
  <si>
    <t>10-09-2023 09:00</t>
  </si>
  <si>
    <t>10-09-2023 09:15</t>
  </si>
  <si>
    <t>10-09-2023 09:30</t>
  </si>
  <si>
    <t>10-09-2023 09:45</t>
  </si>
  <si>
    <t>10-09-2023 10:00</t>
  </si>
  <si>
    <t>10-09-2023 10:15</t>
  </si>
  <si>
    <t>10-09-2023 10:30</t>
  </si>
  <si>
    <t>10-09-2023 10:45</t>
  </si>
  <si>
    <t>10-09-2023 11:00</t>
  </si>
  <si>
    <t>10-09-2023 11:15</t>
  </si>
  <si>
    <t>10-09-2023 11:30</t>
  </si>
  <si>
    <t>10-09-2023 11:45</t>
  </si>
  <si>
    <t>10-09-2023 12:00</t>
  </si>
  <si>
    <t>10-09-2023 12:15</t>
  </si>
  <si>
    <t>10-09-2023 12:30</t>
  </si>
  <si>
    <t>10-09-2023 12:45</t>
  </si>
  <si>
    <t>10-09-2023 13:00</t>
  </si>
  <si>
    <t>10-09-2023 13:15</t>
  </si>
  <si>
    <t>10-09-2023 13:30</t>
  </si>
  <si>
    <t>10-09-2023 13:45</t>
  </si>
  <si>
    <t>10-09-2023 14:00</t>
  </si>
  <si>
    <t>10-09-2023 14:15</t>
  </si>
  <si>
    <t>10-09-2023 14:30</t>
  </si>
  <si>
    <t>10-09-2023 14:45</t>
  </si>
  <si>
    <t>10-09-2023 15:00</t>
  </si>
  <si>
    <t>10-09-2023 15:15</t>
  </si>
  <si>
    <t>10-09-2023 15:30</t>
  </si>
  <si>
    <t>10-09-2023 15:45</t>
  </si>
  <si>
    <t>10-09-2023 16:00</t>
  </si>
  <si>
    <t>10-09-2023 16:15</t>
  </si>
  <si>
    <t>10-09-2023 16:30</t>
  </si>
  <si>
    <t>10-09-2023 16:45</t>
  </si>
  <si>
    <t>10-09-2023 17:00</t>
  </si>
  <si>
    <t>10-09-2023 17:15</t>
  </si>
  <si>
    <t>10-09-2023 17:30</t>
  </si>
  <si>
    <t>10-09-2023 17:45</t>
  </si>
  <si>
    <t>10-09-2023 18:00</t>
  </si>
  <si>
    <t>10-09-2023 18:15</t>
  </si>
  <si>
    <t>10-09-2023 18:30</t>
  </si>
  <si>
    <t>10-09-2023 18:45</t>
  </si>
  <si>
    <t>10-09-2023 19:00</t>
  </si>
  <si>
    <t>10-09-2023 19:15</t>
  </si>
  <si>
    <t>10-09-2023 19:30</t>
  </si>
  <si>
    <t>10-09-2023 19:45</t>
  </si>
  <si>
    <t>10-09-2023 20:00</t>
  </si>
  <si>
    <t>10-09-2023 20:15</t>
  </si>
  <si>
    <t>10-09-2023 20:30</t>
  </si>
  <si>
    <t>10-09-2023 20:45</t>
  </si>
  <si>
    <t>10-09-2023 21:00</t>
  </si>
  <si>
    <t>10-09-2023 21:15</t>
  </si>
  <si>
    <t>10-09-2023 21:30</t>
  </si>
  <si>
    <t>10-09-2023 21:45</t>
  </si>
  <si>
    <t>10-09-2023 22:00</t>
  </si>
  <si>
    <t>10-09-2023 22:15</t>
  </si>
  <si>
    <t>10-09-2023 22:30</t>
  </si>
  <si>
    <t>10-09-2023 22:45</t>
  </si>
  <si>
    <t>10-09-2023 23:00</t>
  </si>
  <si>
    <t>10-09-2023 23:15</t>
  </si>
  <si>
    <t>10-09-2023 23:30</t>
  </si>
  <si>
    <t>10-09-2023 23:45</t>
  </si>
  <si>
    <t>10-09-2023 24:00</t>
  </si>
  <si>
    <t>11-09-2023 00:15</t>
  </si>
  <si>
    <t>11-09-2023 00:30</t>
  </si>
  <si>
    <t>11-09-2023 00:45</t>
  </si>
  <si>
    <t>11-09-2023 01:00</t>
  </si>
  <si>
    <t>11-09-2023 01:15</t>
  </si>
  <si>
    <t>11-09-2023 01:30</t>
  </si>
  <si>
    <t>11-09-2023 01:45</t>
  </si>
  <si>
    <t>11-09-2023 02:00</t>
  </si>
  <si>
    <t>11-09-2023 02:15</t>
  </si>
  <si>
    <t>11-09-2023 02:30</t>
  </si>
  <si>
    <t>11-09-2023 02:45</t>
  </si>
  <si>
    <t>11-09-2023 03:00</t>
  </si>
  <si>
    <t>11-09-2023 03:15</t>
  </si>
  <si>
    <t>11-09-2023 03:30</t>
  </si>
  <si>
    <t>11-09-2023 03:45</t>
  </si>
  <si>
    <t>11-09-2023 04:00</t>
  </si>
  <si>
    <t>11-09-2023 04:15</t>
  </si>
  <si>
    <t>11-09-2023 04:30</t>
  </si>
  <si>
    <t>11-09-2023 04:45</t>
  </si>
  <si>
    <t>11-09-2023 05:00</t>
  </si>
  <si>
    <t>11-09-2023 05:15</t>
  </si>
  <si>
    <t>11-09-2023 05:30</t>
  </si>
  <si>
    <t>11-09-2023 05:45</t>
  </si>
  <si>
    <t>11-09-2023 06:00</t>
  </si>
  <si>
    <t>11-09-2023 06:15</t>
  </si>
  <si>
    <t>11-09-2023 06:30</t>
  </si>
  <si>
    <t>11-09-2023 06:45</t>
  </si>
  <si>
    <t>11-09-2023 07:00</t>
  </si>
  <si>
    <t>11-09-2023 07:15</t>
  </si>
  <si>
    <t>11-09-2023 07:30</t>
  </si>
  <si>
    <t>11-09-2023 07:45</t>
  </si>
  <si>
    <t>11-09-2023 08:00</t>
  </si>
  <si>
    <t>11-09-2023 08:15</t>
  </si>
  <si>
    <t>11-09-2023 08:30</t>
  </si>
  <si>
    <t>11-09-2023 08:45</t>
  </si>
  <si>
    <t>11-09-2023 09:00</t>
  </si>
  <si>
    <t>11-09-2023 09:15</t>
  </si>
  <si>
    <t>11-09-2023 09:30</t>
  </si>
  <si>
    <t>11-09-2023 09:45</t>
  </si>
  <si>
    <t>11-09-2023 10:00</t>
  </si>
  <si>
    <t>11-09-2023 10:15</t>
  </si>
  <si>
    <t>11-09-2023 10:30</t>
  </si>
  <si>
    <t>11-09-2023 10:45</t>
  </si>
  <si>
    <t>11-09-2023 11:00</t>
  </si>
  <si>
    <t>11-09-2023 11:15</t>
  </si>
  <si>
    <t>11-09-2023 11:30</t>
  </si>
  <si>
    <t>11-09-2023 11:45</t>
  </si>
  <si>
    <t>11-09-2023 12:00</t>
  </si>
  <si>
    <t>11-09-2023 12:15</t>
  </si>
  <si>
    <t>11-09-2023 12:30</t>
  </si>
  <si>
    <t>11-09-2023 12:45</t>
  </si>
  <si>
    <t>11-09-2023 13:00</t>
  </si>
  <si>
    <t>11-09-2023 13:15</t>
  </si>
  <si>
    <t>11-09-2023 13:30</t>
  </si>
  <si>
    <t>11-09-2023 13:45</t>
  </si>
  <si>
    <t>11-09-2023 14:00</t>
  </si>
  <si>
    <t>11-09-2023 14:15</t>
  </si>
  <si>
    <t>11-09-2023 14:30</t>
  </si>
  <si>
    <t>11-09-2023 14:45</t>
  </si>
  <si>
    <t>11-09-2023 15:00</t>
  </si>
  <si>
    <t>11-09-2023 15:15</t>
  </si>
  <si>
    <t>11-09-2023 15:30</t>
  </si>
  <si>
    <t>11-09-2023 15:45</t>
  </si>
  <si>
    <t>11-09-2023 16:00</t>
  </si>
  <si>
    <t>11-09-2023 16:15</t>
  </si>
  <si>
    <t>11-09-2023 16:30</t>
  </si>
  <si>
    <t>11-09-2023 16:45</t>
  </si>
  <si>
    <t>11-09-2023 17:00</t>
  </si>
  <si>
    <t>11-09-2023 17:15</t>
  </si>
  <si>
    <t>11-09-2023 17:30</t>
  </si>
  <si>
    <t>11-09-2023 17:45</t>
  </si>
  <si>
    <t>11-09-2023 18:00</t>
  </si>
  <si>
    <t>11-09-2023 18:15</t>
  </si>
  <si>
    <t>11-09-2023 18:30</t>
  </si>
  <si>
    <t>11-09-2023 18:45</t>
  </si>
  <si>
    <t>11-09-2023 19:00</t>
  </si>
  <si>
    <t>11-09-2023 19:15</t>
  </si>
  <si>
    <t>11-09-2023 19:30</t>
  </si>
  <si>
    <t>11-09-2023 19:45</t>
  </si>
  <si>
    <t>11-09-2023 20:00</t>
  </si>
  <si>
    <t>11-09-2023 20:15</t>
  </si>
  <si>
    <t>11-09-2023 20:30</t>
  </si>
  <si>
    <t>11-09-2023 20:45</t>
  </si>
  <si>
    <t>11-09-2023 21:00</t>
  </si>
  <si>
    <t>11-09-2023 21:15</t>
  </si>
  <si>
    <t>11-09-2023 21:30</t>
  </si>
  <si>
    <t>11-09-2023 21:45</t>
  </si>
  <si>
    <t>11-09-2023 22:00</t>
  </si>
  <si>
    <t>11-09-2023 22:15</t>
  </si>
  <si>
    <t>11-09-2023 22:30</t>
  </si>
  <si>
    <t>11-09-2023 22:45</t>
  </si>
  <si>
    <t>11-09-2023 23:00</t>
  </si>
  <si>
    <t>11-09-2023 23:15</t>
  </si>
  <si>
    <t>11-09-2023 23:30</t>
  </si>
  <si>
    <t>11-09-2023 23:45</t>
  </si>
  <si>
    <t>11-09-2023 24:00</t>
  </si>
  <si>
    <t>12-09-2023 00:15</t>
  </si>
  <si>
    <t>12-09-2023 00:30</t>
  </si>
  <si>
    <t>12-09-2023 00:45</t>
  </si>
  <si>
    <t>12-09-2023 01:00</t>
  </si>
  <si>
    <t>12-09-2023 01:15</t>
  </si>
  <si>
    <t>12-09-2023 01:30</t>
  </si>
  <si>
    <t>12-09-2023 01:45</t>
  </si>
  <si>
    <t>12-09-2023 02:00</t>
  </si>
  <si>
    <t>12-09-2023 02:15</t>
  </si>
  <si>
    <t>12-09-2023 02:30</t>
  </si>
  <si>
    <t>12-09-2023 02:45</t>
  </si>
  <si>
    <t>12-09-2023 03:00</t>
  </si>
  <si>
    <t>12-09-2023 03:15</t>
  </si>
  <si>
    <t>12-09-2023 03:30</t>
  </si>
  <si>
    <t>12-09-2023 03:45</t>
  </si>
  <si>
    <t>12-09-2023 04:00</t>
  </si>
  <si>
    <t>12-09-2023 04:15</t>
  </si>
  <si>
    <t>12-09-2023 04:30</t>
  </si>
  <si>
    <t>12-09-2023 04:45</t>
  </si>
  <si>
    <t>12-09-2023 05:00</t>
  </si>
  <si>
    <t>12-09-2023 05:15</t>
  </si>
  <si>
    <t>12-09-2023 05:30</t>
  </si>
  <si>
    <t>12-09-2023 05:45</t>
  </si>
  <si>
    <t>12-09-2023 06:00</t>
  </si>
  <si>
    <t>12-09-2023 06:15</t>
  </si>
  <si>
    <t>12-09-2023 06:30</t>
  </si>
  <si>
    <t>12-09-2023 06:45</t>
  </si>
  <si>
    <t>12-09-2023 07:00</t>
  </si>
  <si>
    <t>12-09-2023 07:15</t>
  </si>
  <si>
    <t>12-09-2023 07:30</t>
  </si>
  <si>
    <t>12-09-2023 07:45</t>
  </si>
  <si>
    <t>12-09-2023 08:00</t>
  </si>
  <si>
    <t>12-09-2023 08:15</t>
  </si>
  <si>
    <t>12-09-2023 08:30</t>
  </si>
  <si>
    <t>12-09-2023 08:45</t>
  </si>
  <si>
    <t>12-09-2023 09:00</t>
  </si>
  <si>
    <t>12-09-2023 09:15</t>
  </si>
  <si>
    <t>12-09-2023 09:30</t>
  </si>
  <si>
    <t>12-09-2023 09:45</t>
  </si>
  <si>
    <t>12-09-2023 10:00</t>
  </si>
  <si>
    <t>12-09-2023 10:15</t>
  </si>
  <si>
    <t>12-09-2023 10:30</t>
  </si>
  <si>
    <t>12-09-2023 10:45</t>
  </si>
  <si>
    <t>12-09-2023 11:00</t>
  </si>
  <si>
    <t>12-09-2023 11:15</t>
  </si>
  <si>
    <t>12-09-2023 11:30</t>
  </si>
  <si>
    <t>12-09-2023 11:45</t>
  </si>
  <si>
    <t>12-09-2023 12:00</t>
  </si>
  <si>
    <t>12-09-2023 12:15</t>
  </si>
  <si>
    <t>12-09-2023 12:30</t>
  </si>
  <si>
    <t>12-09-2023 12:45</t>
  </si>
  <si>
    <t>12-09-2023 13:00</t>
  </si>
  <si>
    <t>12-09-2023 13:15</t>
  </si>
  <si>
    <t>12-09-2023 13:30</t>
  </si>
  <si>
    <t>12-09-2023 13:45</t>
  </si>
  <si>
    <t>12-09-2023 14:00</t>
  </si>
  <si>
    <t>12-09-2023 14:15</t>
  </si>
  <si>
    <t>12-09-2023 14:30</t>
  </si>
  <si>
    <t>12-09-2023 14:45</t>
  </si>
  <si>
    <t>12-09-2023 15:00</t>
  </si>
  <si>
    <t>12-09-2023 15:15</t>
  </si>
  <si>
    <t>12-09-2023 15:30</t>
  </si>
  <si>
    <t>12-09-2023 15:45</t>
  </si>
  <si>
    <t>12-09-2023 16:00</t>
  </si>
  <si>
    <t>12-09-2023 16:15</t>
  </si>
  <si>
    <t>12-09-2023 16:30</t>
  </si>
  <si>
    <t>12-09-2023 16:45</t>
  </si>
  <si>
    <t>12-09-2023 17:00</t>
  </si>
  <si>
    <t>12-09-2023 17:15</t>
  </si>
  <si>
    <t>12-09-2023 17:30</t>
  </si>
  <si>
    <t>12-09-2023 17:45</t>
  </si>
  <si>
    <t>12-09-2023 18:00</t>
  </si>
  <si>
    <t>12-09-2023 18:15</t>
  </si>
  <si>
    <t>12-09-2023 18:30</t>
  </si>
  <si>
    <t>12-09-2023 18:45</t>
  </si>
  <si>
    <t>12-09-2023 19:00</t>
  </si>
  <si>
    <t>12-09-2023 19:15</t>
  </si>
  <si>
    <t>12-09-2023 19:30</t>
  </si>
  <si>
    <t>12-09-2023 19:45</t>
  </si>
  <si>
    <t>12-09-2023 20:00</t>
  </si>
  <si>
    <t>12-09-2023 20:15</t>
  </si>
  <si>
    <t>12-09-2023 20:30</t>
  </si>
  <si>
    <t>12-09-2023 20:45</t>
  </si>
  <si>
    <t>12-09-2023 21:00</t>
  </si>
  <si>
    <t>12-09-2023 21:15</t>
  </si>
  <si>
    <t>12-09-2023 21:30</t>
  </si>
  <si>
    <t>12-09-2023 21:45</t>
  </si>
  <si>
    <t>12-09-2023 22:00</t>
  </si>
  <si>
    <t>12-09-2023 22:15</t>
  </si>
  <si>
    <t>12-09-2023 22:30</t>
  </si>
  <si>
    <t>12-09-2023 22:45</t>
  </si>
  <si>
    <t>12-09-2023 23:00</t>
  </si>
  <si>
    <t>12-09-2023 23:15</t>
  </si>
  <si>
    <t>12-09-2023 23:30</t>
  </si>
  <si>
    <t>12-09-2023 23:45</t>
  </si>
  <si>
    <t>12-09-2023 24:00</t>
  </si>
  <si>
    <t>13-09-2023 00:15</t>
  </si>
  <si>
    <t>13-09-2023 00:30</t>
  </si>
  <si>
    <t>13-09-2023 00:45</t>
  </si>
  <si>
    <t>13-09-2023 01:00</t>
  </si>
  <si>
    <t>13-09-2023 01:15</t>
  </si>
  <si>
    <t>13-09-2023 01:30</t>
  </si>
  <si>
    <t>13-09-2023 01:45</t>
  </si>
  <si>
    <t>13-09-2023 02:00</t>
  </si>
  <si>
    <t>13-09-2023 02:15</t>
  </si>
  <si>
    <t>13-09-2023 02:30</t>
  </si>
  <si>
    <t>13-09-2023 02:45</t>
  </si>
  <si>
    <t>13-09-2023 03:00</t>
  </si>
  <si>
    <t>13-09-2023 03:15</t>
  </si>
  <si>
    <t>13-09-2023 03:30</t>
  </si>
  <si>
    <t>13-09-2023 03:45</t>
  </si>
  <si>
    <t>13-09-2023 04:00</t>
  </si>
  <si>
    <t>13-09-2023 04:15</t>
  </si>
  <si>
    <t>13-09-2023 04:30</t>
  </si>
  <si>
    <t>13-09-2023 04:45</t>
  </si>
  <si>
    <t>13-09-2023 05:00</t>
  </si>
  <si>
    <t>13-09-2023 05:15</t>
  </si>
  <si>
    <t>13-09-2023 05:30</t>
  </si>
  <si>
    <t>13-09-2023 05:45</t>
  </si>
  <si>
    <t>13-09-2023 06:00</t>
  </si>
  <si>
    <t>13-09-2023 06:15</t>
  </si>
  <si>
    <t>13-09-2023 06:30</t>
  </si>
  <si>
    <t>13-09-2023 06:45</t>
  </si>
  <si>
    <t>13-09-2023 07:00</t>
  </si>
  <si>
    <t>13-09-2023 07:15</t>
  </si>
  <si>
    <t>13-09-2023 07:30</t>
  </si>
  <si>
    <t>13-09-2023 07:45</t>
  </si>
  <si>
    <t>13-09-2023 08:00</t>
  </si>
  <si>
    <t>13-09-2023 08:15</t>
  </si>
  <si>
    <t>13-09-2023 08:30</t>
  </si>
  <si>
    <t>13-09-2023 08:45</t>
  </si>
  <si>
    <t>13-09-2023 09:00</t>
  </si>
  <si>
    <t>13-09-2023 09:15</t>
  </si>
  <si>
    <t>13-09-2023 09:30</t>
  </si>
  <si>
    <t>13-09-2023 09:45</t>
  </si>
  <si>
    <t>13-09-2023 10:00</t>
  </si>
  <si>
    <t>13-09-2023 10:15</t>
  </si>
  <si>
    <t>13-09-2023 10:30</t>
  </si>
  <si>
    <t>13-09-2023 10:45</t>
  </si>
  <si>
    <t>13-09-2023 11:00</t>
  </si>
  <si>
    <t>13-09-2023 11:15</t>
  </si>
  <si>
    <t>13-09-2023 11:30</t>
  </si>
  <si>
    <t>13-09-2023 11:45</t>
  </si>
  <si>
    <t>13-09-2023 12:00</t>
  </si>
  <si>
    <t>13-09-2023 12:15</t>
  </si>
  <si>
    <t>13-09-2023 12:30</t>
  </si>
  <si>
    <t>13-09-2023 12:45</t>
  </si>
  <si>
    <t>13-09-2023 13:00</t>
  </si>
  <si>
    <t>13-09-2023 13:15</t>
  </si>
  <si>
    <t>13-09-2023 13:30</t>
  </si>
  <si>
    <t>13-09-2023 13:45</t>
  </si>
  <si>
    <t>13-09-2023 14:00</t>
  </si>
  <si>
    <t>13-09-2023 14:15</t>
  </si>
  <si>
    <t>13-09-2023 14:30</t>
  </si>
  <si>
    <t>13-09-2023 14:45</t>
  </si>
  <si>
    <t>13-09-2023 15:00</t>
  </si>
  <si>
    <t>13-09-2023 15:15</t>
  </si>
  <si>
    <t>13-09-2023 15:30</t>
  </si>
  <si>
    <t>13-09-2023 15:45</t>
  </si>
  <si>
    <t>13-09-2023 16:00</t>
  </si>
  <si>
    <t>13-09-2023 16:15</t>
  </si>
  <si>
    <t>13-09-2023 16:30</t>
  </si>
  <si>
    <t>13-09-2023 16:45</t>
  </si>
  <si>
    <t>13-09-2023 17:00</t>
  </si>
  <si>
    <t>13-09-2023 17:15</t>
  </si>
  <si>
    <t>13-09-2023 17:30</t>
  </si>
  <si>
    <t>13-09-2023 17:45</t>
  </si>
  <si>
    <t>13-09-2023 18:00</t>
  </si>
  <si>
    <t>13-09-2023 18:15</t>
  </si>
  <si>
    <t>13-09-2023 18:30</t>
  </si>
  <si>
    <t>13-09-2023 18:45</t>
  </si>
  <si>
    <t>13-09-2023 19:00</t>
  </si>
  <si>
    <t>13-09-2023 19:15</t>
  </si>
  <si>
    <t>13-09-2023 19:30</t>
  </si>
  <si>
    <t>13-09-2023 19:45</t>
  </si>
  <si>
    <t>13-09-2023 20:00</t>
  </si>
  <si>
    <t>13-09-2023 20:15</t>
  </si>
  <si>
    <t>13-09-2023 20:30</t>
  </si>
  <si>
    <t>13-09-2023 20:45</t>
  </si>
  <si>
    <t>13-09-2023 21:00</t>
  </si>
  <si>
    <t>13-09-2023 21:15</t>
  </si>
  <si>
    <t>13-09-2023 21:30</t>
  </si>
  <si>
    <t>13-09-2023 21:45</t>
  </si>
  <si>
    <t>13-09-2023 22:00</t>
  </si>
  <si>
    <t>13-09-2023 22:15</t>
  </si>
  <si>
    <t>13-09-2023 22:30</t>
  </si>
  <si>
    <t>13-09-2023 22:45</t>
  </si>
  <si>
    <t>13-09-2023 23:00</t>
  </si>
  <si>
    <t>13-09-2023 23:15</t>
  </si>
  <si>
    <t>13-09-2023 23:30</t>
  </si>
  <si>
    <t>13-09-2023 23:45</t>
  </si>
  <si>
    <t>13-09-2023 24:00</t>
  </si>
  <si>
    <t>14-09-2023 00:15</t>
  </si>
  <si>
    <t>14-09-2023 00:30</t>
  </si>
  <si>
    <t>14-09-2023 00:45</t>
  </si>
  <si>
    <t>14-09-2023 01:00</t>
  </si>
  <si>
    <t>14-09-2023 01:15</t>
  </si>
  <si>
    <t>14-09-2023 01:30</t>
  </si>
  <si>
    <t>14-09-2023 01:45</t>
  </si>
  <si>
    <t>14-09-2023 02:00</t>
  </si>
  <si>
    <t>14-09-2023 02:15</t>
  </si>
  <si>
    <t>14-09-2023 02:30</t>
  </si>
  <si>
    <t>14-09-2023 02:45</t>
  </si>
  <si>
    <t>14-09-2023 03:00</t>
  </si>
  <si>
    <t>14-09-2023 03:15</t>
  </si>
  <si>
    <t>14-09-2023 03:30</t>
  </si>
  <si>
    <t>14-09-2023 03:45</t>
  </si>
  <si>
    <t>14-09-2023 04:00</t>
  </si>
  <si>
    <t>14-09-2023 04:15</t>
  </si>
  <si>
    <t>14-09-2023 04:30</t>
  </si>
  <si>
    <t>14-09-2023 04:45</t>
  </si>
  <si>
    <t>14-09-2023 05:00</t>
  </si>
  <si>
    <t>14-09-2023 05:15</t>
  </si>
  <si>
    <t>14-09-2023 05:30</t>
  </si>
  <si>
    <t>14-09-2023 05:45</t>
  </si>
  <si>
    <t>14-09-2023 06:00</t>
  </si>
  <si>
    <t>14-09-2023 06:15</t>
  </si>
  <si>
    <t>14-09-2023 06:30</t>
  </si>
  <si>
    <t>14-09-2023 06:45</t>
  </si>
  <si>
    <t>14-09-2023 07:00</t>
  </si>
  <si>
    <t>14-09-2023 07:15</t>
  </si>
  <si>
    <t>14-09-2023 07:30</t>
  </si>
  <si>
    <t>14-09-2023 07:45</t>
  </si>
  <si>
    <t>14-09-2023 08:00</t>
  </si>
  <si>
    <t>14-09-2023 08:15</t>
  </si>
  <si>
    <t>14-09-2023 08:30</t>
  </si>
  <si>
    <t>14-09-2023 08:45</t>
  </si>
  <si>
    <t>14-09-2023 09:00</t>
  </si>
  <si>
    <t>14-09-2023 09:15</t>
  </si>
  <si>
    <t>14-09-2023 09:30</t>
  </si>
  <si>
    <t>14-09-2023 09:45</t>
  </si>
  <si>
    <t>14-09-2023 10:00</t>
  </si>
  <si>
    <t>14-09-2023 10:15</t>
  </si>
  <si>
    <t>14-09-2023 10:30</t>
  </si>
  <si>
    <t>14-09-2023 10:45</t>
  </si>
  <si>
    <t>14-09-2023 11:00</t>
  </si>
  <si>
    <t>14-09-2023 11:15</t>
  </si>
  <si>
    <t>14-09-2023 11:30</t>
  </si>
  <si>
    <t>14-09-2023 11:45</t>
  </si>
  <si>
    <t>14-09-2023 12:00</t>
  </si>
  <si>
    <t>14-09-2023 12:15</t>
  </si>
  <si>
    <t>14-09-2023 12:30</t>
  </si>
  <si>
    <t>14-09-2023 12:45</t>
  </si>
  <si>
    <t>14-09-2023 13:00</t>
  </si>
  <si>
    <t>14-09-2023 13:15</t>
  </si>
  <si>
    <t>14-09-2023 13:30</t>
  </si>
  <si>
    <t>14-09-2023 13:45</t>
  </si>
  <si>
    <t>14-09-2023 14:00</t>
  </si>
  <si>
    <t>14-09-2023 14:15</t>
  </si>
  <si>
    <t>14-09-2023 14:30</t>
  </si>
  <si>
    <t>14-09-2023 14:45</t>
  </si>
  <si>
    <t>14-09-2023 15:00</t>
  </si>
  <si>
    <t>14-09-2023 15:15</t>
  </si>
  <si>
    <t>14-09-2023 15:30</t>
  </si>
  <si>
    <t>14-09-2023 15:45</t>
  </si>
  <si>
    <t>14-09-2023 16:00</t>
  </si>
  <si>
    <t>14-09-2023 16:15</t>
  </si>
  <si>
    <t>14-09-2023 16:30</t>
  </si>
  <si>
    <t>14-09-2023 16:45</t>
  </si>
  <si>
    <t>14-09-2023 17:00</t>
  </si>
  <si>
    <t>14-09-2023 17:15</t>
  </si>
  <si>
    <t>14-09-2023 17:30</t>
  </si>
  <si>
    <t>14-09-2023 17:45</t>
  </si>
  <si>
    <t>14-09-2023 18:00</t>
  </si>
  <si>
    <t>14-09-2023 18:15</t>
  </si>
  <si>
    <t>14-09-2023 18:30</t>
  </si>
  <si>
    <t>14-09-2023 18:45</t>
  </si>
  <si>
    <t>14-09-2023 19:00</t>
  </si>
  <si>
    <t>14-09-2023 19:15</t>
  </si>
  <si>
    <t>14-09-2023 19:30</t>
  </si>
  <si>
    <t>14-09-2023 19:45</t>
  </si>
  <si>
    <t>14-09-2023 20:00</t>
  </si>
  <si>
    <t>14-09-2023 20:15</t>
  </si>
  <si>
    <t>14-09-2023 20:30</t>
  </si>
  <si>
    <t>14-09-2023 20:45</t>
  </si>
  <si>
    <t>14-09-2023 21:00</t>
  </si>
  <si>
    <t>14-09-2023 21:15</t>
  </si>
  <si>
    <t>14-09-2023 21:30</t>
  </si>
  <si>
    <t>14-09-2023 21:45</t>
  </si>
  <si>
    <t>14-09-2023 22:00</t>
  </si>
  <si>
    <t>14-09-2023 22:15</t>
  </si>
  <si>
    <t>14-09-2023 22:30</t>
  </si>
  <si>
    <t>14-09-2023 22:45</t>
  </si>
  <si>
    <t>14-09-2023 23:00</t>
  </si>
  <si>
    <t>14-09-2023 23:15</t>
  </si>
  <si>
    <t>14-09-2023 23:30</t>
  </si>
  <si>
    <t>14-09-2023 23:45</t>
  </si>
  <si>
    <t>14-09-2023 24:00</t>
  </si>
  <si>
    <t>15-09-2023 00:15</t>
  </si>
  <si>
    <t>15-09-2023 00:30</t>
  </si>
  <si>
    <t>15-09-2023 00:45</t>
  </si>
  <si>
    <t>15-09-2023 01:00</t>
  </si>
  <si>
    <t>15-09-2023 01:15</t>
  </si>
  <si>
    <t>15-09-2023 01:30</t>
  </si>
  <si>
    <t>15-09-2023 01:45</t>
  </si>
  <si>
    <t>15-09-2023 02:00</t>
  </si>
  <si>
    <t>15-09-2023 02:15</t>
  </si>
  <si>
    <t>15-09-2023 02:30</t>
  </si>
  <si>
    <t>15-09-2023 02:45</t>
  </si>
  <si>
    <t>15-09-2023 03:00</t>
  </si>
  <si>
    <t>15-09-2023 03:15</t>
  </si>
  <si>
    <t>15-09-2023 03:30</t>
  </si>
  <si>
    <t>15-09-2023 03:45</t>
  </si>
  <si>
    <t>15-09-2023 04:00</t>
  </si>
  <si>
    <t>15-09-2023 04:15</t>
  </si>
  <si>
    <t>15-09-2023 04:30</t>
  </si>
  <si>
    <t>15-09-2023 04:45</t>
  </si>
  <si>
    <t>15-09-2023 05:00</t>
  </si>
  <si>
    <t>15-09-2023 05:15</t>
  </si>
  <si>
    <t>15-09-2023 05:30</t>
  </si>
  <si>
    <t>15-09-2023 05:45</t>
  </si>
  <si>
    <t>15-09-2023 06:00</t>
  </si>
  <si>
    <t>15-09-2023 06:15</t>
  </si>
  <si>
    <t>15-09-2023 06:30</t>
  </si>
  <si>
    <t>15-09-2023 06:45</t>
  </si>
  <si>
    <t>15-09-2023 07:00</t>
  </si>
  <si>
    <t>15-09-2023 07:15</t>
  </si>
  <si>
    <t>15-09-2023 07:30</t>
  </si>
  <si>
    <t>15-09-2023 07:45</t>
  </si>
  <si>
    <t>15-09-2023 08:00</t>
  </si>
  <si>
    <t>15-09-2023 08:15</t>
  </si>
  <si>
    <t>15-09-2023 08:30</t>
  </si>
  <si>
    <t>15-09-2023 08:45</t>
  </si>
  <si>
    <t>15-09-2023 09:00</t>
  </si>
  <si>
    <t>15-09-2023 09:15</t>
  </si>
  <si>
    <t>15-09-2023 09:30</t>
  </si>
  <si>
    <t>15-09-2023 09:45</t>
  </si>
  <si>
    <t>15-09-2023 10:00</t>
  </si>
  <si>
    <t>15-09-2023 10:15</t>
  </si>
  <si>
    <t>15-09-2023 10:30</t>
  </si>
  <si>
    <t>15-09-2023 10:45</t>
  </si>
  <si>
    <t>15-09-2023 11:00</t>
  </si>
  <si>
    <t>15-09-2023 11:15</t>
  </si>
  <si>
    <t>15-09-2023 11:30</t>
  </si>
  <si>
    <t>15-09-2023 11:45</t>
  </si>
  <si>
    <t>15-09-2023 12:00</t>
  </si>
  <si>
    <t>15-09-2023 12:15</t>
  </si>
  <si>
    <t>15-09-2023 12:30</t>
  </si>
  <si>
    <t>15-09-2023 12:45</t>
  </si>
  <si>
    <t>15-09-2023 13:00</t>
  </si>
  <si>
    <t>15-09-2023 13:15</t>
  </si>
  <si>
    <t>15-09-2023 13:30</t>
  </si>
  <si>
    <t>15-09-2023 13:45</t>
  </si>
  <si>
    <t>15-09-2023 14:00</t>
  </si>
  <si>
    <t>15-09-2023 14:15</t>
  </si>
  <si>
    <t>15-09-2023 14:30</t>
  </si>
  <si>
    <t>15-09-2023 14:45</t>
  </si>
  <si>
    <t>15-09-2023 15:00</t>
  </si>
  <si>
    <t>15-09-2023 15:15</t>
  </si>
  <si>
    <t>15-09-2023 15:30</t>
  </si>
  <si>
    <t>15-09-2023 15:45</t>
  </si>
  <si>
    <t>15-09-2023 16:00</t>
  </si>
  <si>
    <t>15-09-2023 16:15</t>
  </si>
  <si>
    <t>15-09-2023 16:30</t>
  </si>
  <si>
    <t>15-09-2023 16:45</t>
  </si>
  <si>
    <t>15-09-2023 17:00</t>
  </si>
  <si>
    <t>15-09-2023 17:15</t>
  </si>
  <si>
    <t>15-09-2023 17:30</t>
  </si>
  <si>
    <t>15-09-2023 17:45</t>
  </si>
  <si>
    <t>15-09-2023 18:00</t>
  </si>
  <si>
    <t>15-09-2023 18:15</t>
  </si>
  <si>
    <t>15-09-2023 18:30</t>
  </si>
  <si>
    <t>15-09-2023 18:45</t>
  </si>
  <si>
    <t>15-09-2023 19:00</t>
  </si>
  <si>
    <t>15-09-2023 19:15</t>
  </si>
  <si>
    <t>15-09-2023 19:30</t>
  </si>
  <si>
    <t>15-09-2023 19:45</t>
  </si>
  <si>
    <t>15-09-2023 20:00</t>
  </si>
  <si>
    <t>15-09-2023 20:15</t>
  </si>
  <si>
    <t>15-09-2023 20:30</t>
  </si>
  <si>
    <t>15-09-2023 20:45</t>
  </si>
  <si>
    <t>15-09-2023 21:00</t>
  </si>
  <si>
    <t>15-09-2023 21:15</t>
  </si>
  <si>
    <t>15-09-2023 21:30</t>
  </si>
  <si>
    <t>15-09-2023 21:45</t>
  </si>
  <si>
    <t>15-09-2023 22:00</t>
  </si>
  <si>
    <t>15-09-2023 22:15</t>
  </si>
  <si>
    <t>15-09-2023 22:30</t>
  </si>
  <si>
    <t>15-09-2023 22:45</t>
  </si>
  <si>
    <t>15-09-2023 23:00</t>
  </si>
  <si>
    <t>15-09-2023 23:15</t>
  </si>
  <si>
    <t>15-09-2023 23:30</t>
  </si>
  <si>
    <t>15-09-2023 23:45</t>
  </si>
  <si>
    <t>15-09-2023 24:00</t>
  </si>
  <si>
    <t>16-09-2023 00:15</t>
  </si>
  <si>
    <t>16-09-2023 00:30</t>
  </si>
  <si>
    <t>16-09-2023 00:45</t>
  </si>
  <si>
    <t>16-09-2023 01:00</t>
  </si>
  <si>
    <t>16-09-2023 01:15</t>
  </si>
  <si>
    <t>16-09-2023 01:30</t>
  </si>
  <si>
    <t>16-09-2023 01:45</t>
  </si>
  <si>
    <t>16-09-2023 02:00</t>
  </si>
  <si>
    <t>16-09-2023 02:15</t>
  </si>
  <si>
    <t>16-09-2023 02:30</t>
  </si>
  <si>
    <t>16-09-2023 02:45</t>
  </si>
  <si>
    <t>16-09-2023 03:00</t>
  </si>
  <si>
    <t>16-09-2023 03:15</t>
  </si>
  <si>
    <t>16-09-2023 03:30</t>
  </si>
  <si>
    <t>16-09-2023 03:45</t>
  </si>
  <si>
    <t>16-09-2023 04:00</t>
  </si>
  <si>
    <t>16-09-2023 04:15</t>
  </si>
  <si>
    <t>16-09-2023 04:30</t>
  </si>
  <si>
    <t>16-09-2023 04:45</t>
  </si>
  <si>
    <t>16-09-2023 05:00</t>
  </si>
  <si>
    <t>16-09-2023 05:15</t>
  </si>
  <si>
    <t>16-09-2023 05:30</t>
  </si>
  <si>
    <t>16-09-2023 05:45</t>
  </si>
  <si>
    <t>16-09-2023 06:00</t>
  </si>
  <si>
    <t>16-09-2023 06:15</t>
  </si>
  <si>
    <t>16-09-2023 06:30</t>
  </si>
  <si>
    <t>16-09-2023 06:45</t>
  </si>
  <si>
    <t>16-09-2023 07:00</t>
  </si>
  <si>
    <t>16-09-2023 07:15</t>
  </si>
  <si>
    <t>16-09-2023 07:30</t>
  </si>
  <si>
    <t>16-09-2023 07:45</t>
  </si>
  <si>
    <t>16-09-2023 08:00</t>
  </si>
  <si>
    <t>16-09-2023 08:15</t>
  </si>
  <si>
    <t>16-09-2023 08:30</t>
  </si>
  <si>
    <t>16-09-2023 08:45</t>
  </si>
  <si>
    <t>16-09-2023 09:00</t>
  </si>
  <si>
    <t>16-09-2023 09:15</t>
  </si>
  <si>
    <t>16-09-2023 09:30</t>
  </si>
  <si>
    <t>16-09-2023 09:45</t>
  </si>
  <si>
    <t>16-09-2023 10:00</t>
  </si>
  <si>
    <t>16-09-2023 10:15</t>
  </si>
  <si>
    <t>16-09-2023 10:30</t>
  </si>
  <si>
    <t>16-09-2023 10:45</t>
  </si>
  <si>
    <t>16-09-2023 11:00</t>
  </si>
  <si>
    <t>16-09-2023 11:15</t>
  </si>
  <si>
    <t>16-09-2023 11:30</t>
  </si>
  <si>
    <t>16-09-2023 11:45</t>
  </si>
  <si>
    <t>16-09-2023 12:00</t>
  </si>
  <si>
    <t>16-09-2023 12:15</t>
  </si>
  <si>
    <t>16-09-2023 12:30</t>
  </si>
  <si>
    <t>16-09-2023 12:45</t>
  </si>
  <si>
    <t>16-09-2023 13:00</t>
  </si>
  <si>
    <t>16-09-2023 13:15</t>
  </si>
  <si>
    <t>16-09-2023 13:30</t>
  </si>
  <si>
    <t>16-09-2023 13:45</t>
  </si>
  <si>
    <t>16-09-2023 14:00</t>
  </si>
  <si>
    <t>16-09-2023 14:15</t>
  </si>
  <si>
    <t>16-09-2023 14:30</t>
  </si>
  <si>
    <t>16-09-2023 14:45</t>
  </si>
  <si>
    <t>16-09-2023 15:00</t>
  </si>
  <si>
    <t>16-09-2023 15:15</t>
  </si>
  <si>
    <t>16-09-2023 15:30</t>
  </si>
  <si>
    <t>16-09-2023 15:45</t>
  </si>
  <si>
    <t>16-09-2023 16:00</t>
  </si>
  <si>
    <t>16-09-2023 16:15</t>
  </si>
  <si>
    <t>16-09-2023 16:30</t>
  </si>
  <si>
    <t>16-09-2023 16:45</t>
  </si>
  <si>
    <t>16-09-2023 17:00</t>
  </si>
  <si>
    <t>16-09-2023 17:15</t>
  </si>
  <si>
    <t>16-09-2023 17:30</t>
  </si>
  <si>
    <t>16-09-2023 17:45</t>
  </si>
  <si>
    <t>16-09-2023 18:00</t>
  </si>
  <si>
    <t>16-09-2023 18:15</t>
  </si>
  <si>
    <t>16-09-2023 18:30</t>
  </si>
  <si>
    <t>16-09-2023 18:45</t>
  </si>
  <si>
    <t>16-09-2023 19:00</t>
  </si>
  <si>
    <t>16-09-2023 19:15</t>
  </si>
  <si>
    <t>16-09-2023 19:30</t>
  </si>
  <si>
    <t>16-09-2023 19:45</t>
  </si>
  <si>
    <t>16-09-2023 20:00</t>
  </si>
  <si>
    <t>16-09-2023 20:15</t>
  </si>
  <si>
    <t>16-09-2023 20:30</t>
  </si>
  <si>
    <t>16-09-2023 20:45</t>
  </si>
  <si>
    <t>16-09-2023 21:00</t>
  </si>
  <si>
    <t>16-09-2023 21:15</t>
  </si>
  <si>
    <t>16-09-2023 21:30</t>
  </si>
  <si>
    <t>16-09-2023 21:45</t>
  </si>
  <si>
    <t>16-09-2023 22:00</t>
  </si>
  <si>
    <t>16-09-2023 22:15</t>
  </si>
  <si>
    <t>16-09-2023 22:30</t>
  </si>
  <si>
    <t>16-09-2023 22:45</t>
  </si>
  <si>
    <t>16-09-2023 23:00</t>
  </si>
  <si>
    <t>16-09-2023 23:15</t>
  </si>
  <si>
    <t>16-09-2023 23:30</t>
  </si>
  <si>
    <t>16-09-2023 23:45</t>
  </si>
  <si>
    <t>16-09-2023 24:00</t>
  </si>
  <si>
    <t>17-09-2023 00:15</t>
  </si>
  <si>
    <t>17-09-2023 00:30</t>
  </si>
  <si>
    <t>17-09-2023 00:45</t>
  </si>
  <si>
    <t>17-09-2023 01:00</t>
  </si>
  <si>
    <t>17-09-2023 01:15</t>
  </si>
  <si>
    <t>17-09-2023 01:30</t>
  </si>
  <si>
    <t>17-09-2023 01:45</t>
  </si>
  <si>
    <t>17-09-2023 02:00</t>
  </si>
  <si>
    <t>17-09-2023 02:15</t>
  </si>
  <si>
    <t>17-09-2023 02:30</t>
  </si>
  <si>
    <t>17-09-2023 02:45</t>
  </si>
  <si>
    <t>17-09-2023 03:00</t>
  </si>
  <si>
    <t>17-09-2023 03:15</t>
  </si>
  <si>
    <t>17-09-2023 03:30</t>
  </si>
  <si>
    <t>17-09-2023 03:45</t>
  </si>
  <si>
    <t>17-09-2023 04:00</t>
  </si>
  <si>
    <t>17-09-2023 04:15</t>
  </si>
  <si>
    <t>17-09-2023 04:30</t>
  </si>
  <si>
    <t>17-09-2023 04:45</t>
  </si>
  <si>
    <t>17-09-2023 05:00</t>
  </si>
  <si>
    <t>17-09-2023 05:15</t>
  </si>
  <si>
    <t>17-09-2023 05:30</t>
  </si>
  <si>
    <t>17-09-2023 05:45</t>
  </si>
  <si>
    <t>17-09-2023 06:00</t>
  </si>
  <si>
    <t>17-09-2023 06:15</t>
  </si>
  <si>
    <t>17-09-2023 06:30</t>
  </si>
  <si>
    <t>17-09-2023 06:45</t>
  </si>
  <si>
    <t>17-09-2023 07:00</t>
  </si>
  <si>
    <t>17-09-2023 07:15</t>
  </si>
  <si>
    <t>17-09-2023 07:30</t>
  </si>
  <si>
    <t>17-09-2023 07:45</t>
  </si>
  <si>
    <t>17-09-2023 08:00</t>
  </si>
  <si>
    <t>17-09-2023 08:15</t>
  </si>
  <si>
    <t>17-09-2023 08:30</t>
  </si>
  <si>
    <t>17-09-2023 08:45</t>
  </si>
  <si>
    <t>17-09-2023 09:00</t>
  </si>
  <si>
    <t>17-09-2023 09:15</t>
  </si>
  <si>
    <t>17-09-2023 09:30</t>
  </si>
  <si>
    <t>17-09-2023 09:45</t>
  </si>
  <si>
    <t>17-09-2023 10:00</t>
  </si>
  <si>
    <t>17-09-2023 10:15</t>
  </si>
  <si>
    <t>17-09-2023 10:30</t>
  </si>
  <si>
    <t>17-09-2023 10:45</t>
  </si>
  <si>
    <t>17-09-2023 11:00</t>
  </si>
  <si>
    <t>17-09-2023 11:15</t>
  </si>
  <si>
    <t>17-09-2023 11:30</t>
  </si>
  <si>
    <t>17-09-2023 11:45</t>
  </si>
  <si>
    <t>17-09-2023 12:00</t>
  </si>
  <si>
    <t>17-09-2023 12:15</t>
  </si>
  <si>
    <t>17-09-2023 12:30</t>
  </si>
  <si>
    <t>17-09-2023 12:45</t>
  </si>
  <si>
    <t>17-09-2023 13:00</t>
  </si>
  <si>
    <t>17-09-2023 13:15</t>
  </si>
  <si>
    <t>17-09-2023 13:30</t>
  </si>
  <si>
    <t>17-09-2023 13:45</t>
  </si>
  <si>
    <t>17-09-2023 14:00</t>
  </si>
  <si>
    <t>17-09-2023 14:15</t>
  </si>
  <si>
    <t>17-09-2023 14:30</t>
  </si>
  <si>
    <t>17-09-2023 14:45</t>
  </si>
  <si>
    <t>17-09-2023 15:00</t>
  </si>
  <si>
    <t>17-09-2023 15:15</t>
  </si>
  <si>
    <t>17-09-2023 15:30</t>
  </si>
  <si>
    <t>17-09-2023 15:45</t>
  </si>
  <si>
    <t>17-09-2023 16:00</t>
  </si>
  <si>
    <t>17-09-2023 16:15</t>
  </si>
  <si>
    <t>17-09-2023 16:30</t>
  </si>
  <si>
    <t>17-09-2023 16:45</t>
  </si>
  <si>
    <t>17-09-2023 17:00</t>
  </si>
  <si>
    <t>17-09-2023 17:15</t>
  </si>
  <si>
    <t>17-09-2023 17:30</t>
  </si>
  <si>
    <t>17-09-2023 17:45</t>
  </si>
  <si>
    <t>17-09-2023 18:00</t>
  </si>
  <si>
    <t>17-09-2023 18:15</t>
  </si>
  <si>
    <t>17-09-2023 18:30</t>
  </si>
  <si>
    <t>17-09-2023 18:45</t>
  </si>
  <si>
    <t>17-09-2023 19:00</t>
  </si>
  <si>
    <t>17-09-2023 19:15</t>
  </si>
  <si>
    <t>17-09-2023 19:30</t>
  </si>
  <si>
    <t>17-09-2023 19:45</t>
  </si>
  <si>
    <t>17-09-2023 20:00</t>
  </si>
  <si>
    <t>17-09-2023 20:15</t>
  </si>
  <si>
    <t>17-09-2023 20:30</t>
  </si>
  <si>
    <t>17-09-2023 20:45</t>
  </si>
  <si>
    <t>17-09-2023 21:00</t>
  </si>
  <si>
    <t>17-09-2023 21:15</t>
  </si>
  <si>
    <t>17-09-2023 21:30</t>
  </si>
  <si>
    <t>17-09-2023 21:45</t>
  </si>
  <si>
    <t>17-09-2023 22:00</t>
  </si>
  <si>
    <t>17-09-2023 22:15</t>
  </si>
  <si>
    <t>17-09-2023 22:30</t>
  </si>
  <si>
    <t>17-09-2023 22:45</t>
  </si>
  <si>
    <t>17-09-2023 23:00</t>
  </si>
  <si>
    <t>17-09-2023 23:15</t>
  </si>
  <si>
    <t>17-09-2023 23:30</t>
  </si>
  <si>
    <t>17-09-2023 23:45</t>
  </si>
  <si>
    <t>17-09-2023 24:00</t>
  </si>
  <si>
    <t>18-09-2023 00:15</t>
  </si>
  <si>
    <t>18-09-2023 00:30</t>
  </si>
  <si>
    <t>18-09-2023 00:45</t>
  </si>
  <si>
    <t>18-09-2023 01:00</t>
  </si>
  <si>
    <t>18-09-2023 01:15</t>
  </si>
  <si>
    <t>18-09-2023 01:30</t>
  </si>
  <si>
    <t>18-09-2023 01:45</t>
  </si>
  <si>
    <t>18-09-2023 02:00</t>
  </si>
  <si>
    <t>18-09-2023 02:15</t>
  </si>
  <si>
    <t>18-09-2023 02:30</t>
  </si>
  <si>
    <t>18-09-2023 02:45</t>
  </si>
  <si>
    <t>18-09-2023 03:00</t>
  </si>
  <si>
    <t>18-09-2023 03:15</t>
  </si>
  <si>
    <t>18-09-2023 03:30</t>
  </si>
  <si>
    <t>18-09-2023 03:45</t>
  </si>
  <si>
    <t>18-09-2023 04:00</t>
  </si>
  <si>
    <t>18-09-2023 04:15</t>
  </si>
  <si>
    <t>18-09-2023 04:30</t>
  </si>
  <si>
    <t>18-09-2023 04:45</t>
  </si>
  <si>
    <t>18-09-2023 05:00</t>
  </si>
  <si>
    <t>18-09-2023 05:15</t>
  </si>
  <si>
    <t>18-09-2023 05:30</t>
  </si>
  <si>
    <t>18-09-2023 05:45</t>
  </si>
  <si>
    <t>18-09-2023 06:00</t>
  </si>
  <si>
    <t>18-09-2023 06:15</t>
  </si>
  <si>
    <t>18-09-2023 06:30</t>
  </si>
  <si>
    <t>18-09-2023 06:45</t>
  </si>
  <si>
    <t>18-09-2023 07:00</t>
  </si>
  <si>
    <t>18-09-2023 07:15</t>
  </si>
  <si>
    <t>18-09-2023 07:30</t>
  </si>
  <si>
    <t>18-09-2023 07:45</t>
  </si>
  <si>
    <t>18-09-2023 08:00</t>
  </si>
  <si>
    <t>18-09-2023 08:15</t>
  </si>
  <si>
    <t>18-09-2023 08:30</t>
  </si>
  <si>
    <t>18-09-2023 08:45</t>
  </si>
  <si>
    <t>18-09-2023 09:00</t>
  </si>
  <si>
    <t>18-09-2023 09:15</t>
  </si>
  <si>
    <t>18-09-2023 09:30</t>
  </si>
  <si>
    <t>18-09-2023 09:45</t>
  </si>
  <si>
    <t>18-09-2023 10:00</t>
  </si>
  <si>
    <t>18-09-2023 10:15</t>
  </si>
  <si>
    <t>18-09-2023 10:30</t>
  </si>
  <si>
    <t>18-09-2023 10:45</t>
  </si>
  <si>
    <t>18-09-2023 11:00</t>
  </si>
  <si>
    <t>18-09-2023 11:15</t>
  </si>
  <si>
    <t>18-09-2023 11:30</t>
  </si>
  <si>
    <t>18-09-2023 11:45</t>
  </si>
  <si>
    <t>18-09-2023 12:00</t>
  </si>
  <si>
    <t>18-09-2023 12:15</t>
  </si>
  <si>
    <t>18-09-2023 12:30</t>
  </si>
  <si>
    <t>18-09-2023 12:45</t>
  </si>
  <si>
    <t>18-09-2023 13:00</t>
  </si>
  <si>
    <t>18-09-2023 13:15</t>
  </si>
  <si>
    <t>18-09-2023 13:30</t>
  </si>
  <si>
    <t>18-09-2023 13:45</t>
  </si>
  <si>
    <t>18-09-2023 14:00</t>
  </si>
  <si>
    <t>18-09-2023 14:15</t>
  </si>
  <si>
    <t>18-09-2023 14:30</t>
  </si>
  <si>
    <t>18-09-2023 14:45</t>
  </si>
  <si>
    <t>18-09-2023 15:00</t>
  </si>
  <si>
    <t>18-09-2023 15:15</t>
  </si>
  <si>
    <t>18-09-2023 15:30</t>
  </si>
  <si>
    <t>18-09-2023 15:45</t>
  </si>
  <si>
    <t>18-09-2023 16:00</t>
  </si>
  <si>
    <t>18-09-2023 16:15</t>
  </si>
  <si>
    <t>18-09-2023 16:30</t>
  </si>
  <si>
    <t>18-09-2023 16:45</t>
  </si>
  <si>
    <t>18-09-2023 17:00</t>
  </si>
  <si>
    <t>18-09-2023 17:15</t>
  </si>
  <si>
    <t>18-09-2023 17:30</t>
  </si>
  <si>
    <t>18-09-2023 17:45</t>
  </si>
  <si>
    <t>18-09-2023 18:00</t>
  </si>
  <si>
    <t>18-09-2023 18:15</t>
  </si>
  <si>
    <t>18-09-2023 18:30</t>
  </si>
  <si>
    <t>18-09-2023 18:45</t>
  </si>
  <si>
    <t>18-09-2023 19:00</t>
  </si>
  <si>
    <t>18-09-2023 19:15</t>
  </si>
  <si>
    <t>18-09-2023 19:30</t>
  </si>
  <si>
    <t>18-09-2023 19:45</t>
  </si>
  <si>
    <t>18-09-2023 20:00</t>
  </si>
  <si>
    <t>18-09-2023 20:15</t>
  </si>
  <si>
    <t>18-09-2023 20:30</t>
  </si>
  <si>
    <t>18-09-2023 20:45</t>
  </si>
  <si>
    <t>18-09-2023 21:00</t>
  </si>
  <si>
    <t>18-09-2023 21:15</t>
  </si>
  <si>
    <t>18-09-2023 21:30</t>
  </si>
  <si>
    <t>18-09-2023 21:45</t>
  </si>
  <si>
    <t>18-09-2023 22:00</t>
  </si>
  <si>
    <t>18-09-2023 22:15</t>
  </si>
  <si>
    <t>18-09-2023 22:30</t>
  </si>
  <si>
    <t>18-09-2023 22:45</t>
  </si>
  <si>
    <t>18-09-2023 23:00</t>
  </si>
  <si>
    <t>18-09-2023 23:15</t>
  </si>
  <si>
    <t>18-09-2023 23:30</t>
  </si>
  <si>
    <t>18-09-2023 23:45</t>
  </si>
  <si>
    <t>18-09-2023 24:00</t>
  </si>
  <si>
    <t>19-09-2023 00:15</t>
  </si>
  <si>
    <t>19-09-2023 00:30</t>
  </si>
  <si>
    <t>19-09-2023 00:45</t>
  </si>
  <si>
    <t>19-09-2023 01:00</t>
  </si>
  <si>
    <t>19-09-2023 01:15</t>
  </si>
  <si>
    <t>19-09-2023 01:30</t>
  </si>
  <si>
    <t>19-09-2023 01:45</t>
  </si>
  <si>
    <t>19-09-2023 02:00</t>
  </si>
  <si>
    <t>19-09-2023 02:15</t>
  </si>
  <si>
    <t>19-09-2023 02:30</t>
  </si>
  <si>
    <t>19-09-2023 02:45</t>
  </si>
  <si>
    <t>19-09-2023 03:00</t>
  </si>
  <si>
    <t>19-09-2023 03:15</t>
  </si>
  <si>
    <t>19-09-2023 03:30</t>
  </si>
  <si>
    <t>19-09-2023 03:45</t>
  </si>
  <si>
    <t>19-09-2023 04:00</t>
  </si>
  <si>
    <t>19-09-2023 04:15</t>
  </si>
  <si>
    <t>19-09-2023 04:30</t>
  </si>
  <si>
    <t>19-09-2023 04:45</t>
  </si>
  <si>
    <t>19-09-2023 05:00</t>
  </si>
  <si>
    <t>19-09-2023 05:15</t>
  </si>
  <si>
    <t>19-09-2023 05:30</t>
  </si>
  <si>
    <t>19-09-2023 05:45</t>
  </si>
  <si>
    <t>19-09-2023 06:00</t>
  </si>
  <si>
    <t>19-09-2023 06:15</t>
  </si>
  <si>
    <t>19-09-2023 06:30</t>
  </si>
  <si>
    <t>19-09-2023 06:45</t>
  </si>
  <si>
    <t>19-09-2023 07:00</t>
  </si>
  <si>
    <t>19-09-2023 07:15</t>
  </si>
  <si>
    <t>19-09-2023 07:30</t>
  </si>
  <si>
    <t>19-09-2023 07:45</t>
  </si>
  <si>
    <t>19-09-2023 08:00</t>
  </si>
  <si>
    <t>19-09-2023 08:15</t>
  </si>
  <si>
    <t>19-09-2023 08:30</t>
  </si>
  <si>
    <t>19-09-2023 08:45</t>
  </si>
  <si>
    <t>19-09-2023 09:00</t>
  </si>
  <si>
    <t>19-09-2023 09:15</t>
  </si>
  <si>
    <t>19-09-2023 09:30</t>
  </si>
  <si>
    <t>19-09-2023 09:45</t>
  </si>
  <si>
    <t>19-09-2023 10:00</t>
  </si>
  <si>
    <t>19-09-2023 10:15</t>
  </si>
  <si>
    <t>19-09-2023 10:30</t>
  </si>
  <si>
    <t>19-09-2023 10:45</t>
  </si>
  <si>
    <t>19-09-2023 11:00</t>
  </si>
  <si>
    <t>19-09-2023 11:15</t>
  </si>
  <si>
    <t>19-09-2023 11:30</t>
  </si>
  <si>
    <t>19-09-2023 11:45</t>
  </si>
  <si>
    <t>19-09-2023 12:00</t>
  </si>
  <si>
    <t>19-09-2023 12:15</t>
  </si>
  <si>
    <t>19-09-2023 12:30</t>
  </si>
  <si>
    <t>19-09-2023 12:45</t>
  </si>
  <si>
    <t>19-09-2023 13:00</t>
  </si>
  <si>
    <t>19-09-2023 13:15</t>
  </si>
  <si>
    <t>19-09-2023 13:30</t>
  </si>
  <si>
    <t>19-09-2023 13:45</t>
  </si>
  <si>
    <t>19-09-2023 14:00</t>
  </si>
  <si>
    <t>19-09-2023 14:15</t>
  </si>
  <si>
    <t>19-09-2023 14:30</t>
  </si>
  <si>
    <t>19-09-2023 14:45</t>
  </si>
  <si>
    <t>19-09-2023 15:00</t>
  </si>
  <si>
    <t>19-09-2023 15:15</t>
  </si>
  <si>
    <t>19-09-2023 15:30</t>
  </si>
  <si>
    <t>19-09-2023 15:45</t>
  </si>
  <si>
    <t>19-09-2023 16:00</t>
  </si>
  <si>
    <t>19-09-2023 16:15</t>
  </si>
  <si>
    <t>19-09-2023 16:30</t>
  </si>
  <si>
    <t>19-09-2023 16:45</t>
  </si>
  <si>
    <t>19-09-2023 17:00</t>
  </si>
  <si>
    <t>19-09-2023 17:15</t>
  </si>
  <si>
    <t>19-09-2023 17:30</t>
  </si>
  <si>
    <t>19-09-2023 17:45</t>
  </si>
  <si>
    <t>19-09-2023 18:00</t>
  </si>
  <si>
    <t>19-09-2023 18:15</t>
  </si>
  <si>
    <t>19-09-2023 18:30</t>
  </si>
  <si>
    <t>19-09-2023 18:45</t>
  </si>
  <si>
    <t>19-09-2023 19:00</t>
  </si>
  <si>
    <t>19-09-2023 19:15</t>
  </si>
  <si>
    <t>19-09-2023 19:30</t>
  </si>
  <si>
    <t>19-09-2023 19:45</t>
  </si>
  <si>
    <t>19-09-2023 20:00</t>
  </si>
  <si>
    <t>19-09-2023 20:15</t>
  </si>
  <si>
    <t>19-09-2023 20:30</t>
  </si>
  <si>
    <t>19-09-2023 20:45</t>
  </si>
  <si>
    <t>19-09-2023 21:00</t>
  </si>
  <si>
    <t>19-09-2023 21:15</t>
  </si>
  <si>
    <t>19-09-2023 21:30</t>
  </si>
  <si>
    <t>19-09-2023 21:45</t>
  </si>
  <si>
    <t>19-09-2023 22:00</t>
  </si>
  <si>
    <t>19-09-2023 22:15</t>
  </si>
  <si>
    <t>19-09-2023 22:30</t>
  </si>
  <si>
    <t>19-09-2023 22:45</t>
  </si>
  <si>
    <t>19-09-2023 23:00</t>
  </si>
  <si>
    <t>19-09-2023 23:15</t>
  </si>
  <si>
    <t>19-09-2023 23:30</t>
  </si>
  <si>
    <t>19-09-2023 23:45</t>
  </si>
  <si>
    <t>19-09-2023 24:00</t>
  </si>
  <si>
    <t>20-09-2023 00:15</t>
  </si>
  <si>
    <t>20-09-2023 00:30</t>
  </si>
  <si>
    <t>20-09-2023 00:45</t>
  </si>
  <si>
    <t>20-09-2023 01:00</t>
  </si>
  <si>
    <t>20-09-2023 01:15</t>
  </si>
  <si>
    <t>20-09-2023 01:30</t>
  </si>
  <si>
    <t>20-09-2023 01:45</t>
  </si>
  <si>
    <t>20-09-2023 02:00</t>
  </si>
  <si>
    <t>20-09-2023 02:15</t>
  </si>
  <si>
    <t>20-09-2023 02:30</t>
  </si>
  <si>
    <t>20-09-2023 02:45</t>
  </si>
  <si>
    <t>20-09-2023 03:00</t>
  </si>
  <si>
    <t>20-09-2023 03:15</t>
  </si>
  <si>
    <t>20-09-2023 03:30</t>
  </si>
  <si>
    <t>20-09-2023 03:45</t>
  </si>
  <si>
    <t>20-09-2023 04:00</t>
  </si>
  <si>
    <t>20-09-2023 04:15</t>
  </si>
  <si>
    <t>20-09-2023 04:30</t>
  </si>
  <si>
    <t>20-09-2023 04:45</t>
  </si>
  <si>
    <t>20-09-2023 05:00</t>
  </si>
  <si>
    <t>20-09-2023 05:15</t>
  </si>
  <si>
    <t>20-09-2023 05:30</t>
  </si>
  <si>
    <t>20-09-2023 05:45</t>
  </si>
  <si>
    <t>20-09-2023 06:00</t>
  </si>
  <si>
    <t>20-09-2023 06:15</t>
  </si>
  <si>
    <t>20-09-2023 06:30</t>
  </si>
  <si>
    <t>20-09-2023 06:45</t>
  </si>
  <si>
    <t>20-09-2023 07:00</t>
  </si>
  <si>
    <t>20-09-2023 07:15</t>
  </si>
  <si>
    <t>20-09-2023 07:30</t>
  </si>
  <si>
    <t>20-09-2023 07:45</t>
  </si>
  <si>
    <t>20-09-2023 08:00</t>
  </si>
  <si>
    <t>20-09-2023 08:15</t>
  </si>
  <si>
    <t>20-09-2023 08:30</t>
  </si>
  <si>
    <t>20-09-2023 08:45</t>
  </si>
  <si>
    <t>20-09-2023 09:00</t>
  </si>
  <si>
    <t>20-09-2023 09:15</t>
  </si>
  <si>
    <t>20-09-2023 09:30</t>
  </si>
  <si>
    <t>20-09-2023 09:45</t>
  </si>
  <si>
    <t>20-09-2023 10:00</t>
  </si>
  <si>
    <t>20-09-2023 10:15</t>
  </si>
  <si>
    <t>20-09-2023 10:30</t>
  </si>
  <si>
    <t>20-09-2023 10:45</t>
  </si>
  <si>
    <t>20-09-2023 11:00</t>
  </si>
  <si>
    <t>20-09-2023 11:15</t>
  </si>
  <si>
    <t>20-09-2023 11:30</t>
  </si>
  <si>
    <t>20-09-2023 11:45</t>
  </si>
  <si>
    <t>20-09-2023 12:00</t>
  </si>
  <si>
    <t>20-09-2023 12:15</t>
  </si>
  <si>
    <t>20-09-2023 12:30</t>
  </si>
  <si>
    <t>20-09-2023 12:45</t>
  </si>
  <si>
    <t>20-09-2023 13:00</t>
  </si>
  <si>
    <t>20-09-2023 13:15</t>
  </si>
  <si>
    <t>20-09-2023 13:30</t>
  </si>
  <si>
    <t>20-09-2023 13:45</t>
  </si>
  <si>
    <t>20-09-2023 14:00</t>
  </si>
  <si>
    <t>20-09-2023 14:15</t>
  </si>
  <si>
    <t>20-09-2023 14:30</t>
  </si>
  <si>
    <t>20-09-2023 14:45</t>
  </si>
  <si>
    <t>20-09-2023 15:00</t>
  </si>
  <si>
    <t>20-09-2023 15:15</t>
  </si>
  <si>
    <t>20-09-2023 15:30</t>
  </si>
  <si>
    <t>20-09-2023 15:45</t>
  </si>
  <si>
    <t>20-09-2023 16:00</t>
  </si>
  <si>
    <t>20-09-2023 16:15</t>
  </si>
  <si>
    <t>20-09-2023 16:30</t>
  </si>
  <si>
    <t>20-09-2023 16:45</t>
  </si>
  <si>
    <t>20-09-2023 17:00</t>
  </si>
  <si>
    <t>20-09-2023 17:15</t>
  </si>
  <si>
    <t>20-09-2023 17:30</t>
  </si>
  <si>
    <t>20-09-2023 17:45</t>
  </si>
  <si>
    <t>20-09-2023 18:00</t>
  </si>
  <si>
    <t>20-09-2023 18:15</t>
  </si>
  <si>
    <t>20-09-2023 18:30</t>
  </si>
  <si>
    <t>20-09-2023 18:45</t>
  </si>
  <si>
    <t>20-09-2023 19:00</t>
  </si>
  <si>
    <t>20-09-2023 19:15</t>
  </si>
  <si>
    <t>20-09-2023 19:30</t>
  </si>
  <si>
    <t>20-09-2023 19:45</t>
  </si>
  <si>
    <t>20-09-2023 20:00</t>
  </si>
  <si>
    <t>20-09-2023 20:15</t>
  </si>
  <si>
    <t>20-09-2023 20:30</t>
  </si>
  <si>
    <t>20-09-2023 20:45</t>
  </si>
  <si>
    <t>20-09-2023 21:00</t>
  </si>
  <si>
    <t>20-09-2023 21:15</t>
  </si>
  <si>
    <t>20-09-2023 21:30</t>
  </si>
  <si>
    <t>20-09-2023 21:45</t>
  </si>
  <si>
    <t>20-09-2023 22:00</t>
  </si>
  <si>
    <t>20-09-2023 22:15</t>
  </si>
  <si>
    <t>20-09-2023 22:30</t>
  </si>
  <si>
    <t>20-09-2023 22:45</t>
  </si>
  <si>
    <t>20-09-2023 23:00</t>
  </si>
  <si>
    <t>20-09-2023 23:15</t>
  </si>
  <si>
    <t>20-09-2023 23:30</t>
  </si>
  <si>
    <t>20-09-2023 23:45</t>
  </si>
  <si>
    <t>20-09-2023 24:00</t>
  </si>
  <si>
    <t>21-09-2023 00:15</t>
  </si>
  <si>
    <t>21-09-2023 00:30</t>
  </si>
  <si>
    <t>21-09-2023 00:45</t>
  </si>
  <si>
    <t>21-09-2023 01:00</t>
  </si>
  <si>
    <t>21-09-2023 01:15</t>
  </si>
  <si>
    <t>21-09-2023 01:30</t>
  </si>
  <si>
    <t>21-09-2023 01:45</t>
  </si>
  <si>
    <t>21-09-2023 02:00</t>
  </si>
  <si>
    <t>21-09-2023 02:15</t>
  </si>
  <si>
    <t>21-09-2023 02:30</t>
  </si>
  <si>
    <t>21-09-2023 02:45</t>
  </si>
  <si>
    <t>21-09-2023 03:00</t>
  </si>
  <si>
    <t>21-09-2023 03:15</t>
  </si>
  <si>
    <t>21-09-2023 03:30</t>
  </si>
  <si>
    <t>21-09-2023 03:45</t>
  </si>
  <si>
    <t>21-09-2023 04:00</t>
  </si>
  <si>
    <t>21-09-2023 04:15</t>
  </si>
  <si>
    <t>21-09-2023 04:30</t>
  </si>
  <si>
    <t>21-09-2023 04:45</t>
  </si>
  <si>
    <t>21-09-2023 05:00</t>
  </si>
  <si>
    <t>21-09-2023 05:15</t>
  </si>
  <si>
    <t>21-09-2023 05:30</t>
  </si>
  <si>
    <t>21-09-2023 05:45</t>
  </si>
  <si>
    <t>21-09-2023 06:00</t>
  </si>
  <si>
    <t>21-09-2023 06:15</t>
  </si>
  <si>
    <t>21-09-2023 06:30</t>
  </si>
  <si>
    <t>21-09-2023 06:45</t>
  </si>
  <si>
    <t>21-09-2023 07:00</t>
  </si>
  <si>
    <t>21-09-2023 07:15</t>
  </si>
  <si>
    <t>21-09-2023 07:30</t>
  </si>
  <si>
    <t>21-09-2023 07:45</t>
  </si>
  <si>
    <t>21-09-2023 08:00</t>
  </si>
  <si>
    <t>21-09-2023 08:15</t>
  </si>
  <si>
    <t>21-09-2023 08:30</t>
  </si>
  <si>
    <t>21-09-2023 08:45</t>
  </si>
  <si>
    <t>21-09-2023 09:00</t>
  </si>
  <si>
    <t>21-09-2023 09:15</t>
  </si>
  <si>
    <t>21-09-2023 09:30</t>
  </si>
  <si>
    <t>21-09-2023 09:45</t>
  </si>
  <si>
    <t>21-09-2023 10:00</t>
  </si>
  <si>
    <t>21-09-2023 10:15</t>
  </si>
  <si>
    <t>21-09-2023 10:30</t>
  </si>
  <si>
    <t>21-09-2023 10:45</t>
  </si>
  <si>
    <t>21-09-2023 11:00</t>
  </si>
  <si>
    <t>21-09-2023 11:15</t>
  </si>
  <si>
    <t>21-09-2023 11:30</t>
  </si>
  <si>
    <t>21-09-2023 11:45</t>
  </si>
  <si>
    <t>21-09-2023 12:00</t>
  </si>
  <si>
    <t>21-09-2023 12:15</t>
  </si>
  <si>
    <t>21-09-2023 12:30</t>
  </si>
  <si>
    <t>21-09-2023 12:45</t>
  </si>
  <si>
    <t>21-09-2023 13:00</t>
  </si>
  <si>
    <t>21-09-2023 13:15</t>
  </si>
  <si>
    <t>21-09-2023 13:30</t>
  </si>
  <si>
    <t>21-09-2023 13:45</t>
  </si>
  <si>
    <t>21-09-2023 14:00</t>
  </si>
  <si>
    <t>21-09-2023 14:15</t>
  </si>
  <si>
    <t>21-09-2023 14:30</t>
  </si>
  <si>
    <t>21-09-2023 14:45</t>
  </si>
  <si>
    <t>21-09-2023 15:00</t>
  </si>
  <si>
    <t>21-09-2023 15:15</t>
  </si>
  <si>
    <t>21-09-2023 15:30</t>
  </si>
  <si>
    <t>21-09-2023 15:45</t>
  </si>
  <si>
    <t>21-09-2023 16:00</t>
  </si>
  <si>
    <t>21-09-2023 16:15</t>
  </si>
  <si>
    <t>21-09-2023 16:30</t>
  </si>
  <si>
    <t>21-09-2023 16:45</t>
  </si>
  <si>
    <t>21-09-2023 17:00</t>
  </si>
  <si>
    <t>21-09-2023 17:15</t>
  </si>
  <si>
    <t>21-09-2023 17:30</t>
  </si>
  <si>
    <t>21-09-2023 17:45</t>
  </si>
  <si>
    <t>21-09-2023 18:00</t>
  </si>
  <si>
    <t>21-09-2023 18:15</t>
  </si>
  <si>
    <t>21-09-2023 18:30</t>
  </si>
  <si>
    <t>21-09-2023 18:45</t>
  </si>
  <si>
    <t>21-09-2023 19:00</t>
  </si>
  <si>
    <t>21-09-2023 19:15</t>
  </si>
  <si>
    <t>21-09-2023 19:30</t>
  </si>
  <si>
    <t>21-09-2023 19:45</t>
  </si>
  <si>
    <t>21-09-2023 20:00</t>
  </si>
  <si>
    <t>21-09-2023 20:15</t>
  </si>
  <si>
    <t>21-09-2023 20:30</t>
  </si>
  <si>
    <t>21-09-2023 20:45</t>
  </si>
  <si>
    <t>21-09-2023 21:00</t>
  </si>
  <si>
    <t>21-09-2023 21:15</t>
  </si>
  <si>
    <t>21-09-2023 21:30</t>
  </si>
  <si>
    <t>21-09-2023 21:45</t>
  </si>
  <si>
    <t>21-09-2023 22:00</t>
  </si>
  <si>
    <t>21-09-2023 22:15</t>
  </si>
  <si>
    <t>21-09-2023 22:30</t>
  </si>
  <si>
    <t>21-09-2023 22:45</t>
  </si>
  <si>
    <t>21-09-2023 23:00</t>
  </si>
  <si>
    <t>21-09-2023 23:15</t>
  </si>
  <si>
    <t>21-09-2023 23:30</t>
  </si>
  <si>
    <t>21-09-2023 23:45</t>
  </si>
  <si>
    <t>21-09-2023 24:00</t>
  </si>
  <si>
    <t>22-09-2023 00:15</t>
  </si>
  <si>
    <t>22-09-2023 00:30</t>
  </si>
  <si>
    <t>22-09-2023 00:45</t>
  </si>
  <si>
    <t>22-09-2023 01:00</t>
  </si>
  <si>
    <t>22-09-2023 01:15</t>
  </si>
  <si>
    <t>22-09-2023 01:30</t>
  </si>
  <si>
    <t>22-09-2023 01:45</t>
  </si>
  <si>
    <t>22-09-2023 02:00</t>
  </si>
  <si>
    <t>22-09-2023 02:15</t>
  </si>
  <si>
    <t>22-09-2023 02:30</t>
  </si>
  <si>
    <t>22-09-2023 02:45</t>
  </si>
  <si>
    <t>22-09-2023 03:00</t>
  </si>
  <si>
    <t>22-09-2023 03:15</t>
  </si>
  <si>
    <t>22-09-2023 03:30</t>
  </si>
  <si>
    <t>22-09-2023 03:45</t>
  </si>
  <si>
    <t>22-09-2023 04:00</t>
  </si>
  <si>
    <t>22-09-2023 04:15</t>
  </si>
  <si>
    <t>22-09-2023 04:30</t>
  </si>
  <si>
    <t>22-09-2023 04:45</t>
  </si>
  <si>
    <t>22-09-2023 05:00</t>
  </si>
  <si>
    <t>22-09-2023 05:15</t>
  </si>
  <si>
    <t>22-09-2023 05:30</t>
  </si>
  <si>
    <t>22-09-2023 05:45</t>
  </si>
  <si>
    <t>22-09-2023 06:00</t>
  </si>
  <si>
    <t>22-09-2023 06:15</t>
  </si>
  <si>
    <t>22-09-2023 06:30</t>
  </si>
  <si>
    <t>22-09-2023 06:45</t>
  </si>
  <si>
    <t>22-09-2023 07:00</t>
  </si>
  <si>
    <t>22-09-2023 07:15</t>
  </si>
  <si>
    <t>22-09-2023 07:30</t>
  </si>
  <si>
    <t>22-09-2023 07:45</t>
  </si>
  <si>
    <t>22-09-2023 08:00</t>
  </si>
  <si>
    <t>22-09-2023 08:15</t>
  </si>
  <si>
    <t>22-09-2023 08:30</t>
  </si>
  <si>
    <t>22-09-2023 08:45</t>
  </si>
  <si>
    <t>22-09-2023 09:00</t>
  </si>
  <si>
    <t>22-09-2023 09:15</t>
  </si>
  <si>
    <t>22-09-2023 09:30</t>
  </si>
  <si>
    <t>22-09-2023 09:45</t>
  </si>
  <si>
    <t>22-09-2023 10:00</t>
  </si>
  <si>
    <t>22-09-2023 10:15</t>
  </si>
  <si>
    <t>22-09-2023 10:30</t>
  </si>
  <si>
    <t>22-09-2023 10:45</t>
  </si>
  <si>
    <t>22-09-2023 11:00</t>
  </si>
  <si>
    <t>22-09-2023 11:15</t>
  </si>
  <si>
    <t>22-09-2023 11:30</t>
  </si>
  <si>
    <t>22-09-2023 11:45</t>
  </si>
  <si>
    <t>22-09-2023 12:00</t>
  </si>
  <si>
    <t>22-09-2023 12:15</t>
  </si>
  <si>
    <t>22-09-2023 12:30</t>
  </si>
  <si>
    <t>22-09-2023 12:45</t>
  </si>
  <si>
    <t>22-09-2023 13:00</t>
  </si>
  <si>
    <t>22-09-2023 13:15</t>
  </si>
  <si>
    <t>22-09-2023 13:30</t>
  </si>
  <si>
    <t>22-09-2023 13:45</t>
  </si>
  <si>
    <t>22-09-2023 14:00</t>
  </si>
  <si>
    <t>22-09-2023 14:15</t>
  </si>
  <si>
    <t>22-09-2023 14:30</t>
  </si>
  <si>
    <t>22-09-2023 14:45</t>
  </si>
  <si>
    <t>22-09-2023 15:00</t>
  </si>
  <si>
    <t>22-09-2023 15:15</t>
  </si>
  <si>
    <t>22-09-2023 15:30</t>
  </si>
  <si>
    <t>22-09-2023 15:45</t>
  </si>
  <si>
    <t>22-09-2023 16:00</t>
  </si>
  <si>
    <t>22-09-2023 16:15</t>
  </si>
  <si>
    <t>22-09-2023 16:30</t>
  </si>
  <si>
    <t>22-09-2023 16:45</t>
  </si>
  <si>
    <t>22-09-2023 17:00</t>
  </si>
  <si>
    <t>22-09-2023 17:15</t>
  </si>
  <si>
    <t>22-09-2023 17:30</t>
  </si>
  <si>
    <t>22-09-2023 17:45</t>
  </si>
  <si>
    <t>22-09-2023 18:00</t>
  </si>
  <si>
    <t>22-09-2023 18:15</t>
  </si>
  <si>
    <t>22-09-2023 18:30</t>
  </si>
  <si>
    <t>22-09-2023 18:45</t>
  </si>
  <si>
    <t>22-09-2023 19:00</t>
  </si>
  <si>
    <t>22-09-2023 19:15</t>
  </si>
  <si>
    <t>22-09-2023 19:30</t>
  </si>
  <si>
    <t>22-09-2023 19:45</t>
  </si>
  <si>
    <t>22-09-2023 20:00</t>
  </si>
  <si>
    <t>22-09-2023 20:15</t>
  </si>
  <si>
    <t>22-09-2023 20:30</t>
  </si>
  <si>
    <t>22-09-2023 20:45</t>
  </si>
  <si>
    <t>22-09-2023 21:00</t>
  </si>
  <si>
    <t>22-09-2023 21:15</t>
  </si>
  <si>
    <t>22-09-2023 21:30</t>
  </si>
  <si>
    <t>22-09-2023 21:45</t>
  </si>
  <si>
    <t>22-09-2023 22:00</t>
  </si>
  <si>
    <t>22-09-2023 22:15</t>
  </si>
  <si>
    <t>22-09-2023 22:30</t>
  </si>
  <si>
    <t>22-09-2023 22:45</t>
  </si>
  <si>
    <t>22-09-2023 23:00</t>
  </si>
  <si>
    <t>22-09-2023 23:15</t>
  </si>
  <si>
    <t>22-09-2023 23:30</t>
  </si>
  <si>
    <t>22-09-2023 23:45</t>
  </si>
  <si>
    <t>22-09-2023 24:00</t>
  </si>
  <si>
    <t>23-09-2023 00:15</t>
  </si>
  <si>
    <t>23-09-2023 00:30</t>
  </si>
  <si>
    <t>23-09-2023 00:45</t>
  </si>
  <si>
    <t>23-09-2023 01:00</t>
  </si>
  <si>
    <t>23-09-2023 01:15</t>
  </si>
  <si>
    <t>23-09-2023 01:30</t>
  </si>
  <si>
    <t>23-09-2023 01:45</t>
  </si>
  <si>
    <t>23-09-2023 02:00</t>
  </si>
  <si>
    <t>23-09-2023 02:15</t>
  </si>
  <si>
    <t>23-09-2023 02:30</t>
  </si>
  <si>
    <t>23-09-2023 02:45</t>
  </si>
  <si>
    <t>23-09-2023 03:00</t>
  </si>
  <si>
    <t>23-09-2023 03:15</t>
  </si>
  <si>
    <t>23-09-2023 03:30</t>
  </si>
  <si>
    <t>23-09-2023 03:45</t>
  </si>
  <si>
    <t>23-09-2023 04:00</t>
  </si>
  <si>
    <t>23-09-2023 04:15</t>
  </si>
  <si>
    <t>23-09-2023 04:30</t>
  </si>
  <si>
    <t>23-09-2023 04:45</t>
  </si>
  <si>
    <t>23-09-2023 05:00</t>
  </si>
  <si>
    <t>23-09-2023 05:15</t>
  </si>
  <si>
    <t>23-09-2023 05:30</t>
  </si>
  <si>
    <t>23-09-2023 05:45</t>
  </si>
  <si>
    <t>23-09-2023 06:00</t>
  </si>
  <si>
    <t>23-09-2023 06:15</t>
  </si>
  <si>
    <t>23-09-2023 06:30</t>
  </si>
  <si>
    <t>23-09-2023 06:45</t>
  </si>
  <si>
    <t>23-09-2023 07:00</t>
  </si>
  <si>
    <t>23-09-2023 07:15</t>
  </si>
  <si>
    <t>23-09-2023 07:30</t>
  </si>
  <si>
    <t>23-09-2023 07:45</t>
  </si>
  <si>
    <t>23-09-2023 08:00</t>
  </si>
  <si>
    <t>23-09-2023 08:15</t>
  </si>
  <si>
    <t>23-09-2023 08:30</t>
  </si>
  <si>
    <t>23-09-2023 08:45</t>
  </si>
  <si>
    <t>23-09-2023 09:00</t>
  </si>
  <si>
    <t>23-09-2023 09:15</t>
  </si>
  <si>
    <t>23-09-2023 09:30</t>
  </si>
  <si>
    <t>23-09-2023 09:45</t>
  </si>
  <si>
    <t>23-09-2023 10:00</t>
  </si>
  <si>
    <t>23-09-2023 10:15</t>
  </si>
  <si>
    <t>23-09-2023 10:30</t>
  </si>
  <si>
    <t>23-09-2023 10:45</t>
  </si>
  <si>
    <t>23-09-2023 11:00</t>
  </si>
  <si>
    <t>23-09-2023 11:15</t>
  </si>
  <si>
    <t>23-09-2023 11:30</t>
  </si>
  <si>
    <t>23-09-2023 11:45</t>
  </si>
  <si>
    <t>23-09-2023 12:00</t>
  </si>
  <si>
    <t>23-09-2023 12:15</t>
  </si>
  <si>
    <t>23-09-2023 12:30</t>
  </si>
  <si>
    <t>23-09-2023 12:45</t>
  </si>
  <si>
    <t>23-09-2023 13:00</t>
  </si>
  <si>
    <t>23-09-2023 13:15</t>
  </si>
  <si>
    <t>23-09-2023 13:30</t>
  </si>
  <si>
    <t>23-09-2023 13:45</t>
  </si>
  <si>
    <t>23-09-2023 14:00</t>
  </si>
  <si>
    <t>23-09-2023 14:15</t>
  </si>
  <si>
    <t>23-09-2023 14:30</t>
  </si>
  <si>
    <t>23-09-2023 14:45</t>
  </si>
  <si>
    <t>23-09-2023 15:00</t>
  </si>
  <si>
    <t>23-09-2023 15:15</t>
  </si>
  <si>
    <t>23-09-2023 15:30</t>
  </si>
  <si>
    <t>23-09-2023 15:45</t>
  </si>
  <si>
    <t>23-09-2023 16:00</t>
  </si>
  <si>
    <t>23-09-2023 16:15</t>
  </si>
  <si>
    <t>23-09-2023 16:30</t>
  </si>
  <si>
    <t>23-09-2023 16:45</t>
  </si>
  <si>
    <t>23-09-2023 17:00</t>
  </si>
  <si>
    <t>23-09-2023 17:15</t>
  </si>
  <si>
    <t>23-09-2023 17:30</t>
  </si>
  <si>
    <t>23-09-2023 17:45</t>
  </si>
  <si>
    <t>23-09-2023 18:00</t>
  </si>
  <si>
    <t>23-09-2023 18:15</t>
  </si>
  <si>
    <t>23-09-2023 18:30</t>
  </si>
  <si>
    <t>23-09-2023 18:45</t>
  </si>
  <si>
    <t>23-09-2023 19:00</t>
  </si>
  <si>
    <t>23-09-2023 19:15</t>
  </si>
  <si>
    <t>23-09-2023 19:30</t>
  </si>
  <si>
    <t>23-09-2023 19:45</t>
  </si>
  <si>
    <t>23-09-2023 20:00</t>
  </si>
  <si>
    <t>23-09-2023 20:15</t>
  </si>
  <si>
    <t>23-09-2023 20:30</t>
  </si>
  <si>
    <t>23-09-2023 20:45</t>
  </si>
  <si>
    <t>23-09-2023 21:00</t>
  </si>
  <si>
    <t>23-09-2023 21:15</t>
  </si>
  <si>
    <t>23-09-2023 21:30</t>
  </si>
  <si>
    <t>23-09-2023 21:45</t>
  </si>
  <si>
    <t>23-09-2023 22:00</t>
  </si>
  <si>
    <t>23-09-2023 22:15</t>
  </si>
  <si>
    <t>23-09-2023 22:30</t>
  </si>
  <si>
    <t>23-09-2023 22:45</t>
  </si>
  <si>
    <t>23-09-2023 23:00</t>
  </si>
  <si>
    <t>23-09-2023 23:15</t>
  </si>
  <si>
    <t>23-09-2023 23:30</t>
  </si>
  <si>
    <t>23-09-2023 23:45</t>
  </si>
  <si>
    <t>23-09-2023 24:00</t>
  </si>
  <si>
    <t>24-09-2023 00:15</t>
  </si>
  <si>
    <t>24-09-2023 00:30</t>
  </si>
  <si>
    <t>24-09-2023 00:45</t>
  </si>
  <si>
    <t>24-09-2023 01:00</t>
  </si>
  <si>
    <t>24-09-2023 01:15</t>
  </si>
  <si>
    <t>24-09-2023 01:30</t>
  </si>
  <si>
    <t>24-09-2023 01:45</t>
  </si>
  <si>
    <t>24-09-2023 02:00</t>
  </si>
  <si>
    <t>24-09-2023 02:15</t>
  </si>
  <si>
    <t>24-09-2023 02:30</t>
  </si>
  <si>
    <t>24-09-2023 02:45</t>
  </si>
  <si>
    <t>24-09-2023 03:00</t>
  </si>
  <si>
    <t>24-09-2023 03:15</t>
  </si>
  <si>
    <t>24-09-2023 03:30</t>
  </si>
  <si>
    <t>24-09-2023 03:45</t>
  </si>
  <si>
    <t>24-09-2023 04:00</t>
  </si>
  <si>
    <t>24-09-2023 04:15</t>
  </si>
  <si>
    <t>24-09-2023 04:30</t>
  </si>
  <si>
    <t>24-09-2023 04:45</t>
  </si>
  <si>
    <t>24-09-2023 05:00</t>
  </si>
  <si>
    <t>24-09-2023 05:15</t>
  </si>
  <si>
    <t>24-09-2023 05:30</t>
  </si>
  <si>
    <t>24-09-2023 05:45</t>
  </si>
  <si>
    <t>24-09-2023 06:00</t>
  </si>
  <si>
    <t>24-09-2023 06:15</t>
  </si>
  <si>
    <t>24-09-2023 06:30</t>
  </si>
  <si>
    <t>24-09-2023 06:45</t>
  </si>
  <si>
    <t>24-09-2023 07:00</t>
  </si>
  <si>
    <t>24-09-2023 07:15</t>
  </si>
  <si>
    <t>24-09-2023 07:30</t>
  </si>
  <si>
    <t>24-09-2023 07:45</t>
  </si>
  <si>
    <t>24-09-2023 08:00</t>
  </si>
  <si>
    <t>24-09-2023 08:15</t>
  </si>
  <si>
    <t>24-09-2023 08:30</t>
  </si>
  <si>
    <t>24-09-2023 08:45</t>
  </si>
  <si>
    <t>24-09-2023 09:00</t>
  </si>
  <si>
    <t>24-09-2023 09:15</t>
  </si>
  <si>
    <t>24-09-2023 09:30</t>
  </si>
  <si>
    <t>24-09-2023 09:45</t>
  </si>
  <si>
    <t>24-09-2023 10:00</t>
  </si>
  <si>
    <t>24-09-2023 10:15</t>
  </si>
  <si>
    <t>24-09-2023 10:30</t>
  </si>
  <si>
    <t>24-09-2023 10:45</t>
  </si>
  <si>
    <t>24-09-2023 11:00</t>
  </si>
  <si>
    <t>24-09-2023 11:15</t>
  </si>
  <si>
    <t>24-09-2023 11:30</t>
  </si>
  <si>
    <t>24-09-2023 11:45</t>
  </si>
  <si>
    <t>24-09-2023 12:00</t>
  </si>
  <si>
    <t>24-09-2023 12:15</t>
  </si>
  <si>
    <t>24-09-2023 12:30</t>
  </si>
  <si>
    <t>24-09-2023 12:45</t>
  </si>
  <si>
    <t>24-09-2023 13:00</t>
  </si>
  <si>
    <t>24-09-2023 13:15</t>
  </si>
  <si>
    <t>24-09-2023 13:30</t>
  </si>
  <si>
    <t>24-09-2023 13:45</t>
  </si>
  <si>
    <t>24-09-2023 14:00</t>
  </si>
  <si>
    <t>24-09-2023 14:15</t>
  </si>
  <si>
    <t>24-09-2023 14:30</t>
  </si>
  <si>
    <t>24-09-2023 14:45</t>
  </si>
  <si>
    <t>24-09-2023 15:00</t>
  </si>
  <si>
    <t>24-09-2023 15:15</t>
  </si>
  <si>
    <t>24-09-2023 15:30</t>
  </si>
  <si>
    <t>24-09-2023 15:45</t>
  </si>
  <si>
    <t>24-09-2023 16:00</t>
  </si>
  <si>
    <t>24-09-2023 16:15</t>
  </si>
  <si>
    <t>24-09-2023 16:30</t>
  </si>
  <si>
    <t>24-09-2023 16:45</t>
  </si>
  <si>
    <t>24-09-2023 17:00</t>
  </si>
  <si>
    <t>24-09-2023 17:15</t>
  </si>
  <si>
    <t>24-09-2023 17:30</t>
  </si>
  <si>
    <t>24-09-2023 17:45</t>
  </si>
  <si>
    <t>24-09-2023 18:00</t>
  </si>
  <si>
    <t>24-09-2023 18:15</t>
  </si>
  <si>
    <t>24-09-2023 18:30</t>
  </si>
  <si>
    <t>24-09-2023 18:45</t>
  </si>
  <si>
    <t>24-09-2023 19:00</t>
  </si>
  <si>
    <t>24-09-2023 19:15</t>
  </si>
  <si>
    <t>24-09-2023 19:30</t>
  </si>
  <si>
    <t>24-09-2023 19:45</t>
  </si>
  <si>
    <t>24-09-2023 20:00</t>
  </si>
  <si>
    <t>24-09-2023 20:15</t>
  </si>
  <si>
    <t>24-09-2023 20:30</t>
  </si>
  <si>
    <t>24-09-2023 20:45</t>
  </si>
  <si>
    <t>24-09-2023 21:00</t>
  </si>
  <si>
    <t>24-09-2023 21:15</t>
  </si>
  <si>
    <t>24-09-2023 21:30</t>
  </si>
  <si>
    <t>24-09-2023 21:45</t>
  </si>
  <si>
    <t>24-09-2023 22:00</t>
  </si>
  <si>
    <t>24-09-2023 22:15</t>
  </si>
  <si>
    <t>24-09-2023 22:30</t>
  </si>
  <si>
    <t>24-09-2023 22:45</t>
  </si>
  <si>
    <t>24-09-2023 23:00</t>
  </si>
  <si>
    <t>24-09-2023 23:15</t>
  </si>
  <si>
    <t>24-09-2023 23:30</t>
  </si>
  <si>
    <t>24-09-2023 23:45</t>
  </si>
  <si>
    <t>24-09-2023 24:00</t>
  </si>
  <si>
    <t>25-09-2023 00:15</t>
  </si>
  <si>
    <t>25-09-2023 00:30</t>
  </si>
  <si>
    <t>25-09-2023 00:45</t>
  </si>
  <si>
    <t>25-09-2023 01:00</t>
  </si>
  <si>
    <t>25-09-2023 01:15</t>
  </si>
  <si>
    <t>25-09-2023 01:30</t>
  </si>
  <si>
    <t>25-09-2023 01:45</t>
  </si>
  <si>
    <t>25-09-2023 02:00</t>
  </si>
  <si>
    <t>25-09-2023 02:15</t>
  </si>
  <si>
    <t>25-09-2023 02:30</t>
  </si>
  <si>
    <t>25-09-2023 02:45</t>
  </si>
  <si>
    <t>25-09-2023 03:00</t>
  </si>
  <si>
    <t>25-09-2023 03:15</t>
  </si>
  <si>
    <t>25-09-2023 03:30</t>
  </si>
  <si>
    <t>25-09-2023 03:45</t>
  </si>
  <si>
    <t>25-09-2023 04:00</t>
  </si>
  <si>
    <t>25-09-2023 04:15</t>
  </si>
  <si>
    <t>25-09-2023 04:30</t>
  </si>
  <si>
    <t>25-09-2023 04:45</t>
  </si>
  <si>
    <t>25-09-2023 05:00</t>
  </si>
  <si>
    <t>25-09-2023 05:15</t>
  </si>
  <si>
    <t>25-09-2023 05:30</t>
  </si>
  <si>
    <t>25-09-2023 05:45</t>
  </si>
  <si>
    <t>25-09-2023 06:00</t>
  </si>
  <si>
    <t>25-09-2023 06:15</t>
  </si>
  <si>
    <t>25-09-2023 06:30</t>
  </si>
  <si>
    <t>25-09-2023 06:45</t>
  </si>
  <si>
    <t>25-09-2023 07:00</t>
  </si>
  <si>
    <t>25-09-2023 07:15</t>
  </si>
  <si>
    <t>25-09-2023 07:30</t>
  </si>
  <si>
    <t>25-09-2023 07:45</t>
  </si>
  <si>
    <t>25-09-2023 08:00</t>
  </si>
  <si>
    <t>25-09-2023 08:15</t>
  </si>
  <si>
    <t>25-09-2023 08:30</t>
  </si>
  <si>
    <t>25-09-2023 08:45</t>
  </si>
  <si>
    <t>25-09-2023 09:00</t>
  </si>
  <si>
    <t>25-09-2023 09:15</t>
  </si>
  <si>
    <t>25-09-2023 09:30</t>
  </si>
  <si>
    <t>25-09-2023 09:45</t>
  </si>
  <si>
    <t>25-09-2023 10:00</t>
  </si>
  <si>
    <t>25-09-2023 10:15</t>
  </si>
  <si>
    <t>25-09-2023 10:30</t>
  </si>
  <si>
    <t>25-09-2023 10:45</t>
  </si>
  <si>
    <t>25-09-2023 11:00</t>
  </si>
  <si>
    <t>25-09-2023 11:15</t>
  </si>
  <si>
    <t>25-09-2023 11:30</t>
  </si>
  <si>
    <t>25-09-2023 11:45</t>
  </si>
  <si>
    <t>25-09-2023 12:00</t>
  </si>
  <si>
    <t>25-09-2023 12:15</t>
  </si>
  <si>
    <t>25-09-2023 12:30</t>
  </si>
  <si>
    <t>25-09-2023 12:45</t>
  </si>
  <si>
    <t>25-09-2023 13:00</t>
  </si>
  <si>
    <t>25-09-2023 13:15</t>
  </si>
  <si>
    <t>25-09-2023 13:30</t>
  </si>
  <si>
    <t>25-09-2023 13:45</t>
  </si>
  <si>
    <t>25-09-2023 14:00</t>
  </si>
  <si>
    <t>25-09-2023 14:15</t>
  </si>
  <si>
    <t>25-09-2023 14:30</t>
  </si>
  <si>
    <t>25-09-2023 14:45</t>
  </si>
  <si>
    <t>25-09-2023 15:00</t>
  </si>
  <si>
    <t>25-09-2023 15:15</t>
  </si>
  <si>
    <t>25-09-2023 15:30</t>
  </si>
  <si>
    <t>25-09-2023 15:45</t>
  </si>
  <si>
    <t>25-09-2023 16:00</t>
  </si>
  <si>
    <t>25-09-2023 16:15</t>
  </si>
  <si>
    <t>25-09-2023 16:30</t>
  </si>
  <si>
    <t>25-09-2023 16:45</t>
  </si>
  <si>
    <t>25-09-2023 17:00</t>
  </si>
  <si>
    <t>25-09-2023 17:15</t>
  </si>
  <si>
    <t>25-09-2023 17:30</t>
  </si>
  <si>
    <t>25-09-2023 17:45</t>
  </si>
  <si>
    <t>25-09-2023 18:00</t>
  </si>
  <si>
    <t>25-09-2023 18:15</t>
  </si>
  <si>
    <t>25-09-2023 18:30</t>
  </si>
  <si>
    <t>25-09-2023 18:45</t>
  </si>
  <si>
    <t>25-09-2023 19:00</t>
  </si>
  <si>
    <t>25-09-2023 19:15</t>
  </si>
  <si>
    <t>25-09-2023 19:30</t>
  </si>
  <si>
    <t>25-09-2023 19:45</t>
  </si>
  <si>
    <t>25-09-2023 20:00</t>
  </si>
  <si>
    <t>25-09-2023 20:15</t>
  </si>
  <si>
    <t>25-09-2023 20:30</t>
  </si>
  <si>
    <t>25-09-2023 20:45</t>
  </si>
  <si>
    <t>25-09-2023 21:00</t>
  </si>
  <si>
    <t>25-09-2023 21:15</t>
  </si>
  <si>
    <t>25-09-2023 21:30</t>
  </si>
  <si>
    <t>25-09-2023 21:45</t>
  </si>
  <si>
    <t>25-09-2023 22:00</t>
  </si>
  <si>
    <t>25-09-2023 22:15</t>
  </si>
  <si>
    <t>25-09-2023 22:30</t>
  </si>
  <si>
    <t>25-09-2023 22:45</t>
  </si>
  <si>
    <t>25-09-2023 23:00</t>
  </si>
  <si>
    <t>25-09-2023 23:15</t>
  </si>
  <si>
    <t>25-09-2023 23:30</t>
  </si>
  <si>
    <t>25-09-2023 23:45</t>
  </si>
  <si>
    <t>25-09-2023 24:00</t>
  </si>
  <si>
    <t>26-09-2023 00:15</t>
  </si>
  <si>
    <t>26-09-2023 00:30</t>
  </si>
  <si>
    <t>26-09-2023 00:45</t>
  </si>
  <si>
    <t>26-09-2023 01:00</t>
  </si>
  <si>
    <t>26-09-2023 01:15</t>
  </si>
  <si>
    <t>26-09-2023 01:30</t>
  </si>
  <si>
    <t>26-09-2023 01:45</t>
  </si>
  <si>
    <t>26-09-2023 02:00</t>
  </si>
  <si>
    <t>26-09-2023 02:15</t>
  </si>
  <si>
    <t>26-09-2023 02:30</t>
  </si>
  <si>
    <t>26-09-2023 02:45</t>
  </si>
  <si>
    <t>26-09-2023 03:00</t>
  </si>
  <si>
    <t>26-09-2023 03:15</t>
  </si>
  <si>
    <t>26-09-2023 03:30</t>
  </si>
  <si>
    <t>26-09-2023 03:45</t>
  </si>
  <si>
    <t>26-09-2023 04:00</t>
  </si>
  <si>
    <t>26-09-2023 04:15</t>
  </si>
  <si>
    <t>26-09-2023 04:30</t>
  </si>
  <si>
    <t>26-09-2023 04:45</t>
  </si>
  <si>
    <t>26-09-2023 05:00</t>
  </si>
  <si>
    <t>26-09-2023 05:15</t>
  </si>
  <si>
    <t>26-09-2023 05:30</t>
  </si>
  <si>
    <t>26-09-2023 05:45</t>
  </si>
  <si>
    <t>26-09-2023 06:00</t>
  </si>
  <si>
    <t>26-09-2023 06:15</t>
  </si>
  <si>
    <t>26-09-2023 06:30</t>
  </si>
  <si>
    <t>26-09-2023 06:45</t>
  </si>
  <si>
    <t>26-09-2023 07:00</t>
  </si>
  <si>
    <t>26-09-2023 07:15</t>
  </si>
  <si>
    <t>26-09-2023 07:30</t>
  </si>
  <si>
    <t>26-09-2023 07:45</t>
  </si>
  <si>
    <t>26-09-2023 08:00</t>
  </si>
  <si>
    <t>26-09-2023 08:15</t>
  </si>
  <si>
    <t>26-09-2023 08:30</t>
  </si>
  <si>
    <t>26-09-2023 08:45</t>
  </si>
  <si>
    <t>26-09-2023 09:00</t>
  </si>
  <si>
    <t>26-09-2023 09:15</t>
  </si>
  <si>
    <t>26-09-2023 09:30</t>
  </si>
  <si>
    <t>26-09-2023 09:45</t>
  </si>
  <si>
    <t>26-09-2023 10:00</t>
  </si>
  <si>
    <t>26-09-2023 10:15</t>
  </si>
  <si>
    <t>26-09-2023 10:30</t>
  </si>
  <si>
    <t>26-09-2023 10:45</t>
  </si>
  <si>
    <t>26-09-2023 11:00</t>
  </si>
  <si>
    <t>26-09-2023 11:15</t>
  </si>
  <si>
    <t>26-09-2023 11:30</t>
  </si>
  <si>
    <t>26-09-2023 11:45</t>
  </si>
  <si>
    <t>26-09-2023 12:00</t>
  </si>
  <si>
    <t>26-09-2023 12:15</t>
  </si>
  <si>
    <t>26-09-2023 12:30</t>
  </si>
  <si>
    <t>26-09-2023 12:45</t>
  </si>
  <si>
    <t>26-09-2023 13:00</t>
  </si>
  <si>
    <t>26-09-2023 13:15</t>
  </si>
  <si>
    <t>26-09-2023 13:30</t>
  </si>
  <si>
    <t>26-09-2023 13:45</t>
  </si>
  <si>
    <t>26-09-2023 14:00</t>
  </si>
  <si>
    <t>26-09-2023 14:15</t>
  </si>
  <si>
    <t>26-09-2023 14:30</t>
  </si>
  <si>
    <t>26-09-2023 14:45</t>
  </si>
  <si>
    <t>26-09-2023 15:00</t>
  </si>
  <si>
    <t>26-09-2023 15:15</t>
  </si>
  <si>
    <t>26-09-2023 15:30</t>
  </si>
  <si>
    <t>26-09-2023 15:45</t>
  </si>
  <si>
    <t>26-09-2023 16:00</t>
  </si>
  <si>
    <t>26-09-2023 16:15</t>
  </si>
  <si>
    <t>26-09-2023 16:30</t>
  </si>
  <si>
    <t>26-09-2023 16:45</t>
  </si>
  <si>
    <t>26-09-2023 17:00</t>
  </si>
  <si>
    <t>26-09-2023 17:15</t>
  </si>
  <si>
    <t>26-09-2023 17:30</t>
  </si>
  <si>
    <t>26-09-2023 17:45</t>
  </si>
  <si>
    <t>26-09-2023 18:00</t>
  </si>
  <si>
    <t>26-09-2023 18:15</t>
  </si>
  <si>
    <t>26-09-2023 18:30</t>
  </si>
  <si>
    <t>26-09-2023 18:45</t>
  </si>
  <si>
    <t>26-09-2023 19:00</t>
  </si>
  <si>
    <t>26-09-2023 19:15</t>
  </si>
  <si>
    <t>26-09-2023 19:30</t>
  </si>
  <si>
    <t>26-09-2023 19:45</t>
  </si>
  <si>
    <t>26-09-2023 20:00</t>
  </si>
  <si>
    <t>26-09-2023 20:15</t>
  </si>
  <si>
    <t>26-09-2023 20:30</t>
  </si>
  <si>
    <t>26-09-2023 20:45</t>
  </si>
  <si>
    <t>26-09-2023 21:00</t>
  </si>
  <si>
    <t>26-09-2023 21:15</t>
  </si>
  <si>
    <t>26-09-2023 21:30</t>
  </si>
  <si>
    <t>26-09-2023 21:45</t>
  </si>
  <si>
    <t>26-09-2023 22:00</t>
  </si>
  <si>
    <t>26-09-2023 22:15</t>
  </si>
  <si>
    <t>26-09-2023 22:30</t>
  </si>
  <si>
    <t>26-09-2023 22:45</t>
  </si>
  <si>
    <t>26-09-2023 23:00</t>
  </si>
  <si>
    <t>26-09-2023 23:15</t>
  </si>
  <si>
    <t>26-09-2023 23:30</t>
  </si>
  <si>
    <t>26-09-2023 23:45</t>
  </si>
  <si>
    <t>26-09-2023 24:00</t>
  </si>
  <si>
    <t>27-09-2023 00:15</t>
  </si>
  <si>
    <t>27-09-2023 00:30</t>
  </si>
  <si>
    <t>27-09-2023 00:45</t>
  </si>
  <si>
    <t>27-09-2023 01:00</t>
  </si>
  <si>
    <t>27-09-2023 01:15</t>
  </si>
  <si>
    <t>27-09-2023 01:30</t>
  </si>
  <si>
    <t>27-09-2023 01:45</t>
  </si>
  <si>
    <t>27-09-2023 02:00</t>
  </si>
  <si>
    <t>27-09-2023 02:15</t>
  </si>
  <si>
    <t>27-09-2023 02:30</t>
  </si>
  <si>
    <t>27-09-2023 02:45</t>
  </si>
  <si>
    <t>27-09-2023 03:00</t>
  </si>
  <si>
    <t>27-09-2023 03:15</t>
  </si>
  <si>
    <t>27-09-2023 03:30</t>
  </si>
  <si>
    <t>27-09-2023 03:45</t>
  </si>
  <si>
    <t>27-09-2023 04:00</t>
  </si>
  <si>
    <t>27-09-2023 04:15</t>
  </si>
  <si>
    <t>27-09-2023 04:30</t>
  </si>
  <si>
    <t>27-09-2023 04:45</t>
  </si>
  <si>
    <t>27-09-2023 05:00</t>
  </si>
  <si>
    <t>27-09-2023 05:15</t>
  </si>
  <si>
    <t>27-09-2023 05:30</t>
  </si>
  <si>
    <t>27-09-2023 05:45</t>
  </si>
  <si>
    <t>27-09-2023 06:00</t>
  </si>
  <si>
    <t>27-09-2023 06:15</t>
  </si>
  <si>
    <t>27-09-2023 06:30</t>
  </si>
  <si>
    <t>27-09-2023 06:45</t>
  </si>
  <si>
    <t>27-09-2023 07:00</t>
  </si>
  <si>
    <t>27-09-2023 07:15</t>
  </si>
  <si>
    <t>27-09-2023 07:30</t>
  </si>
  <si>
    <t>27-09-2023 07:45</t>
  </si>
  <si>
    <t>27-09-2023 08:00</t>
  </si>
  <si>
    <t>27-09-2023 08:15</t>
  </si>
  <si>
    <t>27-09-2023 08:30</t>
  </si>
  <si>
    <t>27-09-2023 08:45</t>
  </si>
  <si>
    <t>27-09-2023 09:00</t>
  </si>
  <si>
    <t>27-09-2023 09:15</t>
  </si>
  <si>
    <t>27-09-2023 09:30</t>
  </si>
  <si>
    <t>27-09-2023 09:45</t>
  </si>
  <si>
    <t>27-09-2023 10:00</t>
  </si>
  <si>
    <t>27-09-2023 10:15</t>
  </si>
  <si>
    <t>27-09-2023 10:30</t>
  </si>
  <si>
    <t>27-09-2023 10:45</t>
  </si>
  <si>
    <t>27-09-2023 11:00</t>
  </si>
  <si>
    <t>27-09-2023 11:15</t>
  </si>
  <si>
    <t>27-09-2023 11:30</t>
  </si>
  <si>
    <t>27-09-2023 11:45</t>
  </si>
  <si>
    <t>27-09-2023 12:00</t>
  </si>
  <si>
    <t>27-09-2023 12:15</t>
  </si>
  <si>
    <t>27-09-2023 12:30</t>
  </si>
  <si>
    <t>27-09-2023 12:45</t>
  </si>
  <si>
    <t>27-09-2023 13:00</t>
  </si>
  <si>
    <t>27-09-2023 13:15</t>
  </si>
  <si>
    <t>27-09-2023 13:30</t>
  </si>
  <si>
    <t>27-09-2023 13:45</t>
  </si>
  <si>
    <t>27-09-2023 14:00</t>
  </si>
  <si>
    <t>27-09-2023 14:15</t>
  </si>
  <si>
    <t>27-09-2023 14:30</t>
  </si>
  <si>
    <t>27-09-2023 14:45</t>
  </si>
  <si>
    <t>27-09-2023 15:00</t>
  </si>
  <si>
    <t>27-09-2023 15:15</t>
  </si>
  <si>
    <t>27-09-2023 15:30</t>
  </si>
  <si>
    <t>27-09-2023 15:45</t>
  </si>
  <si>
    <t>27-09-2023 16:00</t>
  </si>
  <si>
    <t>27-09-2023 16:15</t>
  </si>
  <si>
    <t>27-09-2023 16:30</t>
  </si>
  <si>
    <t>27-09-2023 16:45</t>
  </si>
  <si>
    <t>27-09-2023 17:00</t>
  </si>
  <si>
    <t>27-09-2023 17:15</t>
  </si>
  <si>
    <t>27-09-2023 17:30</t>
  </si>
  <si>
    <t>27-09-2023 17:45</t>
  </si>
  <si>
    <t>27-09-2023 18:00</t>
  </si>
  <si>
    <t>27-09-2023 18:15</t>
  </si>
  <si>
    <t>27-09-2023 18:30</t>
  </si>
  <si>
    <t>27-09-2023 18:45</t>
  </si>
  <si>
    <t>27-09-2023 19:00</t>
  </si>
  <si>
    <t>27-09-2023 19:15</t>
  </si>
  <si>
    <t>27-09-2023 19:30</t>
  </si>
  <si>
    <t>27-09-2023 19:45</t>
  </si>
  <si>
    <t>27-09-2023 20:00</t>
  </si>
  <si>
    <t>27-09-2023 20:15</t>
  </si>
  <si>
    <t>27-09-2023 20:30</t>
  </si>
  <si>
    <t>27-09-2023 20:45</t>
  </si>
  <si>
    <t>27-09-2023 21:00</t>
  </si>
  <si>
    <t>27-09-2023 21:15</t>
  </si>
  <si>
    <t>27-09-2023 21:30</t>
  </si>
  <si>
    <t>27-09-2023 21:45</t>
  </si>
  <si>
    <t>27-09-2023 22:00</t>
  </si>
  <si>
    <t>27-09-2023 22:15</t>
  </si>
  <si>
    <t>27-09-2023 22:30</t>
  </si>
  <si>
    <t>27-09-2023 22:45</t>
  </si>
  <si>
    <t>27-09-2023 23:00</t>
  </si>
  <si>
    <t>27-09-2023 23:15</t>
  </si>
  <si>
    <t>27-09-2023 23:30</t>
  </si>
  <si>
    <t>27-09-2023 23:45</t>
  </si>
  <si>
    <t>27-09-2023 24:00</t>
  </si>
  <si>
    <t>28-09-2023 00:15</t>
  </si>
  <si>
    <t>28-09-2023 00:30</t>
  </si>
  <si>
    <t>28-09-2023 00:45</t>
  </si>
  <si>
    <t>28-09-2023 01:00</t>
  </si>
  <si>
    <t>28-09-2023 01:15</t>
  </si>
  <si>
    <t>28-09-2023 01:30</t>
  </si>
  <si>
    <t>28-09-2023 01:45</t>
  </si>
  <si>
    <t>28-09-2023 02:00</t>
  </si>
  <si>
    <t>28-09-2023 02:15</t>
  </si>
  <si>
    <t>28-09-2023 02:30</t>
  </si>
  <si>
    <t>28-09-2023 02:45</t>
  </si>
  <si>
    <t>28-09-2023 03:00</t>
  </si>
  <si>
    <t>28-09-2023 03:15</t>
  </si>
  <si>
    <t>28-09-2023 03:30</t>
  </si>
  <si>
    <t>28-09-2023 03:45</t>
  </si>
  <si>
    <t>28-09-2023 04:00</t>
  </si>
  <si>
    <t>28-09-2023 04:15</t>
  </si>
  <si>
    <t>28-09-2023 04:30</t>
  </si>
  <si>
    <t>28-09-2023 04:45</t>
  </si>
  <si>
    <t>28-09-2023 05:00</t>
  </si>
  <si>
    <t>28-09-2023 05:15</t>
  </si>
  <si>
    <t>28-09-2023 05:30</t>
  </si>
  <si>
    <t>28-09-2023 05:45</t>
  </si>
  <si>
    <t>28-09-2023 06:00</t>
  </si>
  <si>
    <t>28-09-2023 06:15</t>
  </si>
  <si>
    <t>28-09-2023 06:30</t>
  </si>
  <si>
    <t>28-09-2023 06:45</t>
  </si>
  <si>
    <t>28-09-2023 07:00</t>
  </si>
  <si>
    <t>28-09-2023 07:15</t>
  </si>
  <si>
    <t>28-09-2023 07:30</t>
  </si>
  <si>
    <t>28-09-2023 07:45</t>
  </si>
  <si>
    <t>28-09-2023 08:00</t>
  </si>
  <si>
    <t>28-09-2023 08:15</t>
  </si>
  <si>
    <t>28-09-2023 08:30</t>
  </si>
  <si>
    <t>28-09-2023 08:45</t>
  </si>
  <si>
    <t>28-09-2023 09:00</t>
  </si>
  <si>
    <t>28-09-2023 09:15</t>
  </si>
  <si>
    <t>28-09-2023 09:30</t>
  </si>
  <si>
    <t>28-09-2023 09:45</t>
  </si>
  <si>
    <t>28-09-2023 10:00</t>
  </si>
  <si>
    <t>28-09-2023 10:15</t>
  </si>
  <si>
    <t>28-09-2023 10:30</t>
  </si>
  <si>
    <t>28-09-2023 10:45</t>
  </si>
  <si>
    <t>28-09-2023 11:00</t>
  </si>
  <si>
    <t>28-09-2023 11:15</t>
  </si>
  <si>
    <t>28-09-2023 11:30</t>
  </si>
  <si>
    <t>28-09-2023 11:45</t>
  </si>
  <si>
    <t>28-09-2023 12:00</t>
  </si>
  <si>
    <t>28-09-2023 12:15</t>
  </si>
  <si>
    <t>28-09-2023 12:30</t>
  </si>
  <si>
    <t>28-09-2023 12:45</t>
  </si>
  <si>
    <t>28-09-2023 13:00</t>
  </si>
  <si>
    <t>28-09-2023 13:15</t>
  </si>
  <si>
    <t>28-09-2023 13:30</t>
  </si>
  <si>
    <t>28-09-2023 13:45</t>
  </si>
  <si>
    <t>28-09-2023 14:00</t>
  </si>
  <si>
    <t>28-09-2023 14:15</t>
  </si>
  <si>
    <t>28-09-2023 14:30</t>
  </si>
  <si>
    <t>28-09-2023 14:45</t>
  </si>
  <si>
    <t>28-09-2023 15:00</t>
  </si>
  <si>
    <t>28-09-2023 15:15</t>
  </si>
  <si>
    <t>28-09-2023 15:30</t>
  </si>
  <si>
    <t>28-09-2023 15:45</t>
  </si>
  <si>
    <t>28-09-2023 16:00</t>
  </si>
  <si>
    <t>28-09-2023 16:15</t>
  </si>
  <si>
    <t>28-09-2023 16:30</t>
  </si>
  <si>
    <t>28-09-2023 16:45</t>
  </si>
  <si>
    <t>28-09-2023 17:00</t>
  </si>
  <si>
    <t>28-09-2023 17:15</t>
  </si>
  <si>
    <t>28-09-2023 17:30</t>
  </si>
  <si>
    <t>28-09-2023 17:45</t>
  </si>
  <si>
    <t>28-09-2023 18:00</t>
  </si>
  <si>
    <t>28-09-2023 18:15</t>
  </si>
  <si>
    <t>28-09-2023 18:30</t>
  </si>
  <si>
    <t>28-09-2023 18:45</t>
  </si>
  <si>
    <t>28-09-2023 19:00</t>
  </si>
  <si>
    <t>28-09-2023 19:15</t>
  </si>
  <si>
    <t>28-09-2023 19:30</t>
  </si>
  <si>
    <t>28-09-2023 19:45</t>
  </si>
  <si>
    <t>28-09-2023 20:00</t>
  </si>
  <si>
    <t>28-09-2023 20:15</t>
  </si>
  <si>
    <t>28-09-2023 20:30</t>
  </si>
  <si>
    <t>28-09-2023 20:45</t>
  </si>
  <si>
    <t>28-09-2023 21:00</t>
  </si>
  <si>
    <t>28-09-2023 21:15</t>
  </si>
  <si>
    <t>28-09-2023 21:30</t>
  </si>
  <si>
    <t>28-09-2023 21:45</t>
  </si>
  <si>
    <t>28-09-2023 22:00</t>
  </si>
  <si>
    <t>28-09-2023 22:15</t>
  </si>
  <si>
    <t>28-09-2023 22:30</t>
  </si>
  <si>
    <t>28-09-2023 22:45</t>
  </si>
  <si>
    <t>28-09-2023 23:00</t>
  </si>
  <si>
    <t>28-09-2023 23:15</t>
  </si>
  <si>
    <t>28-09-2023 23:30</t>
  </si>
  <si>
    <t>28-09-2023 23:45</t>
  </si>
  <si>
    <t>28-09-2023 24:00</t>
  </si>
  <si>
    <t>29-09-2023 00:15</t>
  </si>
  <si>
    <t>29-09-2023 00:30</t>
  </si>
  <si>
    <t>29-09-2023 00:45</t>
  </si>
  <si>
    <t>29-09-2023 01:00</t>
  </si>
  <si>
    <t>29-09-2023 01:15</t>
  </si>
  <si>
    <t>29-09-2023 01:30</t>
  </si>
  <si>
    <t>29-09-2023 01:45</t>
  </si>
  <si>
    <t>29-09-2023 02:00</t>
  </si>
  <si>
    <t>29-09-2023 02:15</t>
  </si>
  <si>
    <t>29-09-2023 02:30</t>
  </si>
  <si>
    <t>29-09-2023 02:45</t>
  </si>
  <si>
    <t>29-09-2023 03:00</t>
  </si>
  <si>
    <t>29-09-2023 03:15</t>
  </si>
  <si>
    <t>29-09-2023 03:30</t>
  </si>
  <si>
    <t>29-09-2023 03:45</t>
  </si>
  <si>
    <t>29-09-2023 04:00</t>
  </si>
  <si>
    <t>29-09-2023 04:15</t>
  </si>
  <si>
    <t>29-09-2023 04:30</t>
  </si>
  <si>
    <t>29-09-2023 04:45</t>
  </si>
  <si>
    <t>29-09-2023 05:00</t>
  </si>
  <si>
    <t>29-09-2023 05:15</t>
  </si>
  <si>
    <t>29-09-2023 05:30</t>
  </si>
  <si>
    <t>29-09-2023 05:45</t>
  </si>
  <si>
    <t>29-09-2023 06:00</t>
  </si>
  <si>
    <t>29-09-2023 06:15</t>
  </si>
  <si>
    <t>29-09-2023 06:30</t>
  </si>
  <si>
    <t>29-09-2023 06:45</t>
  </si>
  <si>
    <t>29-09-2023 07:00</t>
  </si>
  <si>
    <t>29-09-2023 07:15</t>
  </si>
  <si>
    <t>29-09-2023 07:30</t>
  </si>
  <si>
    <t>29-09-2023 07:45</t>
  </si>
  <si>
    <t>29-09-2023 08:00</t>
  </si>
  <si>
    <t>29-09-2023 08:15</t>
  </si>
  <si>
    <t>29-09-2023 08:30</t>
  </si>
  <si>
    <t>29-09-2023 08:45</t>
  </si>
  <si>
    <t>29-09-2023 09:00</t>
  </si>
  <si>
    <t>29-09-2023 09:15</t>
  </si>
  <si>
    <t>29-09-2023 09:30</t>
  </si>
  <si>
    <t>29-09-2023 09:45</t>
  </si>
  <si>
    <t>29-09-2023 10:00</t>
  </si>
  <si>
    <t>29-09-2023 10:15</t>
  </si>
  <si>
    <t>29-09-2023 10:30</t>
  </si>
  <si>
    <t>29-09-2023 10:45</t>
  </si>
  <si>
    <t>29-09-2023 11:00</t>
  </si>
  <si>
    <t>29-09-2023 11:15</t>
  </si>
  <si>
    <t>29-09-2023 11:30</t>
  </si>
  <si>
    <t>29-09-2023 11:45</t>
  </si>
  <si>
    <t>29-09-2023 12:00</t>
  </si>
  <si>
    <t>29-09-2023 12:15</t>
  </si>
  <si>
    <t>29-09-2023 12:30</t>
  </si>
  <si>
    <t>29-09-2023 12:45</t>
  </si>
  <si>
    <t>29-09-2023 13:00</t>
  </si>
  <si>
    <t>29-09-2023 13:15</t>
  </si>
  <si>
    <t>29-09-2023 13:30</t>
  </si>
  <si>
    <t>29-09-2023 13:45</t>
  </si>
  <si>
    <t>29-09-2023 14:00</t>
  </si>
  <si>
    <t>29-09-2023 14:15</t>
  </si>
  <si>
    <t>29-09-2023 14:30</t>
  </si>
  <si>
    <t>29-09-2023 14:45</t>
  </si>
  <si>
    <t>29-09-2023 15:00</t>
  </si>
  <si>
    <t>29-09-2023 15:15</t>
  </si>
  <si>
    <t>29-09-2023 15:30</t>
  </si>
  <si>
    <t>29-09-2023 15:45</t>
  </si>
  <si>
    <t>29-09-2023 16:00</t>
  </si>
  <si>
    <t>29-09-2023 16:15</t>
  </si>
  <si>
    <t>29-09-2023 16:30</t>
  </si>
  <si>
    <t>29-09-2023 16:45</t>
  </si>
  <si>
    <t>29-09-2023 17:00</t>
  </si>
  <si>
    <t>29-09-2023 17:15</t>
  </si>
  <si>
    <t>29-09-2023 17:30</t>
  </si>
  <si>
    <t>29-09-2023 17:45</t>
  </si>
  <si>
    <t>29-09-2023 18:00</t>
  </si>
  <si>
    <t>29-09-2023 18:15</t>
  </si>
  <si>
    <t>29-09-2023 18:30</t>
  </si>
  <si>
    <t>29-09-2023 18:45</t>
  </si>
  <si>
    <t>29-09-2023 19:00</t>
  </si>
  <si>
    <t>29-09-2023 19:15</t>
  </si>
  <si>
    <t>29-09-2023 19:30</t>
  </si>
  <si>
    <t>29-09-2023 19:45</t>
  </si>
  <si>
    <t>29-09-2023 20:00</t>
  </si>
  <si>
    <t>29-09-2023 20:15</t>
  </si>
  <si>
    <t>29-09-2023 20:30</t>
  </si>
  <si>
    <t>29-09-2023 20:45</t>
  </si>
  <si>
    <t>29-09-2023 21:00</t>
  </si>
  <si>
    <t>29-09-2023 21:15</t>
  </si>
  <si>
    <t>29-09-2023 21:30</t>
  </si>
  <si>
    <t>29-09-2023 21:45</t>
  </si>
  <si>
    <t>29-09-2023 22:00</t>
  </si>
  <si>
    <t>29-09-2023 22:15</t>
  </si>
  <si>
    <t>29-09-2023 22:30</t>
  </si>
  <si>
    <t>29-09-2023 22:45</t>
  </si>
  <si>
    <t>29-09-2023 23:00</t>
  </si>
  <si>
    <t>29-09-2023 23:15</t>
  </si>
  <si>
    <t>29-09-2023 23:30</t>
  </si>
  <si>
    <t>29-09-2023 23:45</t>
  </si>
  <si>
    <t>29-09-2023 24:00</t>
  </si>
  <si>
    <t>30-09-2023 00:15</t>
  </si>
  <si>
    <t>30-09-2023 00:30</t>
  </si>
  <si>
    <t>30-09-2023 00:45</t>
  </si>
  <si>
    <t>30-09-2023 01:00</t>
  </si>
  <si>
    <t>30-09-2023 01:15</t>
  </si>
  <si>
    <t>30-09-2023 01:30</t>
  </si>
  <si>
    <t>30-09-2023 01:45</t>
  </si>
  <si>
    <t>30-09-2023 02:00</t>
  </si>
  <si>
    <t>30-09-2023 02:15</t>
  </si>
  <si>
    <t>30-09-2023 02:30</t>
  </si>
  <si>
    <t>30-09-2023 02:45</t>
  </si>
  <si>
    <t>30-09-2023 03:00</t>
  </si>
  <si>
    <t>30-09-2023 03:15</t>
  </si>
  <si>
    <t>30-09-2023 03:30</t>
  </si>
  <si>
    <t>30-09-2023 03:45</t>
  </si>
  <si>
    <t>30-09-2023 04:00</t>
  </si>
  <si>
    <t>30-09-2023 04:15</t>
  </si>
  <si>
    <t>30-09-2023 04:30</t>
  </si>
  <si>
    <t>30-09-2023 04:45</t>
  </si>
  <si>
    <t>30-09-2023 05:00</t>
  </si>
  <si>
    <t>30-09-2023 05:15</t>
  </si>
  <si>
    <t>30-09-2023 05:30</t>
  </si>
  <si>
    <t>30-09-2023 05:45</t>
  </si>
  <si>
    <t>30-09-2023 06:00</t>
  </si>
  <si>
    <t>30-09-2023 06:15</t>
  </si>
  <si>
    <t>30-09-2023 06:30</t>
  </si>
  <si>
    <t>30-09-2023 06:45</t>
  </si>
  <si>
    <t>30-09-2023 07:00</t>
  </si>
  <si>
    <t>30-09-2023 07:15</t>
  </si>
  <si>
    <t>30-09-2023 07:30</t>
  </si>
  <si>
    <t>30-09-2023 07:45</t>
  </si>
  <si>
    <t>30-09-2023 08:00</t>
  </si>
  <si>
    <t>30-09-2023 08:15</t>
  </si>
  <si>
    <t>30-09-2023 08:30</t>
  </si>
  <si>
    <t>30-09-2023 08:45</t>
  </si>
  <si>
    <t>30-09-2023 09:00</t>
  </si>
  <si>
    <t>30-09-2023 09:15</t>
  </si>
  <si>
    <t>30-09-2023 09:30</t>
  </si>
  <si>
    <t>30-09-2023 09:45</t>
  </si>
  <si>
    <t>30-09-2023 10:00</t>
  </si>
  <si>
    <t>30-09-2023 10:15</t>
  </si>
  <si>
    <t>30-09-2023 10:30</t>
  </si>
  <si>
    <t>30-09-2023 10:45</t>
  </si>
  <si>
    <t>30-09-2023 11:00</t>
  </si>
  <si>
    <t>30-09-2023 11:15</t>
  </si>
  <si>
    <t>30-09-2023 11:30</t>
  </si>
  <si>
    <t>30-09-2023 11:45</t>
  </si>
  <si>
    <t>30-09-2023 12:00</t>
  </si>
  <si>
    <t>30-09-2023 12:15</t>
  </si>
  <si>
    <t>30-09-2023 12:30</t>
  </si>
  <si>
    <t>30-09-2023 12:45</t>
  </si>
  <si>
    <t>30-09-2023 13:00</t>
  </si>
  <si>
    <t>30-09-2023 13:15</t>
  </si>
  <si>
    <t>30-09-2023 13:30</t>
  </si>
  <si>
    <t>30-09-2023 13:45</t>
  </si>
  <si>
    <t>30-09-2023 14:00</t>
  </si>
  <si>
    <t>30-09-2023 14:15</t>
  </si>
  <si>
    <t>30-09-2023 14:30</t>
  </si>
  <si>
    <t>30-09-2023 14:45</t>
  </si>
  <si>
    <t>30-09-2023 15:00</t>
  </si>
  <si>
    <t>30-09-2023 15:15</t>
  </si>
  <si>
    <t>30-09-2023 15:30</t>
  </si>
  <si>
    <t>30-09-2023 15:45</t>
  </si>
  <si>
    <t>30-09-2023 16:00</t>
  </si>
  <si>
    <t>30-09-2023 16:15</t>
  </si>
  <si>
    <t>30-09-2023 16:30</t>
  </si>
  <si>
    <t>30-09-2023 16:45</t>
  </si>
  <si>
    <t>30-09-2023 17:00</t>
  </si>
  <si>
    <t>30-09-2023 17:15</t>
  </si>
  <si>
    <t>30-09-2023 17:30</t>
  </si>
  <si>
    <t>30-09-2023 17:45</t>
  </si>
  <si>
    <t>30-09-2023 18:00</t>
  </si>
  <si>
    <t>30-09-2023 18:15</t>
  </si>
  <si>
    <t>30-09-2023 18:30</t>
  </si>
  <si>
    <t>30-09-2023 18:45</t>
  </si>
  <si>
    <t>30-09-2023 19:00</t>
  </si>
  <si>
    <t>30-09-2023 19:15</t>
  </si>
  <si>
    <t>30-09-2023 19:30</t>
  </si>
  <si>
    <t>30-09-2023 19:45</t>
  </si>
  <si>
    <t>30-09-2023 20:00</t>
  </si>
  <si>
    <t>30-09-2023 20:15</t>
  </si>
  <si>
    <t>30-09-2023 20:30</t>
  </si>
  <si>
    <t>30-09-2023 20:45</t>
  </si>
  <si>
    <t>30-09-2023 21:00</t>
  </si>
  <si>
    <t>30-09-2023 21:15</t>
  </si>
  <si>
    <t>30-09-2023 21:30</t>
  </si>
  <si>
    <t>30-09-2023 21:45</t>
  </si>
  <si>
    <t>30-09-2023 22:00</t>
  </si>
  <si>
    <t>30-09-2023 22:15</t>
  </si>
  <si>
    <t>30-09-2023 22:30</t>
  </si>
  <si>
    <t>30-09-2023 22:45</t>
  </si>
  <si>
    <t>30-09-2023 23:00</t>
  </si>
  <si>
    <t>30-09-2023 23:15</t>
  </si>
  <si>
    <t>30-09-2023 23:30</t>
  </si>
  <si>
    <t>30-09-2023 23:45</t>
  </si>
  <si>
    <t>30-09-2023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</si>
</sst>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5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4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41" fillId="12" borderId="36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3" fillId="12" borderId="37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41" fillId="12" borderId="37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15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238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248</v>
      </c>
      <c r="B9" s="64">
        <v>23.74</v>
      </c>
      <c r="C9" s="64">
        <v>21.24</v>
      </c>
      <c r="D9" s="64">
        <v>32.049999999999997</v>
      </c>
      <c r="E9" s="64">
        <v>4.1399999999999997</v>
      </c>
      <c r="F9" s="64">
        <v>6.62</v>
      </c>
      <c r="G9" s="64">
        <v>108.34</v>
      </c>
      <c r="H9" s="64">
        <v>30.97</v>
      </c>
      <c r="I9" s="64">
        <v>0.11</v>
      </c>
      <c r="J9" s="64">
        <v>0.11</v>
      </c>
      <c r="K9" s="64">
        <v>342.45</v>
      </c>
      <c r="L9" s="64">
        <v>25.12</v>
      </c>
      <c r="M9" s="64">
        <v>92.45</v>
      </c>
      <c r="N9" s="64">
        <v>6.7</v>
      </c>
      <c r="O9" s="64">
        <v>0</v>
      </c>
      <c r="P9" s="64">
        <v>0.93</v>
      </c>
      <c r="Q9" s="64">
        <v>22.41</v>
      </c>
      <c r="R9" s="198"/>
      <c r="S9" s="198"/>
      <c r="T9" s="198"/>
      <c r="U9" s="198"/>
    </row>
    <row r="10" spans="1:21" s="12" customFormat="1" x14ac:dyDescent="0.25">
      <c r="A10" s="214" t="s">
        <v>249</v>
      </c>
      <c r="B10" s="64">
        <v>18.47</v>
      </c>
      <c r="C10" s="64">
        <v>23.07</v>
      </c>
      <c r="D10" s="64">
        <v>28.83</v>
      </c>
      <c r="E10" s="64">
        <v>4.24</v>
      </c>
      <c r="F10" s="64">
        <v>7.86</v>
      </c>
      <c r="G10" s="64">
        <v>108.34</v>
      </c>
      <c r="H10" s="64">
        <v>30.97</v>
      </c>
      <c r="I10" s="64">
        <v>0.12</v>
      </c>
      <c r="J10" s="64">
        <v>0.03</v>
      </c>
      <c r="K10" s="64">
        <v>274.32</v>
      </c>
      <c r="L10" s="64">
        <v>24.98</v>
      </c>
      <c r="M10" s="64">
        <v>91.72</v>
      </c>
      <c r="N10" s="64">
        <v>6.8</v>
      </c>
      <c r="O10" s="64">
        <v>0</v>
      </c>
      <c r="P10" s="64">
        <v>0.89</v>
      </c>
      <c r="Q10" s="64">
        <v>21.87</v>
      </c>
      <c r="R10" s="198"/>
      <c r="S10" s="198"/>
      <c r="T10" s="198"/>
      <c r="U10" s="198"/>
    </row>
    <row r="11" spans="1:21" s="12" customFormat="1" x14ac:dyDescent="0.25">
      <c r="A11" s="214" t="s">
        <v>250</v>
      </c>
      <c r="B11" s="64">
        <v>14.67</v>
      </c>
      <c r="C11" s="64">
        <v>24.89</v>
      </c>
      <c r="D11" s="64">
        <v>26.79</v>
      </c>
      <c r="E11" s="64">
        <v>3.71</v>
      </c>
      <c r="F11" s="64">
        <v>6.78</v>
      </c>
      <c r="G11" s="64">
        <v>100.34</v>
      </c>
      <c r="H11" s="64">
        <v>30.52</v>
      </c>
      <c r="I11" s="64">
        <v>0.13</v>
      </c>
      <c r="J11" s="64">
        <v>0.01</v>
      </c>
      <c r="K11" s="64">
        <v>268.14</v>
      </c>
      <c r="L11" s="64">
        <v>24.89</v>
      </c>
      <c r="M11" s="64">
        <v>92.85</v>
      </c>
      <c r="N11" s="64">
        <v>6.6</v>
      </c>
      <c r="O11" s="64">
        <v>0</v>
      </c>
      <c r="P11" s="64">
        <v>0.75</v>
      </c>
      <c r="Q11" s="64">
        <v>21.38</v>
      </c>
      <c r="R11" s="198"/>
      <c r="S11" s="198"/>
      <c r="T11" s="198"/>
      <c r="U11" s="198"/>
    </row>
    <row r="12" spans="1:21" s="12" customFormat="1" x14ac:dyDescent="0.25">
      <c r="A12" s="214" t="s">
        <v>251</v>
      </c>
      <c r="B12" s="64">
        <v>15.41</v>
      </c>
      <c r="C12" s="64">
        <v>33.72</v>
      </c>
      <c r="D12" s="64">
        <v>32.26</v>
      </c>
      <c r="E12" s="64">
        <v>3.75</v>
      </c>
      <c r="F12" s="64">
        <v>3.37</v>
      </c>
      <c r="G12" s="64">
        <v>92.69</v>
      </c>
      <c r="H12" s="64">
        <v>30.32</v>
      </c>
      <c r="I12" s="64">
        <v>0.12</v>
      </c>
      <c r="J12" s="64">
        <v>0.01</v>
      </c>
      <c r="K12" s="64">
        <v>35.54</v>
      </c>
      <c r="L12" s="64">
        <v>24.95</v>
      </c>
      <c r="M12" s="64">
        <v>92.63</v>
      </c>
      <c r="N12" s="64">
        <v>6.6</v>
      </c>
      <c r="O12" s="64">
        <v>0</v>
      </c>
      <c r="P12" s="64">
        <v>0.8</v>
      </c>
      <c r="Q12" s="64">
        <v>20.88</v>
      </c>
      <c r="R12" s="198"/>
      <c r="S12" s="198"/>
      <c r="T12" s="198"/>
      <c r="U12" s="198"/>
    </row>
    <row r="13" spans="1:21" s="12" customFormat="1" x14ac:dyDescent="0.25">
      <c r="A13" s="214" t="s">
        <v>252</v>
      </c>
      <c r="B13" s="64">
        <v>7.96</v>
      </c>
      <c r="C13" s="64">
        <v>35.700000000000003</v>
      </c>
      <c r="D13" s="64">
        <v>27.38</v>
      </c>
      <c r="E13" s="64">
        <v>3.78</v>
      </c>
      <c r="F13" s="64">
        <v>7.09</v>
      </c>
      <c r="G13" s="64">
        <v>92.69</v>
      </c>
      <c r="H13" s="64">
        <v>30.32</v>
      </c>
      <c r="I13" s="64">
        <v>0.11</v>
      </c>
      <c r="J13" s="64">
        <v>7.0000000000000007E-2</v>
      </c>
      <c r="K13" s="64">
        <v>316.01</v>
      </c>
      <c r="L13" s="64">
        <v>24.75</v>
      </c>
      <c r="M13" s="64">
        <v>94.87</v>
      </c>
      <c r="N13" s="64">
        <v>6.9</v>
      </c>
      <c r="O13" s="64">
        <v>0</v>
      </c>
      <c r="P13" s="64">
        <v>0.61</v>
      </c>
      <c r="Q13" s="64">
        <v>21.07</v>
      </c>
      <c r="R13" s="198"/>
      <c r="S13" s="198"/>
      <c r="T13" s="198"/>
      <c r="U13" s="198"/>
    </row>
    <row r="14" spans="1:21" s="12" customFormat="1" x14ac:dyDescent="0.25">
      <c r="A14" s="214" t="s">
        <v>253</v>
      </c>
      <c r="B14" s="64">
        <v>5.93</v>
      </c>
      <c r="C14" s="64">
        <v>36.14</v>
      </c>
      <c r="D14" s="64">
        <v>26</v>
      </c>
      <c r="E14" s="64">
        <v>3.98</v>
      </c>
      <c r="F14" s="64">
        <v>5.04</v>
      </c>
      <c r="G14" s="64">
        <v>92.69</v>
      </c>
      <c r="H14" s="64">
        <v>30.32</v>
      </c>
      <c r="I14" s="64">
        <v>0.11</v>
      </c>
      <c r="J14" s="64">
        <v>0.06</v>
      </c>
      <c r="K14" s="64">
        <v>315.24</v>
      </c>
      <c r="L14" s="64">
        <v>24.51</v>
      </c>
      <c r="M14" s="64">
        <v>97.21</v>
      </c>
      <c r="N14" s="64">
        <v>6.8</v>
      </c>
      <c r="O14" s="64">
        <v>0</v>
      </c>
      <c r="P14" s="64">
        <v>0.65</v>
      </c>
      <c r="Q14" s="64">
        <v>22.21</v>
      </c>
      <c r="R14" s="198"/>
      <c r="S14" s="198"/>
      <c r="T14" s="198"/>
      <c r="U14" s="198"/>
    </row>
    <row r="15" spans="1:21" s="12" customFormat="1" x14ac:dyDescent="0.25">
      <c r="A15" s="214" t="s">
        <v>254</v>
      </c>
      <c r="B15" s="64">
        <v>5.24</v>
      </c>
      <c r="C15" s="64">
        <v>34.42</v>
      </c>
      <c r="D15" s="64">
        <v>24.49</v>
      </c>
      <c r="E15" s="64">
        <v>3.66</v>
      </c>
      <c r="F15" s="64">
        <v>4.6500000000000004</v>
      </c>
      <c r="G15" s="64">
        <v>86.44</v>
      </c>
      <c r="H15" s="64">
        <v>28.74</v>
      </c>
      <c r="I15" s="64">
        <v>0.11</v>
      </c>
      <c r="J15" s="64">
        <v>0.09</v>
      </c>
      <c r="K15" s="64">
        <v>127.29</v>
      </c>
      <c r="L15" s="64">
        <v>24.38</v>
      </c>
      <c r="M15" s="64">
        <v>98</v>
      </c>
      <c r="N15" s="64">
        <v>6.7</v>
      </c>
      <c r="O15" s="64">
        <v>0</v>
      </c>
      <c r="P15" s="64">
        <v>0.61</v>
      </c>
      <c r="Q15" s="64">
        <v>22.8</v>
      </c>
      <c r="R15" s="198"/>
      <c r="S15" s="198"/>
      <c r="T15" s="198"/>
      <c r="U15" s="198"/>
    </row>
    <row r="16" spans="1:21" s="12" customFormat="1" x14ac:dyDescent="0.25">
      <c r="A16" s="214" t="s">
        <v>255</v>
      </c>
      <c r="B16" s="64">
        <v>4.8600000000000003</v>
      </c>
      <c r="C16" s="64">
        <v>36.76</v>
      </c>
      <c r="D16" s="64">
        <v>25.47</v>
      </c>
      <c r="E16" s="64">
        <v>4.12</v>
      </c>
      <c r="F16" s="64">
        <v>4.25</v>
      </c>
      <c r="G16" s="64">
        <v>80.459999999999994</v>
      </c>
      <c r="H16" s="64">
        <v>28.01</v>
      </c>
      <c r="I16" s="64">
        <v>0.1</v>
      </c>
      <c r="J16" s="64">
        <v>0.03</v>
      </c>
      <c r="K16" s="64">
        <v>177.9</v>
      </c>
      <c r="L16" s="64">
        <v>24.48</v>
      </c>
      <c r="M16" s="64">
        <v>97.49</v>
      </c>
      <c r="N16" s="64">
        <v>6.5</v>
      </c>
      <c r="O16" s="64">
        <v>0</v>
      </c>
      <c r="P16" s="64">
        <v>0.63</v>
      </c>
      <c r="Q16" s="64">
        <v>23.11</v>
      </c>
      <c r="R16" s="198"/>
      <c r="S16" s="198"/>
      <c r="T16" s="198"/>
      <c r="U16" s="198"/>
    </row>
    <row r="17" spans="1:21" s="12" customFormat="1" x14ac:dyDescent="0.25">
      <c r="A17" s="214" t="s">
        <v>256</v>
      </c>
      <c r="B17" s="64">
        <v>10.69</v>
      </c>
      <c r="C17" s="64">
        <v>41.47</v>
      </c>
      <c r="D17" s="64">
        <v>32.75</v>
      </c>
      <c r="E17" s="64">
        <v>3.52</v>
      </c>
      <c r="F17" s="64">
        <v>3.1</v>
      </c>
      <c r="G17" s="64">
        <v>80.459999999999994</v>
      </c>
      <c r="H17" s="64">
        <v>28.01</v>
      </c>
      <c r="I17" s="64">
        <v>0.11</v>
      </c>
      <c r="J17" s="64">
        <v>0.12</v>
      </c>
      <c r="K17" s="64">
        <v>205.55</v>
      </c>
      <c r="L17" s="64">
        <v>24.51</v>
      </c>
      <c r="M17" s="64">
        <v>97.84</v>
      </c>
      <c r="N17" s="64">
        <v>6.4</v>
      </c>
      <c r="O17" s="64">
        <v>0</v>
      </c>
      <c r="P17" s="64">
        <v>0.75</v>
      </c>
      <c r="Q17" s="64">
        <v>22.71</v>
      </c>
      <c r="R17" s="198"/>
      <c r="S17" s="198"/>
      <c r="T17" s="198"/>
      <c r="U17" s="198"/>
    </row>
    <row r="18" spans="1:21" s="12" customFormat="1" x14ac:dyDescent="0.25">
      <c r="A18" s="214" t="s">
        <v>257</v>
      </c>
      <c r="B18" s="64">
        <v>16.8</v>
      </c>
      <c r="C18" s="64">
        <v>31.13</v>
      </c>
      <c r="D18" s="64">
        <v>31.94</v>
      </c>
      <c r="E18" s="64">
        <v>4.09</v>
      </c>
      <c r="F18" s="64">
        <v>3.05</v>
      </c>
      <c r="G18" s="64">
        <v>80.459999999999994</v>
      </c>
      <c r="H18" s="64">
        <v>28.01</v>
      </c>
      <c r="I18" s="64">
        <v>0.11</v>
      </c>
      <c r="J18" s="64">
        <v>0.04</v>
      </c>
      <c r="K18" s="64">
        <v>195.9</v>
      </c>
      <c r="L18" s="64">
        <v>24.39</v>
      </c>
      <c r="M18" s="64">
        <v>98.2</v>
      </c>
      <c r="N18" s="64">
        <v>6.6</v>
      </c>
      <c r="O18" s="64">
        <v>0</v>
      </c>
      <c r="P18" s="64">
        <v>0.7</v>
      </c>
      <c r="Q18" s="64">
        <v>22.03</v>
      </c>
      <c r="R18" s="198"/>
      <c r="S18" s="198"/>
      <c r="T18" s="198"/>
      <c r="U18" s="198"/>
    </row>
    <row r="19" spans="1:21" s="12" customFormat="1" x14ac:dyDescent="0.25">
      <c r="A19" s="214" t="s">
        <v>258</v>
      </c>
      <c r="B19" s="64">
        <v>12.85</v>
      </c>
      <c r="C19" s="64">
        <v>27.22</v>
      </c>
      <c r="D19" s="64">
        <v>26.62</v>
      </c>
      <c r="E19" s="64">
        <v>3.42</v>
      </c>
      <c r="F19" s="64">
        <v>5.83</v>
      </c>
      <c r="G19" s="64">
        <v>78.75</v>
      </c>
      <c r="H19" s="64">
        <v>25.51</v>
      </c>
      <c r="I19" s="64">
        <v>0.12</v>
      </c>
      <c r="J19" s="64">
        <v>0.21</v>
      </c>
      <c r="K19" s="64">
        <v>166.75</v>
      </c>
      <c r="L19" s="64">
        <v>24.3</v>
      </c>
      <c r="M19" s="64">
        <v>98.24</v>
      </c>
      <c r="N19" s="64">
        <v>6.4</v>
      </c>
      <c r="O19" s="64">
        <v>0</v>
      </c>
      <c r="P19" s="64">
        <v>0.64</v>
      </c>
      <c r="Q19" s="64">
        <v>21.65</v>
      </c>
      <c r="R19" s="198"/>
      <c r="S19" s="198"/>
      <c r="T19" s="198"/>
      <c r="U19" s="198"/>
    </row>
    <row r="20" spans="1:21" s="12" customFormat="1" x14ac:dyDescent="0.25">
      <c r="A20" s="214" t="s">
        <v>259</v>
      </c>
      <c r="B20" s="64">
        <v>13.9</v>
      </c>
      <c r="C20" s="64">
        <v>18.579999999999998</v>
      </c>
      <c r="D20" s="64">
        <v>22.69</v>
      </c>
      <c r="E20" s="64">
        <v>3.86</v>
      </c>
      <c r="F20" s="64">
        <v>7.1</v>
      </c>
      <c r="G20" s="64">
        <v>77.099999999999994</v>
      </c>
      <c r="H20" s="64">
        <v>24.34</v>
      </c>
      <c r="I20" s="64">
        <v>0.11</v>
      </c>
      <c r="J20" s="64">
        <v>0.28000000000000003</v>
      </c>
      <c r="K20" s="64">
        <v>142.87</v>
      </c>
      <c r="L20" s="64">
        <v>24.13</v>
      </c>
      <c r="M20" s="64">
        <v>98.25</v>
      </c>
      <c r="N20" s="64">
        <v>6.6</v>
      </c>
      <c r="O20" s="64">
        <v>0</v>
      </c>
      <c r="P20" s="64">
        <v>0.63</v>
      </c>
      <c r="Q20" s="64">
        <v>21.07</v>
      </c>
      <c r="R20" s="198"/>
      <c r="S20" s="198"/>
      <c r="T20" s="198"/>
      <c r="U20" s="198"/>
    </row>
    <row r="21" spans="1:21" s="12" customFormat="1" x14ac:dyDescent="0.25">
      <c r="A21" s="214" t="s">
        <v>260</v>
      </c>
      <c r="B21" s="64">
        <v>9.1199999999999992</v>
      </c>
      <c r="C21" s="64">
        <v>19.89</v>
      </c>
      <c r="D21" s="64">
        <v>19.579999999999998</v>
      </c>
      <c r="E21" s="64">
        <v>3.44</v>
      </c>
      <c r="F21" s="64">
        <v>4.57</v>
      </c>
      <c r="G21" s="64">
        <v>77.099999999999994</v>
      </c>
      <c r="H21" s="64">
        <v>24.34</v>
      </c>
      <c r="I21" s="64">
        <v>0.11</v>
      </c>
      <c r="J21" s="64">
        <v>0.04</v>
      </c>
      <c r="K21" s="64">
        <v>283.45</v>
      </c>
      <c r="L21" s="64">
        <v>23.94</v>
      </c>
      <c r="M21" s="64">
        <v>98.26</v>
      </c>
      <c r="N21" s="64">
        <v>6.8</v>
      </c>
      <c r="O21" s="64">
        <v>0</v>
      </c>
      <c r="P21" s="64">
        <v>0.56000000000000005</v>
      </c>
      <c r="Q21" s="64">
        <v>21.19</v>
      </c>
      <c r="R21" s="198"/>
      <c r="S21" s="198"/>
      <c r="T21" s="198"/>
      <c r="U21" s="198"/>
    </row>
    <row r="22" spans="1:21" s="12" customFormat="1" x14ac:dyDescent="0.25">
      <c r="A22" s="214" t="s">
        <v>261</v>
      </c>
      <c r="B22" s="64">
        <v>12.85</v>
      </c>
      <c r="C22" s="64">
        <v>24.58</v>
      </c>
      <c r="D22" s="64">
        <v>25.17</v>
      </c>
      <c r="E22" s="64">
        <v>3.54</v>
      </c>
      <c r="F22" s="64">
        <v>4.34</v>
      </c>
      <c r="G22" s="64">
        <v>77.099999999999994</v>
      </c>
      <c r="H22" s="64">
        <v>24.34</v>
      </c>
      <c r="I22" s="64">
        <v>0.12</v>
      </c>
      <c r="J22" s="64">
        <v>0.09</v>
      </c>
      <c r="K22" s="64">
        <v>321.97000000000003</v>
      </c>
      <c r="L22" s="64">
        <v>23.72</v>
      </c>
      <c r="M22" s="64">
        <v>98.28</v>
      </c>
      <c r="N22" s="64">
        <v>6.7</v>
      </c>
      <c r="O22" s="64">
        <v>0</v>
      </c>
      <c r="P22" s="64">
        <v>0.7</v>
      </c>
      <c r="Q22" s="64">
        <v>20.2</v>
      </c>
      <c r="R22" s="198"/>
      <c r="S22" s="198"/>
      <c r="T22" s="198"/>
      <c r="U22" s="198"/>
    </row>
    <row r="23" spans="1:21" s="12" customFormat="1" x14ac:dyDescent="0.25">
      <c r="A23" s="214" t="s">
        <v>262</v>
      </c>
      <c r="B23" s="64">
        <v>10.98</v>
      </c>
      <c r="C23" s="64">
        <v>22.57</v>
      </c>
      <c r="D23" s="64">
        <v>22.56</v>
      </c>
      <c r="E23" s="64">
        <v>3.29</v>
      </c>
      <c r="F23" s="64">
        <v>2.61</v>
      </c>
      <c r="G23" s="64">
        <v>71.709999999999994</v>
      </c>
      <c r="H23" s="64">
        <v>24.57</v>
      </c>
      <c r="I23" s="64">
        <v>0.11</v>
      </c>
      <c r="J23" s="64">
        <v>0.06</v>
      </c>
      <c r="K23" s="64">
        <v>244.98</v>
      </c>
      <c r="L23" s="64">
        <v>23.76</v>
      </c>
      <c r="M23" s="64">
        <v>98.28</v>
      </c>
      <c r="N23" s="64">
        <v>6.4</v>
      </c>
      <c r="O23" s="64">
        <v>0</v>
      </c>
      <c r="P23" s="64">
        <v>0.52</v>
      </c>
      <c r="Q23" s="64">
        <v>20.420000000000002</v>
      </c>
      <c r="R23" s="198"/>
      <c r="S23" s="198"/>
      <c r="T23" s="198"/>
      <c r="U23" s="198"/>
    </row>
    <row r="24" spans="1:21" s="12" customFormat="1" x14ac:dyDescent="0.25">
      <c r="A24" s="214" t="s">
        <v>263</v>
      </c>
      <c r="B24" s="64">
        <v>21.35</v>
      </c>
      <c r="C24" s="64">
        <v>25.03</v>
      </c>
      <c r="D24" s="64">
        <v>32.229999999999997</v>
      </c>
      <c r="E24" s="64">
        <v>3.86</v>
      </c>
      <c r="F24" s="64">
        <v>3.33</v>
      </c>
      <c r="G24" s="64">
        <v>66.540000000000006</v>
      </c>
      <c r="H24" s="64">
        <v>24.68</v>
      </c>
      <c r="I24" s="64">
        <v>0.11</v>
      </c>
      <c r="J24" s="64">
        <v>0.02</v>
      </c>
      <c r="K24" s="64">
        <v>277.73</v>
      </c>
      <c r="L24" s="64">
        <v>23.91</v>
      </c>
      <c r="M24" s="64">
        <v>98.28</v>
      </c>
      <c r="N24" s="64">
        <v>6.5</v>
      </c>
      <c r="O24" s="64">
        <v>0</v>
      </c>
      <c r="P24" s="64">
        <v>0.66</v>
      </c>
      <c r="Q24" s="64">
        <v>19.32</v>
      </c>
      <c r="R24" s="198"/>
      <c r="S24" s="198"/>
      <c r="T24" s="198"/>
      <c r="U24" s="198"/>
    </row>
    <row r="25" spans="1:21" s="12" customFormat="1" x14ac:dyDescent="0.25">
      <c r="A25" s="214" t="s">
        <v>264</v>
      </c>
      <c r="B25" s="64">
        <v>10.67</v>
      </c>
      <c r="C25" s="64">
        <v>23.72</v>
      </c>
      <c r="D25" s="64">
        <v>22.94</v>
      </c>
      <c r="E25" s="64">
        <v>4.09</v>
      </c>
      <c r="F25" s="64">
        <v>4.08</v>
      </c>
      <c r="G25" s="64">
        <v>66.540000000000006</v>
      </c>
      <c r="H25" s="64">
        <v>24.68</v>
      </c>
      <c r="I25" s="64">
        <v>0.11</v>
      </c>
      <c r="J25" s="64">
        <v>0.06</v>
      </c>
      <c r="K25" s="64">
        <v>296.04000000000002</v>
      </c>
      <c r="L25" s="64">
        <v>23.87</v>
      </c>
      <c r="M25" s="64">
        <v>98.28</v>
      </c>
      <c r="N25" s="64">
        <v>6.6</v>
      </c>
      <c r="O25" s="64">
        <v>0</v>
      </c>
      <c r="P25" s="64">
        <v>0.51</v>
      </c>
      <c r="Q25" s="64">
        <v>21.15</v>
      </c>
      <c r="R25" s="198"/>
      <c r="S25" s="198"/>
      <c r="T25" s="198"/>
      <c r="U25" s="198"/>
    </row>
    <row r="26" spans="1:21" s="12" customFormat="1" x14ac:dyDescent="0.25">
      <c r="A26" s="214" t="s">
        <v>265</v>
      </c>
      <c r="B26" s="64">
        <v>16.11</v>
      </c>
      <c r="C26" s="64">
        <v>25.91</v>
      </c>
      <c r="D26" s="64">
        <v>28.51</v>
      </c>
      <c r="E26" s="64">
        <v>4.4400000000000004</v>
      </c>
      <c r="F26" s="64">
        <v>2.48</v>
      </c>
      <c r="G26" s="64">
        <v>66.540000000000006</v>
      </c>
      <c r="H26" s="64">
        <v>24.68</v>
      </c>
      <c r="I26" s="64">
        <v>0.11</v>
      </c>
      <c r="J26" s="64">
        <v>0.09</v>
      </c>
      <c r="K26" s="64">
        <v>269.89</v>
      </c>
      <c r="L26" s="64">
        <v>23.7</v>
      </c>
      <c r="M26" s="64">
        <v>98.28</v>
      </c>
      <c r="N26" s="64">
        <v>6.6</v>
      </c>
      <c r="O26" s="64">
        <v>0</v>
      </c>
      <c r="P26" s="64">
        <v>0.69</v>
      </c>
      <c r="Q26" s="64">
        <v>21.6</v>
      </c>
      <c r="R26" s="198"/>
      <c r="S26" s="198"/>
      <c r="T26" s="198"/>
      <c r="U26" s="198"/>
    </row>
    <row r="27" spans="1:21" s="12" customFormat="1" x14ac:dyDescent="0.25">
      <c r="A27" s="214" t="s">
        <v>266</v>
      </c>
      <c r="B27" s="64">
        <v>16.97</v>
      </c>
      <c r="C27" s="64">
        <v>25.45</v>
      </c>
      <c r="D27" s="64">
        <v>28.95</v>
      </c>
      <c r="E27" s="64">
        <v>4.08</v>
      </c>
      <c r="F27" s="64">
        <v>2.76</v>
      </c>
      <c r="G27" s="64">
        <v>65.13</v>
      </c>
      <c r="H27" s="64">
        <v>24.67</v>
      </c>
      <c r="I27" s="64">
        <v>0.11</v>
      </c>
      <c r="J27" s="64">
        <v>0.06</v>
      </c>
      <c r="K27" s="64">
        <v>190.62</v>
      </c>
      <c r="L27" s="64">
        <v>23.77</v>
      </c>
      <c r="M27" s="64">
        <v>98.28</v>
      </c>
      <c r="N27" s="64">
        <v>6.4</v>
      </c>
      <c r="O27" s="64">
        <v>0</v>
      </c>
      <c r="P27" s="64">
        <v>0.48</v>
      </c>
      <c r="Q27" s="64">
        <v>21.61</v>
      </c>
      <c r="R27" s="198"/>
      <c r="S27" s="198"/>
      <c r="T27" s="198"/>
      <c r="U27" s="198"/>
    </row>
    <row r="28" spans="1:21" s="12" customFormat="1" x14ac:dyDescent="0.25">
      <c r="A28" s="214" t="s">
        <v>267</v>
      </c>
      <c r="B28" s="64">
        <v>10.74</v>
      </c>
      <c r="C28" s="64">
        <v>24.41</v>
      </c>
      <c r="D28" s="64">
        <v>23.38</v>
      </c>
      <c r="E28" s="64">
        <v>4.0199999999999996</v>
      </c>
      <c r="F28" s="64">
        <v>2.4900000000000002</v>
      </c>
      <c r="G28" s="64">
        <v>63.77</v>
      </c>
      <c r="H28" s="64">
        <v>24.67</v>
      </c>
      <c r="I28" s="64">
        <v>0.1</v>
      </c>
      <c r="J28" s="64">
        <v>0.01</v>
      </c>
      <c r="K28" s="64">
        <v>82.99</v>
      </c>
      <c r="L28" s="64">
        <v>23.92</v>
      </c>
      <c r="M28" s="64">
        <v>98.28</v>
      </c>
      <c r="N28" s="64">
        <v>6.5</v>
      </c>
      <c r="O28" s="64">
        <v>0</v>
      </c>
      <c r="P28" s="64">
        <v>0.48</v>
      </c>
      <c r="Q28" s="64">
        <v>22.61</v>
      </c>
      <c r="R28" s="198"/>
      <c r="S28" s="198"/>
      <c r="T28" s="198"/>
      <c r="U28" s="198"/>
    </row>
    <row r="29" spans="1:21" s="12" customFormat="1" x14ac:dyDescent="0.25">
      <c r="A29" s="214" t="s">
        <v>268</v>
      </c>
      <c r="B29" s="64">
        <v>14.17</v>
      </c>
      <c r="C29" s="64">
        <v>34.840000000000003</v>
      </c>
      <c r="D29" s="64">
        <v>31.88</v>
      </c>
      <c r="E29" s="64">
        <v>4.3499999999999996</v>
      </c>
      <c r="F29" s="64">
        <v>2.88</v>
      </c>
      <c r="G29" s="64">
        <v>63.77</v>
      </c>
      <c r="H29" s="64">
        <v>24.67</v>
      </c>
      <c r="I29" s="64">
        <v>0.11</v>
      </c>
      <c r="J29" s="64">
        <v>0.11</v>
      </c>
      <c r="K29" s="64">
        <v>204.54</v>
      </c>
      <c r="L29" s="64">
        <v>23.96</v>
      </c>
      <c r="M29" s="64">
        <v>98.28</v>
      </c>
      <c r="N29" s="64">
        <v>6.2</v>
      </c>
      <c r="O29" s="64">
        <v>0</v>
      </c>
      <c r="P29" s="64">
        <v>0.56000000000000005</v>
      </c>
      <c r="Q29" s="64">
        <v>22.46</v>
      </c>
      <c r="R29" s="198"/>
      <c r="S29" s="198"/>
      <c r="T29" s="198"/>
      <c r="U29" s="198"/>
    </row>
    <row r="30" spans="1:21" s="12" customFormat="1" x14ac:dyDescent="0.25">
      <c r="A30" s="214" t="s">
        <v>269</v>
      </c>
      <c r="B30" s="64">
        <v>15.34</v>
      </c>
      <c r="C30" s="64">
        <v>25.54</v>
      </c>
      <c r="D30" s="64">
        <v>27.69</v>
      </c>
      <c r="E30" s="64">
        <v>4.66</v>
      </c>
      <c r="F30" s="64">
        <v>2.73</v>
      </c>
      <c r="G30" s="64">
        <v>63.77</v>
      </c>
      <c r="H30" s="64">
        <v>24.67</v>
      </c>
      <c r="I30" s="64">
        <v>0.11</v>
      </c>
      <c r="J30" s="64">
        <v>0.03</v>
      </c>
      <c r="K30" s="64">
        <v>222.82</v>
      </c>
      <c r="L30" s="64">
        <v>23.8</v>
      </c>
      <c r="M30" s="64">
        <v>98.28</v>
      </c>
      <c r="N30" s="64">
        <v>6.9</v>
      </c>
      <c r="O30" s="64">
        <v>0</v>
      </c>
      <c r="P30" s="64">
        <v>0.54</v>
      </c>
      <c r="Q30" s="64">
        <v>21.77</v>
      </c>
      <c r="R30" s="198"/>
      <c r="S30" s="198"/>
      <c r="T30" s="198"/>
      <c r="U30" s="198"/>
    </row>
    <row r="31" spans="1:21" s="12" customFormat="1" x14ac:dyDescent="0.25">
      <c r="A31" s="214" t="s">
        <v>270</v>
      </c>
      <c r="B31" s="64">
        <v>15.13</v>
      </c>
      <c r="C31" s="64">
        <v>23.92</v>
      </c>
      <c r="D31" s="64">
        <v>26.63</v>
      </c>
      <c r="E31" s="64">
        <v>3.86</v>
      </c>
      <c r="F31" s="64">
        <v>2.75</v>
      </c>
      <c r="G31" s="64">
        <v>61.35</v>
      </c>
      <c r="H31" s="64">
        <v>23.25</v>
      </c>
      <c r="I31" s="64">
        <v>0.11</v>
      </c>
      <c r="J31" s="64">
        <v>0.03</v>
      </c>
      <c r="K31" s="64">
        <v>231.72</v>
      </c>
      <c r="L31" s="64">
        <v>23.69</v>
      </c>
      <c r="M31" s="64">
        <v>98.28</v>
      </c>
      <c r="N31" s="64">
        <v>9.5</v>
      </c>
      <c r="O31" s="64">
        <v>0</v>
      </c>
      <c r="P31" s="64">
        <v>0.55000000000000004</v>
      </c>
      <c r="Q31" s="64">
        <v>20.81</v>
      </c>
      <c r="R31" s="198"/>
      <c r="S31" s="198"/>
      <c r="T31" s="198"/>
      <c r="U31" s="198"/>
    </row>
    <row r="32" spans="1:21" s="12" customFormat="1" x14ac:dyDescent="0.25">
      <c r="A32" s="214" t="s">
        <v>271</v>
      </c>
      <c r="B32" s="64">
        <v>21.68</v>
      </c>
      <c r="C32" s="64">
        <v>19.28</v>
      </c>
      <c r="D32" s="64">
        <v>29.32</v>
      </c>
      <c r="E32" s="64">
        <v>3.61</v>
      </c>
      <c r="F32" s="64">
        <v>2.39</v>
      </c>
      <c r="G32" s="64">
        <v>59.04</v>
      </c>
      <c r="H32" s="64">
        <v>21.96</v>
      </c>
      <c r="I32" s="64">
        <v>0.12</v>
      </c>
      <c r="J32" s="64">
        <v>0.11</v>
      </c>
      <c r="K32" s="64">
        <v>183.83</v>
      </c>
      <c r="L32" s="64">
        <v>23.78</v>
      </c>
      <c r="M32" s="64">
        <v>98.28</v>
      </c>
      <c r="N32" s="64">
        <v>18.100000000000001</v>
      </c>
      <c r="O32" s="64">
        <v>0</v>
      </c>
      <c r="P32" s="64">
        <v>0.61</v>
      </c>
      <c r="Q32" s="64">
        <v>19.940000000000001</v>
      </c>
      <c r="R32" s="198"/>
      <c r="S32" s="198"/>
      <c r="T32" s="198"/>
      <c r="U32" s="198"/>
    </row>
    <row r="33" spans="1:21" s="12" customFormat="1" x14ac:dyDescent="0.25">
      <c r="A33" s="214" t="s">
        <v>272</v>
      </c>
      <c r="B33" s="64">
        <v>27.99</v>
      </c>
      <c r="C33" s="64">
        <v>16.079999999999998</v>
      </c>
      <c r="D33" s="64">
        <v>32.61</v>
      </c>
      <c r="E33" s="64">
        <v>4.04</v>
      </c>
      <c r="F33" s="64">
        <v>2.89</v>
      </c>
      <c r="G33" s="64">
        <v>59.04</v>
      </c>
      <c r="H33" s="64">
        <v>21.96</v>
      </c>
      <c r="I33" s="64">
        <v>0.13</v>
      </c>
      <c r="J33" s="64">
        <v>0.09</v>
      </c>
      <c r="K33" s="64">
        <v>16.420000000000002</v>
      </c>
      <c r="L33" s="64">
        <v>23.78</v>
      </c>
      <c r="M33" s="64">
        <v>98.28</v>
      </c>
      <c r="N33" s="64">
        <v>35.799999999999997</v>
      </c>
      <c r="O33" s="64">
        <v>0</v>
      </c>
      <c r="P33" s="64">
        <v>0.62</v>
      </c>
      <c r="Q33" s="64">
        <v>19.649999999999999</v>
      </c>
      <c r="R33" s="198"/>
      <c r="S33" s="198"/>
      <c r="T33" s="198"/>
      <c r="U33" s="198"/>
    </row>
    <row r="34" spans="1:21" s="12" customFormat="1" x14ac:dyDescent="0.25">
      <c r="A34" s="214" t="s">
        <v>273</v>
      </c>
      <c r="B34" s="64">
        <v>21.07</v>
      </c>
      <c r="C34" s="64">
        <v>14.4</v>
      </c>
      <c r="D34" s="64">
        <v>26.13</v>
      </c>
      <c r="E34" s="64">
        <v>4.4000000000000004</v>
      </c>
      <c r="F34" s="64">
        <v>2.27</v>
      </c>
      <c r="G34" s="64">
        <v>59.04</v>
      </c>
      <c r="H34" s="64">
        <v>21.96</v>
      </c>
      <c r="I34" s="64">
        <v>0.12</v>
      </c>
      <c r="J34" s="64">
        <v>7.0000000000000007E-2</v>
      </c>
      <c r="K34" s="64">
        <v>23.19</v>
      </c>
      <c r="L34" s="64">
        <v>24.15</v>
      </c>
      <c r="M34" s="64">
        <v>98.26</v>
      </c>
      <c r="N34" s="64">
        <v>61.1</v>
      </c>
      <c r="O34" s="64">
        <v>0</v>
      </c>
      <c r="P34" s="64">
        <v>0.65</v>
      </c>
      <c r="Q34" s="64">
        <v>19.850000000000001</v>
      </c>
      <c r="R34" s="198"/>
      <c r="S34" s="198"/>
      <c r="T34" s="198"/>
      <c r="U34" s="198"/>
    </row>
    <row r="35" spans="1:21" s="12" customFormat="1" x14ac:dyDescent="0.25">
      <c r="A35" s="214" t="s">
        <v>274</v>
      </c>
      <c r="B35" s="64">
        <v>23.94</v>
      </c>
      <c r="C35" s="64">
        <v>16.7</v>
      </c>
      <c r="D35" s="64">
        <v>29.7</v>
      </c>
      <c r="E35" s="64">
        <v>4.54</v>
      </c>
      <c r="F35" s="64">
        <v>2.59</v>
      </c>
      <c r="G35" s="64">
        <v>56.97</v>
      </c>
      <c r="H35" s="64">
        <v>21.06</v>
      </c>
      <c r="I35" s="64">
        <v>0.12</v>
      </c>
      <c r="J35" s="64">
        <v>0.13</v>
      </c>
      <c r="K35" s="64">
        <v>350.95</v>
      </c>
      <c r="L35" s="64">
        <v>24.73</v>
      </c>
      <c r="M35" s="64">
        <v>97.91</v>
      </c>
      <c r="N35" s="64">
        <v>107.1</v>
      </c>
      <c r="O35" s="64">
        <v>0</v>
      </c>
      <c r="P35" s="64">
        <v>0.68</v>
      </c>
      <c r="Q35" s="64">
        <v>19.489999999999998</v>
      </c>
      <c r="R35" s="198"/>
      <c r="S35" s="198"/>
      <c r="T35" s="198"/>
      <c r="U35" s="198"/>
    </row>
    <row r="36" spans="1:21" s="12" customFormat="1" x14ac:dyDescent="0.25">
      <c r="A36" s="214" t="s">
        <v>275</v>
      </c>
      <c r="B36" s="64">
        <v>24.19</v>
      </c>
      <c r="C36" s="64">
        <v>16.88</v>
      </c>
      <c r="D36" s="64">
        <v>30.01</v>
      </c>
      <c r="E36" s="64">
        <v>5.04</v>
      </c>
      <c r="F36" s="64">
        <v>5.33</v>
      </c>
      <c r="G36" s="64">
        <v>55</v>
      </c>
      <c r="H36" s="64">
        <v>20.65</v>
      </c>
      <c r="I36" s="64">
        <v>0.12</v>
      </c>
      <c r="J36" s="64">
        <v>0.19</v>
      </c>
      <c r="K36" s="64">
        <v>353.53</v>
      </c>
      <c r="L36" s="64">
        <v>26.17</v>
      </c>
      <c r="M36" s="64">
        <v>91.19</v>
      </c>
      <c r="N36" s="64">
        <v>153.5</v>
      </c>
      <c r="O36" s="64">
        <v>0</v>
      </c>
      <c r="P36" s="64">
        <v>0.68</v>
      </c>
      <c r="Q36" s="64">
        <v>19.100000000000001</v>
      </c>
      <c r="R36" s="198"/>
      <c r="S36" s="198"/>
      <c r="T36" s="198"/>
      <c r="U36" s="198"/>
    </row>
    <row r="37" spans="1:21" s="12" customFormat="1" x14ac:dyDescent="0.25">
      <c r="A37" s="214" t="s">
        <v>276</v>
      </c>
      <c r="B37" s="64">
        <v>27.31</v>
      </c>
      <c r="C37" s="64">
        <v>22.71</v>
      </c>
      <c r="D37" s="64">
        <v>35.729999999999997</v>
      </c>
      <c r="E37" s="64">
        <v>4.17</v>
      </c>
      <c r="F37" s="64">
        <v>3.38</v>
      </c>
      <c r="G37" s="64">
        <v>55</v>
      </c>
      <c r="H37" s="64">
        <v>20.65</v>
      </c>
      <c r="I37" s="64">
        <v>0.12</v>
      </c>
      <c r="J37" s="64">
        <v>0.16</v>
      </c>
      <c r="K37" s="64">
        <v>3.72</v>
      </c>
      <c r="L37" s="64">
        <v>27.01</v>
      </c>
      <c r="M37" s="64">
        <v>86.02</v>
      </c>
      <c r="N37" s="64">
        <v>206.3</v>
      </c>
      <c r="O37" s="64">
        <v>0</v>
      </c>
      <c r="P37" s="64">
        <v>0.69</v>
      </c>
      <c r="Q37" s="64">
        <v>20.239999999999998</v>
      </c>
      <c r="R37" s="198"/>
      <c r="S37" s="198"/>
      <c r="T37" s="198"/>
      <c r="U37" s="198"/>
    </row>
    <row r="38" spans="1:21" s="12" customFormat="1" x14ac:dyDescent="0.25">
      <c r="A38" s="214" t="s">
        <v>277</v>
      </c>
      <c r="B38" s="64">
        <v>20.68</v>
      </c>
      <c r="C38" s="64">
        <v>19.440000000000001</v>
      </c>
      <c r="D38" s="64">
        <v>28.61</v>
      </c>
      <c r="E38" s="64">
        <v>4.33</v>
      </c>
      <c r="F38" s="64">
        <v>4.4400000000000004</v>
      </c>
      <c r="G38" s="64">
        <v>55</v>
      </c>
      <c r="H38" s="64">
        <v>20.65</v>
      </c>
      <c r="I38" s="64">
        <v>0.11</v>
      </c>
      <c r="J38" s="64">
        <v>0.04</v>
      </c>
      <c r="K38" s="64">
        <v>358.42</v>
      </c>
      <c r="L38" s="64">
        <v>26.65</v>
      </c>
      <c r="M38" s="64">
        <v>86.17</v>
      </c>
      <c r="N38" s="64">
        <v>265.10000000000002</v>
      </c>
      <c r="O38" s="64">
        <v>0</v>
      </c>
      <c r="P38" s="64">
        <v>0.66</v>
      </c>
      <c r="Q38" s="64">
        <v>21.34</v>
      </c>
      <c r="R38" s="198"/>
      <c r="S38" s="198"/>
      <c r="T38" s="198"/>
      <c r="U38" s="198"/>
    </row>
    <row r="39" spans="1:21" s="12" customFormat="1" x14ac:dyDescent="0.25">
      <c r="A39" s="214" t="s">
        <v>278</v>
      </c>
      <c r="B39" s="64">
        <v>23.61</v>
      </c>
      <c r="C39" s="64">
        <v>19.579999999999998</v>
      </c>
      <c r="D39" s="64">
        <v>31.03</v>
      </c>
      <c r="E39" s="64">
        <v>4.41</v>
      </c>
      <c r="F39" s="64">
        <v>4.24</v>
      </c>
      <c r="G39" s="64">
        <v>55.33</v>
      </c>
      <c r="H39" s="64">
        <v>19.71</v>
      </c>
      <c r="I39" s="64">
        <v>0.11</v>
      </c>
      <c r="J39" s="64">
        <v>0.18</v>
      </c>
      <c r="K39" s="64">
        <v>346.61</v>
      </c>
      <c r="L39" s="64">
        <v>27.86</v>
      </c>
      <c r="M39" s="64">
        <v>79.64</v>
      </c>
      <c r="N39" s="64">
        <v>324</v>
      </c>
      <c r="O39" s="64">
        <v>0</v>
      </c>
      <c r="P39" s="64">
        <v>0.73</v>
      </c>
      <c r="Q39" s="64">
        <v>21.33</v>
      </c>
      <c r="R39" s="198"/>
      <c r="S39" s="198"/>
      <c r="T39" s="198"/>
      <c r="U39" s="198"/>
    </row>
    <row r="40" spans="1:21" s="12" customFormat="1" x14ac:dyDescent="0.25">
      <c r="A40" s="214" t="s">
        <v>279</v>
      </c>
      <c r="B40" s="64">
        <v>21.56</v>
      </c>
      <c r="C40" s="64">
        <v>20.100000000000001</v>
      </c>
      <c r="D40" s="64">
        <v>29.68</v>
      </c>
      <c r="E40" s="64">
        <v>4.4800000000000004</v>
      </c>
      <c r="F40" s="64">
        <v>5.29</v>
      </c>
      <c r="G40" s="64">
        <v>55.65</v>
      </c>
      <c r="H40" s="64">
        <v>19.28</v>
      </c>
      <c r="I40" s="64">
        <v>0.12</v>
      </c>
      <c r="J40" s="64">
        <v>0.17</v>
      </c>
      <c r="K40" s="64">
        <v>356.7</v>
      </c>
      <c r="L40" s="64">
        <v>29.3</v>
      </c>
      <c r="M40" s="64">
        <v>72.14</v>
      </c>
      <c r="N40" s="64">
        <v>379</v>
      </c>
      <c r="O40" s="64">
        <v>0</v>
      </c>
      <c r="P40" s="64">
        <v>0.67</v>
      </c>
      <c r="Q40" s="64">
        <v>20.16</v>
      </c>
      <c r="R40" s="198"/>
      <c r="S40" s="198"/>
      <c r="T40" s="198"/>
      <c r="U40" s="198"/>
    </row>
    <row r="41" spans="1:21" s="12" customFormat="1" x14ac:dyDescent="0.25">
      <c r="A41" s="214" t="s">
        <v>280</v>
      </c>
      <c r="B41" s="64">
        <v>19.7</v>
      </c>
      <c r="C41" s="64">
        <v>15.41</v>
      </c>
      <c r="D41" s="64">
        <v>25.6</v>
      </c>
      <c r="E41" s="64">
        <v>5.54</v>
      </c>
      <c r="F41" s="64">
        <v>1.72</v>
      </c>
      <c r="G41" s="64">
        <v>55.65</v>
      </c>
      <c r="H41" s="64">
        <v>19.28</v>
      </c>
      <c r="I41" s="64">
        <v>0.12</v>
      </c>
      <c r="J41" s="64">
        <v>0.2</v>
      </c>
      <c r="K41" s="64">
        <v>352.68</v>
      </c>
      <c r="L41" s="64">
        <v>30.1</v>
      </c>
      <c r="M41" s="64">
        <v>69.48</v>
      </c>
      <c r="N41" s="64">
        <v>435.6</v>
      </c>
      <c r="O41" s="64">
        <v>0</v>
      </c>
      <c r="P41" s="64">
        <v>0.69</v>
      </c>
      <c r="Q41" s="64">
        <v>20.420000000000002</v>
      </c>
      <c r="R41" s="198"/>
      <c r="S41" s="198"/>
      <c r="T41" s="198"/>
      <c r="U41" s="198"/>
    </row>
    <row r="42" spans="1:21" s="12" customFormat="1" x14ac:dyDescent="0.25">
      <c r="A42" s="214" t="s">
        <v>281</v>
      </c>
      <c r="B42" s="64">
        <v>21.41</v>
      </c>
      <c r="C42" s="64">
        <v>16.02</v>
      </c>
      <c r="D42" s="64">
        <v>27.3</v>
      </c>
      <c r="E42" s="64">
        <v>5.22</v>
      </c>
      <c r="F42" s="64">
        <v>6.4</v>
      </c>
      <c r="G42" s="64">
        <v>55.65</v>
      </c>
      <c r="H42" s="64">
        <v>19.28</v>
      </c>
      <c r="I42" s="64">
        <v>0.12</v>
      </c>
      <c r="J42" s="64">
        <v>0.36</v>
      </c>
      <c r="K42" s="64">
        <v>335.1</v>
      </c>
      <c r="L42" s="64">
        <v>31.33</v>
      </c>
      <c r="M42" s="64">
        <v>63.61</v>
      </c>
      <c r="N42" s="64">
        <v>495</v>
      </c>
      <c r="O42" s="64">
        <v>0</v>
      </c>
      <c r="P42" s="64">
        <v>0.66</v>
      </c>
      <c r="Q42" s="64">
        <v>19.89</v>
      </c>
      <c r="R42" s="198"/>
      <c r="S42" s="198"/>
      <c r="T42" s="198"/>
      <c r="U42" s="198"/>
    </row>
    <row r="43" spans="1:21" s="12" customFormat="1" x14ac:dyDescent="0.25">
      <c r="A43" s="214" t="s">
        <v>282</v>
      </c>
      <c r="B43" s="64">
        <v>20.03</v>
      </c>
      <c r="C43" s="64">
        <v>17.25</v>
      </c>
      <c r="D43" s="64">
        <v>26.87</v>
      </c>
      <c r="E43" s="64">
        <v>5.25</v>
      </c>
      <c r="F43" s="64">
        <v>5.07</v>
      </c>
      <c r="G43" s="64">
        <v>58.4</v>
      </c>
      <c r="H43" s="64">
        <v>19.07</v>
      </c>
      <c r="I43" s="64">
        <v>0.13</v>
      </c>
      <c r="J43" s="64">
        <v>0.26</v>
      </c>
      <c r="K43" s="64">
        <v>356.77</v>
      </c>
      <c r="L43" s="64">
        <v>32.72</v>
      </c>
      <c r="M43" s="64">
        <v>58.76</v>
      </c>
      <c r="N43" s="64">
        <v>544</v>
      </c>
      <c r="O43" s="64">
        <v>0</v>
      </c>
      <c r="P43" s="64">
        <v>0.66</v>
      </c>
      <c r="Q43" s="64">
        <v>18.649999999999999</v>
      </c>
      <c r="R43" s="198"/>
      <c r="S43" s="198"/>
      <c r="T43" s="198"/>
      <c r="U43" s="198"/>
    </row>
    <row r="44" spans="1:21" s="12" customFormat="1" x14ac:dyDescent="0.25">
      <c r="A44" s="214" t="s">
        <v>283</v>
      </c>
      <c r="B44" s="64">
        <v>19.75</v>
      </c>
      <c r="C44" s="64">
        <v>17.87</v>
      </c>
      <c r="D44" s="64">
        <v>26.99</v>
      </c>
      <c r="E44" s="64">
        <v>5.52</v>
      </c>
      <c r="F44" s="64">
        <v>6.74</v>
      </c>
      <c r="G44" s="64">
        <v>61.03</v>
      </c>
      <c r="H44" s="64">
        <v>18.96</v>
      </c>
      <c r="I44" s="64">
        <v>0.12</v>
      </c>
      <c r="J44" s="64">
        <v>0.65</v>
      </c>
      <c r="K44" s="64">
        <v>331.26</v>
      </c>
      <c r="L44" s="64">
        <v>33.6</v>
      </c>
      <c r="M44" s="64">
        <v>57.02</v>
      </c>
      <c r="N44" s="64">
        <v>596.5</v>
      </c>
      <c r="O44" s="64">
        <v>0</v>
      </c>
      <c r="P44" s="64">
        <v>0.69</v>
      </c>
      <c r="Q44" s="64">
        <v>18.239999999999998</v>
      </c>
      <c r="R44" s="198"/>
      <c r="S44" s="198"/>
      <c r="T44" s="198"/>
      <c r="U44" s="198"/>
    </row>
    <row r="45" spans="1:21" s="12" customFormat="1" x14ac:dyDescent="0.25">
      <c r="A45" s="214" t="s">
        <v>284</v>
      </c>
      <c r="B45" s="64">
        <v>17.489999999999998</v>
      </c>
      <c r="C45" s="64">
        <v>17.59</v>
      </c>
      <c r="D45" s="64">
        <v>25.02</v>
      </c>
      <c r="E45" s="64">
        <v>4.71</v>
      </c>
      <c r="F45" s="64">
        <v>4.6500000000000004</v>
      </c>
      <c r="G45" s="64">
        <v>61.03</v>
      </c>
      <c r="H45" s="64">
        <v>18.96</v>
      </c>
      <c r="I45" s="64">
        <v>0.12</v>
      </c>
      <c r="J45" s="64">
        <v>0.31</v>
      </c>
      <c r="K45" s="64">
        <v>356.29</v>
      </c>
      <c r="L45" s="64">
        <v>33.450000000000003</v>
      </c>
      <c r="M45" s="64">
        <v>57.38</v>
      </c>
      <c r="N45" s="64">
        <v>636.5</v>
      </c>
      <c r="O45" s="64">
        <v>0</v>
      </c>
      <c r="P45" s="64">
        <v>0.66</v>
      </c>
      <c r="Q45" s="64">
        <v>18.100000000000001</v>
      </c>
      <c r="R45" s="198"/>
      <c r="S45" s="198"/>
      <c r="T45" s="198"/>
      <c r="U45" s="198"/>
    </row>
    <row r="46" spans="1:21" s="12" customFormat="1" x14ac:dyDescent="0.25">
      <c r="A46" s="214" t="s">
        <v>285</v>
      </c>
      <c r="B46" s="64">
        <v>16.98</v>
      </c>
      <c r="C46" s="64">
        <v>21.26</v>
      </c>
      <c r="D46" s="64">
        <v>26.64</v>
      </c>
      <c r="E46" s="64">
        <v>5.62</v>
      </c>
      <c r="F46" s="64">
        <v>6.09</v>
      </c>
      <c r="G46" s="64">
        <v>61.03</v>
      </c>
      <c r="H46" s="64">
        <v>18.96</v>
      </c>
      <c r="I46" s="64">
        <v>0.12</v>
      </c>
      <c r="J46" s="64">
        <v>0.32</v>
      </c>
      <c r="K46" s="64">
        <v>346.31</v>
      </c>
      <c r="L46" s="64">
        <v>33.340000000000003</v>
      </c>
      <c r="M46" s="64">
        <v>58.72</v>
      </c>
      <c r="N46" s="64">
        <v>675</v>
      </c>
      <c r="O46" s="64">
        <v>0</v>
      </c>
      <c r="P46" s="64">
        <v>0.69</v>
      </c>
      <c r="Q46" s="64">
        <v>17.47</v>
      </c>
      <c r="R46" s="198"/>
      <c r="S46" s="198"/>
      <c r="T46" s="198"/>
      <c r="U46" s="198"/>
    </row>
    <row r="47" spans="1:21" s="12" customFormat="1" x14ac:dyDescent="0.25">
      <c r="A47" s="214" t="s">
        <v>286</v>
      </c>
      <c r="B47" s="64">
        <v>14.25</v>
      </c>
      <c r="C47" s="64">
        <v>19.440000000000001</v>
      </c>
      <c r="D47" s="64">
        <v>23.45</v>
      </c>
      <c r="E47" s="64">
        <v>5.3</v>
      </c>
      <c r="F47" s="64">
        <v>9.3800000000000008</v>
      </c>
      <c r="G47" s="64">
        <v>62.51</v>
      </c>
      <c r="H47" s="64">
        <v>19.55</v>
      </c>
      <c r="I47" s="64">
        <v>0.13</v>
      </c>
      <c r="J47" s="64">
        <v>0.65</v>
      </c>
      <c r="K47" s="64">
        <v>332.47</v>
      </c>
      <c r="L47" s="64">
        <v>34.78</v>
      </c>
      <c r="M47" s="64">
        <v>51.98</v>
      </c>
      <c r="N47" s="64">
        <v>723.8</v>
      </c>
      <c r="O47" s="64">
        <v>0</v>
      </c>
      <c r="P47" s="64">
        <v>0.68</v>
      </c>
      <c r="Q47" s="64">
        <v>17.52</v>
      </c>
      <c r="R47" s="198"/>
      <c r="S47" s="198"/>
      <c r="T47" s="198"/>
      <c r="U47" s="198"/>
    </row>
    <row r="48" spans="1:21" s="12" customFormat="1" x14ac:dyDescent="0.25">
      <c r="A48" s="214" t="s">
        <v>287</v>
      </c>
      <c r="B48" s="64">
        <v>14.18</v>
      </c>
      <c r="C48" s="64">
        <v>22.73</v>
      </c>
      <c r="D48" s="64">
        <v>25.21</v>
      </c>
      <c r="E48" s="64">
        <v>5.42</v>
      </c>
      <c r="F48" s="64">
        <v>14.67</v>
      </c>
      <c r="G48" s="64">
        <v>63.93</v>
      </c>
      <c r="H48" s="64">
        <v>19.82</v>
      </c>
      <c r="I48" s="64">
        <v>0.13</v>
      </c>
      <c r="J48" s="64">
        <v>0.59</v>
      </c>
      <c r="K48" s="64">
        <v>338.07</v>
      </c>
      <c r="L48" s="64">
        <v>35.130000000000003</v>
      </c>
      <c r="M48" s="64">
        <v>51.26</v>
      </c>
      <c r="N48" s="64">
        <v>750.7</v>
      </c>
      <c r="O48" s="64">
        <v>0</v>
      </c>
      <c r="P48" s="64">
        <v>0.75</v>
      </c>
      <c r="Q48" s="64">
        <v>17.95</v>
      </c>
      <c r="R48" s="198"/>
      <c r="S48" s="198"/>
      <c r="T48" s="198"/>
      <c r="U48" s="198"/>
    </row>
    <row r="49" spans="1:21" s="12" customFormat="1" x14ac:dyDescent="0.25">
      <c r="A49" s="214" t="s">
        <v>288</v>
      </c>
      <c r="B49" s="64">
        <v>14.53</v>
      </c>
      <c r="C49" s="64">
        <v>32.68</v>
      </c>
      <c r="D49" s="64">
        <v>30.98</v>
      </c>
      <c r="E49" s="64">
        <v>5.86</v>
      </c>
      <c r="F49" s="64">
        <v>24.11</v>
      </c>
      <c r="G49" s="64">
        <v>63.93</v>
      </c>
      <c r="H49" s="64">
        <v>19.82</v>
      </c>
      <c r="I49" s="64">
        <v>0.12</v>
      </c>
      <c r="J49" s="64">
        <v>0.54</v>
      </c>
      <c r="K49" s="64">
        <v>337.76</v>
      </c>
      <c r="L49" s="64">
        <v>35.61</v>
      </c>
      <c r="M49" s="64">
        <v>49.19</v>
      </c>
      <c r="N49" s="64">
        <v>783.3</v>
      </c>
      <c r="O49" s="64">
        <v>0</v>
      </c>
      <c r="P49" s="64">
        <v>0.72</v>
      </c>
      <c r="Q49" s="64">
        <v>17.32</v>
      </c>
      <c r="R49" s="198"/>
      <c r="S49" s="198"/>
      <c r="T49" s="198"/>
      <c r="U49" s="198"/>
    </row>
    <row r="50" spans="1:21" s="12" customFormat="1" x14ac:dyDescent="0.25">
      <c r="A50" s="214" t="s">
        <v>289</v>
      </c>
      <c r="B50" s="64">
        <v>11.53</v>
      </c>
      <c r="C50" s="64">
        <v>28.98</v>
      </c>
      <c r="D50" s="64">
        <v>26.54</v>
      </c>
      <c r="E50" s="64">
        <v>5.73</v>
      </c>
      <c r="F50" s="64">
        <v>21.26</v>
      </c>
      <c r="G50" s="64">
        <v>63.93</v>
      </c>
      <c r="H50" s="64">
        <v>19.82</v>
      </c>
      <c r="I50" s="64">
        <v>0.12</v>
      </c>
      <c r="J50" s="64">
        <v>0.47</v>
      </c>
      <c r="K50" s="64">
        <v>335.38</v>
      </c>
      <c r="L50" s="64">
        <v>35.26</v>
      </c>
      <c r="M50" s="64">
        <v>49.15</v>
      </c>
      <c r="N50" s="64">
        <v>817</v>
      </c>
      <c r="O50" s="64">
        <v>0</v>
      </c>
      <c r="P50" s="64">
        <v>0.71</v>
      </c>
      <c r="Q50" s="64">
        <v>18.02</v>
      </c>
      <c r="R50" s="198"/>
      <c r="S50" s="198"/>
      <c r="T50" s="198"/>
      <c r="U50" s="198"/>
    </row>
    <row r="51" spans="1:21" s="12" customFormat="1" x14ac:dyDescent="0.25">
      <c r="A51" s="214" t="s">
        <v>290</v>
      </c>
      <c r="B51" s="64">
        <v>10.07</v>
      </c>
      <c r="C51" s="64">
        <v>25.81</v>
      </c>
      <c r="D51" s="64">
        <v>23.62</v>
      </c>
      <c r="E51" s="64">
        <v>5.77</v>
      </c>
      <c r="F51" s="64">
        <v>28.54</v>
      </c>
      <c r="G51" s="64">
        <v>65</v>
      </c>
      <c r="H51" s="64">
        <v>19.72</v>
      </c>
      <c r="I51" s="64">
        <v>0.12</v>
      </c>
      <c r="J51" s="64">
        <v>0.34</v>
      </c>
      <c r="K51" s="64">
        <v>80.42</v>
      </c>
      <c r="L51" s="64">
        <v>34.200000000000003</v>
      </c>
      <c r="M51" s="64">
        <v>49.78</v>
      </c>
      <c r="N51" s="64">
        <v>841.7</v>
      </c>
      <c r="O51" s="64">
        <v>0</v>
      </c>
      <c r="P51" s="64">
        <v>0.55000000000000004</v>
      </c>
      <c r="Q51" s="64">
        <v>18.440000000000001</v>
      </c>
      <c r="R51" s="198"/>
      <c r="S51" s="198"/>
      <c r="T51" s="198"/>
      <c r="U51" s="198"/>
    </row>
    <row r="52" spans="1:21" s="12" customFormat="1" x14ac:dyDescent="0.25">
      <c r="A52" s="214" t="s">
        <v>291</v>
      </c>
      <c r="B52" s="64">
        <v>10.69</v>
      </c>
      <c r="C52" s="64">
        <v>24.33</v>
      </c>
      <c r="D52" s="64">
        <v>23.29</v>
      </c>
      <c r="E52" s="64">
        <v>5.95</v>
      </c>
      <c r="F52" s="64">
        <v>22.73</v>
      </c>
      <c r="G52" s="64">
        <v>66.03</v>
      </c>
      <c r="H52" s="64">
        <v>19.68</v>
      </c>
      <c r="I52" s="64">
        <v>0.12</v>
      </c>
      <c r="J52" s="64">
        <v>0.44</v>
      </c>
      <c r="K52" s="64">
        <v>339.89</v>
      </c>
      <c r="L52" s="64">
        <v>34.21</v>
      </c>
      <c r="M52" s="64">
        <v>52.21</v>
      </c>
      <c r="N52" s="64">
        <v>847.3</v>
      </c>
      <c r="O52" s="64">
        <v>0</v>
      </c>
      <c r="P52" s="64">
        <v>0.64</v>
      </c>
      <c r="Q52" s="64">
        <v>19.57</v>
      </c>
      <c r="R52" s="198"/>
      <c r="S52" s="198"/>
      <c r="T52" s="198"/>
      <c r="U52" s="198"/>
    </row>
    <row r="53" spans="1:21" s="12" customFormat="1" x14ac:dyDescent="0.25">
      <c r="A53" s="214" t="s">
        <v>292</v>
      </c>
      <c r="B53" s="64">
        <v>9.67</v>
      </c>
      <c r="C53" s="64">
        <v>21.53</v>
      </c>
      <c r="D53" s="64">
        <v>20.93</v>
      </c>
      <c r="E53" s="64">
        <v>5.95</v>
      </c>
      <c r="F53" s="64">
        <v>13.38</v>
      </c>
      <c r="G53" s="64">
        <v>66.03</v>
      </c>
      <c r="H53" s="64">
        <v>19.68</v>
      </c>
      <c r="I53" s="64">
        <v>0.11</v>
      </c>
      <c r="J53" s="64">
        <v>0.18</v>
      </c>
      <c r="K53" s="64">
        <v>111.51</v>
      </c>
      <c r="L53" s="64">
        <v>33.76</v>
      </c>
      <c r="M53" s="64">
        <v>51.76</v>
      </c>
      <c r="N53" s="64">
        <v>875.5</v>
      </c>
      <c r="O53" s="64">
        <v>0</v>
      </c>
      <c r="P53" s="64">
        <v>0.7</v>
      </c>
      <c r="Q53" s="64">
        <v>19.059999999999999</v>
      </c>
      <c r="R53" s="198"/>
      <c r="S53" s="198"/>
      <c r="T53" s="198"/>
      <c r="U53" s="198"/>
    </row>
    <row r="54" spans="1:21" s="12" customFormat="1" x14ac:dyDescent="0.25">
      <c r="A54" s="214" t="s">
        <v>293</v>
      </c>
      <c r="B54" s="64">
        <v>8.1300000000000008</v>
      </c>
      <c r="C54" s="64">
        <v>21.43</v>
      </c>
      <c r="D54" s="64">
        <v>19.64</v>
      </c>
      <c r="E54" s="64">
        <v>5.62</v>
      </c>
      <c r="F54" s="64">
        <v>5.95</v>
      </c>
      <c r="G54" s="64">
        <v>66.03</v>
      </c>
      <c r="H54" s="64">
        <v>19.68</v>
      </c>
      <c r="I54" s="64">
        <v>0.12</v>
      </c>
      <c r="J54" s="64">
        <v>0.47</v>
      </c>
      <c r="K54" s="64">
        <v>333.97</v>
      </c>
      <c r="L54" s="64">
        <v>34.979999999999997</v>
      </c>
      <c r="M54" s="64">
        <v>50.35</v>
      </c>
      <c r="N54" s="64">
        <v>765.1</v>
      </c>
      <c r="O54" s="64">
        <v>0</v>
      </c>
      <c r="P54" s="64">
        <v>0.71</v>
      </c>
      <c r="Q54" s="64">
        <v>18.989999999999998</v>
      </c>
      <c r="R54" s="198"/>
      <c r="S54" s="198"/>
      <c r="T54" s="198"/>
      <c r="U54" s="198"/>
    </row>
    <row r="55" spans="1:21" s="12" customFormat="1" x14ac:dyDescent="0.25">
      <c r="A55" s="214" t="s">
        <v>294</v>
      </c>
      <c r="B55" s="64">
        <v>7.3</v>
      </c>
      <c r="C55" s="64">
        <v>24.05</v>
      </c>
      <c r="D55" s="64">
        <v>20.420000000000002</v>
      </c>
      <c r="E55" s="64">
        <v>5.7</v>
      </c>
      <c r="F55" s="64">
        <v>12.23</v>
      </c>
      <c r="G55" s="64">
        <v>71.3</v>
      </c>
      <c r="H55" s="64">
        <v>22.65</v>
      </c>
      <c r="I55" s="64">
        <v>0.13</v>
      </c>
      <c r="J55" s="64">
        <v>0.08</v>
      </c>
      <c r="K55" s="64">
        <v>1.42</v>
      </c>
      <c r="L55" s="64">
        <v>33.03</v>
      </c>
      <c r="M55" s="64">
        <v>55.2</v>
      </c>
      <c r="N55" s="64">
        <v>305.10000000000002</v>
      </c>
      <c r="O55" s="64">
        <v>0</v>
      </c>
      <c r="P55" s="64">
        <v>0.68</v>
      </c>
      <c r="Q55" s="64">
        <v>18.47</v>
      </c>
      <c r="R55" s="198"/>
      <c r="S55" s="198"/>
      <c r="T55" s="198"/>
      <c r="U55" s="198"/>
    </row>
    <row r="56" spans="1:21" s="12" customFormat="1" x14ac:dyDescent="0.25">
      <c r="A56" s="214" t="s">
        <v>295</v>
      </c>
      <c r="B56" s="64">
        <v>5.89</v>
      </c>
      <c r="C56" s="64">
        <v>21.29</v>
      </c>
      <c r="D56" s="64">
        <v>17.760000000000002</v>
      </c>
      <c r="E56" s="64">
        <v>4.8499999999999996</v>
      </c>
      <c r="F56" s="64">
        <v>26.3</v>
      </c>
      <c r="G56" s="64">
        <v>76.34</v>
      </c>
      <c r="H56" s="64">
        <v>25.36</v>
      </c>
      <c r="I56" s="64">
        <v>0.12</v>
      </c>
      <c r="J56" s="64">
        <v>0.22</v>
      </c>
      <c r="K56" s="64">
        <v>359.44</v>
      </c>
      <c r="L56" s="64">
        <v>30.71</v>
      </c>
      <c r="M56" s="64">
        <v>61.84</v>
      </c>
      <c r="N56" s="64">
        <v>60.2</v>
      </c>
      <c r="O56" s="64">
        <v>0</v>
      </c>
      <c r="P56" s="64">
        <v>0.51</v>
      </c>
      <c r="Q56" s="64">
        <v>17.57</v>
      </c>
      <c r="R56" s="198"/>
      <c r="S56" s="198"/>
      <c r="T56" s="198"/>
      <c r="U56" s="198"/>
    </row>
    <row r="57" spans="1:21" s="12" customFormat="1" x14ac:dyDescent="0.25">
      <c r="A57" s="214" t="s">
        <v>296</v>
      </c>
      <c r="B57" s="64">
        <v>6.21</v>
      </c>
      <c r="C57" s="64">
        <v>26.89</v>
      </c>
      <c r="D57" s="64">
        <v>21.11</v>
      </c>
      <c r="E57" s="64">
        <v>5.78</v>
      </c>
      <c r="F57" s="64">
        <v>9.51</v>
      </c>
      <c r="G57" s="64">
        <v>76.34</v>
      </c>
      <c r="H57" s="64">
        <v>25.36</v>
      </c>
      <c r="I57" s="64">
        <v>0.12</v>
      </c>
      <c r="J57" s="64">
        <v>2.2400000000000002</v>
      </c>
      <c r="K57" s="64">
        <v>147.30000000000001</v>
      </c>
      <c r="L57" s="64">
        <v>27.34</v>
      </c>
      <c r="M57" s="64">
        <v>83.14</v>
      </c>
      <c r="N57" s="64">
        <v>73.8</v>
      </c>
      <c r="O57" s="64">
        <v>8.1999999999999993</v>
      </c>
      <c r="P57" s="64">
        <v>0.63</v>
      </c>
      <c r="Q57" s="64">
        <v>16.72</v>
      </c>
      <c r="R57" s="198"/>
      <c r="S57" s="198"/>
      <c r="T57" s="198"/>
      <c r="U57" s="198"/>
    </row>
    <row r="58" spans="1:21" s="12" customFormat="1" x14ac:dyDescent="0.25">
      <c r="A58" s="214" t="s">
        <v>297</v>
      </c>
      <c r="B58" s="64">
        <v>4.4800000000000004</v>
      </c>
      <c r="C58" s="64">
        <v>19.14</v>
      </c>
      <c r="D58" s="64">
        <v>15.45</v>
      </c>
      <c r="E58" s="64">
        <v>5.84</v>
      </c>
      <c r="F58" s="64">
        <v>3.06</v>
      </c>
      <c r="G58" s="64">
        <v>76.34</v>
      </c>
      <c r="H58" s="64">
        <v>25.36</v>
      </c>
      <c r="I58" s="64">
        <v>0.11</v>
      </c>
      <c r="J58" s="64">
        <v>0.26</v>
      </c>
      <c r="K58" s="64">
        <v>194.95</v>
      </c>
      <c r="L58" s="64">
        <v>23.46</v>
      </c>
      <c r="M58" s="64">
        <v>98.28</v>
      </c>
      <c r="N58" s="64">
        <v>99.7</v>
      </c>
      <c r="O58" s="64">
        <v>1.6</v>
      </c>
      <c r="P58" s="64">
        <v>0.63</v>
      </c>
      <c r="Q58" s="64">
        <v>17.36</v>
      </c>
      <c r="R58" s="198"/>
      <c r="S58" s="198"/>
      <c r="T58" s="198"/>
      <c r="U58" s="198"/>
    </row>
    <row r="59" spans="1:21" s="12" customFormat="1" x14ac:dyDescent="0.25">
      <c r="A59" s="214" t="s">
        <v>298</v>
      </c>
      <c r="B59" s="64">
        <v>3.6</v>
      </c>
      <c r="C59" s="64">
        <v>21.18</v>
      </c>
      <c r="D59" s="64">
        <v>15.87</v>
      </c>
      <c r="E59" s="64">
        <v>6.26</v>
      </c>
      <c r="F59" s="64">
        <v>18.809999999999999</v>
      </c>
      <c r="G59" s="64">
        <v>71.59</v>
      </c>
      <c r="H59" s="64">
        <v>24.51</v>
      </c>
      <c r="I59" s="64">
        <v>0.12</v>
      </c>
      <c r="J59" s="64">
        <v>0.09</v>
      </c>
      <c r="K59" s="64">
        <v>242.43</v>
      </c>
      <c r="L59" s="64">
        <v>23.65</v>
      </c>
      <c r="M59" s="64">
        <v>98.28</v>
      </c>
      <c r="N59" s="64">
        <v>119.3</v>
      </c>
      <c r="O59" s="64">
        <v>0.2</v>
      </c>
      <c r="P59" s="64">
        <v>0.52</v>
      </c>
      <c r="Q59" s="64">
        <v>17.77</v>
      </c>
      <c r="R59" s="198"/>
      <c r="S59" s="198"/>
      <c r="T59" s="198"/>
      <c r="U59" s="198"/>
    </row>
    <row r="60" spans="1:21" s="12" customFormat="1" x14ac:dyDescent="0.25">
      <c r="A60" s="214" t="s">
        <v>299</v>
      </c>
      <c r="B60" s="64">
        <v>19.82</v>
      </c>
      <c r="C60" s="64">
        <v>42.94</v>
      </c>
      <c r="D60" s="64">
        <v>40.89</v>
      </c>
      <c r="E60" s="64">
        <v>5.73</v>
      </c>
      <c r="F60" s="64">
        <v>17.73</v>
      </c>
      <c r="G60" s="64">
        <v>67.040000000000006</v>
      </c>
      <c r="H60" s="64">
        <v>24.13</v>
      </c>
      <c r="I60" s="64">
        <v>0.13</v>
      </c>
      <c r="J60" s="64">
        <v>0.03</v>
      </c>
      <c r="K60" s="64">
        <v>357.09</v>
      </c>
      <c r="L60" s="64">
        <v>24.29</v>
      </c>
      <c r="M60" s="64">
        <v>98.29</v>
      </c>
      <c r="N60" s="64">
        <v>134</v>
      </c>
      <c r="O60" s="64">
        <v>0</v>
      </c>
      <c r="P60" s="64">
        <v>0.89</v>
      </c>
      <c r="Q60" s="64">
        <v>16.2</v>
      </c>
      <c r="R60" s="198"/>
      <c r="S60" s="198"/>
      <c r="T60" s="198"/>
      <c r="U60" s="198"/>
    </row>
    <row r="61" spans="1:21" s="12" customFormat="1" x14ac:dyDescent="0.25">
      <c r="A61" s="214" t="s">
        <v>300</v>
      </c>
      <c r="B61" s="64">
        <v>13.34</v>
      </c>
      <c r="C61" s="64">
        <v>36.630000000000003</v>
      </c>
      <c r="D61" s="64">
        <v>32.21</v>
      </c>
      <c r="E61" s="64">
        <v>6.05</v>
      </c>
      <c r="F61" s="64">
        <v>8.92</v>
      </c>
      <c r="G61" s="64">
        <v>67.040000000000006</v>
      </c>
      <c r="H61" s="64">
        <v>24.13</v>
      </c>
      <c r="I61" s="64">
        <v>0.11</v>
      </c>
      <c r="J61" s="64">
        <v>1.07</v>
      </c>
      <c r="K61" s="64">
        <v>342.36</v>
      </c>
      <c r="L61" s="64">
        <v>25.29</v>
      </c>
      <c r="M61" s="64">
        <v>96.76</v>
      </c>
      <c r="N61" s="64">
        <v>247.9</v>
      </c>
      <c r="O61" s="64">
        <v>0</v>
      </c>
      <c r="P61" s="64">
        <v>0.76</v>
      </c>
      <c r="Q61" s="64">
        <v>15.13</v>
      </c>
      <c r="R61" s="198"/>
      <c r="S61" s="198"/>
      <c r="T61" s="198"/>
      <c r="U61" s="198"/>
    </row>
    <row r="62" spans="1:21" s="12" customFormat="1" x14ac:dyDescent="0.25">
      <c r="A62" s="214" t="s">
        <v>301</v>
      </c>
      <c r="B62" s="64">
        <v>14.15</v>
      </c>
      <c r="C62" s="64">
        <v>29.97</v>
      </c>
      <c r="D62" s="64">
        <v>29.18</v>
      </c>
      <c r="E62" s="64">
        <v>5.79</v>
      </c>
      <c r="F62" s="64">
        <v>14.68</v>
      </c>
      <c r="G62" s="64">
        <v>67.040000000000006</v>
      </c>
      <c r="H62" s="64">
        <v>24.13</v>
      </c>
      <c r="I62" s="64">
        <v>0.12</v>
      </c>
      <c r="J62" s="64">
        <v>0.82</v>
      </c>
      <c r="K62" s="64">
        <v>341.14</v>
      </c>
      <c r="L62" s="64">
        <v>25.73</v>
      </c>
      <c r="M62" s="64">
        <v>86.93</v>
      </c>
      <c r="N62" s="64">
        <v>287</v>
      </c>
      <c r="O62" s="64">
        <v>0</v>
      </c>
      <c r="P62" s="64">
        <v>0.67</v>
      </c>
      <c r="Q62" s="64">
        <v>17.98</v>
      </c>
      <c r="R62" s="198"/>
      <c r="S62" s="198"/>
      <c r="T62" s="198"/>
      <c r="U62" s="198"/>
    </row>
    <row r="63" spans="1:21" s="12" customFormat="1" x14ac:dyDescent="0.25">
      <c r="A63" s="214" t="s">
        <v>302</v>
      </c>
      <c r="B63" s="64">
        <v>20.54</v>
      </c>
      <c r="C63" s="64">
        <v>45.3</v>
      </c>
      <c r="D63" s="64">
        <v>42.77</v>
      </c>
      <c r="E63" s="64">
        <v>5.95</v>
      </c>
      <c r="F63" s="64">
        <v>19.22</v>
      </c>
      <c r="G63" s="64">
        <v>63.37</v>
      </c>
      <c r="H63" s="64">
        <v>23.31</v>
      </c>
      <c r="I63" s="64">
        <v>0.12</v>
      </c>
      <c r="J63" s="64">
        <v>0.22</v>
      </c>
      <c r="K63" s="64">
        <v>328.54</v>
      </c>
      <c r="L63" s="64">
        <v>26.59</v>
      </c>
      <c r="M63" s="64">
        <v>86.37</v>
      </c>
      <c r="N63" s="64">
        <v>209.2</v>
      </c>
      <c r="O63" s="64">
        <v>0</v>
      </c>
      <c r="P63" s="64">
        <v>1.1299999999999999</v>
      </c>
      <c r="Q63" s="64">
        <v>16.690000000000001</v>
      </c>
      <c r="R63" s="198"/>
      <c r="S63" s="198"/>
      <c r="T63" s="198"/>
      <c r="U63" s="198"/>
    </row>
    <row r="64" spans="1:21" s="12" customFormat="1" x14ac:dyDescent="0.25">
      <c r="A64" s="214" t="s">
        <v>303</v>
      </c>
      <c r="B64" s="64">
        <v>16.829999999999998</v>
      </c>
      <c r="C64" s="64">
        <v>45.45</v>
      </c>
      <c r="D64" s="64">
        <v>39.880000000000003</v>
      </c>
      <c r="E64" s="64">
        <v>6.14</v>
      </c>
      <c r="F64" s="64">
        <v>12.97</v>
      </c>
      <c r="G64" s="64">
        <v>59.86</v>
      </c>
      <c r="H64" s="64">
        <v>22.93</v>
      </c>
      <c r="I64" s="64">
        <v>0.12</v>
      </c>
      <c r="J64" s="64">
        <v>0.09</v>
      </c>
      <c r="K64" s="64">
        <v>173.44</v>
      </c>
      <c r="L64" s="64">
        <v>27.16</v>
      </c>
      <c r="M64" s="64">
        <v>86.82</v>
      </c>
      <c r="N64" s="64">
        <v>223.8</v>
      </c>
      <c r="O64" s="64">
        <v>0</v>
      </c>
      <c r="P64" s="64">
        <v>0.83</v>
      </c>
      <c r="Q64" s="64">
        <v>16</v>
      </c>
      <c r="R64" s="198"/>
      <c r="S64" s="198"/>
      <c r="T64" s="198"/>
      <c r="U64" s="198"/>
    </row>
    <row r="65" spans="1:21" s="12" customFormat="1" x14ac:dyDescent="0.25">
      <c r="A65" s="214" t="s">
        <v>304</v>
      </c>
      <c r="B65" s="64">
        <v>20.45</v>
      </c>
      <c r="C65" s="64">
        <v>45.8</v>
      </c>
      <c r="D65" s="64">
        <v>42.97</v>
      </c>
      <c r="E65" s="64">
        <v>6.38</v>
      </c>
      <c r="F65" s="64">
        <v>11.41</v>
      </c>
      <c r="G65" s="64">
        <v>59.86</v>
      </c>
      <c r="H65" s="64">
        <v>22.93</v>
      </c>
      <c r="I65" s="64">
        <v>0.11</v>
      </c>
      <c r="J65" s="64">
        <v>0.01</v>
      </c>
      <c r="K65" s="64">
        <v>21.7</v>
      </c>
      <c r="L65" s="64">
        <v>28.09</v>
      </c>
      <c r="M65" s="64">
        <v>85.21</v>
      </c>
      <c r="N65" s="64">
        <v>192.2</v>
      </c>
      <c r="O65" s="64">
        <v>0</v>
      </c>
      <c r="P65" s="64">
        <v>1.25</v>
      </c>
      <c r="Q65" s="64">
        <v>15.11</v>
      </c>
      <c r="R65" s="198"/>
      <c r="S65" s="198"/>
      <c r="T65" s="198"/>
      <c r="U65" s="198"/>
    </row>
    <row r="66" spans="1:21" s="12" customFormat="1" x14ac:dyDescent="0.25">
      <c r="A66" s="214" t="s">
        <v>305</v>
      </c>
      <c r="B66" s="64">
        <v>7.52</v>
      </c>
      <c r="C66" s="64">
        <v>32.950000000000003</v>
      </c>
      <c r="D66" s="64">
        <v>25.51</v>
      </c>
      <c r="E66" s="64">
        <v>6.17</v>
      </c>
      <c r="F66" s="64">
        <v>17.510000000000002</v>
      </c>
      <c r="G66" s="64">
        <v>59.86</v>
      </c>
      <c r="H66" s="64">
        <v>22.93</v>
      </c>
      <c r="I66" s="64">
        <v>0.11</v>
      </c>
      <c r="J66" s="64">
        <v>0.09</v>
      </c>
      <c r="K66" s="64">
        <v>225.01</v>
      </c>
      <c r="L66" s="64">
        <v>28.16</v>
      </c>
      <c r="M66" s="64">
        <v>77.14</v>
      </c>
      <c r="N66" s="64">
        <v>171.1</v>
      </c>
      <c r="O66" s="64">
        <v>0</v>
      </c>
      <c r="P66" s="64">
        <v>0.56999999999999995</v>
      </c>
      <c r="Q66" s="64">
        <v>17.14</v>
      </c>
      <c r="R66" s="198"/>
      <c r="S66" s="198"/>
      <c r="T66" s="198"/>
      <c r="U66" s="198"/>
    </row>
    <row r="67" spans="1:21" s="12" customFormat="1" x14ac:dyDescent="0.25">
      <c r="A67" s="214" t="s">
        <v>306</v>
      </c>
      <c r="B67" s="64">
        <v>5.46</v>
      </c>
      <c r="C67" s="64">
        <v>23.62</v>
      </c>
      <c r="D67" s="64">
        <v>18.71</v>
      </c>
      <c r="E67" s="64">
        <v>5.97</v>
      </c>
      <c r="F67" s="64">
        <v>15.28</v>
      </c>
      <c r="G67" s="64">
        <v>66.83</v>
      </c>
      <c r="H67" s="64">
        <v>25.47</v>
      </c>
      <c r="I67" s="64">
        <v>0.11</v>
      </c>
      <c r="J67" s="64">
        <v>7.0000000000000007E-2</v>
      </c>
      <c r="K67" s="64">
        <v>236.08</v>
      </c>
      <c r="L67" s="64">
        <v>28.18</v>
      </c>
      <c r="M67" s="64">
        <v>71.959999999999994</v>
      </c>
      <c r="N67" s="64">
        <v>171</v>
      </c>
      <c r="O67" s="64">
        <v>0</v>
      </c>
      <c r="P67" s="64">
        <v>0.6</v>
      </c>
      <c r="Q67" s="64">
        <v>17.95</v>
      </c>
      <c r="R67" s="198"/>
      <c r="S67" s="198"/>
      <c r="T67" s="198"/>
      <c r="U67" s="198"/>
    </row>
    <row r="68" spans="1:21" s="12" customFormat="1" x14ac:dyDescent="0.25">
      <c r="A68" s="214" t="s">
        <v>307</v>
      </c>
      <c r="B68" s="64">
        <v>5.15</v>
      </c>
      <c r="C68" s="64">
        <v>22.31</v>
      </c>
      <c r="D68" s="64">
        <v>17.73</v>
      </c>
      <c r="E68" s="64">
        <v>5.87</v>
      </c>
      <c r="F68" s="64">
        <v>17.14</v>
      </c>
      <c r="G68" s="64">
        <v>73.5</v>
      </c>
      <c r="H68" s="64">
        <v>26.63</v>
      </c>
      <c r="I68" s="64">
        <v>0.11</v>
      </c>
      <c r="J68" s="64">
        <v>0.01</v>
      </c>
      <c r="K68" s="64">
        <v>340.17</v>
      </c>
      <c r="L68" s="64">
        <v>28.6</v>
      </c>
      <c r="M68" s="64">
        <v>70.03</v>
      </c>
      <c r="N68" s="64">
        <v>213.9</v>
      </c>
      <c r="O68" s="64">
        <v>0</v>
      </c>
      <c r="P68" s="64">
        <v>0.57999999999999996</v>
      </c>
      <c r="Q68" s="64">
        <v>18.399999999999999</v>
      </c>
      <c r="R68" s="198"/>
      <c r="S68" s="198"/>
      <c r="T68" s="198"/>
      <c r="U68" s="198"/>
    </row>
    <row r="69" spans="1:21" s="12" customFormat="1" x14ac:dyDescent="0.25">
      <c r="A69" s="214" t="s">
        <v>308</v>
      </c>
      <c r="B69" s="64">
        <v>4.76</v>
      </c>
      <c r="C69" s="64">
        <v>23.27</v>
      </c>
      <c r="D69" s="64">
        <v>17.95</v>
      </c>
      <c r="E69" s="64">
        <v>5.5</v>
      </c>
      <c r="F69" s="64">
        <v>17.47</v>
      </c>
      <c r="G69" s="64">
        <v>73.5</v>
      </c>
      <c r="H69" s="64">
        <v>26.63</v>
      </c>
      <c r="I69" s="64">
        <v>0.12</v>
      </c>
      <c r="J69" s="64">
        <v>0.05</v>
      </c>
      <c r="K69" s="64">
        <v>218</v>
      </c>
      <c r="L69" s="64">
        <v>28.97</v>
      </c>
      <c r="M69" s="64">
        <v>68.849999999999994</v>
      </c>
      <c r="N69" s="64">
        <v>241.1</v>
      </c>
      <c r="O69" s="64">
        <v>0</v>
      </c>
      <c r="P69" s="64">
        <v>0.56000000000000005</v>
      </c>
      <c r="Q69" s="64">
        <v>17.82</v>
      </c>
      <c r="R69" s="198"/>
      <c r="S69" s="198"/>
      <c r="T69" s="198"/>
      <c r="U69" s="198"/>
    </row>
    <row r="70" spans="1:21" s="12" customFormat="1" x14ac:dyDescent="0.25">
      <c r="A70" s="214" t="s">
        <v>309</v>
      </c>
      <c r="B70" s="64">
        <v>4.5999999999999996</v>
      </c>
      <c r="C70" s="64">
        <v>20.77</v>
      </c>
      <c r="D70" s="64">
        <v>16.440000000000001</v>
      </c>
      <c r="E70" s="64">
        <v>5.61</v>
      </c>
      <c r="F70" s="64">
        <v>10.72</v>
      </c>
      <c r="G70" s="64">
        <v>73.5</v>
      </c>
      <c r="H70" s="64">
        <v>26.63</v>
      </c>
      <c r="I70" s="64">
        <v>0.12</v>
      </c>
      <c r="J70" s="64">
        <v>0.43</v>
      </c>
      <c r="K70" s="64">
        <v>154.63999999999999</v>
      </c>
      <c r="L70" s="64">
        <v>29.22</v>
      </c>
      <c r="M70" s="64">
        <v>70.180000000000007</v>
      </c>
      <c r="N70" s="64">
        <v>256.39999999999998</v>
      </c>
      <c r="O70" s="64">
        <v>0</v>
      </c>
      <c r="P70" s="64">
        <v>0.56000000000000005</v>
      </c>
      <c r="Q70" s="64">
        <v>17.16</v>
      </c>
      <c r="R70" s="198"/>
      <c r="S70" s="198"/>
      <c r="T70" s="198"/>
      <c r="U70" s="198"/>
    </row>
    <row r="71" spans="1:21" s="12" customFormat="1" x14ac:dyDescent="0.25">
      <c r="A71" s="214" t="s">
        <v>310</v>
      </c>
      <c r="B71" s="64">
        <v>4.4000000000000004</v>
      </c>
      <c r="C71" s="64">
        <v>18.79</v>
      </c>
      <c r="D71" s="64">
        <v>15.19</v>
      </c>
      <c r="E71" s="64">
        <v>6</v>
      </c>
      <c r="F71" s="64">
        <v>19.98</v>
      </c>
      <c r="G71" s="64">
        <v>70.709999999999994</v>
      </c>
      <c r="H71" s="64">
        <v>25.31</v>
      </c>
      <c r="I71" s="64">
        <v>0.11</v>
      </c>
      <c r="J71" s="64">
        <v>0.59</v>
      </c>
      <c r="K71" s="64">
        <v>153.24</v>
      </c>
      <c r="L71" s="64">
        <v>29.4</v>
      </c>
      <c r="M71" s="64">
        <v>68.88</v>
      </c>
      <c r="N71" s="64">
        <v>237.9</v>
      </c>
      <c r="O71" s="64">
        <v>0</v>
      </c>
      <c r="P71" s="64">
        <v>0.49</v>
      </c>
      <c r="Q71" s="64">
        <v>17.510000000000002</v>
      </c>
      <c r="R71" s="198"/>
      <c r="S71" s="198"/>
      <c r="T71" s="198"/>
      <c r="U71" s="198"/>
    </row>
    <row r="72" spans="1:21" s="12" customFormat="1" x14ac:dyDescent="0.25">
      <c r="A72" s="214" t="s">
        <v>311</v>
      </c>
      <c r="B72" s="64">
        <v>6.71</v>
      </c>
      <c r="C72" s="64">
        <v>26.57</v>
      </c>
      <c r="D72" s="64">
        <v>21.33</v>
      </c>
      <c r="E72" s="64">
        <v>4.9400000000000004</v>
      </c>
      <c r="F72" s="64">
        <v>24.98</v>
      </c>
      <c r="G72" s="64">
        <v>68.03</v>
      </c>
      <c r="H72" s="64">
        <v>24.71</v>
      </c>
      <c r="I72" s="64">
        <v>0.12</v>
      </c>
      <c r="J72" s="64">
        <v>0.02</v>
      </c>
      <c r="K72" s="64">
        <v>41.13</v>
      </c>
      <c r="L72" s="64">
        <v>29.56</v>
      </c>
      <c r="M72" s="64">
        <v>69.84</v>
      </c>
      <c r="N72" s="64">
        <v>157.5</v>
      </c>
      <c r="O72" s="64">
        <v>0</v>
      </c>
      <c r="P72" s="64">
        <v>0.37</v>
      </c>
      <c r="Q72" s="64">
        <v>18.78</v>
      </c>
      <c r="R72" s="198"/>
      <c r="S72" s="198"/>
      <c r="T72" s="198"/>
      <c r="U72" s="198"/>
    </row>
    <row r="73" spans="1:21" s="12" customFormat="1" x14ac:dyDescent="0.25">
      <c r="A73" s="214" t="s">
        <v>312</v>
      </c>
      <c r="B73" s="64">
        <v>3.62</v>
      </c>
      <c r="C73" s="64">
        <v>21.42</v>
      </c>
      <c r="D73" s="64">
        <v>16.02</v>
      </c>
      <c r="E73" s="64">
        <v>5.63</v>
      </c>
      <c r="F73" s="64">
        <v>27.62</v>
      </c>
      <c r="G73" s="64">
        <v>68.03</v>
      </c>
      <c r="H73" s="64">
        <v>24.71</v>
      </c>
      <c r="I73" s="64">
        <v>0.11</v>
      </c>
      <c r="J73" s="64">
        <v>0.04</v>
      </c>
      <c r="K73" s="64">
        <v>169.84</v>
      </c>
      <c r="L73" s="64">
        <v>29.43</v>
      </c>
      <c r="M73" s="64">
        <v>67.5</v>
      </c>
      <c r="N73" s="64">
        <v>132.9</v>
      </c>
      <c r="O73" s="64">
        <v>0</v>
      </c>
      <c r="P73" s="64">
        <v>0.34</v>
      </c>
      <c r="Q73" s="64">
        <v>19.41</v>
      </c>
      <c r="R73" s="198"/>
      <c r="S73" s="198"/>
      <c r="T73" s="198"/>
      <c r="U73" s="198"/>
    </row>
    <row r="74" spans="1:21" s="12" customFormat="1" x14ac:dyDescent="0.25">
      <c r="A74" s="214" t="s">
        <v>313</v>
      </c>
      <c r="B74" s="64">
        <v>6.68</v>
      </c>
      <c r="C74" s="64">
        <v>23.34</v>
      </c>
      <c r="D74" s="64">
        <v>19.54</v>
      </c>
      <c r="E74" s="64">
        <v>6.3</v>
      </c>
      <c r="F74" s="64">
        <v>12.4</v>
      </c>
      <c r="G74" s="64">
        <v>68.03</v>
      </c>
      <c r="H74" s="64">
        <v>24.71</v>
      </c>
      <c r="I74" s="64">
        <v>0.11</v>
      </c>
      <c r="J74" s="64">
        <v>0.26</v>
      </c>
      <c r="K74" s="64">
        <v>14.9</v>
      </c>
      <c r="L74" s="64">
        <v>29.14</v>
      </c>
      <c r="M74" s="64">
        <v>68.489999999999995</v>
      </c>
      <c r="N74" s="64">
        <v>109.9</v>
      </c>
      <c r="O74" s="64">
        <v>0</v>
      </c>
      <c r="P74" s="64">
        <v>0.6</v>
      </c>
      <c r="Q74" s="64">
        <v>18.88</v>
      </c>
      <c r="R74" s="198"/>
      <c r="S74" s="198"/>
      <c r="T74" s="198"/>
      <c r="U74" s="198"/>
    </row>
    <row r="75" spans="1:21" s="12" customFormat="1" x14ac:dyDescent="0.25">
      <c r="A75" s="214" t="s">
        <v>314</v>
      </c>
      <c r="B75" s="64">
        <v>8.82</v>
      </c>
      <c r="C75" s="64">
        <v>24.39</v>
      </c>
      <c r="D75" s="64">
        <v>21.83</v>
      </c>
      <c r="E75" s="64">
        <v>6.71</v>
      </c>
      <c r="F75" s="64">
        <v>13.54</v>
      </c>
      <c r="G75" s="64">
        <v>67.55</v>
      </c>
      <c r="H75" s="64">
        <v>21.47</v>
      </c>
      <c r="I75" s="64">
        <v>0.11</v>
      </c>
      <c r="J75" s="64">
        <v>0.33</v>
      </c>
      <c r="K75" s="64">
        <v>1.56</v>
      </c>
      <c r="L75" s="64">
        <v>28.75</v>
      </c>
      <c r="M75" s="64">
        <v>67.150000000000006</v>
      </c>
      <c r="N75" s="64">
        <v>94.8</v>
      </c>
      <c r="O75" s="64">
        <v>0</v>
      </c>
      <c r="P75" s="64">
        <v>0.62</v>
      </c>
      <c r="Q75" s="64">
        <v>19.28</v>
      </c>
      <c r="R75" s="198"/>
      <c r="S75" s="198"/>
      <c r="T75" s="198"/>
      <c r="U75" s="198"/>
    </row>
    <row r="76" spans="1:21" s="12" customFormat="1" x14ac:dyDescent="0.25">
      <c r="A76" s="214" t="s">
        <v>315</v>
      </c>
      <c r="B76" s="64">
        <v>19.13</v>
      </c>
      <c r="C76" s="64">
        <v>39.86</v>
      </c>
      <c r="D76" s="64">
        <v>38.630000000000003</v>
      </c>
      <c r="E76" s="64">
        <v>6.5</v>
      </c>
      <c r="F76" s="64">
        <v>12.99</v>
      </c>
      <c r="G76" s="64">
        <v>67.09</v>
      </c>
      <c r="H76" s="64">
        <v>20</v>
      </c>
      <c r="I76" s="64">
        <v>0.12</v>
      </c>
      <c r="J76" s="64">
        <v>0.11</v>
      </c>
      <c r="K76" s="64">
        <v>350.27</v>
      </c>
      <c r="L76" s="64">
        <v>28.7</v>
      </c>
      <c r="M76" s="64">
        <v>71.099999999999994</v>
      </c>
      <c r="N76" s="64">
        <v>91</v>
      </c>
      <c r="O76" s="64">
        <v>0</v>
      </c>
      <c r="P76" s="64">
        <v>0.81</v>
      </c>
      <c r="Q76" s="64">
        <v>17.350000000000001</v>
      </c>
      <c r="R76" s="198"/>
      <c r="S76" s="198"/>
      <c r="T76" s="198"/>
      <c r="U76" s="198"/>
    </row>
    <row r="77" spans="1:21" s="12" customFormat="1" x14ac:dyDescent="0.25">
      <c r="A77" s="214" t="s">
        <v>316</v>
      </c>
      <c r="B77" s="64">
        <v>31.62</v>
      </c>
      <c r="C77" s="64">
        <v>60.25</v>
      </c>
      <c r="D77" s="64">
        <v>59.9</v>
      </c>
      <c r="E77" s="64">
        <v>6.93</v>
      </c>
      <c r="F77" s="64">
        <v>11.28</v>
      </c>
      <c r="G77" s="64">
        <v>67.09</v>
      </c>
      <c r="H77" s="64">
        <v>20</v>
      </c>
      <c r="I77" s="64">
        <v>0.13</v>
      </c>
      <c r="J77" s="64">
        <v>0.04</v>
      </c>
      <c r="K77" s="64">
        <v>341.58</v>
      </c>
      <c r="L77" s="64">
        <v>28.76</v>
      </c>
      <c r="M77" s="64">
        <v>72.760000000000005</v>
      </c>
      <c r="N77" s="64">
        <v>71.3</v>
      </c>
      <c r="O77" s="64">
        <v>0</v>
      </c>
      <c r="P77" s="64">
        <v>1.18</v>
      </c>
      <c r="Q77" s="64">
        <v>13.69</v>
      </c>
      <c r="R77" s="198"/>
      <c r="S77" s="198"/>
      <c r="T77" s="198"/>
      <c r="U77" s="198"/>
    </row>
    <row r="78" spans="1:21" s="12" customFormat="1" x14ac:dyDescent="0.25">
      <c r="A78" s="214" t="s">
        <v>317</v>
      </c>
      <c r="B78" s="64">
        <v>36.729999999999997</v>
      </c>
      <c r="C78" s="64">
        <v>49.5</v>
      </c>
      <c r="D78" s="64">
        <v>57.63</v>
      </c>
      <c r="E78" s="64">
        <v>7.34</v>
      </c>
      <c r="F78" s="64">
        <v>12.13</v>
      </c>
      <c r="G78" s="64">
        <v>67.09</v>
      </c>
      <c r="H78" s="64">
        <v>20</v>
      </c>
      <c r="I78" s="64">
        <v>0.12</v>
      </c>
      <c r="J78" s="64">
        <v>0.24</v>
      </c>
      <c r="K78" s="64">
        <v>351.03</v>
      </c>
      <c r="L78" s="64">
        <v>28.66</v>
      </c>
      <c r="M78" s="64">
        <v>76.37</v>
      </c>
      <c r="N78" s="64">
        <v>49.3</v>
      </c>
      <c r="O78" s="64">
        <v>0</v>
      </c>
      <c r="P78" s="64">
        <v>1.44</v>
      </c>
      <c r="Q78" s="64">
        <v>13.34</v>
      </c>
      <c r="R78" s="198"/>
      <c r="S78" s="198"/>
      <c r="T78" s="198"/>
      <c r="U78" s="198"/>
    </row>
    <row r="79" spans="1:21" s="12" customFormat="1" x14ac:dyDescent="0.25">
      <c r="A79" s="214" t="s">
        <v>318</v>
      </c>
      <c r="B79" s="64">
        <v>16.05</v>
      </c>
      <c r="C79" s="64">
        <v>31.67</v>
      </c>
      <c r="D79" s="64">
        <v>31.64</v>
      </c>
      <c r="E79" s="64">
        <v>7.12</v>
      </c>
      <c r="F79" s="64">
        <v>8.14</v>
      </c>
      <c r="G79" s="64">
        <v>82</v>
      </c>
      <c r="H79" s="64">
        <v>22.73</v>
      </c>
      <c r="I79" s="64">
        <v>0.12</v>
      </c>
      <c r="J79" s="64">
        <v>0.22</v>
      </c>
      <c r="K79" s="64">
        <v>1.34</v>
      </c>
      <c r="L79" s="64">
        <v>28.46</v>
      </c>
      <c r="M79" s="64">
        <v>77.75</v>
      </c>
      <c r="N79" s="64">
        <v>33.700000000000003</v>
      </c>
      <c r="O79" s="64">
        <v>0</v>
      </c>
      <c r="P79" s="64">
        <v>0.98</v>
      </c>
      <c r="Q79" s="64">
        <v>14.65</v>
      </c>
      <c r="R79" s="198"/>
      <c r="S79" s="198"/>
      <c r="T79" s="198"/>
      <c r="U79" s="198"/>
    </row>
    <row r="80" spans="1:21" s="12" customFormat="1" x14ac:dyDescent="0.25">
      <c r="A80" s="214" t="s">
        <v>319</v>
      </c>
      <c r="B80" s="64">
        <v>17.2</v>
      </c>
      <c r="C80" s="64">
        <v>31.8</v>
      </c>
      <c r="D80" s="64">
        <v>32.630000000000003</v>
      </c>
      <c r="E80" s="64">
        <v>6.31</v>
      </c>
      <c r="F80" s="64">
        <v>7.89</v>
      </c>
      <c r="G80" s="64">
        <v>96.26</v>
      </c>
      <c r="H80" s="64">
        <v>25.22</v>
      </c>
      <c r="I80" s="64">
        <v>0.11</v>
      </c>
      <c r="J80" s="64">
        <v>0.21</v>
      </c>
      <c r="K80" s="64">
        <v>7.58</v>
      </c>
      <c r="L80" s="64">
        <v>28.09</v>
      </c>
      <c r="M80" s="64">
        <v>81.53</v>
      </c>
      <c r="N80" s="64">
        <v>21.3</v>
      </c>
      <c r="O80" s="64">
        <v>0</v>
      </c>
      <c r="P80" s="64">
        <v>1.04</v>
      </c>
      <c r="Q80" s="64">
        <v>16.36</v>
      </c>
      <c r="R80" s="198"/>
      <c r="S80" s="198"/>
      <c r="T80" s="198"/>
      <c r="U80" s="198"/>
    </row>
    <row r="81" spans="1:26" s="12" customFormat="1" x14ac:dyDescent="0.25">
      <c r="A81" s="214" t="s">
        <v>320</v>
      </c>
      <c r="B81" s="64">
        <v>16.28</v>
      </c>
      <c r="C81" s="64">
        <v>38.72</v>
      </c>
      <c r="D81" s="64">
        <v>35.72</v>
      </c>
      <c r="E81" s="64">
        <v>5.88</v>
      </c>
      <c r="F81" s="64">
        <v>8.1300000000000008</v>
      </c>
      <c r="G81" s="64">
        <v>96.26</v>
      </c>
      <c r="H81" s="64">
        <v>25.22</v>
      </c>
      <c r="I81" s="64">
        <v>0.12</v>
      </c>
      <c r="J81" s="64">
        <v>0.14000000000000001</v>
      </c>
      <c r="K81" s="64">
        <v>358.9</v>
      </c>
      <c r="L81" s="64">
        <v>27.74</v>
      </c>
      <c r="M81" s="64">
        <v>82.22</v>
      </c>
      <c r="N81" s="64">
        <v>10.9</v>
      </c>
      <c r="O81" s="64">
        <v>0</v>
      </c>
      <c r="P81" s="64">
        <v>1.2</v>
      </c>
      <c r="Q81" s="64">
        <v>16.3</v>
      </c>
      <c r="R81" s="198"/>
      <c r="S81" s="198"/>
      <c r="T81" s="198"/>
      <c r="U81" s="198"/>
    </row>
    <row r="82" spans="1:26" s="12" customFormat="1" x14ac:dyDescent="0.25">
      <c r="A82" s="214" t="s">
        <v>321</v>
      </c>
      <c r="B82" s="64">
        <v>26.25</v>
      </c>
      <c r="C82" s="64">
        <v>35.9</v>
      </c>
      <c r="D82" s="64">
        <v>41.71</v>
      </c>
      <c r="E82" s="64">
        <v>6.2</v>
      </c>
      <c r="F82" s="64">
        <v>7.05</v>
      </c>
      <c r="G82" s="64">
        <v>96.26</v>
      </c>
      <c r="H82" s="64">
        <v>25.22</v>
      </c>
      <c r="I82" s="64">
        <v>0.12</v>
      </c>
      <c r="J82" s="64">
        <v>0.15</v>
      </c>
      <c r="K82" s="64">
        <v>342.22</v>
      </c>
      <c r="L82" s="64">
        <v>27.43</v>
      </c>
      <c r="M82" s="64">
        <v>82.67</v>
      </c>
      <c r="N82" s="64">
        <v>7.7</v>
      </c>
      <c r="O82" s="64">
        <v>0</v>
      </c>
      <c r="P82" s="64">
        <v>1.19</v>
      </c>
      <c r="Q82" s="64">
        <v>15.06</v>
      </c>
      <c r="R82" s="198"/>
      <c r="S82" s="198"/>
      <c r="T82" s="198"/>
      <c r="U82" s="198"/>
    </row>
    <row r="83" spans="1:26" s="12" customFormat="1" x14ac:dyDescent="0.25">
      <c r="A83" s="214" t="s">
        <v>322</v>
      </c>
      <c r="B83" s="64">
        <v>36.29</v>
      </c>
      <c r="C83" s="64">
        <v>47.4</v>
      </c>
      <c r="D83" s="64">
        <v>56.55</v>
      </c>
      <c r="E83" s="64">
        <v>6.7</v>
      </c>
      <c r="F83" s="64">
        <v>10.25</v>
      </c>
      <c r="G83" s="64">
        <v>98.39</v>
      </c>
      <c r="H83" s="64">
        <v>24.34</v>
      </c>
      <c r="I83" s="64">
        <v>0.12</v>
      </c>
      <c r="J83" s="64">
        <v>0.1</v>
      </c>
      <c r="K83" s="64">
        <v>344.96</v>
      </c>
      <c r="L83" s="64">
        <v>27.16</v>
      </c>
      <c r="M83" s="64">
        <v>83.5</v>
      </c>
      <c r="N83" s="64">
        <v>7.1</v>
      </c>
      <c r="O83" s="64">
        <v>0</v>
      </c>
      <c r="P83" s="64">
        <v>1.53</v>
      </c>
      <c r="Q83" s="64">
        <v>13.98</v>
      </c>
      <c r="R83" s="198"/>
      <c r="S83" s="198"/>
      <c r="T83" s="198"/>
      <c r="U83" s="198"/>
    </row>
    <row r="84" spans="1:26" s="12" customFormat="1" x14ac:dyDescent="0.25">
      <c r="A84" s="214" t="s">
        <v>323</v>
      </c>
      <c r="B84" s="64">
        <v>26.12</v>
      </c>
      <c r="C84" s="64">
        <v>41.5</v>
      </c>
      <c r="D84" s="64">
        <v>45.14</v>
      </c>
      <c r="E84" s="64">
        <v>6.6</v>
      </c>
      <c r="F84" s="64">
        <v>8.3699999999999992</v>
      </c>
      <c r="G84" s="64">
        <v>100.43</v>
      </c>
      <c r="H84" s="64">
        <v>23.94</v>
      </c>
      <c r="I84" s="64">
        <v>0.12</v>
      </c>
      <c r="J84" s="64">
        <v>0.12</v>
      </c>
      <c r="K84" s="64">
        <v>336.59</v>
      </c>
      <c r="L84" s="64">
        <v>26.96</v>
      </c>
      <c r="M84" s="64">
        <v>84.5</v>
      </c>
      <c r="N84" s="64">
        <v>6.9</v>
      </c>
      <c r="O84" s="64">
        <v>0</v>
      </c>
      <c r="P84" s="64">
        <v>1.53</v>
      </c>
      <c r="Q84" s="64">
        <v>16.190000000000001</v>
      </c>
      <c r="R84" s="198"/>
      <c r="S84" s="198"/>
      <c r="T84" s="198"/>
      <c r="U84" s="198"/>
    </row>
    <row r="85" spans="1:26" s="12" customFormat="1" x14ac:dyDescent="0.25">
      <c r="A85" s="214" t="s">
        <v>324</v>
      </c>
      <c r="B85" s="64">
        <v>23.75</v>
      </c>
      <c r="C85" s="64">
        <v>45.79</v>
      </c>
      <c r="D85" s="64">
        <v>45.61</v>
      </c>
      <c r="E85" s="64">
        <v>6.84</v>
      </c>
      <c r="F85" s="64">
        <v>8.61</v>
      </c>
      <c r="G85" s="64">
        <v>100.43</v>
      </c>
      <c r="H85" s="64">
        <v>23.94</v>
      </c>
      <c r="I85" s="64">
        <v>0.11</v>
      </c>
      <c r="J85" s="64">
        <v>0.26</v>
      </c>
      <c r="K85" s="64">
        <v>327.25</v>
      </c>
      <c r="L85" s="64">
        <v>26.77</v>
      </c>
      <c r="M85" s="64">
        <v>83.34</v>
      </c>
      <c r="N85" s="64">
        <v>6.7</v>
      </c>
      <c r="O85" s="64">
        <v>0</v>
      </c>
      <c r="P85" s="64">
        <v>1.21</v>
      </c>
      <c r="Q85" s="64">
        <v>16.920000000000002</v>
      </c>
      <c r="R85" s="198"/>
      <c r="S85" s="198"/>
      <c r="T85" s="198"/>
      <c r="U85" s="198"/>
    </row>
    <row r="86" spans="1:26" s="12" customFormat="1" x14ac:dyDescent="0.25">
      <c r="A86" s="214" t="s">
        <v>325</v>
      </c>
      <c r="B86" s="64">
        <v>39.97</v>
      </c>
      <c r="C86" s="64">
        <v>48.12</v>
      </c>
      <c r="D86" s="64">
        <v>59.9</v>
      </c>
      <c r="E86" s="64">
        <v>6.31</v>
      </c>
      <c r="F86" s="64">
        <v>8.89</v>
      </c>
      <c r="G86" s="64">
        <v>100.43</v>
      </c>
      <c r="H86" s="64">
        <v>23.94</v>
      </c>
      <c r="I86" s="64">
        <v>0.11</v>
      </c>
      <c r="J86" s="64">
        <v>0.14000000000000001</v>
      </c>
      <c r="K86" s="64">
        <v>317.88</v>
      </c>
      <c r="L86" s="64">
        <v>26.63</v>
      </c>
      <c r="M86" s="64">
        <v>82.98</v>
      </c>
      <c r="N86" s="64">
        <v>6.9</v>
      </c>
      <c r="O86" s="64">
        <v>0</v>
      </c>
      <c r="P86" s="64">
        <v>1.53</v>
      </c>
      <c r="Q86" s="64">
        <v>16.399999999999999</v>
      </c>
      <c r="R86" s="198"/>
      <c r="S86" s="198"/>
      <c r="T86" s="198"/>
      <c r="U86" s="198"/>
    </row>
    <row r="87" spans="1:26" s="12" customFormat="1" x14ac:dyDescent="0.25">
      <c r="A87" s="214" t="s">
        <v>326</v>
      </c>
      <c r="B87" s="64">
        <v>43.89</v>
      </c>
      <c r="C87" s="64">
        <v>53.15</v>
      </c>
      <c r="D87" s="64">
        <v>65.819999999999993</v>
      </c>
      <c r="E87" s="64">
        <v>6.88</v>
      </c>
      <c r="F87" s="64">
        <v>5.53</v>
      </c>
      <c r="G87" s="64">
        <v>103.42</v>
      </c>
      <c r="H87" s="64">
        <v>23.19</v>
      </c>
      <c r="I87" s="64">
        <v>0.11</v>
      </c>
      <c r="J87" s="64">
        <v>0.18</v>
      </c>
      <c r="K87" s="64">
        <v>327.35000000000002</v>
      </c>
      <c r="L87" s="64">
        <v>26.35</v>
      </c>
      <c r="M87" s="64">
        <v>83.43</v>
      </c>
      <c r="N87" s="64">
        <v>6.8</v>
      </c>
      <c r="O87" s="64">
        <v>0</v>
      </c>
      <c r="P87" s="64">
        <v>1.91</v>
      </c>
      <c r="Q87" s="64">
        <v>15.3</v>
      </c>
      <c r="R87" s="198"/>
      <c r="S87" s="198"/>
      <c r="T87" s="198"/>
      <c r="U87" s="198"/>
    </row>
    <row r="88" spans="1:26" s="12" customFormat="1" x14ac:dyDescent="0.25">
      <c r="A88" s="214" t="s">
        <v>327</v>
      </c>
      <c r="B88" s="64">
        <v>41.23</v>
      </c>
      <c r="C88" s="64">
        <v>41</v>
      </c>
      <c r="D88" s="64">
        <v>56.98</v>
      </c>
      <c r="E88" s="64">
        <v>4.4800000000000004</v>
      </c>
      <c r="F88" s="64">
        <v>4.2300000000000004</v>
      </c>
      <c r="G88" s="64">
        <v>106.27</v>
      </c>
      <c r="H88" s="64">
        <v>22.85</v>
      </c>
      <c r="I88" s="64">
        <v>0.11</v>
      </c>
      <c r="J88" s="64">
        <v>0.28999999999999998</v>
      </c>
      <c r="K88" s="64">
        <v>345.34</v>
      </c>
      <c r="L88" s="64">
        <v>26.2</v>
      </c>
      <c r="M88" s="64">
        <v>84.75</v>
      </c>
      <c r="N88" s="64">
        <v>6.8</v>
      </c>
      <c r="O88" s="64">
        <v>0</v>
      </c>
      <c r="P88" s="64">
        <v>1.63</v>
      </c>
      <c r="Q88" s="64">
        <v>15.6</v>
      </c>
      <c r="R88" s="198"/>
      <c r="S88" s="198"/>
      <c r="T88" s="198"/>
      <c r="U88" s="198"/>
    </row>
    <row r="89" spans="1:26" s="12" customFormat="1" x14ac:dyDescent="0.25">
      <c r="A89" s="214" t="s">
        <v>328</v>
      </c>
      <c r="B89" s="64">
        <v>32.92</v>
      </c>
      <c r="C89" s="64">
        <v>29.04</v>
      </c>
      <c r="D89" s="64">
        <v>43.68</v>
      </c>
      <c r="E89" s="64">
        <v>4.82</v>
      </c>
      <c r="F89" s="64">
        <v>7.07</v>
      </c>
      <c r="G89" s="64">
        <v>106.27</v>
      </c>
      <c r="H89" s="64">
        <v>22.85</v>
      </c>
      <c r="I89" s="64">
        <v>0.12</v>
      </c>
      <c r="J89" s="64">
        <v>0.36</v>
      </c>
      <c r="K89" s="64">
        <v>330.18</v>
      </c>
      <c r="L89" s="64">
        <v>26.21</v>
      </c>
      <c r="M89" s="64">
        <v>81.39</v>
      </c>
      <c r="N89" s="64">
        <v>6.5</v>
      </c>
      <c r="O89" s="64">
        <v>0</v>
      </c>
      <c r="P89" s="64">
        <v>1.29</v>
      </c>
      <c r="Q89" s="64">
        <v>16.68</v>
      </c>
      <c r="R89" s="198"/>
      <c r="S89" s="198"/>
      <c r="T89" s="198"/>
      <c r="U89" s="198"/>
    </row>
    <row r="90" spans="1:26" s="12" customFormat="1" x14ac:dyDescent="0.25">
      <c r="A90" s="214" t="s">
        <v>329</v>
      </c>
      <c r="B90" s="64">
        <v>43.01</v>
      </c>
      <c r="C90" s="64">
        <v>34.26</v>
      </c>
      <c r="D90" s="64">
        <v>54.69</v>
      </c>
      <c r="E90" s="64">
        <v>4.97</v>
      </c>
      <c r="F90" s="64">
        <v>5.63</v>
      </c>
      <c r="G90" s="64">
        <v>106.27</v>
      </c>
      <c r="H90" s="64">
        <v>22.85</v>
      </c>
      <c r="I90" s="64">
        <v>0.12</v>
      </c>
      <c r="J90" s="64">
        <v>7.0000000000000007E-2</v>
      </c>
      <c r="K90" s="64">
        <v>358.22</v>
      </c>
      <c r="L90" s="64">
        <v>26.06</v>
      </c>
      <c r="M90" s="64">
        <v>81.77</v>
      </c>
      <c r="N90" s="64">
        <v>6.9</v>
      </c>
      <c r="O90" s="64">
        <v>0</v>
      </c>
      <c r="P90" s="64">
        <v>1.43</v>
      </c>
      <c r="Q90" s="64">
        <v>15.9</v>
      </c>
      <c r="R90" s="198"/>
      <c r="S90" s="198"/>
      <c r="T90" s="198"/>
      <c r="U90" s="198"/>
    </row>
    <row r="91" spans="1:26" s="12" customFormat="1" x14ac:dyDescent="0.25">
      <c r="A91" s="214" t="s">
        <v>330</v>
      </c>
      <c r="B91" s="64">
        <v>67.209999999999994</v>
      </c>
      <c r="C91" s="64">
        <v>53.92</v>
      </c>
      <c r="D91" s="64">
        <v>84.95</v>
      </c>
      <c r="E91" s="64">
        <v>4.9400000000000004</v>
      </c>
      <c r="F91" s="64">
        <v>2.2999999999999998</v>
      </c>
      <c r="G91" s="64">
        <v>106.82</v>
      </c>
      <c r="H91" s="64">
        <v>23.29</v>
      </c>
      <c r="I91" s="64">
        <v>0.11</v>
      </c>
      <c r="J91" s="64">
        <v>0.05</v>
      </c>
      <c r="K91" s="64">
        <v>352.35</v>
      </c>
      <c r="L91" s="64">
        <v>25.81</v>
      </c>
      <c r="M91" s="64">
        <v>83.81</v>
      </c>
      <c r="N91" s="64">
        <v>7</v>
      </c>
      <c r="O91" s="64">
        <v>0</v>
      </c>
      <c r="P91" s="64">
        <v>1.85</v>
      </c>
      <c r="Q91" s="64">
        <v>13.69</v>
      </c>
      <c r="R91" s="198"/>
      <c r="S91" s="198"/>
      <c r="T91" s="198"/>
      <c r="U91" s="198"/>
    </row>
    <row r="92" spans="1:26" s="12" customFormat="1" x14ac:dyDescent="0.25">
      <c r="A92" s="214" t="s">
        <v>331</v>
      </c>
      <c r="B92" s="64">
        <v>59.96</v>
      </c>
      <c r="C92" s="64">
        <v>41.96</v>
      </c>
      <c r="D92" s="64">
        <v>72.53</v>
      </c>
      <c r="E92" s="64">
        <v>5.26</v>
      </c>
      <c r="F92" s="64">
        <v>1.84</v>
      </c>
      <c r="G92" s="64">
        <v>107.34</v>
      </c>
      <c r="H92" s="64">
        <v>23.49</v>
      </c>
      <c r="I92" s="64">
        <v>0.11</v>
      </c>
      <c r="J92" s="64">
        <v>0.08</v>
      </c>
      <c r="K92" s="64">
        <v>7.67</v>
      </c>
      <c r="L92" s="64">
        <v>25.55</v>
      </c>
      <c r="M92" s="64">
        <v>89.46</v>
      </c>
      <c r="N92" s="64">
        <v>7</v>
      </c>
      <c r="O92" s="64">
        <v>0</v>
      </c>
      <c r="P92" s="64">
        <v>2.5099999999999998</v>
      </c>
      <c r="Q92" s="64">
        <v>13.14</v>
      </c>
      <c r="R92" s="198"/>
      <c r="S92" s="198"/>
      <c r="T92" s="198"/>
      <c r="U92" s="198"/>
    </row>
    <row r="93" spans="1:26" s="12" customFormat="1" x14ac:dyDescent="0.25">
      <c r="A93" s="214" t="s">
        <v>332</v>
      </c>
      <c r="B93" s="64">
        <v>52.48</v>
      </c>
      <c r="C93" s="64">
        <v>46.27</v>
      </c>
      <c r="D93" s="64">
        <v>68.91</v>
      </c>
      <c r="E93" s="64">
        <v>5.24</v>
      </c>
      <c r="F93" s="64">
        <v>2.75</v>
      </c>
      <c r="G93" s="64">
        <v>107.34</v>
      </c>
      <c r="H93" s="64">
        <v>23.49</v>
      </c>
      <c r="I93" s="64">
        <v>0.12</v>
      </c>
      <c r="J93" s="64">
        <v>0.09</v>
      </c>
      <c r="K93" s="64">
        <v>3.59</v>
      </c>
      <c r="L93" s="64">
        <v>25.46</v>
      </c>
      <c r="M93" s="64">
        <v>89</v>
      </c>
      <c r="N93" s="64">
        <v>6.8</v>
      </c>
      <c r="O93" s="64">
        <v>0</v>
      </c>
      <c r="P93" s="64">
        <v>1.77</v>
      </c>
      <c r="Q93" s="64">
        <v>15.51</v>
      </c>
      <c r="R93" s="198"/>
      <c r="S93" s="198"/>
      <c r="T93" s="198"/>
      <c r="U93" s="198"/>
    </row>
    <row r="94" spans="1:26" s="12" customFormat="1" x14ac:dyDescent="0.25">
      <c r="A94" s="214" t="s">
        <v>333</v>
      </c>
      <c r="B94" s="64">
        <v>94.84</v>
      </c>
      <c r="C94" s="64">
        <v>48.84</v>
      </c>
      <c r="D94" s="64">
        <v>104.3</v>
      </c>
      <c r="E94" s="64">
        <v>5.3</v>
      </c>
      <c r="F94" s="64">
        <v>2.71</v>
      </c>
      <c r="G94" s="64">
        <v>107.34</v>
      </c>
      <c r="H94" s="64">
        <v>23.49</v>
      </c>
      <c r="I94" s="64">
        <v>0.12</v>
      </c>
      <c r="J94" s="64">
        <v>0.08</v>
      </c>
      <c r="K94" s="64">
        <v>11.72</v>
      </c>
      <c r="L94" s="64">
        <v>25.4</v>
      </c>
      <c r="M94" s="64">
        <v>91.04</v>
      </c>
      <c r="N94" s="64">
        <v>6.8</v>
      </c>
      <c r="O94" s="64">
        <v>0</v>
      </c>
      <c r="P94" s="64">
        <v>2.2400000000000002</v>
      </c>
      <c r="Q94" s="64">
        <v>12.26</v>
      </c>
      <c r="R94" s="198"/>
      <c r="S94" s="198"/>
      <c r="T94" s="198"/>
      <c r="U94" s="198"/>
    </row>
    <row r="95" spans="1:26" s="12" customFormat="1" x14ac:dyDescent="0.25">
      <c r="A95" s="214" t="s">
        <v>334</v>
      </c>
      <c r="B95" s="64">
        <v>99.11</v>
      </c>
      <c r="C95" s="64">
        <v>54</v>
      </c>
      <c r="D95" s="64">
        <v>110.57</v>
      </c>
      <c r="E95" s="64">
        <v>5.49</v>
      </c>
      <c r="F95" s="64">
        <v>3.05</v>
      </c>
      <c r="G95" s="64">
        <v>114.86</v>
      </c>
      <c r="H95" s="64">
        <v>23.44</v>
      </c>
      <c r="I95" s="64">
        <v>0.12</v>
      </c>
      <c r="J95" s="64">
        <v>0.01</v>
      </c>
      <c r="K95" s="64">
        <v>43.91</v>
      </c>
      <c r="L95" s="64">
        <v>25.34</v>
      </c>
      <c r="M95" s="64">
        <v>90.45</v>
      </c>
      <c r="N95" s="64">
        <v>6.8</v>
      </c>
      <c r="O95" s="64">
        <v>0</v>
      </c>
      <c r="P95" s="64">
        <v>2.1</v>
      </c>
      <c r="Q95" s="64">
        <v>12.68</v>
      </c>
      <c r="R95" s="198"/>
      <c r="S95" s="198"/>
      <c r="T95" s="198"/>
      <c r="U95" s="198"/>
    </row>
    <row r="96" spans="1:26" s="12" customFormat="1" x14ac:dyDescent="0.25">
      <c r="A96" s="214" t="s">
        <v>335</v>
      </c>
      <c r="B96" s="64">
        <v>53.61</v>
      </c>
      <c r="C96" s="64">
        <v>67.28</v>
      </c>
      <c r="D96" s="64">
        <v>81.41</v>
      </c>
      <c r="E96" s="64">
        <v>5.08</v>
      </c>
      <c r="F96" s="64">
        <v>0.98</v>
      </c>
      <c r="G96" s="64">
        <v>122.06</v>
      </c>
      <c r="H96" s="64">
        <v>23.41</v>
      </c>
      <c r="I96" s="64">
        <v>0.11</v>
      </c>
      <c r="J96" s="64">
        <v>0.1</v>
      </c>
      <c r="K96" s="64">
        <v>169.06</v>
      </c>
      <c r="L96" s="64">
        <v>25.45</v>
      </c>
      <c r="M96" s="64">
        <v>89.36</v>
      </c>
      <c r="N96" s="64">
        <v>6.7</v>
      </c>
      <c r="O96" s="64">
        <v>0</v>
      </c>
      <c r="P96" s="64">
        <v>1.57</v>
      </c>
      <c r="Q96" s="64">
        <v>16.010000000000002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336</v>
      </c>
      <c r="B97" s="64">
        <v>28.71</v>
      </c>
      <c r="C97" s="64">
        <v>61.15</v>
      </c>
      <c r="D97" s="64">
        <v>58.06</v>
      </c>
      <c r="E97" s="64">
        <v>4.66</v>
      </c>
      <c r="F97" s="64">
        <v>1.59</v>
      </c>
      <c r="G97" s="64">
        <v>122.06</v>
      </c>
      <c r="H97" s="64">
        <v>23.41</v>
      </c>
      <c r="I97" s="64">
        <v>0.11</v>
      </c>
      <c r="J97" s="64">
        <v>0.16</v>
      </c>
      <c r="K97" s="64">
        <v>172.76</v>
      </c>
      <c r="L97" s="64">
        <v>25.57</v>
      </c>
      <c r="M97" s="64">
        <v>89.49</v>
      </c>
      <c r="N97" s="64">
        <v>6.6</v>
      </c>
      <c r="O97" s="64">
        <v>0</v>
      </c>
      <c r="P97" s="64">
        <v>1.1299999999999999</v>
      </c>
      <c r="Q97" s="64">
        <v>20.62</v>
      </c>
      <c r="R97" s="198"/>
      <c r="S97" s="198"/>
      <c r="T97" s="198"/>
      <c r="U97" s="198"/>
    </row>
    <row r="98" spans="1:33" s="12" customFormat="1" x14ac:dyDescent="0.25">
      <c r="A98" s="214" t="s">
        <v>337</v>
      </c>
      <c r="B98" s="64">
        <v>51.46</v>
      </c>
      <c r="C98" s="64">
        <v>42.26</v>
      </c>
      <c r="D98" s="64">
        <v>65.88</v>
      </c>
      <c r="E98" s="64">
        <v>4.18</v>
      </c>
      <c r="F98" s="64">
        <v>2.72</v>
      </c>
      <c r="G98" s="64">
        <v>122.06</v>
      </c>
      <c r="H98" s="64">
        <v>23.41</v>
      </c>
      <c r="I98" s="64">
        <v>0.11</v>
      </c>
      <c r="J98" s="64">
        <v>0.04</v>
      </c>
      <c r="K98" s="64">
        <v>257.70999999999998</v>
      </c>
      <c r="L98" s="64">
        <v>25.4</v>
      </c>
      <c r="M98" s="64">
        <v>91.67</v>
      </c>
      <c r="N98" s="64">
        <v>6.9</v>
      </c>
      <c r="O98" s="64">
        <v>0</v>
      </c>
      <c r="P98" s="64">
        <v>1.3</v>
      </c>
      <c r="Q98" s="64">
        <v>19.100000000000001</v>
      </c>
      <c r="R98" s="198"/>
      <c r="S98" s="198"/>
      <c r="T98" s="198"/>
      <c r="U98" s="198"/>
    </row>
    <row r="99" spans="1:33" s="12" customFormat="1" x14ac:dyDescent="0.25">
      <c r="A99" s="214" t="s">
        <v>338</v>
      </c>
      <c r="B99" s="64">
        <v>26.8</v>
      </c>
      <c r="C99" s="64">
        <v>47.92</v>
      </c>
      <c r="D99" s="64">
        <v>49.23</v>
      </c>
      <c r="E99" s="64">
        <v>4.57</v>
      </c>
      <c r="F99" s="64">
        <v>1.67</v>
      </c>
      <c r="G99" s="64">
        <v>117.64</v>
      </c>
      <c r="H99" s="64">
        <v>26.01</v>
      </c>
      <c r="I99" s="64">
        <v>0.11</v>
      </c>
      <c r="J99" s="64">
        <v>0.1</v>
      </c>
      <c r="K99" s="64">
        <v>170.1</v>
      </c>
      <c r="L99" s="64">
        <v>25.31</v>
      </c>
      <c r="M99" s="64">
        <v>91.84</v>
      </c>
      <c r="N99" s="64">
        <v>6.6</v>
      </c>
      <c r="O99" s="64">
        <v>0</v>
      </c>
      <c r="P99" s="64">
        <v>0.96</v>
      </c>
      <c r="Q99" s="64">
        <v>22.27</v>
      </c>
      <c r="R99" s="198"/>
      <c r="S99" s="198"/>
      <c r="T99" s="198"/>
      <c r="U99" s="198"/>
    </row>
    <row r="100" spans="1:33" s="12" customFormat="1" x14ac:dyDescent="0.25">
      <c r="A100" s="214" t="s">
        <v>339</v>
      </c>
      <c r="B100" s="64">
        <v>24.03</v>
      </c>
      <c r="C100" s="64">
        <v>29.73</v>
      </c>
      <c r="D100" s="64">
        <v>36.97</v>
      </c>
      <c r="E100" s="64">
        <v>4.37</v>
      </c>
      <c r="F100" s="64">
        <v>4.0999999999999996</v>
      </c>
      <c r="G100" s="64">
        <v>113.42</v>
      </c>
      <c r="H100" s="64">
        <v>27.2</v>
      </c>
      <c r="I100" s="64">
        <v>0.13</v>
      </c>
      <c r="J100" s="64">
        <v>0.05</v>
      </c>
      <c r="K100" s="64">
        <v>205.3</v>
      </c>
      <c r="L100" s="64">
        <v>25.21</v>
      </c>
      <c r="M100" s="64">
        <v>93.29</v>
      </c>
      <c r="N100" s="64">
        <v>6.6</v>
      </c>
      <c r="O100" s="64">
        <v>0</v>
      </c>
      <c r="P100" s="64">
        <v>0.87</v>
      </c>
      <c r="Q100" s="64">
        <v>23.33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340</v>
      </c>
      <c r="B101" s="64">
        <v>21.58</v>
      </c>
      <c r="C101" s="64">
        <v>28.26</v>
      </c>
      <c r="D101" s="64">
        <v>34.200000000000003</v>
      </c>
      <c r="E101" s="64">
        <v>4.2699999999999996</v>
      </c>
      <c r="F101" s="64">
        <v>3.48</v>
      </c>
      <c r="G101" s="64">
        <v>113.42</v>
      </c>
      <c r="H101" s="64">
        <v>27.2</v>
      </c>
      <c r="I101" s="64">
        <v>0.12</v>
      </c>
      <c r="J101" s="64">
        <v>0.05</v>
      </c>
      <c r="K101" s="64">
        <v>11.93</v>
      </c>
      <c r="L101" s="64">
        <v>25.11</v>
      </c>
      <c r="M101" s="64">
        <v>94.31</v>
      </c>
      <c r="N101" s="64">
        <v>6.7</v>
      </c>
      <c r="O101" s="64">
        <v>0</v>
      </c>
      <c r="P101" s="64">
        <v>0.84</v>
      </c>
      <c r="Q101" s="64">
        <v>23.4</v>
      </c>
      <c r="R101" s="198"/>
      <c r="S101" s="198"/>
      <c r="T101" s="198"/>
      <c r="U101" s="198"/>
    </row>
    <row r="102" spans="1:33" s="12" customFormat="1" x14ac:dyDescent="0.25">
      <c r="A102" s="214" t="s">
        <v>341</v>
      </c>
      <c r="B102" s="64">
        <v>19.72</v>
      </c>
      <c r="C102" s="64">
        <v>32.770000000000003</v>
      </c>
      <c r="D102" s="64">
        <v>35.19</v>
      </c>
      <c r="E102" s="64">
        <v>4.33</v>
      </c>
      <c r="F102" s="64">
        <v>4.3099999999999996</v>
      </c>
      <c r="G102" s="64">
        <v>113.42</v>
      </c>
      <c r="H102" s="64">
        <v>27.2</v>
      </c>
      <c r="I102" s="64">
        <v>0.12</v>
      </c>
      <c r="J102" s="64">
        <v>0.05</v>
      </c>
      <c r="K102" s="64">
        <v>324.7</v>
      </c>
      <c r="L102" s="64">
        <v>24.98</v>
      </c>
      <c r="M102" s="64">
        <v>93.09</v>
      </c>
      <c r="N102" s="64">
        <v>6.8</v>
      </c>
      <c r="O102" s="64">
        <v>0</v>
      </c>
      <c r="P102" s="64">
        <v>0.86</v>
      </c>
      <c r="Q102" s="64">
        <v>22.4</v>
      </c>
      <c r="R102" s="198"/>
      <c r="S102" s="198"/>
      <c r="T102" s="198"/>
      <c r="U102" s="198"/>
    </row>
    <row r="103" spans="1:33" s="12" customFormat="1" x14ac:dyDescent="0.25">
      <c r="A103" s="214" t="s">
        <v>342</v>
      </c>
      <c r="B103" s="64">
        <v>23.31</v>
      </c>
      <c r="C103" s="64">
        <v>35.68</v>
      </c>
      <c r="D103" s="64">
        <v>39.68</v>
      </c>
      <c r="E103" s="64">
        <v>2.78</v>
      </c>
      <c r="F103" s="64">
        <v>2.0299999999999998</v>
      </c>
      <c r="G103" s="64">
        <v>106.95</v>
      </c>
      <c r="H103" s="64">
        <v>25.26</v>
      </c>
      <c r="I103" s="64">
        <v>0.12</v>
      </c>
      <c r="J103" s="64">
        <v>0.04</v>
      </c>
      <c r="K103" s="64">
        <v>282.64999999999998</v>
      </c>
      <c r="L103" s="64">
        <v>24.9</v>
      </c>
      <c r="M103" s="64">
        <v>93.76</v>
      </c>
      <c r="N103" s="64">
        <v>6.8</v>
      </c>
      <c r="O103" s="64">
        <v>0</v>
      </c>
      <c r="P103" s="64">
        <v>0.91</v>
      </c>
      <c r="Q103" s="64">
        <v>21.92</v>
      </c>
      <c r="R103" s="198"/>
      <c r="S103" s="198"/>
      <c r="T103" s="198"/>
      <c r="U103" s="198"/>
    </row>
    <row r="104" spans="1:33" s="12" customFormat="1" x14ac:dyDescent="0.25">
      <c r="A104" s="214" t="s">
        <v>343</v>
      </c>
      <c r="B104" s="64">
        <v>22.63</v>
      </c>
      <c r="C104" s="64">
        <v>30.63</v>
      </c>
      <c r="D104" s="64">
        <v>36.340000000000003</v>
      </c>
      <c r="E104" s="64">
        <v>4.28</v>
      </c>
      <c r="F104" s="64">
        <v>2.33</v>
      </c>
      <c r="G104" s="64">
        <v>100.76</v>
      </c>
      <c r="H104" s="64">
        <v>23.49</v>
      </c>
      <c r="I104" s="64">
        <v>0.11</v>
      </c>
      <c r="J104" s="64">
        <v>0.05</v>
      </c>
      <c r="K104" s="64">
        <v>359.93</v>
      </c>
      <c r="L104" s="64">
        <v>25</v>
      </c>
      <c r="M104" s="64">
        <v>93.78</v>
      </c>
      <c r="N104" s="64">
        <v>6.7</v>
      </c>
      <c r="O104" s="64">
        <v>0</v>
      </c>
      <c r="P104" s="64">
        <v>0.95</v>
      </c>
      <c r="Q104" s="64">
        <v>21.28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3.6</v>
      </c>
      <c r="C106" s="67">
        <f>MIN(C9:C104)</f>
        <v>14.4</v>
      </c>
      <c r="D106" s="67">
        <f t="shared" ref="D106:Q106" si="0">MIN(D9:D104)</f>
        <v>15.19</v>
      </c>
      <c r="E106" s="67">
        <f t="shared" si="0"/>
        <v>2.78</v>
      </c>
      <c r="F106" s="67">
        <f t="shared" si="0"/>
        <v>0.98</v>
      </c>
      <c r="G106" s="67">
        <f t="shared" si="0"/>
        <v>55</v>
      </c>
      <c r="H106" s="67">
        <f t="shared" si="0"/>
        <v>18.96</v>
      </c>
      <c r="I106" s="67">
        <f t="shared" si="0"/>
        <v>0.1</v>
      </c>
      <c r="J106" s="67">
        <f t="shared" si="0"/>
        <v>0.01</v>
      </c>
      <c r="K106" s="67">
        <f t="shared" si="0"/>
        <v>1.34</v>
      </c>
      <c r="L106" s="67">
        <f t="shared" si="0"/>
        <v>23.46</v>
      </c>
      <c r="M106" s="67">
        <f t="shared" si="0"/>
        <v>49.15</v>
      </c>
      <c r="N106" s="67">
        <f t="shared" si="0"/>
        <v>6.2</v>
      </c>
      <c r="O106" s="67">
        <f t="shared" si="0"/>
        <v>0</v>
      </c>
      <c r="P106" s="67">
        <f t="shared" si="0"/>
        <v>0.34</v>
      </c>
      <c r="Q106" s="67">
        <f t="shared" si="0"/>
        <v>12.26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99.11</v>
      </c>
      <c r="C107" s="66">
        <f t="shared" ref="C107:Q107" si="1">MAX(C9:C104)</f>
        <v>67.28</v>
      </c>
      <c r="D107" s="66">
        <f t="shared" si="1"/>
        <v>110.57</v>
      </c>
      <c r="E107" s="66">
        <f t="shared" si="1"/>
        <v>7.34</v>
      </c>
      <c r="F107" s="66">
        <f t="shared" si="1"/>
        <v>28.54</v>
      </c>
      <c r="G107" s="66">
        <f t="shared" si="1"/>
        <v>122.06</v>
      </c>
      <c r="H107" s="66">
        <f t="shared" si="1"/>
        <v>30.97</v>
      </c>
      <c r="I107" s="66">
        <f t="shared" si="1"/>
        <v>0.13</v>
      </c>
      <c r="J107" s="66">
        <f t="shared" si="1"/>
        <v>2.2400000000000002</v>
      </c>
      <c r="K107" s="66">
        <f t="shared" si="1"/>
        <v>359.93</v>
      </c>
      <c r="L107" s="66">
        <f t="shared" si="1"/>
        <v>35.61</v>
      </c>
      <c r="M107" s="66">
        <f t="shared" si="1"/>
        <v>98.29</v>
      </c>
      <c r="N107" s="66">
        <f t="shared" si="1"/>
        <v>875.5</v>
      </c>
      <c r="O107" s="66">
        <f t="shared" si="1"/>
        <v>8.1999999999999993</v>
      </c>
      <c r="P107" s="66">
        <f t="shared" si="1"/>
        <v>2.5099999999999998</v>
      </c>
      <c r="Q107" s="66">
        <f t="shared" si="1"/>
        <v>23.4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20.943854166666664</v>
      </c>
      <c r="C108" s="67">
        <f t="shared" ref="C108:Q108" si="2">AVERAGE(C9:C104)</f>
        <v>30.754166666666681</v>
      </c>
      <c r="D108" s="67">
        <f t="shared" si="2"/>
        <v>35.051041666666677</v>
      </c>
      <c r="E108" s="67">
        <f t="shared" si="2"/>
        <v>5.0852083333333331</v>
      </c>
      <c r="F108" s="67">
        <f t="shared" si="2"/>
        <v>8.2999999999999989</v>
      </c>
      <c r="G108" s="67">
        <f t="shared" si="2"/>
        <v>79.3483333333334</v>
      </c>
      <c r="H108" s="67">
        <f t="shared" si="2"/>
        <v>23.744791666666668</v>
      </c>
      <c r="I108" s="67">
        <f t="shared" si="2"/>
        <v>0.1162499999999999</v>
      </c>
      <c r="J108" s="67">
        <f t="shared" si="2"/>
        <v>0.19979166666666673</v>
      </c>
      <c r="K108" s="67">
        <f t="shared" si="2"/>
        <v>232.85843750000001</v>
      </c>
      <c r="L108" s="67">
        <f t="shared" si="2"/>
        <v>27.216145833333343</v>
      </c>
      <c r="M108" s="67">
        <f t="shared" si="2"/>
        <v>82.613541666666706</v>
      </c>
      <c r="N108" s="67">
        <f t="shared" si="2"/>
        <v>163.17708333333329</v>
      </c>
      <c r="O108" s="67">
        <f t="shared" si="2"/>
        <v>0.10416666666666664</v>
      </c>
      <c r="P108" s="67">
        <f t="shared" si="2"/>
        <v>0.87385416666666671</v>
      </c>
      <c r="Q108" s="67">
        <f t="shared" si="2"/>
        <v>18.705520833333345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16.987617618649654</v>
      </c>
      <c r="C109" s="67">
        <f t="shared" ref="C109:Q109" si="3">STDEV(C9:C104)</f>
        <v>11.816553836098016</v>
      </c>
      <c r="D109" s="67">
        <f t="shared" si="3"/>
        <v>18.227582712337011</v>
      </c>
      <c r="E109" s="67">
        <f t="shared" si="3"/>
        <v>1.0361537979385482</v>
      </c>
      <c r="F109" s="67">
        <f t="shared" si="3"/>
        <v>6.7056216792526548</v>
      </c>
      <c r="G109" s="67">
        <f t="shared" si="3"/>
        <v>20.03184258107509</v>
      </c>
      <c r="H109" s="67">
        <f t="shared" si="3"/>
        <v>3.0086436808378703</v>
      </c>
      <c r="I109" s="67">
        <f t="shared" si="3"/>
        <v>6.8441292552930254E-3</v>
      </c>
      <c r="J109" s="67">
        <f t="shared" si="3"/>
        <v>0.28379747844533404</v>
      </c>
      <c r="K109" s="67">
        <f t="shared" si="3"/>
        <v>122.59386580625625</v>
      </c>
      <c r="L109" s="67">
        <f t="shared" si="3"/>
        <v>3.3539172289292405</v>
      </c>
      <c r="M109" s="67">
        <f t="shared" si="3"/>
        <v>15.359771858171726</v>
      </c>
      <c r="N109" s="67">
        <f t="shared" si="3"/>
        <v>245.51717636522079</v>
      </c>
      <c r="O109" s="67">
        <f t="shared" si="3"/>
        <v>0.85099528932664514</v>
      </c>
      <c r="P109" s="67">
        <f t="shared" si="3"/>
        <v>0.42530575946616062</v>
      </c>
      <c r="Q109" s="67">
        <f t="shared" si="3"/>
        <v>2.7395200769829087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72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344</v>
      </c>
      <c r="B9" s="64">
        <v>17.41</v>
      </c>
      <c r="C9" s="64">
        <v>28.9</v>
      </c>
      <c r="D9" s="64">
        <v>31.21</v>
      </c>
      <c r="E9" s="64">
        <v>4.62</v>
      </c>
      <c r="F9" s="64">
        <v>4.26</v>
      </c>
      <c r="G9" s="64">
        <v>100.76</v>
      </c>
      <c r="H9" s="64">
        <v>23.49</v>
      </c>
      <c r="I9" s="64">
        <v>0.12</v>
      </c>
      <c r="J9" s="64">
        <v>0.02</v>
      </c>
      <c r="K9" s="64">
        <v>103.93</v>
      </c>
      <c r="L9" s="64">
        <v>24.93</v>
      </c>
      <c r="M9" s="64">
        <v>94.99</v>
      </c>
      <c r="N9" s="64">
        <v>6.8</v>
      </c>
      <c r="O9" s="64">
        <v>0</v>
      </c>
      <c r="P9" s="64">
        <v>0.82</v>
      </c>
      <c r="Q9" s="64">
        <v>21.4</v>
      </c>
      <c r="R9" s="198"/>
      <c r="S9" s="198"/>
      <c r="T9" s="198"/>
      <c r="U9" s="198"/>
    </row>
    <row r="10" spans="1:21" s="12" customFormat="1" x14ac:dyDescent="0.25">
      <c r="A10" s="214" t="s">
        <v>345</v>
      </c>
      <c r="B10" s="64">
        <v>17.21</v>
      </c>
      <c r="C10" s="64">
        <v>26.87</v>
      </c>
      <c r="D10" s="64">
        <v>29.92</v>
      </c>
      <c r="E10" s="64">
        <v>4.95</v>
      </c>
      <c r="F10" s="64">
        <v>5.26</v>
      </c>
      <c r="G10" s="64">
        <v>100.76</v>
      </c>
      <c r="H10" s="64">
        <v>23.49</v>
      </c>
      <c r="I10" s="64">
        <v>0.11</v>
      </c>
      <c r="J10" s="64">
        <v>0.03</v>
      </c>
      <c r="K10" s="64">
        <v>69.13</v>
      </c>
      <c r="L10" s="64">
        <v>24.81</v>
      </c>
      <c r="M10" s="64">
        <v>95.92</v>
      </c>
      <c r="N10" s="64">
        <v>6.6</v>
      </c>
      <c r="O10" s="64">
        <v>0</v>
      </c>
      <c r="P10" s="64">
        <v>0.82</v>
      </c>
      <c r="Q10" s="64">
        <v>21.01</v>
      </c>
      <c r="R10" s="198"/>
      <c r="S10" s="198"/>
      <c r="T10" s="198"/>
      <c r="U10" s="198"/>
    </row>
    <row r="11" spans="1:21" s="12" customFormat="1" x14ac:dyDescent="0.25">
      <c r="A11" s="214" t="s">
        <v>346</v>
      </c>
      <c r="B11" s="64">
        <v>11.54</v>
      </c>
      <c r="C11" s="64">
        <v>24.81</v>
      </c>
      <c r="D11" s="64">
        <v>24.24</v>
      </c>
      <c r="E11" s="64">
        <v>4.58</v>
      </c>
      <c r="F11" s="64">
        <v>6.67</v>
      </c>
      <c r="G11" s="64">
        <v>91.08</v>
      </c>
      <c r="H11" s="64">
        <v>20.57</v>
      </c>
      <c r="I11" s="64">
        <v>0.11</v>
      </c>
      <c r="J11" s="64">
        <v>0.03</v>
      </c>
      <c r="K11" s="64">
        <v>354.13</v>
      </c>
      <c r="L11" s="64">
        <v>24.99</v>
      </c>
      <c r="M11" s="64">
        <v>93.95</v>
      </c>
      <c r="N11" s="64">
        <v>6.4</v>
      </c>
      <c r="O11" s="64">
        <v>0</v>
      </c>
      <c r="P11" s="64">
        <v>0.62</v>
      </c>
      <c r="Q11" s="64">
        <v>22.26</v>
      </c>
      <c r="R11" s="198"/>
      <c r="S11" s="198"/>
      <c r="T11" s="198"/>
      <c r="U11" s="198"/>
    </row>
    <row r="12" spans="1:21" s="12" customFormat="1" x14ac:dyDescent="0.25">
      <c r="A12" s="214" t="s">
        <v>347</v>
      </c>
      <c r="B12" s="64">
        <v>10.29</v>
      </c>
      <c r="C12" s="64">
        <v>23.57</v>
      </c>
      <c r="D12" s="64">
        <v>22.55</v>
      </c>
      <c r="E12" s="64">
        <v>4.82</v>
      </c>
      <c r="F12" s="64">
        <v>7.81</v>
      </c>
      <c r="G12" s="64">
        <v>81.81</v>
      </c>
      <c r="H12" s="64">
        <v>19.23</v>
      </c>
      <c r="I12" s="64">
        <v>0.11</v>
      </c>
      <c r="J12" s="64">
        <v>0.03</v>
      </c>
      <c r="K12" s="64">
        <v>359.7</v>
      </c>
      <c r="L12" s="64">
        <v>24.97</v>
      </c>
      <c r="M12" s="64">
        <v>93.04</v>
      </c>
      <c r="N12" s="64">
        <v>6.5</v>
      </c>
      <c r="O12" s="64">
        <v>0</v>
      </c>
      <c r="P12" s="64">
        <v>0.57999999999999996</v>
      </c>
      <c r="Q12" s="64">
        <v>23.35</v>
      </c>
      <c r="R12" s="198"/>
      <c r="S12" s="198"/>
      <c r="T12" s="198"/>
      <c r="U12" s="198"/>
    </row>
    <row r="13" spans="1:21" s="12" customFormat="1" x14ac:dyDescent="0.25">
      <c r="A13" s="214" t="s">
        <v>348</v>
      </c>
      <c r="B13" s="64">
        <v>8.1</v>
      </c>
      <c r="C13" s="64">
        <v>23.31</v>
      </c>
      <c r="D13" s="64">
        <v>20.65</v>
      </c>
      <c r="E13" s="64">
        <v>4.8</v>
      </c>
      <c r="F13" s="64">
        <v>6.95</v>
      </c>
      <c r="G13" s="64">
        <v>81.81</v>
      </c>
      <c r="H13" s="64">
        <v>19.23</v>
      </c>
      <c r="I13" s="64">
        <v>0.1</v>
      </c>
      <c r="J13" s="64">
        <v>0.06</v>
      </c>
      <c r="K13" s="64">
        <v>306.29000000000002</v>
      </c>
      <c r="L13" s="64">
        <v>24.76</v>
      </c>
      <c r="M13" s="64">
        <v>94.58</v>
      </c>
      <c r="N13" s="64">
        <v>6.9</v>
      </c>
      <c r="O13" s="64">
        <v>0</v>
      </c>
      <c r="P13" s="64">
        <v>0.71</v>
      </c>
      <c r="Q13" s="64">
        <v>23.52</v>
      </c>
      <c r="R13" s="198"/>
      <c r="S13" s="198"/>
      <c r="T13" s="198"/>
      <c r="U13" s="198"/>
    </row>
    <row r="14" spans="1:21" s="12" customFormat="1" x14ac:dyDescent="0.25">
      <c r="A14" s="214" t="s">
        <v>349</v>
      </c>
      <c r="B14" s="64">
        <v>5.97</v>
      </c>
      <c r="C14" s="64">
        <v>24.61</v>
      </c>
      <c r="D14" s="64">
        <v>19.66</v>
      </c>
      <c r="E14" s="64">
        <v>4.55</v>
      </c>
      <c r="F14" s="64">
        <v>5.84</v>
      </c>
      <c r="G14" s="64">
        <v>81.81</v>
      </c>
      <c r="H14" s="64">
        <v>19.23</v>
      </c>
      <c r="I14" s="64">
        <v>0.1</v>
      </c>
      <c r="J14" s="64">
        <v>0.03</v>
      </c>
      <c r="K14" s="64">
        <v>272.51</v>
      </c>
      <c r="L14" s="64">
        <v>24.66</v>
      </c>
      <c r="M14" s="64">
        <v>95.23</v>
      </c>
      <c r="N14" s="64">
        <v>6.8</v>
      </c>
      <c r="O14" s="64">
        <v>0</v>
      </c>
      <c r="P14" s="64">
        <v>0.54</v>
      </c>
      <c r="Q14" s="64">
        <v>23.68</v>
      </c>
      <c r="R14" s="198"/>
      <c r="S14" s="198"/>
      <c r="T14" s="198"/>
      <c r="U14" s="198"/>
    </row>
    <row r="15" spans="1:21" s="12" customFormat="1" x14ac:dyDescent="0.25">
      <c r="A15" s="214" t="s">
        <v>350</v>
      </c>
      <c r="B15" s="64">
        <v>13.71</v>
      </c>
      <c r="C15" s="64">
        <v>19.23</v>
      </c>
      <c r="D15" s="64">
        <v>22.9</v>
      </c>
      <c r="E15" s="64">
        <v>4.87</v>
      </c>
      <c r="F15" s="64">
        <v>4.3499999999999996</v>
      </c>
      <c r="G15" s="64">
        <v>74.819999999999993</v>
      </c>
      <c r="H15" s="64">
        <v>19.899999999999999</v>
      </c>
      <c r="I15" s="64">
        <v>0.11</v>
      </c>
      <c r="J15" s="64">
        <v>0.03</v>
      </c>
      <c r="K15" s="64">
        <v>267.20999999999998</v>
      </c>
      <c r="L15" s="64">
        <v>24.76</v>
      </c>
      <c r="M15" s="64">
        <v>94.43</v>
      </c>
      <c r="N15" s="64">
        <v>6.6</v>
      </c>
      <c r="O15" s="64">
        <v>0</v>
      </c>
      <c r="P15" s="64">
        <v>0.66</v>
      </c>
      <c r="Q15" s="64">
        <v>23.09</v>
      </c>
      <c r="R15" s="198"/>
      <c r="S15" s="198"/>
      <c r="T15" s="198"/>
      <c r="U15" s="198"/>
    </row>
    <row r="16" spans="1:21" s="12" customFormat="1" x14ac:dyDescent="0.25">
      <c r="A16" s="214" t="s">
        <v>351</v>
      </c>
      <c r="B16" s="64">
        <v>15.18</v>
      </c>
      <c r="C16" s="64">
        <v>15.28</v>
      </c>
      <c r="D16" s="64">
        <v>21.9</v>
      </c>
      <c r="E16" s="64">
        <v>5.04</v>
      </c>
      <c r="F16" s="64">
        <v>5.34</v>
      </c>
      <c r="G16" s="64">
        <v>68.12</v>
      </c>
      <c r="H16" s="64">
        <v>20.22</v>
      </c>
      <c r="I16" s="64">
        <v>0.11</v>
      </c>
      <c r="J16" s="64">
        <v>0.01</v>
      </c>
      <c r="K16" s="64">
        <v>282.67</v>
      </c>
      <c r="L16" s="64">
        <v>24.77</v>
      </c>
      <c r="M16" s="64">
        <v>95.73</v>
      </c>
      <c r="N16" s="64">
        <v>6.5</v>
      </c>
      <c r="O16" s="64">
        <v>0</v>
      </c>
      <c r="P16" s="64">
        <v>0.59</v>
      </c>
      <c r="Q16" s="64">
        <v>22.31</v>
      </c>
      <c r="R16" s="198"/>
      <c r="S16" s="198"/>
      <c r="T16" s="198"/>
      <c r="U16" s="198"/>
    </row>
    <row r="17" spans="1:21" s="12" customFormat="1" x14ac:dyDescent="0.25">
      <c r="A17" s="214" t="s">
        <v>352</v>
      </c>
      <c r="B17" s="64">
        <v>20.47</v>
      </c>
      <c r="C17" s="64">
        <v>12.58</v>
      </c>
      <c r="D17" s="64">
        <v>24.65</v>
      </c>
      <c r="E17" s="64">
        <v>5.24</v>
      </c>
      <c r="F17" s="64">
        <v>2.69</v>
      </c>
      <c r="G17" s="64">
        <v>68.12</v>
      </c>
      <c r="H17" s="64">
        <v>20.22</v>
      </c>
      <c r="I17" s="64">
        <v>0.12</v>
      </c>
      <c r="J17" s="64">
        <v>0.14000000000000001</v>
      </c>
      <c r="K17" s="64">
        <v>16.5</v>
      </c>
      <c r="L17" s="64">
        <v>24.73</v>
      </c>
      <c r="M17" s="64">
        <v>96.42</v>
      </c>
      <c r="N17" s="64">
        <v>6.5</v>
      </c>
      <c r="O17" s="64">
        <v>0</v>
      </c>
      <c r="P17" s="64">
        <v>0.84</v>
      </c>
      <c r="Q17" s="64">
        <v>20.81</v>
      </c>
      <c r="R17" s="198"/>
      <c r="S17" s="198"/>
      <c r="T17" s="198"/>
      <c r="U17" s="198"/>
    </row>
    <row r="18" spans="1:21" s="12" customFormat="1" x14ac:dyDescent="0.25">
      <c r="A18" s="214" t="s">
        <v>353</v>
      </c>
      <c r="B18" s="64">
        <v>17.329999999999998</v>
      </c>
      <c r="C18" s="64">
        <v>11.84</v>
      </c>
      <c r="D18" s="64">
        <v>21.72</v>
      </c>
      <c r="E18" s="64">
        <v>5.3</v>
      </c>
      <c r="F18" s="64">
        <v>4.67</v>
      </c>
      <c r="G18" s="64">
        <v>68.12</v>
      </c>
      <c r="H18" s="64">
        <v>20.22</v>
      </c>
      <c r="I18" s="64">
        <v>0.12</v>
      </c>
      <c r="J18" s="64">
        <v>0.08</v>
      </c>
      <c r="K18" s="64">
        <v>32.869999999999997</v>
      </c>
      <c r="L18" s="64">
        <v>24.69</v>
      </c>
      <c r="M18" s="64">
        <v>97.17</v>
      </c>
      <c r="N18" s="64">
        <v>6.6</v>
      </c>
      <c r="O18" s="64">
        <v>0</v>
      </c>
      <c r="P18" s="64">
        <v>0.65</v>
      </c>
      <c r="Q18" s="64">
        <v>20.27</v>
      </c>
      <c r="R18" s="198"/>
      <c r="S18" s="198"/>
      <c r="T18" s="198"/>
      <c r="U18" s="198"/>
    </row>
    <row r="19" spans="1:21" s="12" customFormat="1" x14ac:dyDescent="0.25">
      <c r="A19" s="214" t="s">
        <v>354</v>
      </c>
      <c r="B19" s="64">
        <v>13.32</v>
      </c>
      <c r="C19" s="64">
        <v>17.55</v>
      </c>
      <c r="D19" s="64">
        <v>21.66</v>
      </c>
      <c r="E19" s="64">
        <v>4.2</v>
      </c>
      <c r="F19" s="64">
        <v>5.13</v>
      </c>
      <c r="G19" s="64">
        <v>62.52</v>
      </c>
      <c r="H19" s="64">
        <v>18.27</v>
      </c>
      <c r="I19" s="64">
        <v>0.13</v>
      </c>
      <c r="J19" s="64">
        <v>0.01</v>
      </c>
      <c r="K19" s="64">
        <v>123.6</v>
      </c>
      <c r="L19" s="64">
        <v>24.57</v>
      </c>
      <c r="M19" s="64">
        <v>98.11</v>
      </c>
      <c r="N19" s="64">
        <v>6.9</v>
      </c>
      <c r="O19" s="64">
        <v>0</v>
      </c>
      <c r="P19" s="64">
        <v>0.47</v>
      </c>
      <c r="Q19" s="64">
        <v>20.190000000000001</v>
      </c>
      <c r="R19" s="198"/>
      <c r="S19" s="198"/>
      <c r="T19" s="198"/>
      <c r="U19" s="198"/>
    </row>
    <row r="20" spans="1:21" s="12" customFormat="1" x14ac:dyDescent="0.25">
      <c r="A20" s="214" t="s">
        <v>355</v>
      </c>
      <c r="B20" s="64">
        <v>15.5</v>
      </c>
      <c r="C20" s="64">
        <v>18.510000000000002</v>
      </c>
      <c r="D20" s="64">
        <v>23.94</v>
      </c>
      <c r="E20" s="64">
        <v>4.5999999999999996</v>
      </c>
      <c r="F20" s="64">
        <v>4.04</v>
      </c>
      <c r="G20" s="64">
        <v>57.16</v>
      </c>
      <c r="H20" s="64">
        <v>17.37</v>
      </c>
      <c r="I20" s="64">
        <v>0.12</v>
      </c>
      <c r="J20" s="64">
        <v>0.04</v>
      </c>
      <c r="K20" s="64">
        <v>93.88</v>
      </c>
      <c r="L20" s="64">
        <v>24.51</v>
      </c>
      <c r="M20" s="64">
        <v>98.24</v>
      </c>
      <c r="N20" s="64">
        <v>6.9</v>
      </c>
      <c r="O20" s="64">
        <v>0</v>
      </c>
      <c r="P20" s="64">
        <v>0.56000000000000005</v>
      </c>
      <c r="Q20" s="64">
        <v>19.18</v>
      </c>
      <c r="R20" s="198"/>
      <c r="S20" s="198"/>
      <c r="T20" s="198"/>
      <c r="U20" s="198"/>
    </row>
    <row r="21" spans="1:21" s="12" customFormat="1" x14ac:dyDescent="0.25">
      <c r="A21" s="214" t="s">
        <v>356</v>
      </c>
      <c r="B21" s="64">
        <v>9.4700000000000006</v>
      </c>
      <c r="C21" s="64">
        <v>16.670000000000002</v>
      </c>
      <c r="D21" s="64">
        <v>18.09</v>
      </c>
      <c r="E21" s="64">
        <v>4.2300000000000004</v>
      </c>
      <c r="F21" s="64">
        <v>5.03</v>
      </c>
      <c r="G21" s="64">
        <v>57.16</v>
      </c>
      <c r="H21" s="64">
        <v>17.37</v>
      </c>
      <c r="I21" s="64">
        <v>0.12</v>
      </c>
      <c r="J21" s="64">
        <v>0.04</v>
      </c>
      <c r="K21" s="64">
        <v>299.18</v>
      </c>
      <c r="L21" s="64">
        <v>24.41</v>
      </c>
      <c r="M21" s="64">
        <v>98.25</v>
      </c>
      <c r="N21" s="64">
        <v>6.8</v>
      </c>
      <c r="O21" s="64">
        <v>0</v>
      </c>
      <c r="P21" s="64">
        <v>0.39</v>
      </c>
      <c r="Q21" s="64">
        <v>19.55</v>
      </c>
      <c r="R21" s="198"/>
      <c r="S21" s="198"/>
      <c r="T21" s="198"/>
      <c r="U21" s="198"/>
    </row>
    <row r="22" spans="1:21" s="12" customFormat="1" x14ac:dyDescent="0.25">
      <c r="A22" s="214" t="s">
        <v>357</v>
      </c>
      <c r="B22" s="64">
        <v>7.88</v>
      </c>
      <c r="C22" s="64">
        <v>20.48</v>
      </c>
      <c r="D22" s="64">
        <v>18.920000000000002</v>
      </c>
      <c r="E22" s="64">
        <v>4.47</v>
      </c>
      <c r="F22" s="64">
        <v>8.3800000000000008</v>
      </c>
      <c r="G22" s="64">
        <v>57.16</v>
      </c>
      <c r="H22" s="64">
        <v>17.37</v>
      </c>
      <c r="I22" s="64">
        <v>0.11</v>
      </c>
      <c r="J22" s="64">
        <v>0.03</v>
      </c>
      <c r="K22" s="64">
        <v>33.83</v>
      </c>
      <c r="L22" s="64">
        <v>24.38</v>
      </c>
      <c r="M22" s="64">
        <v>98.25</v>
      </c>
      <c r="N22" s="64">
        <v>6.5</v>
      </c>
      <c r="O22" s="64">
        <v>0</v>
      </c>
      <c r="P22" s="64">
        <v>0.35</v>
      </c>
      <c r="Q22" s="64">
        <v>19.510000000000002</v>
      </c>
      <c r="R22" s="198"/>
      <c r="S22" s="198"/>
      <c r="T22" s="198"/>
      <c r="U22" s="198"/>
    </row>
    <row r="23" spans="1:21" s="12" customFormat="1" x14ac:dyDescent="0.25">
      <c r="A23" s="214" t="s">
        <v>358</v>
      </c>
      <c r="B23" s="64">
        <v>5.84</v>
      </c>
      <c r="C23" s="64">
        <v>16</v>
      </c>
      <c r="D23" s="64">
        <v>14.81</v>
      </c>
      <c r="E23" s="64">
        <v>4.66</v>
      </c>
      <c r="F23" s="64">
        <v>6.38</v>
      </c>
      <c r="G23" s="64">
        <v>51.53</v>
      </c>
      <c r="H23" s="64">
        <v>18.32</v>
      </c>
      <c r="I23" s="64">
        <v>0.11</v>
      </c>
      <c r="J23" s="64">
        <v>0.03</v>
      </c>
      <c r="K23" s="64">
        <v>204.38</v>
      </c>
      <c r="L23" s="64">
        <v>24.29</v>
      </c>
      <c r="M23" s="64">
        <v>98.25</v>
      </c>
      <c r="N23" s="64">
        <v>6.7</v>
      </c>
      <c r="O23" s="64">
        <v>0</v>
      </c>
      <c r="P23" s="64">
        <v>0.33</v>
      </c>
      <c r="Q23" s="64">
        <v>20.67</v>
      </c>
      <c r="R23" s="198"/>
      <c r="S23" s="198"/>
      <c r="T23" s="198"/>
      <c r="U23" s="198"/>
    </row>
    <row r="24" spans="1:21" s="12" customFormat="1" x14ac:dyDescent="0.25">
      <c r="A24" s="214" t="s">
        <v>359</v>
      </c>
      <c r="B24" s="64">
        <v>12.05</v>
      </c>
      <c r="C24" s="64">
        <v>18.809999999999999</v>
      </c>
      <c r="D24" s="64">
        <v>21.34</v>
      </c>
      <c r="E24" s="64">
        <v>2.52</v>
      </c>
      <c r="F24" s="64">
        <v>5.37</v>
      </c>
      <c r="G24" s="64">
        <v>46.14</v>
      </c>
      <c r="H24" s="64">
        <v>18.760000000000002</v>
      </c>
      <c r="I24" s="64">
        <v>0.1</v>
      </c>
      <c r="J24" s="64">
        <v>0.05</v>
      </c>
      <c r="K24" s="64">
        <v>286.61</v>
      </c>
      <c r="L24" s="64">
        <v>24.08</v>
      </c>
      <c r="M24" s="64">
        <v>98.26</v>
      </c>
      <c r="N24" s="64">
        <v>6.9</v>
      </c>
      <c r="O24" s="64">
        <v>0</v>
      </c>
      <c r="P24" s="64">
        <v>0.35</v>
      </c>
      <c r="Q24" s="64">
        <v>20.97</v>
      </c>
      <c r="R24" s="198"/>
      <c r="S24" s="198"/>
      <c r="T24" s="198"/>
      <c r="U24" s="198"/>
    </row>
    <row r="25" spans="1:21" s="12" customFormat="1" x14ac:dyDescent="0.25">
      <c r="A25" s="214" t="s">
        <v>360</v>
      </c>
      <c r="B25" s="64">
        <v>8.11</v>
      </c>
      <c r="C25" s="64">
        <v>16.05</v>
      </c>
      <c r="D25" s="64">
        <v>16.66</v>
      </c>
      <c r="E25" s="64">
        <v>3.41</v>
      </c>
      <c r="F25" s="64">
        <v>6.24</v>
      </c>
      <c r="G25" s="64">
        <v>46.14</v>
      </c>
      <c r="H25" s="64">
        <v>18.760000000000002</v>
      </c>
      <c r="I25" s="64">
        <v>0.11</v>
      </c>
      <c r="J25" s="64">
        <v>0.06</v>
      </c>
      <c r="K25" s="64">
        <v>17.82</v>
      </c>
      <c r="L25" s="64">
        <v>24.01</v>
      </c>
      <c r="M25" s="64">
        <v>98.27</v>
      </c>
      <c r="N25" s="64">
        <v>6.8</v>
      </c>
      <c r="O25" s="64">
        <v>0</v>
      </c>
      <c r="P25" s="64">
        <v>0.34</v>
      </c>
      <c r="Q25" s="64">
        <v>21.72</v>
      </c>
      <c r="R25" s="198"/>
      <c r="S25" s="198"/>
      <c r="T25" s="198"/>
      <c r="U25" s="198"/>
    </row>
    <row r="26" spans="1:21" s="12" customFormat="1" x14ac:dyDescent="0.25">
      <c r="A26" s="214" t="s">
        <v>361</v>
      </c>
      <c r="B26" s="64">
        <v>9.73</v>
      </c>
      <c r="C26" s="64">
        <v>18.940000000000001</v>
      </c>
      <c r="D26" s="64">
        <v>19.55</v>
      </c>
      <c r="E26" s="64">
        <v>4.28</v>
      </c>
      <c r="F26" s="64">
        <v>4.5999999999999996</v>
      </c>
      <c r="G26" s="64">
        <v>46.14</v>
      </c>
      <c r="H26" s="64">
        <v>18.760000000000002</v>
      </c>
      <c r="I26" s="64">
        <v>0.11</v>
      </c>
      <c r="J26" s="64">
        <v>0.01</v>
      </c>
      <c r="K26" s="64">
        <v>120.68</v>
      </c>
      <c r="L26" s="64">
        <v>23.9</v>
      </c>
      <c r="M26" s="64">
        <v>98.28</v>
      </c>
      <c r="N26" s="64">
        <v>6.7</v>
      </c>
      <c r="O26" s="64">
        <v>0</v>
      </c>
      <c r="P26" s="64">
        <v>0.41</v>
      </c>
      <c r="Q26" s="64">
        <v>21.87</v>
      </c>
      <c r="R26" s="198"/>
      <c r="S26" s="198"/>
      <c r="T26" s="198"/>
      <c r="U26" s="198"/>
    </row>
    <row r="27" spans="1:21" s="12" customFormat="1" x14ac:dyDescent="0.25">
      <c r="A27" s="214" t="s">
        <v>362</v>
      </c>
      <c r="B27" s="64">
        <v>17.989999999999998</v>
      </c>
      <c r="C27" s="64">
        <v>32.89</v>
      </c>
      <c r="D27" s="64">
        <v>33.869999999999997</v>
      </c>
      <c r="E27" s="64">
        <v>3.41</v>
      </c>
      <c r="F27" s="64">
        <v>3.75</v>
      </c>
      <c r="G27" s="64">
        <v>46.51</v>
      </c>
      <c r="H27" s="64">
        <v>16.14</v>
      </c>
      <c r="I27" s="64">
        <v>0.1</v>
      </c>
      <c r="J27" s="64">
        <v>0.06</v>
      </c>
      <c r="K27" s="64">
        <v>76.569999999999993</v>
      </c>
      <c r="L27" s="64">
        <v>23.91</v>
      </c>
      <c r="M27" s="64">
        <v>98.29</v>
      </c>
      <c r="N27" s="64">
        <v>6.6</v>
      </c>
      <c r="O27" s="64">
        <v>0</v>
      </c>
      <c r="P27" s="64">
        <v>0.5</v>
      </c>
      <c r="Q27" s="64">
        <v>20.91</v>
      </c>
      <c r="R27" s="198"/>
      <c r="S27" s="198"/>
      <c r="T27" s="198"/>
      <c r="U27" s="198"/>
    </row>
    <row r="28" spans="1:21" s="12" customFormat="1" x14ac:dyDescent="0.25">
      <c r="A28" s="214" t="s">
        <v>363</v>
      </c>
      <c r="B28" s="64">
        <v>20.46</v>
      </c>
      <c r="C28" s="64">
        <v>27.93</v>
      </c>
      <c r="D28" s="64">
        <v>33.11</v>
      </c>
      <c r="E28" s="64">
        <v>3.4</v>
      </c>
      <c r="F28" s="64">
        <v>1.87</v>
      </c>
      <c r="G28" s="64">
        <v>46.86</v>
      </c>
      <c r="H28" s="64">
        <v>14.92</v>
      </c>
      <c r="I28" s="64">
        <v>0.13</v>
      </c>
      <c r="J28" s="64">
        <v>0.04</v>
      </c>
      <c r="K28" s="64">
        <v>251.73</v>
      </c>
      <c r="L28" s="64">
        <v>23.85</v>
      </c>
      <c r="M28" s="64">
        <v>98.28</v>
      </c>
      <c r="N28" s="64">
        <v>6.8</v>
      </c>
      <c r="O28" s="64">
        <v>0</v>
      </c>
      <c r="P28" s="64">
        <v>0.53</v>
      </c>
      <c r="Q28" s="64">
        <v>18.73</v>
      </c>
      <c r="R28" s="198"/>
      <c r="S28" s="198"/>
      <c r="T28" s="198"/>
      <c r="U28" s="198"/>
    </row>
    <row r="29" spans="1:21" s="12" customFormat="1" x14ac:dyDescent="0.25">
      <c r="A29" s="214" t="s">
        <v>364</v>
      </c>
      <c r="B29" s="64">
        <v>14.42</v>
      </c>
      <c r="C29" s="64">
        <v>24.23</v>
      </c>
      <c r="D29" s="64">
        <v>26.23</v>
      </c>
      <c r="E29" s="64">
        <v>3.32</v>
      </c>
      <c r="F29" s="64">
        <v>2.75</v>
      </c>
      <c r="G29" s="64">
        <v>46.86</v>
      </c>
      <c r="H29" s="64">
        <v>14.92</v>
      </c>
      <c r="I29" s="64">
        <v>0.12</v>
      </c>
      <c r="J29" s="64">
        <v>0.05</v>
      </c>
      <c r="K29" s="64">
        <v>203.56</v>
      </c>
      <c r="L29" s="64">
        <v>23.78</v>
      </c>
      <c r="M29" s="64">
        <v>98.28</v>
      </c>
      <c r="N29" s="64">
        <v>6.7</v>
      </c>
      <c r="O29" s="64">
        <v>0</v>
      </c>
      <c r="P29" s="64">
        <v>0.55000000000000004</v>
      </c>
      <c r="Q29" s="64">
        <v>19</v>
      </c>
      <c r="R29" s="198"/>
      <c r="S29" s="198"/>
      <c r="T29" s="198"/>
      <c r="U29" s="198"/>
    </row>
    <row r="30" spans="1:21" s="12" customFormat="1" x14ac:dyDescent="0.25">
      <c r="A30" s="214" t="s">
        <v>365</v>
      </c>
      <c r="B30" s="64">
        <v>14.26</v>
      </c>
      <c r="C30" s="64">
        <v>26.61</v>
      </c>
      <c r="D30" s="64">
        <v>27.42</v>
      </c>
      <c r="E30" s="64">
        <v>4.1500000000000004</v>
      </c>
      <c r="F30" s="64">
        <v>1.94</v>
      </c>
      <c r="G30" s="64">
        <v>46.86</v>
      </c>
      <c r="H30" s="64">
        <v>14.92</v>
      </c>
      <c r="I30" s="64">
        <v>0.12</v>
      </c>
      <c r="J30" s="64">
        <v>7.0000000000000007E-2</v>
      </c>
      <c r="K30" s="64">
        <v>246.82</v>
      </c>
      <c r="L30" s="64">
        <v>23.85</v>
      </c>
      <c r="M30" s="64">
        <v>98.15</v>
      </c>
      <c r="N30" s="64">
        <v>6.8</v>
      </c>
      <c r="O30" s="64">
        <v>0</v>
      </c>
      <c r="P30" s="64">
        <v>0.49</v>
      </c>
      <c r="Q30" s="64">
        <v>19.16</v>
      </c>
      <c r="R30" s="198"/>
      <c r="S30" s="198"/>
      <c r="T30" s="198"/>
      <c r="U30" s="198"/>
    </row>
    <row r="31" spans="1:21" s="12" customFormat="1" x14ac:dyDescent="0.25">
      <c r="A31" s="214" t="s">
        <v>366</v>
      </c>
      <c r="B31" s="64">
        <v>15.38</v>
      </c>
      <c r="C31" s="64">
        <v>28.5</v>
      </c>
      <c r="D31" s="64">
        <v>29.36</v>
      </c>
      <c r="E31" s="64">
        <v>4.09</v>
      </c>
      <c r="F31" s="64">
        <v>2.88</v>
      </c>
      <c r="G31" s="64">
        <v>45.81</v>
      </c>
      <c r="H31" s="64">
        <v>15.14</v>
      </c>
      <c r="I31" s="64">
        <v>0.12</v>
      </c>
      <c r="J31" s="64">
        <v>7.0000000000000007E-2</v>
      </c>
      <c r="K31" s="64">
        <v>239.69</v>
      </c>
      <c r="L31" s="64">
        <v>23.99</v>
      </c>
      <c r="M31" s="64">
        <v>97.7</v>
      </c>
      <c r="N31" s="64">
        <v>9.4</v>
      </c>
      <c r="O31" s="64">
        <v>0</v>
      </c>
      <c r="P31" s="64">
        <v>0.53</v>
      </c>
      <c r="Q31" s="64">
        <v>18.489999999999998</v>
      </c>
      <c r="R31" s="198"/>
      <c r="S31" s="198"/>
      <c r="T31" s="198"/>
      <c r="U31" s="198"/>
    </row>
    <row r="32" spans="1:21" s="12" customFormat="1" x14ac:dyDescent="0.25">
      <c r="A32" s="214" t="s">
        <v>367</v>
      </c>
      <c r="B32" s="64">
        <v>21.3</v>
      </c>
      <c r="C32" s="64">
        <v>26.34</v>
      </c>
      <c r="D32" s="64">
        <v>32.909999999999997</v>
      </c>
      <c r="E32" s="64">
        <v>3.67</v>
      </c>
      <c r="F32" s="64">
        <v>1.1599999999999999</v>
      </c>
      <c r="G32" s="64">
        <v>44.82</v>
      </c>
      <c r="H32" s="64">
        <v>15.34</v>
      </c>
      <c r="I32" s="64">
        <v>0.12</v>
      </c>
      <c r="J32" s="64">
        <v>0.02</v>
      </c>
      <c r="K32" s="64">
        <v>327.11</v>
      </c>
      <c r="L32" s="64">
        <v>24.21</v>
      </c>
      <c r="M32" s="64">
        <v>97.63</v>
      </c>
      <c r="N32" s="64">
        <v>26.3</v>
      </c>
      <c r="O32" s="64">
        <v>0</v>
      </c>
      <c r="P32" s="64">
        <v>0.56000000000000005</v>
      </c>
      <c r="Q32" s="64">
        <v>18.55</v>
      </c>
      <c r="R32" s="198"/>
      <c r="S32" s="198"/>
      <c r="T32" s="198"/>
      <c r="U32" s="198"/>
    </row>
    <row r="33" spans="1:21" s="12" customFormat="1" x14ac:dyDescent="0.25">
      <c r="A33" s="214" t="s">
        <v>368</v>
      </c>
      <c r="B33" s="64">
        <v>43.86</v>
      </c>
      <c r="C33" s="64">
        <v>26.83</v>
      </c>
      <c r="D33" s="64">
        <v>51.27</v>
      </c>
      <c r="E33" s="64">
        <v>3.94</v>
      </c>
      <c r="F33" s="64">
        <v>2.41</v>
      </c>
      <c r="G33" s="64">
        <v>44.82</v>
      </c>
      <c r="H33" s="64">
        <v>15.34</v>
      </c>
      <c r="I33" s="64">
        <v>0.12</v>
      </c>
      <c r="J33" s="64">
        <v>0.05</v>
      </c>
      <c r="K33" s="64">
        <v>315.72000000000003</v>
      </c>
      <c r="L33" s="64">
        <v>24.35</v>
      </c>
      <c r="M33" s="64">
        <v>98.25</v>
      </c>
      <c r="N33" s="64">
        <v>45.8</v>
      </c>
      <c r="O33" s="64">
        <v>0</v>
      </c>
      <c r="P33" s="64">
        <v>0.73</v>
      </c>
      <c r="Q33" s="64">
        <v>15.29</v>
      </c>
      <c r="R33" s="198"/>
      <c r="S33" s="198"/>
      <c r="T33" s="198"/>
      <c r="U33" s="198"/>
    </row>
    <row r="34" spans="1:21" s="12" customFormat="1" x14ac:dyDescent="0.25">
      <c r="A34" s="214" t="s">
        <v>369</v>
      </c>
      <c r="B34" s="64">
        <v>31.22</v>
      </c>
      <c r="C34" s="64">
        <v>31.13</v>
      </c>
      <c r="D34" s="64">
        <v>43.51</v>
      </c>
      <c r="E34" s="64">
        <v>3.87</v>
      </c>
      <c r="F34" s="64">
        <v>4.4400000000000004</v>
      </c>
      <c r="G34" s="64">
        <v>44.82</v>
      </c>
      <c r="H34" s="64">
        <v>15.34</v>
      </c>
      <c r="I34" s="64">
        <v>0.12</v>
      </c>
      <c r="J34" s="64">
        <v>0.08</v>
      </c>
      <c r="K34" s="64">
        <v>325.14</v>
      </c>
      <c r="L34" s="64">
        <v>24.82</v>
      </c>
      <c r="M34" s="64">
        <v>97.2</v>
      </c>
      <c r="N34" s="64">
        <v>67.3</v>
      </c>
      <c r="O34" s="64">
        <v>0</v>
      </c>
      <c r="P34" s="64">
        <v>0.66</v>
      </c>
      <c r="Q34" s="64">
        <v>18.3</v>
      </c>
      <c r="R34" s="198"/>
      <c r="S34" s="198"/>
      <c r="T34" s="198"/>
      <c r="U34" s="198"/>
    </row>
    <row r="35" spans="1:21" s="12" customFormat="1" x14ac:dyDescent="0.25">
      <c r="A35" s="214" t="s">
        <v>370</v>
      </c>
      <c r="B35" s="64">
        <v>31.41</v>
      </c>
      <c r="C35" s="64">
        <v>37.950000000000003</v>
      </c>
      <c r="D35" s="64">
        <v>47.42</v>
      </c>
      <c r="E35" s="64">
        <v>4.24</v>
      </c>
      <c r="F35" s="64">
        <v>4.96</v>
      </c>
      <c r="G35" s="64">
        <v>52.31</v>
      </c>
      <c r="H35" s="64">
        <v>16.420000000000002</v>
      </c>
      <c r="I35" s="64">
        <v>0.11</v>
      </c>
      <c r="J35" s="64">
        <v>0.17</v>
      </c>
      <c r="K35" s="64">
        <v>331.14</v>
      </c>
      <c r="L35" s="64">
        <v>25.71</v>
      </c>
      <c r="M35" s="64">
        <v>92.29</v>
      </c>
      <c r="N35" s="64">
        <v>104.7</v>
      </c>
      <c r="O35" s="64">
        <v>0</v>
      </c>
      <c r="P35" s="64">
        <v>0.66</v>
      </c>
      <c r="Q35" s="64">
        <v>18.3</v>
      </c>
      <c r="R35" s="198"/>
      <c r="S35" s="198"/>
      <c r="T35" s="198"/>
      <c r="U35" s="198"/>
    </row>
    <row r="36" spans="1:21" s="12" customFormat="1" x14ac:dyDescent="0.25">
      <c r="A36" s="214" t="s">
        <v>371</v>
      </c>
      <c r="B36" s="64">
        <v>32.71</v>
      </c>
      <c r="C36" s="64">
        <v>29</v>
      </c>
      <c r="D36" s="64">
        <v>43.52</v>
      </c>
      <c r="E36" s="64">
        <v>3.75</v>
      </c>
      <c r="F36" s="64">
        <v>4.82</v>
      </c>
      <c r="G36" s="64">
        <v>59.48</v>
      </c>
      <c r="H36" s="64">
        <v>16.920000000000002</v>
      </c>
      <c r="I36" s="64">
        <v>0.1</v>
      </c>
      <c r="J36" s="64">
        <v>0.19</v>
      </c>
      <c r="K36" s="64">
        <v>333.28</v>
      </c>
      <c r="L36" s="64">
        <v>26.93</v>
      </c>
      <c r="M36" s="64">
        <v>85.2</v>
      </c>
      <c r="N36" s="64">
        <v>147.5</v>
      </c>
      <c r="O36" s="64">
        <v>0</v>
      </c>
      <c r="P36" s="64">
        <v>0.7</v>
      </c>
      <c r="Q36" s="64">
        <v>18.940000000000001</v>
      </c>
      <c r="R36" s="198"/>
      <c r="S36" s="198"/>
      <c r="T36" s="198"/>
      <c r="U36" s="198"/>
    </row>
    <row r="37" spans="1:21" s="12" customFormat="1" x14ac:dyDescent="0.25">
      <c r="A37" s="214" t="s">
        <v>372</v>
      </c>
      <c r="B37" s="64">
        <v>18.43</v>
      </c>
      <c r="C37" s="64">
        <v>29.95</v>
      </c>
      <c r="D37" s="64">
        <v>32.6</v>
      </c>
      <c r="E37" s="64">
        <v>3.79</v>
      </c>
      <c r="F37" s="64">
        <v>6.73</v>
      </c>
      <c r="G37" s="64">
        <v>59.48</v>
      </c>
      <c r="H37" s="64">
        <v>16.920000000000002</v>
      </c>
      <c r="I37" s="64">
        <v>0.12</v>
      </c>
      <c r="J37" s="64">
        <v>0.17</v>
      </c>
      <c r="K37" s="64">
        <v>347.47</v>
      </c>
      <c r="L37" s="64">
        <v>28.13</v>
      </c>
      <c r="M37" s="64">
        <v>79.11</v>
      </c>
      <c r="N37" s="64">
        <v>200.3</v>
      </c>
      <c r="O37" s="64">
        <v>0</v>
      </c>
      <c r="P37" s="64">
        <v>0.64</v>
      </c>
      <c r="Q37" s="64">
        <v>20.71</v>
      </c>
      <c r="R37" s="198"/>
      <c r="S37" s="198"/>
      <c r="T37" s="198"/>
      <c r="U37" s="198"/>
    </row>
    <row r="38" spans="1:21" s="12" customFormat="1" x14ac:dyDescent="0.25">
      <c r="A38" s="214" t="s">
        <v>373</v>
      </c>
      <c r="B38" s="64">
        <v>24.12</v>
      </c>
      <c r="C38" s="64">
        <v>25.68</v>
      </c>
      <c r="D38" s="64">
        <v>34.81</v>
      </c>
      <c r="E38" s="64">
        <v>4.03</v>
      </c>
      <c r="F38" s="64">
        <v>5.17</v>
      </c>
      <c r="G38" s="64">
        <v>59.48</v>
      </c>
      <c r="H38" s="64">
        <v>16.920000000000002</v>
      </c>
      <c r="I38" s="64">
        <v>0.11</v>
      </c>
      <c r="J38" s="64">
        <v>0.35</v>
      </c>
      <c r="K38" s="64">
        <v>334.52</v>
      </c>
      <c r="L38" s="64">
        <v>29.26</v>
      </c>
      <c r="M38" s="64">
        <v>73.540000000000006</v>
      </c>
      <c r="N38" s="64">
        <v>251.1</v>
      </c>
      <c r="O38" s="64">
        <v>0</v>
      </c>
      <c r="P38" s="64">
        <v>0.67</v>
      </c>
      <c r="Q38" s="64">
        <v>20.93</v>
      </c>
      <c r="R38" s="198"/>
      <c r="S38" s="198"/>
      <c r="T38" s="198"/>
      <c r="U38" s="198"/>
    </row>
    <row r="39" spans="1:21" s="12" customFormat="1" x14ac:dyDescent="0.25">
      <c r="A39" s="214" t="s">
        <v>374</v>
      </c>
      <c r="B39" s="64">
        <v>29.49</v>
      </c>
      <c r="C39" s="64">
        <v>21.33</v>
      </c>
      <c r="D39" s="64">
        <v>36.71</v>
      </c>
      <c r="E39" s="64">
        <v>4.1900000000000004</v>
      </c>
      <c r="F39" s="64">
        <v>4.74</v>
      </c>
      <c r="G39" s="64">
        <v>63.06</v>
      </c>
      <c r="H39" s="64">
        <v>17.489999999999998</v>
      </c>
      <c r="I39" s="64">
        <v>0.11</v>
      </c>
      <c r="J39" s="64">
        <v>0.56999999999999995</v>
      </c>
      <c r="K39" s="64">
        <v>335.25</v>
      </c>
      <c r="L39" s="64">
        <v>30.63</v>
      </c>
      <c r="M39" s="64">
        <v>67.209999999999994</v>
      </c>
      <c r="N39" s="64">
        <v>320.39999999999998</v>
      </c>
      <c r="O39" s="64">
        <v>0</v>
      </c>
      <c r="P39" s="64">
        <v>0.66</v>
      </c>
      <c r="Q39" s="64">
        <v>20.07</v>
      </c>
      <c r="R39" s="198"/>
      <c r="S39" s="198"/>
      <c r="T39" s="198"/>
      <c r="U39" s="198"/>
    </row>
    <row r="40" spans="1:21" s="12" customFormat="1" x14ac:dyDescent="0.25">
      <c r="A40" s="214" t="s">
        <v>375</v>
      </c>
      <c r="B40" s="64">
        <v>27.79</v>
      </c>
      <c r="C40" s="64">
        <v>22.26</v>
      </c>
      <c r="D40" s="64">
        <v>35.86</v>
      </c>
      <c r="E40" s="64">
        <v>3.94</v>
      </c>
      <c r="F40" s="64">
        <v>6.23</v>
      </c>
      <c r="G40" s="64">
        <v>66.48</v>
      </c>
      <c r="H40" s="64">
        <v>17.75</v>
      </c>
      <c r="I40" s="64">
        <v>0.12</v>
      </c>
      <c r="J40" s="64">
        <v>0.49</v>
      </c>
      <c r="K40" s="64">
        <v>329.39</v>
      </c>
      <c r="L40" s="64">
        <v>31.75</v>
      </c>
      <c r="M40" s="64">
        <v>63.94</v>
      </c>
      <c r="N40" s="64">
        <v>372.6</v>
      </c>
      <c r="O40" s="64">
        <v>0</v>
      </c>
      <c r="P40" s="64">
        <v>0.69</v>
      </c>
      <c r="Q40" s="64">
        <v>18.89</v>
      </c>
      <c r="R40" s="198"/>
      <c r="S40" s="198"/>
      <c r="T40" s="198"/>
      <c r="U40" s="198"/>
    </row>
    <row r="41" spans="1:21" s="12" customFormat="1" x14ac:dyDescent="0.25">
      <c r="A41" s="214" t="s">
        <v>376</v>
      </c>
      <c r="B41" s="64">
        <v>26.5</v>
      </c>
      <c r="C41" s="64">
        <v>16.829999999999998</v>
      </c>
      <c r="D41" s="64">
        <v>31.83</v>
      </c>
      <c r="E41" s="64">
        <v>4.7300000000000004</v>
      </c>
      <c r="F41" s="64">
        <v>6.26</v>
      </c>
      <c r="G41" s="64">
        <v>66.48</v>
      </c>
      <c r="H41" s="64">
        <v>17.75</v>
      </c>
      <c r="I41" s="64">
        <v>0.12</v>
      </c>
      <c r="J41" s="64">
        <v>0.53</v>
      </c>
      <c r="K41" s="64">
        <v>336.86</v>
      </c>
      <c r="L41" s="64">
        <v>32.869999999999997</v>
      </c>
      <c r="M41" s="64">
        <v>60.01</v>
      </c>
      <c r="N41" s="64">
        <v>421.4</v>
      </c>
      <c r="O41" s="64">
        <v>0</v>
      </c>
      <c r="P41" s="64">
        <v>0.66</v>
      </c>
      <c r="Q41" s="64">
        <v>18.09</v>
      </c>
      <c r="R41" s="198"/>
      <c r="S41" s="198"/>
      <c r="T41" s="198"/>
      <c r="U41" s="198"/>
    </row>
    <row r="42" spans="1:21" s="12" customFormat="1" x14ac:dyDescent="0.25">
      <c r="A42" s="214" t="s">
        <v>377</v>
      </c>
      <c r="B42" s="64">
        <v>24.84</v>
      </c>
      <c r="C42" s="64">
        <v>23.55</v>
      </c>
      <c r="D42" s="64">
        <v>34.21</v>
      </c>
      <c r="E42" s="64">
        <v>5.39</v>
      </c>
      <c r="F42" s="64">
        <v>9.56</v>
      </c>
      <c r="G42" s="64">
        <v>66.48</v>
      </c>
      <c r="H42" s="64">
        <v>17.75</v>
      </c>
      <c r="I42" s="64">
        <v>0.12</v>
      </c>
      <c r="J42" s="64">
        <v>0.51</v>
      </c>
      <c r="K42" s="64">
        <v>339.39</v>
      </c>
      <c r="L42" s="64">
        <v>33.03</v>
      </c>
      <c r="M42" s="64">
        <v>60.31</v>
      </c>
      <c r="N42" s="64">
        <v>475.1</v>
      </c>
      <c r="O42" s="64">
        <v>0</v>
      </c>
      <c r="P42" s="64">
        <v>0.68</v>
      </c>
      <c r="Q42" s="64">
        <v>18.75</v>
      </c>
      <c r="R42" s="198"/>
      <c r="S42" s="198"/>
      <c r="T42" s="198"/>
      <c r="U42" s="198"/>
    </row>
    <row r="43" spans="1:21" s="12" customFormat="1" x14ac:dyDescent="0.25">
      <c r="A43" s="214" t="s">
        <v>378</v>
      </c>
      <c r="B43" s="64">
        <v>26.95</v>
      </c>
      <c r="C43" s="64">
        <v>27.95</v>
      </c>
      <c r="D43" s="64">
        <v>38.33</v>
      </c>
      <c r="E43" s="64">
        <v>4.09</v>
      </c>
      <c r="F43" s="64">
        <v>8.98</v>
      </c>
      <c r="G43" s="64">
        <v>73.739999999999995</v>
      </c>
      <c r="H43" s="64">
        <v>20.9</v>
      </c>
      <c r="I43" s="64">
        <v>0.12</v>
      </c>
      <c r="J43" s="64">
        <v>0.49</v>
      </c>
      <c r="K43" s="64">
        <v>331.54</v>
      </c>
      <c r="L43" s="64">
        <v>33.85</v>
      </c>
      <c r="M43" s="64">
        <v>57.98</v>
      </c>
      <c r="N43" s="64">
        <v>530.4</v>
      </c>
      <c r="O43" s="64">
        <v>0</v>
      </c>
      <c r="P43" s="64">
        <v>0.69</v>
      </c>
      <c r="Q43" s="64">
        <v>17.91</v>
      </c>
      <c r="R43" s="198"/>
      <c r="S43" s="198"/>
      <c r="T43" s="198"/>
      <c r="U43" s="198"/>
    </row>
    <row r="44" spans="1:21" s="12" customFormat="1" x14ac:dyDescent="0.25">
      <c r="A44" s="214" t="s">
        <v>379</v>
      </c>
      <c r="B44" s="64">
        <v>23.28</v>
      </c>
      <c r="C44" s="64">
        <v>20.39</v>
      </c>
      <c r="D44" s="64">
        <v>31.22</v>
      </c>
      <c r="E44" s="64">
        <v>4.53</v>
      </c>
      <c r="F44" s="64">
        <v>9.77</v>
      </c>
      <c r="G44" s="64">
        <v>80.69</v>
      </c>
      <c r="H44" s="64">
        <v>22.37</v>
      </c>
      <c r="I44" s="64">
        <v>0.12</v>
      </c>
      <c r="J44" s="64">
        <v>0.34</v>
      </c>
      <c r="K44" s="64">
        <v>339.81</v>
      </c>
      <c r="L44" s="64">
        <v>34.14</v>
      </c>
      <c r="M44" s="64">
        <v>56.87</v>
      </c>
      <c r="N44" s="64">
        <v>565.5</v>
      </c>
      <c r="O44" s="64">
        <v>0</v>
      </c>
      <c r="P44" s="64">
        <v>0.66</v>
      </c>
      <c r="Q44" s="64">
        <v>17.43</v>
      </c>
      <c r="R44" s="198"/>
      <c r="S44" s="198"/>
      <c r="T44" s="198"/>
      <c r="U44" s="198"/>
    </row>
    <row r="45" spans="1:21" s="12" customFormat="1" x14ac:dyDescent="0.25">
      <c r="A45" s="214" t="s">
        <v>380</v>
      </c>
      <c r="B45" s="64">
        <v>18.079999999999998</v>
      </c>
      <c r="C45" s="64">
        <v>26.31</v>
      </c>
      <c r="D45" s="64">
        <v>30.31</v>
      </c>
      <c r="E45" s="64">
        <v>4.92</v>
      </c>
      <c r="F45" s="64">
        <v>11.65</v>
      </c>
      <c r="G45" s="64">
        <v>80.69</v>
      </c>
      <c r="H45" s="64">
        <v>22.37</v>
      </c>
      <c r="I45" s="64">
        <v>0.12</v>
      </c>
      <c r="J45" s="64">
        <v>0.27</v>
      </c>
      <c r="K45" s="64">
        <v>329.1</v>
      </c>
      <c r="L45" s="64">
        <v>34.130000000000003</v>
      </c>
      <c r="M45" s="64">
        <v>56.76</v>
      </c>
      <c r="N45" s="64">
        <v>619.4</v>
      </c>
      <c r="O45" s="64">
        <v>0</v>
      </c>
      <c r="P45" s="64">
        <v>0.6</v>
      </c>
      <c r="Q45" s="64">
        <v>18.7</v>
      </c>
      <c r="R45" s="198"/>
      <c r="S45" s="198"/>
      <c r="T45" s="198"/>
      <c r="U45" s="198"/>
    </row>
    <row r="46" spans="1:21" s="12" customFormat="1" x14ac:dyDescent="0.25">
      <c r="A46" s="214" t="s">
        <v>381</v>
      </c>
      <c r="B46" s="64">
        <v>14.18</v>
      </c>
      <c r="C46" s="64">
        <v>29.94</v>
      </c>
      <c r="D46" s="64">
        <v>29.19</v>
      </c>
      <c r="E46" s="64">
        <v>5.15</v>
      </c>
      <c r="F46" s="64">
        <v>23.47</v>
      </c>
      <c r="G46" s="64">
        <v>80.69</v>
      </c>
      <c r="H46" s="64">
        <v>22.37</v>
      </c>
      <c r="I46" s="64">
        <v>0.12</v>
      </c>
      <c r="J46" s="64">
        <v>0.54</v>
      </c>
      <c r="K46" s="64">
        <v>337.25</v>
      </c>
      <c r="L46" s="64">
        <v>35.11</v>
      </c>
      <c r="M46" s="64">
        <v>52.91</v>
      </c>
      <c r="N46" s="64">
        <v>661.1</v>
      </c>
      <c r="O46" s="64">
        <v>0</v>
      </c>
      <c r="P46" s="64">
        <v>0.72</v>
      </c>
      <c r="Q46" s="64">
        <v>19.23</v>
      </c>
      <c r="R46" s="198"/>
      <c r="S46" s="198"/>
      <c r="T46" s="198"/>
      <c r="U46" s="198"/>
    </row>
    <row r="47" spans="1:21" s="12" customFormat="1" x14ac:dyDescent="0.25">
      <c r="A47" s="214" t="s">
        <v>382</v>
      </c>
      <c r="B47" s="64">
        <v>19</v>
      </c>
      <c r="C47" s="64">
        <v>32.880000000000003</v>
      </c>
      <c r="D47" s="64">
        <v>34.68</v>
      </c>
      <c r="E47" s="64">
        <v>5.92</v>
      </c>
      <c r="F47" s="64">
        <v>19.920000000000002</v>
      </c>
      <c r="G47" s="64">
        <v>84.03</v>
      </c>
      <c r="H47" s="64">
        <v>22.63</v>
      </c>
      <c r="I47" s="64">
        <v>0.12</v>
      </c>
      <c r="J47" s="64">
        <v>0.55000000000000004</v>
      </c>
      <c r="K47" s="64">
        <v>329.62</v>
      </c>
      <c r="L47" s="64">
        <v>35.47</v>
      </c>
      <c r="M47" s="64">
        <v>51.45</v>
      </c>
      <c r="N47" s="64">
        <v>696.9</v>
      </c>
      <c r="O47" s="64">
        <v>0</v>
      </c>
      <c r="P47" s="64">
        <v>0.69</v>
      </c>
      <c r="Q47" s="64">
        <v>19.07</v>
      </c>
      <c r="R47" s="198"/>
      <c r="S47" s="198"/>
      <c r="T47" s="198"/>
      <c r="U47" s="198"/>
    </row>
    <row r="48" spans="1:21" s="12" customFormat="1" x14ac:dyDescent="0.25">
      <c r="A48" s="214" t="s">
        <v>383</v>
      </c>
      <c r="B48" s="64">
        <v>16.690000000000001</v>
      </c>
      <c r="C48" s="64">
        <v>32.92</v>
      </c>
      <c r="D48" s="64">
        <v>32.85</v>
      </c>
      <c r="E48" s="64">
        <v>5.1100000000000003</v>
      </c>
      <c r="F48" s="64">
        <v>19.37</v>
      </c>
      <c r="G48" s="64">
        <v>87.22</v>
      </c>
      <c r="H48" s="64">
        <v>22.75</v>
      </c>
      <c r="I48" s="64">
        <v>0.11</v>
      </c>
      <c r="J48" s="64">
        <v>0.57999999999999996</v>
      </c>
      <c r="K48" s="64">
        <v>326.32</v>
      </c>
      <c r="L48" s="64">
        <v>36.19</v>
      </c>
      <c r="M48" s="64">
        <v>49.91</v>
      </c>
      <c r="N48" s="64">
        <v>718.4</v>
      </c>
      <c r="O48" s="64">
        <v>0</v>
      </c>
      <c r="P48" s="64">
        <v>0.71</v>
      </c>
      <c r="Q48" s="64">
        <v>19.2</v>
      </c>
      <c r="R48" s="198"/>
      <c r="S48" s="198"/>
      <c r="T48" s="198"/>
      <c r="U48" s="198"/>
    </row>
    <row r="49" spans="1:21" s="12" customFormat="1" x14ac:dyDescent="0.25">
      <c r="A49" s="214" t="s">
        <v>384</v>
      </c>
      <c r="B49" s="64">
        <v>18.100000000000001</v>
      </c>
      <c r="C49" s="64">
        <v>28.25</v>
      </c>
      <c r="D49" s="64">
        <v>31.39</v>
      </c>
      <c r="E49" s="64">
        <v>4.8899999999999997</v>
      </c>
      <c r="F49" s="64">
        <v>16.64</v>
      </c>
      <c r="G49" s="64">
        <v>87.22</v>
      </c>
      <c r="H49" s="64">
        <v>22.75</v>
      </c>
      <c r="I49" s="64">
        <v>0.11</v>
      </c>
      <c r="J49" s="64">
        <v>0.74</v>
      </c>
      <c r="K49" s="64">
        <v>327.99</v>
      </c>
      <c r="L49" s="64">
        <v>36.28</v>
      </c>
      <c r="M49" s="64">
        <v>49.89</v>
      </c>
      <c r="N49" s="64">
        <v>729.2</v>
      </c>
      <c r="O49" s="64">
        <v>0</v>
      </c>
      <c r="P49" s="64">
        <v>0.77</v>
      </c>
      <c r="Q49" s="64">
        <v>19.48</v>
      </c>
      <c r="R49" s="198"/>
      <c r="S49" s="198"/>
      <c r="T49" s="198"/>
      <c r="U49" s="198"/>
    </row>
    <row r="50" spans="1:21" s="12" customFormat="1" x14ac:dyDescent="0.25">
      <c r="A50" s="214" t="s">
        <v>385</v>
      </c>
      <c r="B50" s="64">
        <v>16.47</v>
      </c>
      <c r="C50" s="64">
        <v>25.33</v>
      </c>
      <c r="D50" s="64">
        <v>28.48</v>
      </c>
      <c r="E50" s="64">
        <v>5.0999999999999996</v>
      </c>
      <c r="F50" s="64">
        <v>9.25</v>
      </c>
      <c r="G50" s="64">
        <v>87.22</v>
      </c>
      <c r="H50" s="64">
        <v>22.75</v>
      </c>
      <c r="I50" s="64">
        <v>0.12</v>
      </c>
      <c r="J50" s="64">
        <v>0.85</v>
      </c>
      <c r="K50" s="64">
        <v>336.78</v>
      </c>
      <c r="L50" s="64">
        <v>36.71</v>
      </c>
      <c r="M50" s="64">
        <v>49.01</v>
      </c>
      <c r="N50" s="64">
        <v>787</v>
      </c>
      <c r="O50" s="64">
        <v>0</v>
      </c>
      <c r="P50" s="64">
        <v>0.73</v>
      </c>
      <c r="Q50" s="64">
        <v>19.079999999999998</v>
      </c>
      <c r="R50" s="198"/>
      <c r="S50" s="198"/>
      <c r="T50" s="198"/>
      <c r="U50" s="198"/>
    </row>
    <row r="51" spans="1:21" s="12" customFormat="1" x14ac:dyDescent="0.25">
      <c r="A51" s="214" t="s">
        <v>386</v>
      </c>
      <c r="B51" s="64">
        <v>16.02</v>
      </c>
      <c r="C51" s="64">
        <v>20.75</v>
      </c>
      <c r="D51" s="64">
        <v>25.59</v>
      </c>
      <c r="E51" s="64">
        <v>5.58</v>
      </c>
      <c r="F51" s="64">
        <v>8.42</v>
      </c>
      <c r="G51" s="64">
        <v>94.48</v>
      </c>
      <c r="H51" s="64">
        <v>25.78</v>
      </c>
      <c r="I51" s="64">
        <v>0.12</v>
      </c>
      <c r="J51" s="64">
        <v>0.85</v>
      </c>
      <c r="K51" s="64">
        <v>331.24</v>
      </c>
      <c r="L51" s="64">
        <v>36.44</v>
      </c>
      <c r="M51" s="64">
        <v>49.2</v>
      </c>
      <c r="N51" s="64">
        <v>700.3</v>
      </c>
      <c r="O51" s="64">
        <v>0</v>
      </c>
      <c r="P51" s="64">
        <v>0.72</v>
      </c>
      <c r="Q51" s="64">
        <v>18.260000000000002</v>
      </c>
      <c r="R51" s="198"/>
      <c r="S51" s="198"/>
      <c r="T51" s="198"/>
      <c r="U51" s="198"/>
    </row>
    <row r="52" spans="1:21" s="12" customFormat="1" x14ac:dyDescent="0.25">
      <c r="A52" s="214" t="s">
        <v>387</v>
      </c>
      <c r="B52" s="64">
        <v>11.56</v>
      </c>
      <c r="C52" s="64">
        <v>28.93</v>
      </c>
      <c r="D52" s="64">
        <v>26.52</v>
      </c>
      <c r="E52" s="64">
        <v>5.45</v>
      </c>
      <c r="F52" s="64">
        <v>18.63</v>
      </c>
      <c r="G52" s="64">
        <v>101.41</v>
      </c>
      <c r="H52" s="64">
        <v>27.2</v>
      </c>
      <c r="I52" s="64">
        <v>0.12</v>
      </c>
      <c r="J52" s="64">
        <v>0.62</v>
      </c>
      <c r="K52" s="64">
        <v>322.81</v>
      </c>
      <c r="L52" s="64">
        <v>35.69</v>
      </c>
      <c r="M52" s="64">
        <v>50.74</v>
      </c>
      <c r="N52" s="64">
        <v>758.9</v>
      </c>
      <c r="O52" s="64">
        <v>0</v>
      </c>
      <c r="P52" s="64">
        <v>0.67</v>
      </c>
      <c r="Q52" s="64">
        <v>16.75</v>
      </c>
      <c r="R52" s="198"/>
      <c r="S52" s="198"/>
      <c r="T52" s="198"/>
      <c r="U52" s="198"/>
    </row>
    <row r="53" spans="1:21" s="12" customFormat="1" x14ac:dyDescent="0.25">
      <c r="A53" s="214" t="s">
        <v>388</v>
      </c>
      <c r="B53" s="64">
        <v>6.8</v>
      </c>
      <c r="C53" s="64">
        <v>40.46</v>
      </c>
      <c r="D53" s="64">
        <v>29.08</v>
      </c>
      <c r="E53" s="64">
        <v>2.48</v>
      </c>
      <c r="F53" s="64">
        <v>15.51</v>
      </c>
      <c r="G53" s="64">
        <v>101.41</v>
      </c>
      <c r="H53" s="64">
        <v>27.2</v>
      </c>
      <c r="I53" s="64">
        <v>0.13</v>
      </c>
      <c r="J53" s="64">
        <v>1.04</v>
      </c>
      <c r="K53" s="64">
        <v>328.01</v>
      </c>
      <c r="L53" s="64">
        <v>36.19</v>
      </c>
      <c r="M53" s="64">
        <v>49.85</v>
      </c>
      <c r="N53" s="64">
        <v>721.9</v>
      </c>
      <c r="O53" s="64">
        <v>0</v>
      </c>
      <c r="P53" s="64">
        <v>0.66</v>
      </c>
      <c r="Q53" s="64">
        <v>13.64</v>
      </c>
      <c r="R53" s="198"/>
      <c r="S53" s="198"/>
      <c r="T53" s="198"/>
      <c r="U53" s="198"/>
    </row>
    <row r="54" spans="1:21" s="12" customFormat="1" x14ac:dyDescent="0.25">
      <c r="A54" s="214" t="s">
        <v>389</v>
      </c>
      <c r="B54" s="64">
        <v>10.89</v>
      </c>
      <c r="C54" s="64">
        <v>37.130000000000003</v>
      </c>
      <c r="D54" s="64">
        <v>30.52</v>
      </c>
      <c r="E54" s="215" t="s">
        <v>40</v>
      </c>
      <c r="F54" s="64">
        <v>18.21</v>
      </c>
      <c r="G54" s="64">
        <v>101.41</v>
      </c>
      <c r="H54" s="64">
        <v>27.2</v>
      </c>
      <c r="I54" s="64">
        <v>0.11</v>
      </c>
      <c r="J54" s="64">
        <v>1.18</v>
      </c>
      <c r="K54" s="64">
        <v>339.81</v>
      </c>
      <c r="L54" s="64">
        <v>35.229999999999997</v>
      </c>
      <c r="M54" s="64">
        <v>51.06</v>
      </c>
      <c r="N54" s="64">
        <v>706.4</v>
      </c>
      <c r="O54" s="64">
        <v>0</v>
      </c>
      <c r="P54" s="64">
        <v>0.68</v>
      </c>
      <c r="Q54" s="64">
        <v>10.029999999999999</v>
      </c>
      <c r="R54" s="198"/>
      <c r="S54" s="198"/>
      <c r="T54" s="198"/>
      <c r="U54" s="198"/>
    </row>
    <row r="55" spans="1:21" s="12" customFormat="1" x14ac:dyDescent="0.25">
      <c r="A55" s="214" t="s">
        <v>390</v>
      </c>
      <c r="B55" s="64">
        <v>29.59</v>
      </c>
      <c r="C55" s="64">
        <v>3.72</v>
      </c>
      <c r="D55" s="64">
        <v>29.79</v>
      </c>
      <c r="E55" s="64">
        <v>38.270000000000003</v>
      </c>
      <c r="F55" s="64">
        <v>19.91</v>
      </c>
      <c r="G55" s="64">
        <v>101.41</v>
      </c>
      <c r="H55" s="64">
        <v>27.2</v>
      </c>
      <c r="I55" s="64">
        <v>0.1</v>
      </c>
      <c r="J55" s="64">
        <v>1.22</v>
      </c>
      <c r="K55" s="64">
        <v>334.18</v>
      </c>
      <c r="L55" s="64">
        <v>35.83</v>
      </c>
      <c r="M55" s="64">
        <v>49.67</v>
      </c>
      <c r="N55" s="64">
        <v>846.9</v>
      </c>
      <c r="O55" s="64">
        <v>0</v>
      </c>
      <c r="P55" s="64">
        <v>0.63</v>
      </c>
      <c r="Q55" s="64">
        <v>9.33</v>
      </c>
      <c r="R55" s="198"/>
      <c r="S55" s="198"/>
      <c r="T55" s="198"/>
      <c r="U55" s="198"/>
    </row>
    <row r="56" spans="1:21" s="12" customFormat="1" x14ac:dyDescent="0.25">
      <c r="A56" s="214" t="s">
        <v>391</v>
      </c>
      <c r="B56" s="215" t="s">
        <v>40</v>
      </c>
      <c r="C56" s="215" t="s">
        <v>40</v>
      </c>
      <c r="D56" s="215" t="s">
        <v>40</v>
      </c>
      <c r="E56" s="64">
        <v>1</v>
      </c>
      <c r="F56" s="64">
        <v>14.73</v>
      </c>
      <c r="G56" s="64">
        <v>51.62</v>
      </c>
      <c r="H56" s="64">
        <v>13.3</v>
      </c>
      <c r="I56" s="64">
        <v>0.11</v>
      </c>
      <c r="J56" s="64">
        <v>1.26</v>
      </c>
      <c r="K56" s="64">
        <v>337.6</v>
      </c>
      <c r="L56" s="64">
        <v>36.29</v>
      </c>
      <c r="M56" s="64">
        <v>47.38</v>
      </c>
      <c r="N56" s="64">
        <v>797.9</v>
      </c>
      <c r="O56" s="64">
        <v>0</v>
      </c>
      <c r="P56" s="64">
        <v>0.61</v>
      </c>
      <c r="Q56" s="64">
        <v>10.83</v>
      </c>
      <c r="R56" s="198"/>
      <c r="S56" s="198"/>
      <c r="T56" s="198"/>
      <c r="U56" s="198"/>
    </row>
    <row r="57" spans="1:21" s="12" customFormat="1" x14ac:dyDescent="0.25">
      <c r="A57" s="214" t="s">
        <v>392</v>
      </c>
      <c r="B57" s="215" t="s">
        <v>40</v>
      </c>
      <c r="C57" s="215" t="s">
        <v>40</v>
      </c>
      <c r="D57" s="215" t="s">
        <v>40</v>
      </c>
      <c r="E57" s="64">
        <v>0.84</v>
      </c>
      <c r="F57" s="64">
        <v>15.64</v>
      </c>
      <c r="G57" s="215" t="s">
        <v>40</v>
      </c>
      <c r="H57" s="215" t="s">
        <v>40</v>
      </c>
      <c r="I57" s="64">
        <v>0.11</v>
      </c>
      <c r="J57" s="64">
        <v>1.4</v>
      </c>
      <c r="K57" s="64">
        <v>339.41</v>
      </c>
      <c r="L57" s="64">
        <v>34.880000000000003</v>
      </c>
      <c r="M57" s="64">
        <v>49.48</v>
      </c>
      <c r="N57" s="64">
        <v>391.2</v>
      </c>
      <c r="O57" s="64">
        <v>0</v>
      </c>
      <c r="P57" s="64">
        <v>0.64</v>
      </c>
      <c r="Q57" s="64">
        <v>11.79</v>
      </c>
      <c r="R57" s="198"/>
      <c r="S57" s="198"/>
      <c r="T57" s="198"/>
      <c r="U57" s="198"/>
    </row>
    <row r="58" spans="1:21" s="12" customFormat="1" x14ac:dyDescent="0.25">
      <c r="A58" s="214" t="s">
        <v>393</v>
      </c>
      <c r="B58" s="215" t="s">
        <v>40</v>
      </c>
      <c r="C58" s="215" t="s">
        <v>40</v>
      </c>
      <c r="D58" s="215" t="s">
        <v>40</v>
      </c>
      <c r="E58" s="64">
        <v>1.66</v>
      </c>
      <c r="F58" s="64">
        <v>18.309999999999999</v>
      </c>
      <c r="G58" s="215" t="s">
        <v>40</v>
      </c>
      <c r="H58" s="215" t="s">
        <v>40</v>
      </c>
      <c r="I58" s="64">
        <v>0.11</v>
      </c>
      <c r="J58" s="64">
        <v>1.1499999999999999</v>
      </c>
      <c r="K58" s="64">
        <v>336.75</v>
      </c>
      <c r="L58" s="64">
        <v>34.090000000000003</v>
      </c>
      <c r="M58" s="64">
        <v>52.66</v>
      </c>
      <c r="N58" s="64">
        <v>727.2</v>
      </c>
      <c r="O58" s="64">
        <v>0</v>
      </c>
      <c r="P58" s="64">
        <v>0.65</v>
      </c>
      <c r="Q58" s="64">
        <v>14.53</v>
      </c>
      <c r="R58" s="198"/>
      <c r="S58" s="198"/>
      <c r="T58" s="198"/>
      <c r="U58" s="198"/>
    </row>
    <row r="59" spans="1:21" s="12" customFormat="1" x14ac:dyDescent="0.25">
      <c r="A59" s="214" t="s">
        <v>394</v>
      </c>
      <c r="B59" s="215" t="s">
        <v>40</v>
      </c>
      <c r="C59" s="215" t="s">
        <v>40</v>
      </c>
      <c r="D59" s="215" t="s">
        <v>40</v>
      </c>
      <c r="E59" s="64">
        <v>1.22</v>
      </c>
      <c r="F59" s="64">
        <v>17.39</v>
      </c>
      <c r="G59" s="215" t="s">
        <v>40</v>
      </c>
      <c r="H59" s="215" t="s">
        <v>40</v>
      </c>
      <c r="I59" s="64">
        <v>0.11</v>
      </c>
      <c r="J59" s="64">
        <v>1.31</v>
      </c>
      <c r="K59" s="64">
        <v>330.96</v>
      </c>
      <c r="L59" s="64">
        <v>34.020000000000003</v>
      </c>
      <c r="M59" s="64">
        <v>51.11</v>
      </c>
      <c r="N59" s="64">
        <v>483.6</v>
      </c>
      <c r="O59" s="64">
        <v>0</v>
      </c>
      <c r="P59" s="64">
        <v>0.61</v>
      </c>
      <c r="Q59" s="64">
        <v>14.74</v>
      </c>
      <c r="R59" s="198"/>
      <c r="S59" s="198"/>
      <c r="T59" s="198"/>
      <c r="U59" s="198"/>
    </row>
    <row r="60" spans="1:21" s="12" customFormat="1" x14ac:dyDescent="0.25">
      <c r="A60" s="214" t="s">
        <v>395</v>
      </c>
      <c r="B60" s="64">
        <v>6.04</v>
      </c>
      <c r="C60" s="64">
        <v>25.3</v>
      </c>
      <c r="D60" s="64">
        <v>31.33</v>
      </c>
      <c r="E60" s="64">
        <v>1.5</v>
      </c>
      <c r="F60" s="64">
        <v>28.86</v>
      </c>
      <c r="G60" s="64">
        <v>93.09</v>
      </c>
      <c r="H60" s="64">
        <v>1.61</v>
      </c>
      <c r="I60" s="64">
        <v>0.11</v>
      </c>
      <c r="J60" s="64">
        <v>0.21</v>
      </c>
      <c r="K60" s="64">
        <v>330.42</v>
      </c>
      <c r="L60" s="64">
        <v>33.32</v>
      </c>
      <c r="M60" s="64">
        <v>53.04</v>
      </c>
      <c r="N60" s="64">
        <v>517.4</v>
      </c>
      <c r="O60" s="64">
        <v>0</v>
      </c>
      <c r="P60" s="64">
        <v>0.48</v>
      </c>
      <c r="Q60" s="64">
        <v>14.07</v>
      </c>
      <c r="R60" s="198"/>
      <c r="S60" s="198"/>
      <c r="T60" s="198"/>
      <c r="U60" s="198"/>
    </row>
    <row r="61" spans="1:21" s="12" customFormat="1" x14ac:dyDescent="0.25">
      <c r="A61" s="214" t="s">
        <v>396</v>
      </c>
      <c r="B61" s="64">
        <v>3.55</v>
      </c>
      <c r="C61" s="64">
        <v>23.17</v>
      </c>
      <c r="D61" s="64">
        <v>26.72</v>
      </c>
      <c r="E61" s="64">
        <v>1.39</v>
      </c>
      <c r="F61" s="64">
        <v>16.95</v>
      </c>
      <c r="G61" s="64">
        <v>93.09</v>
      </c>
      <c r="H61" s="64">
        <v>1.61</v>
      </c>
      <c r="I61" s="64">
        <v>0.12</v>
      </c>
      <c r="J61" s="64">
        <v>0.89</v>
      </c>
      <c r="K61" s="64">
        <v>153.65</v>
      </c>
      <c r="L61" s="64">
        <v>30.36</v>
      </c>
      <c r="M61" s="64">
        <v>64.27</v>
      </c>
      <c r="N61" s="64">
        <v>614</v>
      </c>
      <c r="O61" s="64">
        <v>0</v>
      </c>
      <c r="P61" s="64">
        <v>0.54</v>
      </c>
      <c r="Q61" s="64">
        <v>14.53</v>
      </c>
      <c r="R61" s="198"/>
      <c r="S61" s="198"/>
      <c r="T61" s="198"/>
      <c r="U61" s="198"/>
    </row>
    <row r="62" spans="1:21" s="12" customFormat="1" x14ac:dyDescent="0.25">
      <c r="A62" s="214" t="s">
        <v>397</v>
      </c>
      <c r="B62" s="64">
        <v>3.61</v>
      </c>
      <c r="C62" s="64">
        <v>20.21</v>
      </c>
      <c r="D62" s="64">
        <v>23.83</v>
      </c>
      <c r="E62" s="64">
        <v>2.2999999999999998</v>
      </c>
      <c r="F62" s="64">
        <v>14.64</v>
      </c>
      <c r="G62" s="64">
        <v>93.09</v>
      </c>
      <c r="H62" s="64">
        <v>1.61</v>
      </c>
      <c r="I62" s="64">
        <v>0.11</v>
      </c>
      <c r="J62" s="64">
        <v>0.67</v>
      </c>
      <c r="K62" s="64">
        <v>139.84</v>
      </c>
      <c r="L62" s="64">
        <v>30.38</v>
      </c>
      <c r="M62" s="64">
        <v>64.08</v>
      </c>
      <c r="N62" s="64">
        <v>522.79999999999995</v>
      </c>
      <c r="O62" s="64">
        <v>0</v>
      </c>
      <c r="P62" s="64">
        <v>0.6</v>
      </c>
      <c r="Q62" s="64">
        <v>15.33</v>
      </c>
      <c r="R62" s="198"/>
      <c r="S62" s="198"/>
      <c r="T62" s="198"/>
      <c r="U62" s="198"/>
    </row>
    <row r="63" spans="1:21" s="12" customFormat="1" x14ac:dyDescent="0.25">
      <c r="A63" s="214" t="s">
        <v>398</v>
      </c>
      <c r="B63" s="64">
        <v>6.94</v>
      </c>
      <c r="C63" s="64">
        <v>26.46</v>
      </c>
      <c r="D63" s="64">
        <v>33.4</v>
      </c>
      <c r="E63" s="64">
        <v>1.94</v>
      </c>
      <c r="F63" s="64">
        <v>16.13</v>
      </c>
      <c r="G63" s="64">
        <v>93.09</v>
      </c>
      <c r="H63" s="64">
        <v>1.61</v>
      </c>
      <c r="I63" s="64">
        <v>0.11</v>
      </c>
      <c r="J63" s="64">
        <v>0.28000000000000003</v>
      </c>
      <c r="K63" s="64">
        <v>351.08</v>
      </c>
      <c r="L63" s="64">
        <v>30.89</v>
      </c>
      <c r="M63" s="64">
        <v>63.56</v>
      </c>
      <c r="N63" s="64">
        <v>251.5</v>
      </c>
      <c r="O63" s="64">
        <v>0</v>
      </c>
      <c r="P63" s="64">
        <v>0.69</v>
      </c>
      <c r="Q63" s="64">
        <v>14.9</v>
      </c>
      <c r="R63" s="198"/>
      <c r="S63" s="198"/>
      <c r="T63" s="198"/>
      <c r="U63" s="198"/>
    </row>
    <row r="64" spans="1:21" s="12" customFormat="1" x14ac:dyDescent="0.25">
      <c r="A64" s="214" t="s">
        <v>399</v>
      </c>
      <c r="B64" s="64">
        <v>6.49</v>
      </c>
      <c r="C64" s="64">
        <v>16.920000000000002</v>
      </c>
      <c r="D64" s="64">
        <v>23.41</v>
      </c>
      <c r="E64" s="64">
        <v>1.36</v>
      </c>
      <c r="F64" s="64">
        <v>9.27</v>
      </c>
      <c r="G64" s="64">
        <v>93.26</v>
      </c>
      <c r="H64" s="64">
        <v>11.81</v>
      </c>
      <c r="I64" s="64">
        <v>0.11</v>
      </c>
      <c r="J64" s="64">
        <v>0.96</v>
      </c>
      <c r="K64" s="64">
        <v>333.32</v>
      </c>
      <c r="L64" s="64">
        <v>31.91</v>
      </c>
      <c r="M64" s="64">
        <v>56.34</v>
      </c>
      <c r="N64" s="64">
        <v>330.3</v>
      </c>
      <c r="O64" s="64">
        <v>0</v>
      </c>
      <c r="P64" s="64">
        <v>0.63</v>
      </c>
      <c r="Q64" s="64">
        <v>14.92</v>
      </c>
      <c r="R64" s="198"/>
      <c r="S64" s="198"/>
      <c r="T64" s="198"/>
      <c r="U64" s="198"/>
    </row>
    <row r="65" spans="1:21" s="12" customFormat="1" x14ac:dyDescent="0.25">
      <c r="A65" s="214" t="s">
        <v>400</v>
      </c>
      <c r="B65" s="64">
        <v>6.77</v>
      </c>
      <c r="C65" s="64">
        <v>21.69</v>
      </c>
      <c r="D65" s="64">
        <v>28.46</v>
      </c>
      <c r="E65" s="64">
        <v>1.51</v>
      </c>
      <c r="F65" s="64">
        <v>10.68</v>
      </c>
      <c r="G65" s="64">
        <v>93.41</v>
      </c>
      <c r="H65" s="64">
        <v>15.84</v>
      </c>
      <c r="I65" s="64">
        <v>0.11</v>
      </c>
      <c r="J65" s="64">
        <v>1</v>
      </c>
      <c r="K65" s="64">
        <v>331.43</v>
      </c>
      <c r="L65" s="64">
        <v>32.83</v>
      </c>
      <c r="M65" s="64">
        <v>51.48</v>
      </c>
      <c r="N65" s="64">
        <v>375.1</v>
      </c>
      <c r="O65" s="64">
        <v>0</v>
      </c>
      <c r="P65" s="64">
        <v>0.62</v>
      </c>
      <c r="Q65" s="64">
        <v>14.57</v>
      </c>
      <c r="R65" s="198"/>
      <c r="S65" s="198"/>
      <c r="T65" s="198"/>
      <c r="U65" s="198"/>
    </row>
    <row r="66" spans="1:21" s="12" customFormat="1" x14ac:dyDescent="0.25">
      <c r="A66" s="214" t="s">
        <v>401</v>
      </c>
      <c r="B66" s="64">
        <v>6.26</v>
      </c>
      <c r="C66" s="64">
        <v>18.809999999999999</v>
      </c>
      <c r="D66" s="64">
        <v>25.06</v>
      </c>
      <c r="E66" s="64">
        <v>2.14</v>
      </c>
      <c r="F66" s="64">
        <v>8.5500000000000007</v>
      </c>
      <c r="G66" s="64">
        <v>93.41</v>
      </c>
      <c r="H66" s="64">
        <v>15.84</v>
      </c>
      <c r="I66" s="64">
        <v>0.12</v>
      </c>
      <c r="J66" s="64">
        <v>0.25</v>
      </c>
      <c r="K66" s="64">
        <v>305.11</v>
      </c>
      <c r="L66" s="64">
        <v>32.74</v>
      </c>
      <c r="M66" s="64">
        <v>54.47</v>
      </c>
      <c r="N66" s="64">
        <v>337.7</v>
      </c>
      <c r="O66" s="64">
        <v>0</v>
      </c>
      <c r="P66" s="64">
        <v>0.6</v>
      </c>
      <c r="Q66" s="64">
        <v>14.43</v>
      </c>
      <c r="R66" s="198"/>
      <c r="S66" s="198"/>
      <c r="T66" s="198"/>
      <c r="U66" s="198"/>
    </row>
    <row r="67" spans="1:21" s="12" customFormat="1" x14ac:dyDescent="0.25">
      <c r="A67" s="214" t="s">
        <v>402</v>
      </c>
      <c r="B67" s="64">
        <v>5.52</v>
      </c>
      <c r="C67" s="64">
        <v>17.7</v>
      </c>
      <c r="D67" s="64">
        <v>23.21</v>
      </c>
      <c r="E67" s="64">
        <v>1.65</v>
      </c>
      <c r="F67" s="64">
        <v>16.13</v>
      </c>
      <c r="G67" s="64">
        <v>93.41</v>
      </c>
      <c r="H67" s="64">
        <v>15.84</v>
      </c>
      <c r="I67" s="64">
        <v>0.12</v>
      </c>
      <c r="J67" s="64">
        <v>0.23</v>
      </c>
      <c r="K67" s="64">
        <v>154.24</v>
      </c>
      <c r="L67" s="64">
        <v>30.9</v>
      </c>
      <c r="M67" s="64">
        <v>65.180000000000007</v>
      </c>
      <c r="N67" s="64">
        <v>307.60000000000002</v>
      </c>
      <c r="O67" s="64">
        <v>0</v>
      </c>
      <c r="P67" s="64">
        <v>0.56000000000000005</v>
      </c>
      <c r="Q67" s="64">
        <v>14.27</v>
      </c>
      <c r="R67" s="198"/>
      <c r="S67" s="198"/>
      <c r="T67" s="198"/>
      <c r="U67" s="198"/>
    </row>
    <row r="68" spans="1:21" s="12" customFormat="1" x14ac:dyDescent="0.25">
      <c r="A68" s="214" t="s">
        <v>403</v>
      </c>
      <c r="B68" s="64">
        <v>7.88</v>
      </c>
      <c r="C68" s="64">
        <v>20.02</v>
      </c>
      <c r="D68" s="64">
        <v>27.91</v>
      </c>
      <c r="E68" s="64">
        <v>1.94</v>
      </c>
      <c r="F68" s="64">
        <v>13.66</v>
      </c>
      <c r="G68" s="64">
        <v>88.15</v>
      </c>
      <c r="H68" s="64">
        <v>13.26</v>
      </c>
      <c r="I68" s="64">
        <v>0.12</v>
      </c>
      <c r="J68" s="64">
        <v>0.92</v>
      </c>
      <c r="K68" s="64">
        <v>337.82</v>
      </c>
      <c r="L68" s="64">
        <v>31.94</v>
      </c>
      <c r="M68" s="64">
        <v>54.75</v>
      </c>
      <c r="N68" s="64">
        <v>252</v>
      </c>
      <c r="O68" s="64">
        <v>0</v>
      </c>
      <c r="P68" s="64">
        <v>0.59</v>
      </c>
      <c r="Q68" s="64">
        <v>13.42</v>
      </c>
      <c r="R68" s="198"/>
      <c r="S68" s="198"/>
      <c r="T68" s="198"/>
      <c r="U68" s="198"/>
    </row>
    <row r="69" spans="1:21" s="12" customFormat="1" x14ac:dyDescent="0.25">
      <c r="A69" s="214" t="s">
        <v>404</v>
      </c>
      <c r="B69" s="64">
        <v>7.54</v>
      </c>
      <c r="C69" s="64">
        <v>19.690000000000001</v>
      </c>
      <c r="D69" s="64">
        <v>27.23</v>
      </c>
      <c r="E69" s="64">
        <v>2.23</v>
      </c>
      <c r="F69" s="64">
        <v>13.57</v>
      </c>
      <c r="G69" s="64">
        <v>83.56</v>
      </c>
      <c r="H69" s="64">
        <v>12.24</v>
      </c>
      <c r="I69" s="64">
        <v>0.12</v>
      </c>
      <c r="J69" s="64">
        <v>1.47</v>
      </c>
      <c r="K69" s="64">
        <v>340.59</v>
      </c>
      <c r="L69" s="64">
        <v>32.21</v>
      </c>
      <c r="M69" s="64">
        <v>52.82</v>
      </c>
      <c r="N69" s="64">
        <v>196.1</v>
      </c>
      <c r="O69" s="64">
        <v>0</v>
      </c>
      <c r="P69" s="64">
        <v>0.59</v>
      </c>
      <c r="Q69" s="64">
        <v>14.33</v>
      </c>
      <c r="R69" s="198"/>
      <c r="S69" s="198"/>
      <c r="T69" s="198"/>
      <c r="U69" s="198"/>
    </row>
    <row r="70" spans="1:21" s="12" customFormat="1" x14ac:dyDescent="0.25">
      <c r="A70" s="214" t="s">
        <v>405</v>
      </c>
      <c r="B70" s="64">
        <v>8.0500000000000007</v>
      </c>
      <c r="C70" s="64">
        <v>19.47</v>
      </c>
      <c r="D70" s="64">
        <v>27.52</v>
      </c>
      <c r="E70" s="64">
        <v>2.06</v>
      </c>
      <c r="F70" s="64">
        <v>13.55</v>
      </c>
      <c r="G70" s="64">
        <v>83.56</v>
      </c>
      <c r="H70" s="64">
        <v>12.24</v>
      </c>
      <c r="I70" s="64">
        <v>0.11</v>
      </c>
      <c r="J70" s="64">
        <v>1.43</v>
      </c>
      <c r="K70" s="64">
        <v>341.74</v>
      </c>
      <c r="L70" s="64">
        <v>31.6</v>
      </c>
      <c r="M70" s="64">
        <v>54.53</v>
      </c>
      <c r="N70" s="64">
        <v>148</v>
      </c>
      <c r="O70" s="64">
        <v>0</v>
      </c>
      <c r="P70" s="64">
        <v>0.59</v>
      </c>
      <c r="Q70" s="64">
        <v>15.55</v>
      </c>
      <c r="R70" s="198"/>
      <c r="S70" s="198"/>
      <c r="T70" s="198"/>
      <c r="U70" s="198"/>
    </row>
    <row r="71" spans="1:21" s="12" customFormat="1" x14ac:dyDescent="0.25">
      <c r="A71" s="214" t="s">
        <v>406</v>
      </c>
      <c r="B71" s="64">
        <v>9.0299999999999994</v>
      </c>
      <c r="C71" s="64">
        <v>21.48</v>
      </c>
      <c r="D71" s="64">
        <v>30.51</v>
      </c>
      <c r="E71" s="64">
        <v>2.4300000000000002</v>
      </c>
      <c r="F71" s="64">
        <v>12.89</v>
      </c>
      <c r="G71" s="64">
        <v>83.56</v>
      </c>
      <c r="H71" s="64">
        <v>12.24</v>
      </c>
      <c r="I71" s="64">
        <v>0.12</v>
      </c>
      <c r="J71" s="64">
        <v>1.1100000000000001</v>
      </c>
      <c r="K71" s="64">
        <v>330.38</v>
      </c>
      <c r="L71" s="64">
        <v>31.3</v>
      </c>
      <c r="M71" s="64">
        <v>55.69</v>
      </c>
      <c r="N71" s="64">
        <v>119.2</v>
      </c>
      <c r="O71" s="64">
        <v>0</v>
      </c>
      <c r="P71" s="64">
        <v>0.6</v>
      </c>
      <c r="Q71" s="64">
        <v>15.74</v>
      </c>
      <c r="R71" s="198"/>
      <c r="S71" s="198"/>
      <c r="T71" s="198"/>
      <c r="U71" s="198"/>
    </row>
    <row r="72" spans="1:21" s="12" customFormat="1" x14ac:dyDescent="0.25">
      <c r="A72" s="214" t="s">
        <v>407</v>
      </c>
      <c r="B72" s="64">
        <v>12.07</v>
      </c>
      <c r="C72" s="64">
        <v>22.78</v>
      </c>
      <c r="D72" s="64">
        <v>34.85</v>
      </c>
      <c r="E72" s="64">
        <v>1.49</v>
      </c>
      <c r="F72" s="64">
        <v>23.59</v>
      </c>
      <c r="G72" s="64">
        <v>79.89</v>
      </c>
      <c r="H72" s="64">
        <v>15.29</v>
      </c>
      <c r="I72" s="64">
        <v>0.12</v>
      </c>
      <c r="J72" s="64">
        <v>0.99</v>
      </c>
      <c r="K72" s="64">
        <v>344.57</v>
      </c>
      <c r="L72" s="64">
        <v>31.1</v>
      </c>
      <c r="M72" s="64">
        <v>57.07</v>
      </c>
      <c r="N72" s="64">
        <v>108.9</v>
      </c>
      <c r="O72" s="64">
        <v>0</v>
      </c>
      <c r="P72" s="64">
        <v>0.6</v>
      </c>
      <c r="Q72" s="64">
        <v>15.68</v>
      </c>
      <c r="R72" s="198"/>
      <c r="S72" s="198"/>
      <c r="T72" s="198"/>
      <c r="U72" s="198"/>
    </row>
    <row r="73" spans="1:21" s="12" customFormat="1" x14ac:dyDescent="0.25">
      <c r="A73" s="214" t="s">
        <v>408</v>
      </c>
      <c r="B73" s="64">
        <v>10.65</v>
      </c>
      <c r="C73" s="64">
        <v>20.62</v>
      </c>
      <c r="D73" s="64">
        <v>31.28</v>
      </c>
      <c r="E73" s="64">
        <v>2.96</v>
      </c>
      <c r="F73" s="64">
        <v>15.11</v>
      </c>
      <c r="G73" s="64">
        <v>76.680000000000007</v>
      </c>
      <c r="H73" s="64">
        <v>16.52</v>
      </c>
      <c r="I73" s="64">
        <v>0.12</v>
      </c>
      <c r="J73" s="64">
        <v>0.97</v>
      </c>
      <c r="K73" s="64">
        <v>335.79</v>
      </c>
      <c r="L73" s="64">
        <v>30.92</v>
      </c>
      <c r="M73" s="64">
        <v>58.35</v>
      </c>
      <c r="N73" s="64">
        <v>97.2</v>
      </c>
      <c r="O73" s="64">
        <v>0</v>
      </c>
      <c r="P73" s="64">
        <v>0.67</v>
      </c>
      <c r="Q73" s="64">
        <v>15.67</v>
      </c>
      <c r="R73" s="198"/>
      <c r="S73" s="198"/>
      <c r="T73" s="198"/>
      <c r="U73" s="198"/>
    </row>
    <row r="74" spans="1:21" s="12" customFormat="1" x14ac:dyDescent="0.25">
      <c r="A74" s="214" t="s">
        <v>409</v>
      </c>
      <c r="B74" s="64">
        <v>14.26</v>
      </c>
      <c r="C74" s="64">
        <v>26.23</v>
      </c>
      <c r="D74" s="64">
        <v>40.49</v>
      </c>
      <c r="E74" s="64">
        <v>2.74</v>
      </c>
      <c r="F74" s="64">
        <v>14.7</v>
      </c>
      <c r="G74" s="64">
        <v>76.680000000000007</v>
      </c>
      <c r="H74" s="64">
        <v>16.52</v>
      </c>
      <c r="I74" s="64">
        <v>0.11</v>
      </c>
      <c r="J74" s="64">
        <v>0.7</v>
      </c>
      <c r="K74" s="64">
        <v>331.26</v>
      </c>
      <c r="L74" s="64">
        <v>30.7</v>
      </c>
      <c r="M74" s="64">
        <v>58.8</v>
      </c>
      <c r="N74" s="64">
        <v>92.5</v>
      </c>
      <c r="O74" s="64">
        <v>0</v>
      </c>
      <c r="P74" s="64">
        <v>0.77</v>
      </c>
      <c r="Q74" s="64">
        <v>14.83</v>
      </c>
      <c r="R74" s="198"/>
      <c r="S74" s="198"/>
      <c r="T74" s="198"/>
      <c r="U74" s="198"/>
    </row>
    <row r="75" spans="1:21" s="12" customFormat="1" x14ac:dyDescent="0.25">
      <c r="A75" s="214" t="s">
        <v>410</v>
      </c>
      <c r="B75" s="64">
        <v>13.62</v>
      </c>
      <c r="C75" s="64">
        <v>26.77</v>
      </c>
      <c r="D75" s="64">
        <v>40.39</v>
      </c>
      <c r="E75" s="64">
        <v>2.59</v>
      </c>
      <c r="F75" s="64">
        <v>20.9</v>
      </c>
      <c r="G75" s="64">
        <v>76.680000000000007</v>
      </c>
      <c r="H75" s="64">
        <v>16.52</v>
      </c>
      <c r="I75" s="64">
        <v>0.11</v>
      </c>
      <c r="J75" s="64">
        <v>0.41</v>
      </c>
      <c r="K75" s="64">
        <v>332.46</v>
      </c>
      <c r="L75" s="64">
        <v>30.72</v>
      </c>
      <c r="M75" s="64">
        <v>59.29</v>
      </c>
      <c r="N75" s="64">
        <v>78.099999999999994</v>
      </c>
      <c r="O75" s="64">
        <v>0</v>
      </c>
      <c r="P75" s="64">
        <v>0.75</v>
      </c>
      <c r="Q75" s="64">
        <v>13.27</v>
      </c>
      <c r="R75" s="198"/>
      <c r="S75" s="198"/>
      <c r="T75" s="198"/>
      <c r="U75" s="198"/>
    </row>
    <row r="76" spans="1:21" s="12" customFormat="1" x14ac:dyDescent="0.25">
      <c r="A76" s="214" t="s">
        <v>411</v>
      </c>
      <c r="B76" s="64">
        <v>14.1</v>
      </c>
      <c r="C76" s="64">
        <v>22.54</v>
      </c>
      <c r="D76" s="64">
        <v>36.64</v>
      </c>
      <c r="E76" s="64">
        <v>2.52</v>
      </c>
      <c r="F76" s="64">
        <v>18.989999999999998</v>
      </c>
      <c r="G76" s="64">
        <v>78.89</v>
      </c>
      <c r="H76" s="64">
        <v>16.809999999999999</v>
      </c>
      <c r="I76" s="64">
        <v>0.11</v>
      </c>
      <c r="J76" s="64">
        <v>0.2</v>
      </c>
      <c r="K76" s="64">
        <v>173.06</v>
      </c>
      <c r="L76" s="64">
        <v>30.02</v>
      </c>
      <c r="M76" s="64">
        <v>67.38</v>
      </c>
      <c r="N76" s="64">
        <v>69.400000000000006</v>
      </c>
      <c r="O76" s="64">
        <v>0</v>
      </c>
      <c r="P76" s="64">
        <v>0.68</v>
      </c>
      <c r="Q76" s="64">
        <v>14.01</v>
      </c>
      <c r="R76" s="198"/>
      <c r="S76" s="198"/>
      <c r="T76" s="198"/>
      <c r="U76" s="198"/>
    </row>
    <row r="77" spans="1:21" s="12" customFormat="1" x14ac:dyDescent="0.25">
      <c r="A77" s="214" t="s">
        <v>412</v>
      </c>
      <c r="B77" s="64">
        <v>6.37</v>
      </c>
      <c r="C77" s="64">
        <v>17.59</v>
      </c>
      <c r="D77" s="64">
        <v>23.96</v>
      </c>
      <c r="E77" s="64">
        <v>2.38</v>
      </c>
      <c r="F77" s="64">
        <v>5.46</v>
      </c>
      <c r="G77" s="64">
        <v>80.83</v>
      </c>
      <c r="H77" s="64">
        <v>16.93</v>
      </c>
      <c r="I77" s="64">
        <v>0.11</v>
      </c>
      <c r="J77" s="64">
        <v>1.63</v>
      </c>
      <c r="K77" s="64">
        <v>143.63999999999999</v>
      </c>
      <c r="L77" s="64">
        <v>28.49</v>
      </c>
      <c r="M77" s="64">
        <v>81.069999999999993</v>
      </c>
      <c r="N77" s="64">
        <v>45.8</v>
      </c>
      <c r="O77" s="64">
        <v>0</v>
      </c>
      <c r="P77" s="64">
        <v>0.6</v>
      </c>
      <c r="Q77" s="64">
        <v>15.14</v>
      </c>
      <c r="R77" s="198"/>
      <c r="S77" s="198"/>
      <c r="T77" s="198"/>
      <c r="U77" s="198"/>
    </row>
    <row r="78" spans="1:21" s="12" customFormat="1" x14ac:dyDescent="0.25">
      <c r="A78" s="214" t="s">
        <v>413</v>
      </c>
      <c r="B78" s="64">
        <v>6.47</v>
      </c>
      <c r="C78" s="64">
        <v>15.64</v>
      </c>
      <c r="D78" s="64">
        <v>22.11</v>
      </c>
      <c r="E78" s="64">
        <v>1.75</v>
      </c>
      <c r="F78" s="215" t="s">
        <v>40</v>
      </c>
      <c r="G78" s="64">
        <v>80.83</v>
      </c>
      <c r="H78" s="64">
        <v>16.93</v>
      </c>
      <c r="I78" s="64">
        <v>0.12</v>
      </c>
      <c r="J78" s="64">
        <v>1.48</v>
      </c>
      <c r="K78" s="64">
        <v>146.63</v>
      </c>
      <c r="L78" s="64">
        <v>27.92</v>
      </c>
      <c r="M78" s="64">
        <v>84.8</v>
      </c>
      <c r="N78" s="64">
        <v>25.5</v>
      </c>
      <c r="O78" s="64">
        <v>0</v>
      </c>
      <c r="P78" s="64">
        <v>0.57999999999999996</v>
      </c>
      <c r="Q78" s="64">
        <v>15.33</v>
      </c>
      <c r="R78" s="198"/>
      <c r="S78" s="198"/>
      <c r="T78" s="198"/>
      <c r="U78" s="198"/>
    </row>
    <row r="79" spans="1:21" s="12" customFormat="1" x14ac:dyDescent="0.25">
      <c r="A79" s="214" t="s">
        <v>414</v>
      </c>
      <c r="B79" s="64">
        <v>6.07</v>
      </c>
      <c r="C79" s="64">
        <v>18.100000000000001</v>
      </c>
      <c r="D79" s="64">
        <v>24.17</v>
      </c>
      <c r="E79" s="64">
        <v>2.56</v>
      </c>
      <c r="F79" s="64">
        <v>12.19</v>
      </c>
      <c r="G79" s="64">
        <v>80.83</v>
      </c>
      <c r="H79" s="64">
        <v>16.93</v>
      </c>
      <c r="I79" s="64">
        <v>0.11</v>
      </c>
      <c r="J79" s="64">
        <v>0.14000000000000001</v>
      </c>
      <c r="K79" s="64">
        <v>9.76</v>
      </c>
      <c r="L79" s="64">
        <v>27.84</v>
      </c>
      <c r="M79" s="64">
        <v>81.739999999999995</v>
      </c>
      <c r="N79" s="64">
        <v>14.5</v>
      </c>
      <c r="O79" s="64">
        <v>0</v>
      </c>
      <c r="P79" s="64">
        <v>0.56999999999999995</v>
      </c>
      <c r="Q79" s="64">
        <v>15.25</v>
      </c>
      <c r="R79" s="198"/>
      <c r="S79" s="198"/>
      <c r="T79" s="198"/>
      <c r="U79" s="198"/>
    </row>
    <row r="80" spans="1:21" s="12" customFormat="1" x14ac:dyDescent="0.25">
      <c r="A80" s="214" t="s">
        <v>415</v>
      </c>
      <c r="B80" s="64">
        <v>7.27</v>
      </c>
      <c r="C80" s="64">
        <v>17.21</v>
      </c>
      <c r="D80" s="64">
        <v>24.48</v>
      </c>
      <c r="E80" s="64">
        <v>1.62</v>
      </c>
      <c r="F80" s="64">
        <v>5.23</v>
      </c>
      <c r="G80" s="64">
        <v>77.47</v>
      </c>
      <c r="H80" s="64">
        <v>16.18</v>
      </c>
      <c r="I80" s="64">
        <v>0.12</v>
      </c>
      <c r="J80" s="64">
        <v>0.42</v>
      </c>
      <c r="K80" s="64">
        <v>81.53</v>
      </c>
      <c r="L80" s="64">
        <v>26.69</v>
      </c>
      <c r="M80" s="64">
        <v>65.16</v>
      </c>
      <c r="N80" s="64">
        <v>10.9</v>
      </c>
      <c r="O80" s="64">
        <v>0</v>
      </c>
      <c r="P80" s="64">
        <v>0.63</v>
      </c>
      <c r="Q80" s="64">
        <v>15.66</v>
      </c>
      <c r="R80" s="198"/>
      <c r="S80" s="198"/>
      <c r="T80" s="198"/>
      <c r="U80" s="198"/>
    </row>
    <row r="81" spans="1:26" s="12" customFormat="1" x14ac:dyDescent="0.25">
      <c r="A81" s="214" t="s">
        <v>416</v>
      </c>
      <c r="B81" s="64">
        <v>6.36</v>
      </c>
      <c r="C81" s="64">
        <v>15.53</v>
      </c>
      <c r="D81" s="64">
        <v>21.89</v>
      </c>
      <c r="E81" s="64">
        <v>1.56</v>
      </c>
      <c r="F81" s="64">
        <v>2.67</v>
      </c>
      <c r="G81" s="64">
        <v>74.53</v>
      </c>
      <c r="H81" s="64">
        <v>15.59</v>
      </c>
      <c r="I81" s="64">
        <v>0.13</v>
      </c>
      <c r="J81" s="64">
        <v>2.38</v>
      </c>
      <c r="K81" s="64">
        <v>107.99</v>
      </c>
      <c r="L81" s="64">
        <v>24.28</v>
      </c>
      <c r="M81" s="64">
        <v>80.91</v>
      </c>
      <c r="N81" s="64">
        <v>9.6</v>
      </c>
      <c r="O81" s="64">
        <v>0</v>
      </c>
      <c r="P81" s="64">
        <v>0.61</v>
      </c>
      <c r="Q81" s="64">
        <v>17.78</v>
      </c>
      <c r="R81" s="198"/>
      <c r="S81" s="198"/>
      <c r="T81" s="198"/>
      <c r="U81" s="198"/>
    </row>
    <row r="82" spans="1:26" s="12" customFormat="1" x14ac:dyDescent="0.25">
      <c r="A82" s="214" t="s">
        <v>417</v>
      </c>
      <c r="B82" s="64">
        <v>6.52</v>
      </c>
      <c r="C82" s="64">
        <v>16.72</v>
      </c>
      <c r="D82" s="64">
        <v>23.24</v>
      </c>
      <c r="E82" s="64">
        <v>2.73</v>
      </c>
      <c r="F82" s="64">
        <v>4.58</v>
      </c>
      <c r="G82" s="64">
        <v>74.53</v>
      </c>
      <c r="H82" s="64">
        <v>15.59</v>
      </c>
      <c r="I82" s="64">
        <v>0.12</v>
      </c>
      <c r="J82" s="64">
        <v>0.9</v>
      </c>
      <c r="K82" s="64">
        <v>337.6</v>
      </c>
      <c r="L82" s="64">
        <v>23.49</v>
      </c>
      <c r="M82" s="64">
        <v>90.46</v>
      </c>
      <c r="N82" s="64">
        <v>6.3</v>
      </c>
      <c r="O82" s="64">
        <v>0.2</v>
      </c>
      <c r="P82" s="64">
        <v>0.6</v>
      </c>
      <c r="Q82" s="64">
        <v>19.170000000000002</v>
      </c>
      <c r="R82" s="198"/>
      <c r="S82" s="198"/>
      <c r="T82" s="198"/>
      <c r="U82" s="198"/>
    </row>
    <row r="83" spans="1:26" s="12" customFormat="1" x14ac:dyDescent="0.25">
      <c r="A83" s="214" t="s">
        <v>418</v>
      </c>
      <c r="B83" s="64">
        <v>7.36</v>
      </c>
      <c r="C83" s="64">
        <v>21.42</v>
      </c>
      <c r="D83" s="64">
        <v>28.78</v>
      </c>
      <c r="E83" s="64">
        <v>2.2200000000000002</v>
      </c>
      <c r="F83" s="64">
        <v>7.67</v>
      </c>
      <c r="G83" s="64">
        <v>74.53</v>
      </c>
      <c r="H83" s="64">
        <v>15.59</v>
      </c>
      <c r="I83" s="64">
        <v>0.12</v>
      </c>
      <c r="J83" s="64">
        <v>0.18</v>
      </c>
      <c r="K83" s="64">
        <v>340.44</v>
      </c>
      <c r="L83" s="64">
        <v>23.78</v>
      </c>
      <c r="M83" s="64">
        <v>94.07</v>
      </c>
      <c r="N83" s="64">
        <v>6.6</v>
      </c>
      <c r="O83" s="64">
        <v>0</v>
      </c>
      <c r="P83" s="64">
        <v>0.66</v>
      </c>
      <c r="Q83" s="64">
        <v>19.059999999999999</v>
      </c>
      <c r="R83" s="198"/>
      <c r="S83" s="198"/>
      <c r="T83" s="198"/>
      <c r="U83" s="198"/>
    </row>
    <row r="84" spans="1:26" s="12" customFormat="1" x14ac:dyDescent="0.25">
      <c r="A84" s="214" t="s">
        <v>419</v>
      </c>
      <c r="B84" s="64">
        <v>7.03</v>
      </c>
      <c r="C84" s="64">
        <v>18.489999999999998</v>
      </c>
      <c r="D84" s="64">
        <v>25.51</v>
      </c>
      <c r="E84" s="64">
        <v>2.44</v>
      </c>
      <c r="F84" s="64">
        <v>2.89</v>
      </c>
      <c r="G84" s="64">
        <v>63.18</v>
      </c>
      <c r="H84" s="64">
        <v>13.92</v>
      </c>
      <c r="I84" s="64">
        <v>0.12</v>
      </c>
      <c r="J84" s="64">
        <v>0.38</v>
      </c>
      <c r="K84" s="64">
        <v>193.23</v>
      </c>
      <c r="L84" s="64">
        <v>23.65</v>
      </c>
      <c r="M84" s="64">
        <v>94.84</v>
      </c>
      <c r="N84" s="64">
        <v>7.8</v>
      </c>
      <c r="O84" s="64">
        <v>0.2</v>
      </c>
      <c r="P84" s="64">
        <v>0.62</v>
      </c>
      <c r="Q84" s="64">
        <v>18.7</v>
      </c>
      <c r="R84" s="198"/>
      <c r="S84" s="198"/>
      <c r="T84" s="198"/>
      <c r="U84" s="198"/>
    </row>
    <row r="85" spans="1:26" s="12" customFormat="1" x14ac:dyDescent="0.25">
      <c r="A85" s="214" t="s">
        <v>420</v>
      </c>
      <c r="B85" s="64">
        <v>5.78</v>
      </c>
      <c r="C85" s="64">
        <v>15.04</v>
      </c>
      <c r="D85" s="64">
        <v>20.82</v>
      </c>
      <c r="E85" s="64">
        <v>1.94</v>
      </c>
      <c r="F85" s="64">
        <v>3.06</v>
      </c>
      <c r="G85" s="64">
        <v>53.25</v>
      </c>
      <c r="H85" s="64">
        <v>13.26</v>
      </c>
      <c r="I85" s="64">
        <v>0.12</v>
      </c>
      <c r="J85" s="64">
        <v>0.24</v>
      </c>
      <c r="K85" s="64">
        <v>185.55</v>
      </c>
      <c r="L85" s="64">
        <v>23.19</v>
      </c>
      <c r="M85" s="64">
        <v>98.25</v>
      </c>
      <c r="N85" s="64">
        <v>7.6</v>
      </c>
      <c r="O85" s="64">
        <v>0</v>
      </c>
      <c r="P85" s="64">
        <v>0.45</v>
      </c>
      <c r="Q85" s="64">
        <v>18.32</v>
      </c>
      <c r="R85" s="198"/>
      <c r="S85" s="198"/>
      <c r="T85" s="198"/>
      <c r="U85" s="198"/>
    </row>
    <row r="86" spans="1:26" s="12" customFormat="1" x14ac:dyDescent="0.25">
      <c r="A86" s="214" t="s">
        <v>421</v>
      </c>
      <c r="B86" s="64">
        <v>5.29</v>
      </c>
      <c r="C86" s="64">
        <v>13.93</v>
      </c>
      <c r="D86" s="64">
        <v>19.22</v>
      </c>
      <c r="E86" s="64">
        <v>2.39</v>
      </c>
      <c r="F86" s="64">
        <v>2.2999999999999998</v>
      </c>
      <c r="G86" s="64">
        <v>53.25</v>
      </c>
      <c r="H86" s="64">
        <v>13.26</v>
      </c>
      <c r="I86" s="64">
        <v>0.12</v>
      </c>
      <c r="J86" s="64">
        <v>0.13</v>
      </c>
      <c r="K86" s="64">
        <v>198.11</v>
      </c>
      <c r="L86" s="64">
        <v>23.16</v>
      </c>
      <c r="M86" s="64">
        <v>96.32</v>
      </c>
      <c r="N86" s="64">
        <v>8.1999999999999993</v>
      </c>
      <c r="O86" s="64">
        <v>0</v>
      </c>
      <c r="P86" s="64">
        <v>0.46</v>
      </c>
      <c r="Q86" s="64">
        <v>17.53</v>
      </c>
      <c r="R86" s="198"/>
      <c r="S86" s="198"/>
      <c r="T86" s="198"/>
      <c r="U86" s="198"/>
    </row>
    <row r="87" spans="1:26" s="12" customFormat="1" x14ac:dyDescent="0.25">
      <c r="A87" s="214" t="s">
        <v>422</v>
      </c>
      <c r="B87" s="64">
        <v>4.9000000000000004</v>
      </c>
      <c r="C87" s="64">
        <v>13.08</v>
      </c>
      <c r="D87" s="64">
        <v>17.98</v>
      </c>
      <c r="E87" s="64">
        <v>2.13</v>
      </c>
      <c r="F87" s="64">
        <v>4.7699999999999996</v>
      </c>
      <c r="G87" s="64">
        <v>53.25</v>
      </c>
      <c r="H87" s="64">
        <v>13.26</v>
      </c>
      <c r="I87" s="64">
        <v>0.13</v>
      </c>
      <c r="J87" s="64">
        <v>0.14000000000000001</v>
      </c>
      <c r="K87" s="64">
        <v>159.11000000000001</v>
      </c>
      <c r="L87" s="64">
        <v>22.97</v>
      </c>
      <c r="M87" s="64">
        <v>94.23</v>
      </c>
      <c r="N87" s="64">
        <v>8.3000000000000007</v>
      </c>
      <c r="O87" s="64">
        <v>0</v>
      </c>
      <c r="P87" s="64">
        <v>0.43</v>
      </c>
      <c r="Q87" s="64">
        <v>16.36</v>
      </c>
      <c r="R87" s="198"/>
      <c r="S87" s="198"/>
      <c r="T87" s="198"/>
      <c r="U87" s="198"/>
    </row>
    <row r="88" spans="1:26" s="12" customFormat="1" x14ac:dyDescent="0.25">
      <c r="A88" s="214" t="s">
        <v>423</v>
      </c>
      <c r="B88" s="64">
        <v>4.7300000000000004</v>
      </c>
      <c r="C88" s="64">
        <v>12.23</v>
      </c>
      <c r="D88" s="64">
        <v>16.96</v>
      </c>
      <c r="E88" s="64">
        <v>1.35</v>
      </c>
      <c r="F88" s="64">
        <v>2.12</v>
      </c>
      <c r="G88" s="64">
        <v>46.82</v>
      </c>
      <c r="H88" s="64">
        <v>13.28</v>
      </c>
      <c r="I88" s="64">
        <v>0.13</v>
      </c>
      <c r="J88" s="64">
        <v>0.22</v>
      </c>
      <c r="K88" s="64">
        <v>37.65</v>
      </c>
      <c r="L88" s="64">
        <v>22.86</v>
      </c>
      <c r="M88" s="64">
        <v>95.61</v>
      </c>
      <c r="N88" s="64">
        <v>7.9</v>
      </c>
      <c r="O88" s="64">
        <v>0</v>
      </c>
      <c r="P88" s="64">
        <v>0.46</v>
      </c>
      <c r="Q88" s="64">
        <v>15.89</v>
      </c>
      <c r="R88" s="198"/>
      <c r="S88" s="198"/>
      <c r="T88" s="198"/>
      <c r="U88" s="198"/>
    </row>
    <row r="89" spans="1:26" s="12" customFormat="1" x14ac:dyDescent="0.25">
      <c r="A89" s="214" t="s">
        <v>424</v>
      </c>
      <c r="B89" s="64">
        <v>4.83</v>
      </c>
      <c r="C89" s="64">
        <v>12.88</v>
      </c>
      <c r="D89" s="64">
        <v>17.71</v>
      </c>
      <c r="E89" s="64">
        <v>1.48</v>
      </c>
      <c r="F89" s="64">
        <v>2.4300000000000002</v>
      </c>
      <c r="G89" s="64">
        <v>41.18</v>
      </c>
      <c r="H89" s="64">
        <v>13.29</v>
      </c>
      <c r="I89" s="64">
        <v>0.12</v>
      </c>
      <c r="J89" s="64">
        <v>0.17</v>
      </c>
      <c r="K89" s="64">
        <v>26.19</v>
      </c>
      <c r="L89" s="64">
        <v>23</v>
      </c>
      <c r="M89" s="64">
        <v>93.72</v>
      </c>
      <c r="N89" s="64">
        <v>7.6</v>
      </c>
      <c r="O89" s="64">
        <v>0</v>
      </c>
      <c r="P89" s="64">
        <v>0.44</v>
      </c>
      <c r="Q89" s="64">
        <v>15.81</v>
      </c>
      <c r="R89" s="198"/>
      <c r="S89" s="198"/>
      <c r="T89" s="198"/>
      <c r="U89" s="198"/>
    </row>
    <row r="90" spans="1:26" s="12" customFormat="1" x14ac:dyDescent="0.25">
      <c r="A90" s="214" t="s">
        <v>425</v>
      </c>
      <c r="B90" s="64">
        <v>4.79</v>
      </c>
      <c r="C90" s="64">
        <v>13.57</v>
      </c>
      <c r="D90" s="64">
        <v>18.36</v>
      </c>
      <c r="E90" s="64">
        <v>1.79</v>
      </c>
      <c r="F90" s="64">
        <v>1.7</v>
      </c>
      <c r="G90" s="64">
        <v>41.18</v>
      </c>
      <c r="H90" s="64">
        <v>13.29</v>
      </c>
      <c r="I90" s="64">
        <v>0.13</v>
      </c>
      <c r="J90" s="64">
        <v>0.19</v>
      </c>
      <c r="K90" s="64">
        <v>35.39</v>
      </c>
      <c r="L90" s="64">
        <v>23.34</v>
      </c>
      <c r="M90" s="64">
        <v>91.37</v>
      </c>
      <c r="N90" s="64">
        <v>7.3</v>
      </c>
      <c r="O90" s="64">
        <v>0</v>
      </c>
      <c r="P90" s="64">
        <v>0.46</v>
      </c>
      <c r="Q90" s="64">
        <v>15.23</v>
      </c>
      <c r="R90" s="198"/>
      <c r="S90" s="198"/>
      <c r="T90" s="198"/>
      <c r="U90" s="198"/>
    </row>
    <row r="91" spans="1:26" s="12" customFormat="1" x14ac:dyDescent="0.25">
      <c r="A91" s="214" t="s">
        <v>426</v>
      </c>
      <c r="B91" s="64">
        <v>5.9</v>
      </c>
      <c r="C91" s="64">
        <v>19.96</v>
      </c>
      <c r="D91" s="64">
        <v>25.86</v>
      </c>
      <c r="E91" s="64">
        <v>1.47</v>
      </c>
      <c r="F91" s="64">
        <v>1.67</v>
      </c>
      <c r="G91" s="64">
        <v>41.18</v>
      </c>
      <c r="H91" s="64">
        <v>13.29</v>
      </c>
      <c r="I91" s="64">
        <v>0.13</v>
      </c>
      <c r="J91" s="64">
        <v>0.09</v>
      </c>
      <c r="K91" s="64">
        <v>50.96</v>
      </c>
      <c r="L91" s="64">
        <v>23.41</v>
      </c>
      <c r="M91" s="64">
        <v>88.32</v>
      </c>
      <c r="N91" s="64">
        <v>7.2</v>
      </c>
      <c r="O91" s="64">
        <v>0</v>
      </c>
      <c r="P91" s="64">
        <v>0.47</v>
      </c>
      <c r="Q91" s="64">
        <v>15.32</v>
      </c>
      <c r="R91" s="198"/>
      <c r="S91" s="198"/>
      <c r="T91" s="198"/>
      <c r="U91" s="198"/>
    </row>
    <row r="92" spans="1:26" s="12" customFormat="1" x14ac:dyDescent="0.25">
      <c r="A92" s="214" t="s">
        <v>427</v>
      </c>
      <c r="B92" s="64">
        <v>5.53</v>
      </c>
      <c r="C92" s="64">
        <v>18.809999999999999</v>
      </c>
      <c r="D92" s="64">
        <v>24.34</v>
      </c>
      <c r="E92" s="64">
        <v>1.33</v>
      </c>
      <c r="F92" s="64">
        <v>6.36</v>
      </c>
      <c r="G92" s="64">
        <v>40.9</v>
      </c>
      <c r="H92" s="64">
        <v>12.83</v>
      </c>
      <c r="I92" s="64">
        <v>0.12</v>
      </c>
      <c r="J92" s="64">
        <v>0.26</v>
      </c>
      <c r="K92" s="64">
        <v>153.91999999999999</v>
      </c>
      <c r="L92" s="64">
        <v>23.41</v>
      </c>
      <c r="M92" s="64">
        <v>88.94</v>
      </c>
      <c r="N92" s="64">
        <v>7</v>
      </c>
      <c r="O92" s="64">
        <v>0</v>
      </c>
      <c r="P92" s="64">
        <v>0.44</v>
      </c>
      <c r="Q92" s="64">
        <v>15.61</v>
      </c>
      <c r="R92" s="198"/>
      <c r="S92" s="198"/>
      <c r="T92" s="198"/>
      <c r="U92" s="198"/>
    </row>
    <row r="93" spans="1:26" s="12" customFormat="1" x14ac:dyDescent="0.25">
      <c r="A93" s="214" t="s">
        <v>428</v>
      </c>
      <c r="B93" s="64">
        <v>5.17</v>
      </c>
      <c r="C93" s="64">
        <v>18.350000000000001</v>
      </c>
      <c r="D93" s="64">
        <v>23.52</v>
      </c>
      <c r="E93" s="64">
        <v>1.71</v>
      </c>
      <c r="F93" s="64">
        <v>5.95</v>
      </c>
      <c r="G93" s="64">
        <v>40.64</v>
      </c>
      <c r="H93" s="64">
        <v>12.65</v>
      </c>
      <c r="I93" s="64">
        <v>0.12</v>
      </c>
      <c r="J93" s="64">
        <v>0.28000000000000003</v>
      </c>
      <c r="K93" s="64">
        <v>159.19</v>
      </c>
      <c r="L93" s="64">
        <v>23.29</v>
      </c>
      <c r="M93" s="64">
        <v>91.63</v>
      </c>
      <c r="N93" s="64">
        <v>7.2</v>
      </c>
      <c r="O93" s="64">
        <v>0</v>
      </c>
      <c r="P93" s="64">
        <v>0.41</v>
      </c>
      <c r="Q93" s="64">
        <v>16.760000000000002</v>
      </c>
      <c r="R93" s="198"/>
      <c r="S93" s="198"/>
      <c r="T93" s="198"/>
      <c r="U93" s="198"/>
    </row>
    <row r="94" spans="1:26" s="12" customFormat="1" x14ac:dyDescent="0.25">
      <c r="A94" s="214" t="s">
        <v>429</v>
      </c>
      <c r="B94" s="64">
        <v>5.38</v>
      </c>
      <c r="C94" s="64">
        <v>16.21</v>
      </c>
      <c r="D94" s="64">
        <v>21.59</v>
      </c>
      <c r="E94" s="64">
        <v>1.69</v>
      </c>
      <c r="F94" s="64">
        <v>5.75</v>
      </c>
      <c r="G94" s="64">
        <v>40.64</v>
      </c>
      <c r="H94" s="64">
        <v>12.65</v>
      </c>
      <c r="I94" s="64">
        <v>0.13</v>
      </c>
      <c r="J94" s="64">
        <v>0.24</v>
      </c>
      <c r="K94" s="64">
        <v>179.97</v>
      </c>
      <c r="L94" s="64">
        <v>23.21</v>
      </c>
      <c r="M94" s="64">
        <v>93.76</v>
      </c>
      <c r="N94" s="64">
        <v>7.2</v>
      </c>
      <c r="O94" s="64">
        <v>0</v>
      </c>
      <c r="P94" s="64">
        <v>0.41</v>
      </c>
      <c r="Q94" s="64">
        <v>17.18</v>
      </c>
      <c r="R94" s="198"/>
      <c r="S94" s="198"/>
      <c r="T94" s="198"/>
      <c r="U94" s="198"/>
    </row>
    <row r="95" spans="1:26" s="12" customFormat="1" x14ac:dyDescent="0.25">
      <c r="A95" s="214" t="s">
        <v>430</v>
      </c>
      <c r="B95" s="64">
        <v>5.59</v>
      </c>
      <c r="C95" s="64">
        <v>15.04</v>
      </c>
      <c r="D95" s="64">
        <v>20.63</v>
      </c>
      <c r="E95" s="64">
        <v>2.21</v>
      </c>
      <c r="F95" s="64">
        <v>4.72</v>
      </c>
      <c r="G95" s="64">
        <v>40.64</v>
      </c>
      <c r="H95" s="64">
        <v>12.65</v>
      </c>
      <c r="I95" s="64">
        <v>0.12</v>
      </c>
      <c r="J95" s="64">
        <v>0.63</v>
      </c>
      <c r="K95" s="64">
        <v>157.46</v>
      </c>
      <c r="L95" s="64">
        <v>23.14</v>
      </c>
      <c r="M95" s="64">
        <v>94.75</v>
      </c>
      <c r="N95" s="64">
        <v>7.3</v>
      </c>
      <c r="O95" s="64">
        <v>0</v>
      </c>
      <c r="P95" s="64">
        <v>0.4</v>
      </c>
      <c r="Q95" s="64">
        <v>17.440000000000001</v>
      </c>
      <c r="R95" s="198"/>
      <c r="S95" s="198"/>
      <c r="T95" s="198"/>
      <c r="U95" s="198"/>
    </row>
    <row r="96" spans="1:26" s="12" customFormat="1" x14ac:dyDescent="0.25">
      <c r="A96" s="214" t="s">
        <v>431</v>
      </c>
      <c r="B96" s="64">
        <v>6.05</v>
      </c>
      <c r="C96" s="64">
        <v>14.09</v>
      </c>
      <c r="D96" s="64">
        <v>20.14</v>
      </c>
      <c r="E96" s="64">
        <v>1.74</v>
      </c>
      <c r="F96" s="64">
        <v>3.07</v>
      </c>
      <c r="G96" s="64">
        <v>37.36</v>
      </c>
      <c r="H96" s="64">
        <v>12.5</v>
      </c>
      <c r="I96" s="64">
        <v>0.12</v>
      </c>
      <c r="J96" s="64">
        <v>0.96</v>
      </c>
      <c r="K96" s="64">
        <v>147.31</v>
      </c>
      <c r="L96" s="64">
        <v>23.1</v>
      </c>
      <c r="M96" s="64">
        <v>95.84</v>
      </c>
      <c r="N96" s="64">
        <v>7.3</v>
      </c>
      <c r="O96" s="64">
        <v>0</v>
      </c>
      <c r="P96" s="64">
        <v>0.42</v>
      </c>
      <c r="Q96" s="64">
        <v>17.559999999999999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432</v>
      </c>
      <c r="B97" s="64">
        <v>6.2</v>
      </c>
      <c r="C97" s="64">
        <v>11.95</v>
      </c>
      <c r="D97" s="64">
        <v>18.149999999999999</v>
      </c>
      <c r="E97" s="64">
        <v>1.46</v>
      </c>
      <c r="F97" s="64">
        <v>1.97</v>
      </c>
      <c r="G97" s="64">
        <v>34.49</v>
      </c>
      <c r="H97" s="64">
        <v>12.45</v>
      </c>
      <c r="I97" s="64">
        <v>0.12</v>
      </c>
      <c r="J97" s="64">
        <v>1.23</v>
      </c>
      <c r="K97" s="64">
        <v>146.63999999999999</v>
      </c>
      <c r="L97" s="64">
        <v>22.97</v>
      </c>
      <c r="M97" s="64">
        <v>97.61</v>
      </c>
      <c r="N97" s="64">
        <v>7.4</v>
      </c>
      <c r="O97" s="64">
        <v>0</v>
      </c>
      <c r="P97" s="64">
        <v>0.42</v>
      </c>
      <c r="Q97" s="64">
        <v>17.43</v>
      </c>
      <c r="R97" s="198"/>
      <c r="S97" s="198"/>
      <c r="T97" s="198"/>
      <c r="U97" s="198"/>
    </row>
    <row r="98" spans="1:33" s="12" customFormat="1" x14ac:dyDescent="0.25">
      <c r="A98" s="214" t="s">
        <v>433</v>
      </c>
      <c r="B98" s="64">
        <v>5.98</v>
      </c>
      <c r="C98" s="64">
        <v>10.81</v>
      </c>
      <c r="D98" s="64">
        <v>16.79</v>
      </c>
      <c r="E98" s="64">
        <v>1.68</v>
      </c>
      <c r="F98" s="64">
        <v>2.25</v>
      </c>
      <c r="G98" s="64">
        <v>34.49</v>
      </c>
      <c r="H98" s="64">
        <v>12.45</v>
      </c>
      <c r="I98" s="64">
        <v>0.12</v>
      </c>
      <c r="J98" s="64">
        <v>0.31</v>
      </c>
      <c r="K98" s="64">
        <v>154.68</v>
      </c>
      <c r="L98" s="64">
        <v>22.93</v>
      </c>
      <c r="M98" s="64">
        <v>97.69</v>
      </c>
      <c r="N98" s="64">
        <v>7.3</v>
      </c>
      <c r="O98" s="64">
        <v>0</v>
      </c>
      <c r="P98" s="64">
        <v>0.38</v>
      </c>
      <c r="Q98" s="64">
        <v>16.89</v>
      </c>
      <c r="R98" s="198"/>
      <c r="S98" s="198"/>
      <c r="T98" s="198"/>
      <c r="U98" s="198"/>
    </row>
    <row r="99" spans="1:33" s="12" customFormat="1" x14ac:dyDescent="0.25">
      <c r="A99" s="214" t="s">
        <v>434</v>
      </c>
      <c r="B99" s="64">
        <v>5.72</v>
      </c>
      <c r="C99" s="64">
        <v>10.29</v>
      </c>
      <c r="D99" s="64">
        <v>16.010000000000002</v>
      </c>
      <c r="E99" s="64">
        <v>0.98</v>
      </c>
      <c r="F99" s="64">
        <v>2.06</v>
      </c>
      <c r="G99" s="64">
        <v>34.49</v>
      </c>
      <c r="H99" s="64">
        <v>12.45</v>
      </c>
      <c r="I99" s="64">
        <v>0.12</v>
      </c>
      <c r="J99" s="64">
        <v>1.94</v>
      </c>
      <c r="K99" s="64">
        <v>100.46</v>
      </c>
      <c r="L99" s="64">
        <v>22.82</v>
      </c>
      <c r="M99" s="64">
        <v>96.99</v>
      </c>
      <c r="N99" s="64">
        <v>8.4</v>
      </c>
      <c r="O99" s="64">
        <v>0</v>
      </c>
      <c r="P99" s="64">
        <v>0.39</v>
      </c>
      <c r="Q99" s="64">
        <v>16.739999999999998</v>
      </c>
      <c r="R99" s="198"/>
      <c r="S99" s="198"/>
      <c r="T99" s="198"/>
      <c r="U99" s="198"/>
    </row>
    <row r="100" spans="1:33" s="12" customFormat="1" x14ac:dyDescent="0.25">
      <c r="A100" s="214" t="s">
        <v>435</v>
      </c>
      <c r="B100" s="64">
        <v>5.47</v>
      </c>
      <c r="C100" s="64">
        <v>10.79</v>
      </c>
      <c r="D100" s="64">
        <v>16.260000000000002</v>
      </c>
      <c r="E100" s="64">
        <v>1.71</v>
      </c>
      <c r="F100" s="64">
        <v>2.7</v>
      </c>
      <c r="G100" s="64">
        <v>30.94</v>
      </c>
      <c r="H100" s="64">
        <v>10.07</v>
      </c>
      <c r="I100" s="64">
        <v>0.13</v>
      </c>
      <c r="J100" s="64">
        <v>1.19</v>
      </c>
      <c r="K100" s="64">
        <v>108.52</v>
      </c>
      <c r="L100" s="64">
        <v>22.76</v>
      </c>
      <c r="M100" s="64">
        <v>97.73</v>
      </c>
      <c r="N100" s="64">
        <v>7</v>
      </c>
      <c r="O100" s="64">
        <v>0</v>
      </c>
      <c r="P100" s="64">
        <v>0.36</v>
      </c>
      <c r="Q100" s="64">
        <v>18.690000000000001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436</v>
      </c>
      <c r="B101" s="64">
        <v>5.38</v>
      </c>
      <c r="C101" s="64">
        <v>10.36</v>
      </c>
      <c r="D101" s="64">
        <v>15.74</v>
      </c>
      <c r="E101" s="64">
        <v>1.9</v>
      </c>
      <c r="F101" s="64">
        <v>1.48</v>
      </c>
      <c r="G101" s="64">
        <v>27.85</v>
      </c>
      <c r="H101" s="64">
        <v>9.1300000000000008</v>
      </c>
      <c r="I101" s="64">
        <v>0.14000000000000001</v>
      </c>
      <c r="J101" s="64">
        <v>0.74</v>
      </c>
      <c r="K101" s="64">
        <v>125.91</v>
      </c>
      <c r="L101" s="64">
        <v>22.73</v>
      </c>
      <c r="M101" s="64">
        <v>97.56</v>
      </c>
      <c r="N101" s="64">
        <v>6.9</v>
      </c>
      <c r="O101" s="64">
        <v>0.2</v>
      </c>
      <c r="P101" s="64">
        <v>0.36</v>
      </c>
      <c r="Q101" s="64">
        <v>18.84</v>
      </c>
      <c r="R101" s="198"/>
      <c r="S101" s="198"/>
      <c r="T101" s="198"/>
      <c r="U101" s="198"/>
    </row>
    <row r="102" spans="1:33" s="12" customFormat="1" x14ac:dyDescent="0.25">
      <c r="A102" s="214" t="s">
        <v>437</v>
      </c>
      <c r="B102" s="64">
        <v>5.22</v>
      </c>
      <c r="C102" s="64">
        <v>9.9700000000000006</v>
      </c>
      <c r="D102" s="64">
        <v>15.19</v>
      </c>
      <c r="E102" s="64">
        <v>2.02</v>
      </c>
      <c r="F102" s="64">
        <v>1.26</v>
      </c>
      <c r="G102" s="64">
        <v>27.85</v>
      </c>
      <c r="H102" s="64">
        <v>9.1300000000000008</v>
      </c>
      <c r="I102" s="64">
        <v>0.13</v>
      </c>
      <c r="J102" s="64">
        <v>1.4</v>
      </c>
      <c r="K102" s="64">
        <v>151.9</v>
      </c>
      <c r="L102" s="64">
        <v>22.62</v>
      </c>
      <c r="M102" s="64">
        <v>98.27</v>
      </c>
      <c r="N102" s="64">
        <v>6.6</v>
      </c>
      <c r="O102" s="64">
        <v>0</v>
      </c>
      <c r="P102" s="64">
        <v>0.34</v>
      </c>
      <c r="Q102" s="64">
        <v>19.28</v>
      </c>
      <c r="R102" s="198"/>
      <c r="S102" s="198"/>
      <c r="T102" s="198"/>
      <c r="U102" s="198"/>
    </row>
    <row r="103" spans="1:33" s="12" customFormat="1" x14ac:dyDescent="0.25">
      <c r="A103" s="214" t="s">
        <v>438</v>
      </c>
      <c r="B103" s="64">
        <v>5.1100000000000003</v>
      </c>
      <c r="C103" s="64">
        <v>9.93</v>
      </c>
      <c r="D103" s="64">
        <v>15.04</v>
      </c>
      <c r="E103" s="64">
        <v>1.48</v>
      </c>
      <c r="F103" s="64">
        <v>1.43</v>
      </c>
      <c r="G103" s="64">
        <v>27.85</v>
      </c>
      <c r="H103" s="64">
        <v>9.1300000000000008</v>
      </c>
      <c r="I103" s="64">
        <v>0.14000000000000001</v>
      </c>
      <c r="J103" s="64">
        <v>1.74</v>
      </c>
      <c r="K103" s="64">
        <v>145.02000000000001</v>
      </c>
      <c r="L103" s="64">
        <v>22.66</v>
      </c>
      <c r="M103" s="64">
        <v>98.23</v>
      </c>
      <c r="N103" s="64">
        <v>7.7</v>
      </c>
      <c r="O103" s="64">
        <v>0</v>
      </c>
      <c r="P103" s="64">
        <v>0.34</v>
      </c>
      <c r="Q103" s="64">
        <v>18.96</v>
      </c>
      <c r="R103" s="198"/>
      <c r="S103" s="198"/>
      <c r="T103" s="198"/>
      <c r="U103" s="198"/>
    </row>
    <row r="104" spans="1:33" s="12" customFormat="1" x14ac:dyDescent="0.25">
      <c r="A104" s="214" t="s">
        <v>439</v>
      </c>
      <c r="B104" s="64">
        <v>4.96</v>
      </c>
      <c r="C104" s="64">
        <v>10.119999999999999</v>
      </c>
      <c r="D104" s="64">
        <v>15.08</v>
      </c>
      <c r="E104" s="64">
        <v>0.03</v>
      </c>
      <c r="F104" s="64">
        <v>2.99</v>
      </c>
      <c r="G104" s="64">
        <v>24.89</v>
      </c>
      <c r="H104" s="64">
        <v>8.36</v>
      </c>
      <c r="I104" s="64">
        <v>0.13</v>
      </c>
      <c r="J104" s="64">
        <v>0.87</v>
      </c>
      <c r="K104" s="64">
        <v>149.22</v>
      </c>
      <c r="L104" s="64">
        <v>22.67</v>
      </c>
      <c r="M104" s="64">
        <v>98.25</v>
      </c>
      <c r="N104" s="64">
        <v>7.8</v>
      </c>
      <c r="O104" s="64">
        <v>0</v>
      </c>
      <c r="P104" s="64">
        <v>0.3</v>
      </c>
      <c r="Q104" s="64">
        <v>19.61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3.55</v>
      </c>
      <c r="C106" s="67">
        <f>MIN(C9:C104)</f>
        <v>3.72</v>
      </c>
      <c r="D106" s="67">
        <f t="shared" ref="D106:Q106" si="0">MIN(D9:D104)</f>
        <v>14.81</v>
      </c>
      <c r="E106" s="67">
        <f t="shared" si="0"/>
        <v>0.03</v>
      </c>
      <c r="F106" s="67">
        <f t="shared" si="0"/>
        <v>1.1599999999999999</v>
      </c>
      <c r="G106" s="67">
        <f t="shared" si="0"/>
        <v>24.89</v>
      </c>
      <c r="H106" s="67">
        <f t="shared" si="0"/>
        <v>1.61</v>
      </c>
      <c r="I106" s="67">
        <f t="shared" si="0"/>
        <v>0.1</v>
      </c>
      <c r="J106" s="67">
        <f t="shared" si="0"/>
        <v>0.01</v>
      </c>
      <c r="K106" s="67">
        <f t="shared" si="0"/>
        <v>9.76</v>
      </c>
      <c r="L106" s="67">
        <f t="shared" si="0"/>
        <v>22.62</v>
      </c>
      <c r="M106" s="67">
        <f t="shared" si="0"/>
        <v>47.38</v>
      </c>
      <c r="N106" s="67">
        <f t="shared" si="0"/>
        <v>6.3</v>
      </c>
      <c r="O106" s="67">
        <f t="shared" si="0"/>
        <v>0</v>
      </c>
      <c r="P106" s="67">
        <f t="shared" si="0"/>
        <v>0.3</v>
      </c>
      <c r="Q106" s="67">
        <f t="shared" si="0"/>
        <v>9.33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43.86</v>
      </c>
      <c r="C107" s="66">
        <f t="shared" ref="C107:Q107" si="1">MAX(C9:C104)</f>
        <v>40.46</v>
      </c>
      <c r="D107" s="66">
        <f t="shared" si="1"/>
        <v>51.27</v>
      </c>
      <c r="E107" s="66">
        <f t="shared" si="1"/>
        <v>38.270000000000003</v>
      </c>
      <c r="F107" s="66">
        <f t="shared" si="1"/>
        <v>28.86</v>
      </c>
      <c r="G107" s="66">
        <f t="shared" si="1"/>
        <v>101.41</v>
      </c>
      <c r="H107" s="66">
        <f t="shared" si="1"/>
        <v>27.2</v>
      </c>
      <c r="I107" s="66">
        <f t="shared" si="1"/>
        <v>0.14000000000000001</v>
      </c>
      <c r="J107" s="66">
        <f t="shared" si="1"/>
        <v>2.38</v>
      </c>
      <c r="K107" s="66">
        <f t="shared" si="1"/>
        <v>359.7</v>
      </c>
      <c r="L107" s="66">
        <f t="shared" si="1"/>
        <v>36.71</v>
      </c>
      <c r="M107" s="66">
        <f t="shared" si="1"/>
        <v>98.29</v>
      </c>
      <c r="N107" s="66">
        <f t="shared" si="1"/>
        <v>846.9</v>
      </c>
      <c r="O107" s="66">
        <f t="shared" si="1"/>
        <v>0.2</v>
      </c>
      <c r="P107" s="66">
        <f t="shared" si="1"/>
        <v>0.84</v>
      </c>
      <c r="Q107" s="66">
        <f t="shared" si="1"/>
        <v>23.68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12.442500000000001</v>
      </c>
      <c r="C108" s="67">
        <f t="shared" ref="C108:Q108" si="2">AVERAGE(C9:C104)</f>
        <v>20.847282608695654</v>
      </c>
      <c r="D108" s="67">
        <f t="shared" si="2"/>
        <v>26.616630434782618</v>
      </c>
      <c r="E108" s="67">
        <f t="shared" si="2"/>
        <v>3.4290526315789465</v>
      </c>
      <c r="F108" s="67">
        <f t="shared" si="2"/>
        <v>8.4566315789473681</v>
      </c>
      <c r="G108" s="67">
        <f t="shared" si="2"/>
        <v>66.326666666666682</v>
      </c>
      <c r="H108" s="67">
        <f t="shared" si="2"/>
        <v>16.150322580645163</v>
      </c>
      <c r="I108" s="67">
        <f t="shared" si="2"/>
        <v>0.1172916666666667</v>
      </c>
      <c r="J108" s="67">
        <f t="shared" si="2"/>
        <v>0.53864583333333338</v>
      </c>
      <c r="K108" s="67">
        <f t="shared" si="2"/>
        <v>234.15083333333328</v>
      </c>
      <c r="L108" s="67">
        <f t="shared" si="2"/>
        <v>27.854687500000001</v>
      </c>
      <c r="M108" s="67">
        <f t="shared" si="2"/>
        <v>78.624062499999965</v>
      </c>
      <c r="N108" s="67">
        <f t="shared" si="2"/>
        <v>195.05624999999995</v>
      </c>
      <c r="O108" s="67">
        <f t="shared" si="2"/>
        <v>6.2500000000000012E-3</v>
      </c>
      <c r="P108" s="67">
        <f t="shared" si="2"/>
        <v>0.57239583333333355</v>
      </c>
      <c r="Q108" s="67">
        <f t="shared" si="2"/>
        <v>17.599270833333335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8.2645191087504486</v>
      </c>
      <c r="C109" s="67">
        <f t="shared" ref="C109:Q109" si="3">STDEV(C9:C104)</f>
        <v>7.0208338478598451</v>
      </c>
      <c r="D109" s="67">
        <f t="shared" si="3"/>
        <v>7.667756276999083</v>
      </c>
      <c r="E109" s="67">
        <f t="shared" si="3"/>
        <v>3.891231570531152</v>
      </c>
      <c r="F109" s="67">
        <f t="shared" si="3"/>
        <v>6.3747897104283906</v>
      </c>
      <c r="G109" s="67">
        <f t="shared" si="3"/>
        <v>21.594987961850372</v>
      </c>
      <c r="H109" s="67">
        <f t="shared" si="3"/>
        <v>5.2199780216955389</v>
      </c>
      <c r="I109" s="67">
        <f t="shared" si="3"/>
        <v>8.395383025231835E-3</v>
      </c>
      <c r="J109" s="67">
        <f t="shared" si="3"/>
        <v>0.52958100576462008</v>
      </c>
      <c r="K109" s="67">
        <f t="shared" si="3"/>
        <v>111.03813409120383</v>
      </c>
      <c r="L109" s="67">
        <f t="shared" si="3"/>
        <v>4.7279406784783324</v>
      </c>
      <c r="M109" s="67">
        <f t="shared" si="3"/>
        <v>19.664901599075449</v>
      </c>
      <c r="N109" s="67">
        <f t="shared" si="3"/>
        <v>265.37690289869852</v>
      </c>
      <c r="O109" s="67">
        <f t="shared" si="3"/>
        <v>3.4981197957278651E-2</v>
      </c>
      <c r="P109" s="67">
        <f t="shared" si="3"/>
        <v>0.12894507024446705</v>
      </c>
      <c r="Q109" s="67">
        <f t="shared" si="3"/>
        <v>2.9437578006750074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COUNT(B9:B104)+4</f>
        <v>96</v>
      </c>
      <c r="C110" s="66">
        <f>COUNT(C9:C104)+4</f>
        <v>96</v>
      </c>
      <c r="D110" s="66">
        <f>COUNT(D9:D104)+4</f>
        <v>96</v>
      </c>
      <c r="E110" s="66">
        <f>COUNT(E9:E104)+1</f>
        <v>96</v>
      </c>
      <c r="F110" s="66">
        <f>COUNT(F9:F104)+1</f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 t="shared" ref="J110:Q110" si="4"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440</v>
      </c>
      <c r="B9" s="64">
        <v>4.91</v>
      </c>
      <c r="C9" s="64">
        <v>9.9600000000000009</v>
      </c>
      <c r="D9" s="64">
        <v>14.87</v>
      </c>
      <c r="E9" s="64">
        <v>0.23</v>
      </c>
      <c r="F9" s="64">
        <v>3.87</v>
      </c>
      <c r="G9" s="64">
        <v>22.31</v>
      </c>
      <c r="H9" s="64">
        <v>7.77</v>
      </c>
      <c r="I9" s="64">
        <v>0.13</v>
      </c>
      <c r="J9" s="64">
        <v>1.1399999999999999</v>
      </c>
      <c r="K9" s="64">
        <v>150.19999999999999</v>
      </c>
      <c r="L9" s="64">
        <v>22.6</v>
      </c>
      <c r="M9" s="64">
        <v>98.26</v>
      </c>
      <c r="N9" s="64">
        <v>7.8</v>
      </c>
      <c r="O9" s="64">
        <v>0</v>
      </c>
      <c r="P9" s="64">
        <v>0.28999999999999998</v>
      </c>
      <c r="Q9" s="64">
        <v>19.72</v>
      </c>
      <c r="R9" s="198"/>
      <c r="S9" s="198"/>
      <c r="T9" s="198"/>
      <c r="U9" s="198"/>
    </row>
    <row r="10" spans="1:21" s="12" customFormat="1" x14ac:dyDescent="0.25">
      <c r="A10" s="214" t="s">
        <v>441</v>
      </c>
      <c r="B10" s="64">
        <v>4.92</v>
      </c>
      <c r="C10" s="64">
        <v>9.83</v>
      </c>
      <c r="D10" s="64">
        <v>14.74</v>
      </c>
      <c r="E10" s="64">
        <v>1.05</v>
      </c>
      <c r="F10" s="64">
        <v>3.99</v>
      </c>
      <c r="G10" s="64">
        <v>22.31</v>
      </c>
      <c r="H10" s="64">
        <v>7.77</v>
      </c>
      <c r="I10" s="64">
        <v>0.12</v>
      </c>
      <c r="J10" s="64">
        <v>0.59</v>
      </c>
      <c r="K10" s="64">
        <v>154.44999999999999</v>
      </c>
      <c r="L10" s="64">
        <v>22.59</v>
      </c>
      <c r="M10" s="64">
        <v>98.17</v>
      </c>
      <c r="N10" s="64">
        <v>7.7</v>
      </c>
      <c r="O10" s="64">
        <v>0</v>
      </c>
      <c r="P10" s="64">
        <v>0.27</v>
      </c>
      <c r="Q10" s="64">
        <v>19.72</v>
      </c>
      <c r="R10" s="198"/>
      <c r="S10" s="198"/>
      <c r="T10" s="198"/>
      <c r="U10" s="198"/>
    </row>
    <row r="11" spans="1:21" s="12" customFormat="1" x14ac:dyDescent="0.25">
      <c r="A11" s="214" t="s">
        <v>442</v>
      </c>
      <c r="B11" s="64">
        <v>4.79</v>
      </c>
      <c r="C11" s="64">
        <v>9.6300000000000008</v>
      </c>
      <c r="D11" s="64">
        <v>14.42</v>
      </c>
      <c r="E11" s="64">
        <v>0.86</v>
      </c>
      <c r="F11" s="64">
        <v>6.05</v>
      </c>
      <c r="G11" s="64">
        <v>22.31</v>
      </c>
      <c r="H11" s="64">
        <v>7.77</v>
      </c>
      <c r="I11" s="64">
        <v>0.12</v>
      </c>
      <c r="J11" s="64">
        <v>0.35</v>
      </c>
      <c r="K11" s="64">
        <v>145.94999999999999</v>
      </c>
      <c r="L11" s="64">
        <v>22.61</v>
      </c>
      <c r="M11" s="64">
        <v>98.15</v>
      </c>
      <c r="N11" s="64">
        <v>7.6</v>
      </c>
      <c r="O11" s="64">
        <v>0</v>
      </c>
      <c r="P11" s="64">
        <v>0.25</v>
      </c>
      <c r="Q11" s="64">
        <v>19.7</v>
      </c>
      <c r="R11" s="198"/>
      <c r="S11" s="198"/>
      <c r="T11" s="198"/>
      <c r="U11" s="198"/>
    </row>
    <row r="12" spans="1:21" s="12" customFormat="1" x14ac:dyDescent="0.25">
      <c r="A12" s="214" t="s">
        <v>443</v>
      </c>
      <c r="B12" s="64">
        <v>4.74</v>
      </c>
      <c r="C12" s="64">
        <v>9.6999999999999993</v>
      </c>
      <c r="D12" s="64">
        <v>14.44</v>
      </c>
      <c r="E12" s="64">
        <v>0.81</v>
      </c>
      <c r="F12" s="64">
        <v>3.99</v>
      </c>
      <c r="G12" s="64">
        <v>19.45</v>
      </c>
      <c r="H12" s="64">
        <v>9.15</v>
      </c>
      <c r="I12" s="64">
        <v>0.12</v>
      </c>
      <c r="J12" s="64">
        <v>0.53</v>
      </c>
      <c r="K12" s="64">
        <v>164.31</v>
      </c>
      <c r="L12" s="64">
        <v>22.57</v>
      </c>
      <c r="M12" s="64">
        <v>98.26</v>
      </c>
      <c r="N12" s="64">
        <v>7.3</v>
      </c>
      <c r="O12" s="64">
        <v>0</v>
      </c>
      <c r="P12" s="64">
        <v>0.25</v>
      </c>
      <c r="Q12" s="64">
        <v>19.559999999999999</v>
      </c>
      <c r="R12" s="198"/>
      <c r="S12" s="198"/>
      <c r="T12" s="198"/>
      <c r="U12" s="198"/>
    </row>
    <row r="13" spans="1:21" s="12" customFormat="1" x14ac:dyDescent="0.25">
      <c r="A13" s="214" t="s">
        <v>444</v>
      </c>
      <c r="B13" s="64">
        <v>4.9400000000000004</v>
      </c>
      <c r="C13" s="64">
        <v>9.18</v>
      </c>
      <c r="D13" s="64">
        <v>14.11</v>
      </c>
      <c r="E13" s="64">
        <v>1.1499999999999999</v>
      </c>
      <c r="F13" s="64">
        <v>2.5099999999999998</v>
      </c>
      <c r="G13" s="64">
        <v>16.95</v>
      </c>
      <c r="H13" s="64">
        <v>9.7100000000000009</v>
      </c>
      <c r="I13" s="64">
        <v>0.12</v>
      </c>
      <c r="J13" s="64">
        <v>0.39</v>
      </c>
      <c r="K13" s="64">
        <v>163.35</v>
      </c>
      <c r="L13" s="64">
        <v>22.45</v>
      </c>
      <c r="M13" s="64">
        <v>98.28</v>
      </c>
      <c r="N13" s="64">
        <v>7.4</v>
      </c>
      <c r="O13" s="64">
        <v>0</v>
      </c>
      <c r="P13" s="64">
        <v>0.3</v>
      </c>
      <c r="Q13" s="64">
        <v>18.68</v>
      </c>
      <c r="R13" s="198"/>
      <c r="S13" s="198"/>
      <c r="T13" s="198"/>
      <c r="U13" s="198"/>
    </row>
    <row r="14" spans="1:21" s="12" customFormat="1" x14ac:dyDescent="0.25">
      <c r="A14" s="214" t="s">
        <v>445</v>
      </c>
      <c r="B14" s="64">
        <v>4.82</v>
      </c>
      <c r="C14" s="64">
        <v>8.61</v>
      </c>
      <c r="D14" s="64">
        <v>13.42</v>
      </c>
      <c r="E14" s="64">
        <v>1.04</v>
      </c>
      <c r="F14" s="64">
        <v>2.35</v>
      </c>
      <c r="G14" s="64">
        <v>16.95</v>
      </c>
      <c r="H14" s="64">
        <v>9.7100000000000009</v>
      </c>
      <c r="I14" s="64">
        <v>0.12</v>
      </c>
      <c r="J14" s="64">
        <v>0.22</v>
      </c>
      <c r="K14" s="64">
        <v>190.15</v>
      </c>
      <c r="L14" s="64">
        <v>22.35</v>
      </c>
      <c r="M14" s="64">
        <v>98.28</v>
      </c>
      <c r="N14" s="64">
        <v>7.3</v>
      </c>
      <c r="O14" s="64">
        <v>0</v>
      </c>
      <c r="P14" s="64">
        <v>0.33</v>
      </c>
      <c r="Q14" s="64">
        <v>17.989999999999998</v>
      </c>
      <c r="R14" s="198"/>
      <c r="S14" s="198"/>
      <c r="T14" s="198"/>
      <c r="U14" s="198"/>
    </row>
    <row r="15" spans="1:21" s="12" customFormat="1" x14ac:dyDescent="0.25">
      <c r="A15" s="214" t="s">
        <v>446</v>
      </c>
      <c r="B15" s="64">
        <v>4.5999999999999996</v>
      </c>
      <c r="C15" s="64">
        <v>8.77</v>
      </c>
      <c r="D15" s="64">
        <v>13.37</v>
      </c>
      <c r="E15" s="64">
        <v>1.01</v>
      </c>
      <c r="F15" s="64">
        <v>3.17</v>
      </c>
      <c r="G15" s="64">
        <v>16.95</v>
      </c>
      <c r="H15" s="64">
        <v>9.7100000000000009</v>
      </c>
      <c r="I15" s="64">
        <v>0.12</v>
      </c>
      <c r="J15" s="64">
        <v>0.35</v>
      </c>
      <c r="K15" s="64">
        <v>145.13</v>
      </c>
      <c r="L15" s="64">
        <v>22.37</v>
      </c>
      <c r="M15" s="64">
        <v>98.28</v>
      </c>
      <c r="N15" s="64">
        <v>7.2</v>
      </c>
      <c r="O15" s="64">
        <v>0</v>
      </c>
      <c r="P15" s="64">
        <v>0.3</v>
      </c>
      <c r="Q15" s="64">
        <v>18.239999999999998</v>
      </c>
      <c r="R15" s="198"/>
      <c r="S15" s="198"/>
      <c r="T15" s="198"/>
      <c r="U15" s="198"/>
    </row>
    <row r="16" spans="1:21" s="12" customFormat="1" x14ac:dyDescent="0.25">
      <c r="A16" s="214" t="s">
        <v>447</v>
      </c>
      <c r="B16" s="64">
        <v>4.5599999999999996</v>
      </c>
      <c r="C16" s="64">
        <v>8.24</v>
      </c>
      <c r="D16" s="64">
        <v>12.8</v>
      </c>
      <c r="E16" s="64">
        <v>0.79</v>
      </c>
      <c r="F16" s="64">
        <v>1.91</v>
      </c>
      <c r="G16" s="64">
        <v>16.670000000000002</v>
      </c>
      <c r="H16" s="64">
        <v>7.9</v>
      </c>
      <c r="I16" s="64">
        <v>0.12</v>
      </c>
      <c r="J16" s="64">
        <v>7.0000000000000007E-2</v>
      </c>
      <c r="K16" s="64">
        <v>97.31</v>
      </c>
      <c r="L16" s="64">
        <v>22.36</v>
      </c>
      <c r="M16" s="64">
        <v>98.28</v>
      </c>
      <c r="N16" s="64">
        <v>7.3</v>
      </c>
      <c r="O16" s="64">
        <v>0</v>
      </c>
      <c r="P16" s="64">
        <v>0.32</v>
      </c>
      <c r="Q16" s="64">
        <v>17.64</v>
      </c>
      <c r="R16" s="198"/>
      <c r="S16" s="198"/>
      <c r="T16" s="198"/>
      <c r="U16" s="198"/>
    </row>
    <row r="17" spans="1:21" s="12" customFormat="1" x14ac:dyDescent="0.25">
      <c r="A17" s="214" t="s">
        <v>448</v>
      </c>
      <c r="B17" s="64">
        <v>4.25</v>
      </c>
      <c r="C17" s="64">
        <v>8.68</v>
      </c>
      <c r="D17" s="64">
        <v>12.93</v>
      </c>
      <c r="E17" s="64">
        <v>1.1299999999999999</v>
      </c>
      <c r="F17" s="64">
        <v>5.0199999999999996</v>
      </c>
      <c r="G17" s="64">
        <v>16.420000000000002</v>
      </c>
      <c r="H17" s="64">
        <v>7.17</v>
      </c>
      <c r="I17" s="64">
        <v>0.13</v>
      </c>
      <c r="J17" s="64">
        <v>0.24</v>
      </c>
      <c r="K17" s="64">
        <v>156.12</v>
      </c>
      <c r="L17" s="64">
        <v>22.32</v>
      </c>
      <c r="M17" s="64">
        <v>98.28</v>
      </c>
      <c r="N17" s="64">
        <v>7.3</v>
      </c>
      <c r="O17" s="64">
        <v>0</v>
      </c>
      <c r="P17" s="64">
        <v>0.28000000000000003</v>
      </c>
      <c r="Q17" s="64">
        <v>17.86</v>
      </c>
      <c r="R17" s="198"/>
      <c r="S17" s="198"/>
      <c r="T17" s="198"/>
      <c r="U17" s="198"/>
    </row>
    <row r="18" spans="1:21" s="12" customFormat="1" x14ac:dyDescent="0.25">
      <c r="A18" s="214" t="s">
        <v>449</v>
      </c>
      <c r="B18" s="64">
        <v>4.2699999999999996</v>
      </c>
      <c r="C18" s="64">
        <v>8.2899999999999991</v>
      </c>
      <c r="D18" s="64">
        <v>12.56</v>
      </c>
      <c r="E18" s="64">
        <v>0.72</v>
      </c>
      <c r="F18" s="64">
        <v>4.01</v>
      </c>
      <c r="G18" s="64">
        <v>16.420000000000002</v>
      </c>
      <c r="H18" s="64">
        <v>7.17</v>
      </c>
      <c r="I18" s="64">
        <v>0.13</v>
      </c>
      <c r="J18" s="64">
        <v>0.2</v>
      </c>
      <c r="K18" s="64">
        <v>139.68</v>
      </c>
      <c r="L18" s="64">
        <v>22.32</v>
      </c>
      <c r="M18" s="64">
        <v>98.27</v>
      </c>
      <c r="N18" s="64">
        <v>7.2</v>
      </c>
      <c r="O18" s="64">
        <v>0</v>
      </c>
      <c r="P18" s="64">
        <v>0.3</v>
      </c>
      <c r="Q18" s="64">
        <v>17.190000000000001</v>
      </c>
      <c r="R18" s="198"/>
      <c r="S18" s="198"/>
      <c r="T18" s="198"/>
      <c r="U18" s="198"/>
    </row>
    <row r="19" spans="1:21" s="12" customFormat="1" x14ac:dyDescent="0.25">
      <c r="A19" s="214" t="s">
        <v>450</v>
      </c>
      <c r="B19" s="64">
        <v>4.12</v>
      </c>
      <c r="C19" s="64">
        <v>8.4499999999999993</v>
      </c>
      <c r="D19" s="64">
        <v>12.57</v>
      </c>
      <c r="E19" s="64">
        <v>0.87</v>
      </c>
      <c r="F19" s="64">
        <v>5.27</v>
      </c>
      <c r="G19" s="64">
        <v>16.420000000000002</v>
      </c>
      <c r="H19" s="64">
        <v>7.17</v>
      </c>
      <c r="I19" s="64">
        <v>0.13</v>
      </c>
      <c r="J19" s="64">
        <v>0.14000000000000001</v>
      </c>
      <c r="K19" s="64">
        <v>139.81</v>
      </c>
      <c r="L19" s="64">
        <v>22.36</v>
      </c>
      <c r="M19" s="64">
        <v>98.27</v>
      </c>
      <c r="N19" s="64">
        <v>7.3</v>
      </c>
      <c r="O19" s="64">
        <v>0</v>
      </c>
      <c r="P19" s="64">
        <v>0.27</v>
      </c>
      <c r="Q19" s="64">
        <v>17.72</v>
      </c>
      <c r="R19" s="198"/>
      <c r="S19" s="198"/>
      <c r="T19" s="198"/>
      <c r="U19" s="198"/>
    </row>
    <row r="20" spans="1:21" s="12" customFormat="1" x14ac:dyDescent="0.25">
      <c r="A20" s="214" t="s">
        <v>451</v>
      </c>
      <c r="B20" s="64">
        <v>4.1100000000000003</v>
      </c>
      <c r="C20" s="64">
        <v>8.67</v>
      </c>
      <c r="D20" s="64">
        <v>12.78</v>
      </c>
      <c r="E20" s="64">
        <v>1.22</v>
      </c>
      <c r="F20" s="64">
        <v>6.29</v>
      </c>
      <c r="G20" s="64">
        <v>15.99</v>
      </c>
      <c r="H20" s="64">
        <v>7.37</v>
      </c>
      <c r="I20" s="64">
        <v>0.13</v>
      </c>
      <c r="J20" s="64">
        <v>0.06</v>
      </c>
      <c r="K20" s="64">
        <v>44.92</v>
      </c>
      <c r="L20" s="64">
        <v>22.46</v>
      </c>
      <c r="M20" s="64">
        <v>98.27</v>
      </c>
      <c r="N20" s="64">
        <v>7.1</v>
      </c>
      <c r="O20" s="64">
        <v>0</v>
      </c>
      <c r="P20" s="64">
        <v>0.26</v>
      </c>
      <c r="Q20" s="64">
        <v>18.05</v>
      </c>
      <c r="R20" s="198"/>
      <c r="S20" s="198"/>
      <c r="T20" s="198"/>
      <c r="U20" s="198"/>
    </row>
    <row r="21" spans="1:21" s="12" customFormat="1" x14ac:dyDescent="0.25">
      <c r="A21" s="214" t="s">
        <v>452</v>
      </c>
      <c r="B21" s="64">
        <v>4.32</v>
      </c>
      <c r="C21" s="64">
        <v>9.42</v>
      </c>
      <c r="D21" s="64">
        <v>13.74</v>
      </c>
      <c r="E21" s="64">
        <v>0.99</v>
      </c>
      <c r="F21" s="64">
        <v>4.13</v>
      </c>
      <c r="G21" s="64">
        <v>15.61</v>
      </c>
      <c r="H21" s="64">
        <v>7.46</v>
      </c>
      <c r="I21" s="64">
        <v>0.12</v>
      </c>
      <c r="J21" s="64">
        <v>7.0000000000000007E-2</v>
      </c>
      <c r="K21" s="64">
        <v>15.47</v>
      </c>
      <c r="L21" s="64">
        <v>22.51</v>
      </c>
      <c r="M21" s="64">
        <v>98.26</v>
      </c>
      <c r="N21" s="64">
        <v>7.1</v>
      </c>
      <c r="O21" s="64">
        <v>0</v>
      </c>
      <c r="P21" s="64">
        <v>0.27</v>
      </c>
      <c r="Q21" s="64">
        <v>18.260000000000002</v>
      </c>
      <c r="R21" s="198"/>
      <c r="S21" s="198"/>
      <c r="T21" s="198"/>
      <c r="U21" s="198"/>
    </row>
    <row r="22" spans="1:21" s="12" customFormat="1" x14ac:dyDescent="0.25">
      <c r="A22" s="214" t="s">
        <v>453</v>
      </c>
      <c r="B22" s="64">
        <v>4.3499999999999996</v>
      </c>
      <c r="C22" s="64">
        <v>9.0399999999999991</v>
      </c>
      <c r="D22" s="64">
        <v>13.4</v>
      </c>
      <c r="E22" s="64">
        <v>0.73</v>
      </c>
      <c r="F22" s="64">
        <v>4.59</v>
      </c>
      <c r="G22" s="64">
        <v>15.61</v>
      </c>
      <c r="H22" s="64">
        <v>7.46</v>
      </c>
      <c r="I22" s="64">
        <v>0.12</v>
      </c>
      <c r="J22" s="64">
        <v>7.0000000000000007E-2</v>
      </c>
      <c r="K22" s="64">
        <v>351.11</v>
      </c>
      <c r="L22" s="64">
        <v>22.4</v>
      </c>
      <c r="M22" s="64">
        <v>98.28</v>
      </c>
      <c r="N22" s="64">
        <v>7.1</v>
      </c>
      <c r="O22" s="64">
        <v>0</v>
      </c>
      <c r="P22" s="64">
        <v>0.26</v>
      </c>
      <c r="Q22" s="64">
        <v>18.399999999999999</v>
      </c>
      <c r="R22" s="198"/>
      <c r="S22" s="198"/>
      <c r="T22" s="198"/>
      <c r="U22" s="198"/>
    </row>
    <row r="23" spans="1:21" s="12" customFormat="1" x14ac:dyDescent="0.25">
      <c r="A23" s="214" t="s">
        <v>454</v>
      </c>
      <c r="B23" s="64">
        <v>4.45</v>
      </c>
      <c r="C23" s="64">
        <v>9.0500000000000007</v>
      </c>
      <c r="D23" s="64">
        <v>13.5</v>
      </c>
      <c r="E23" s="64">
        <v>0.62</v>
      </c>
      <c r="F23" s="64">
        <v>4.76</v>
      </c>
      <c r="G23" s="64">
        <v>15.61</v>
      </c>
      <c r="H23" s="64">
        <v>7.46</v>
      </c>
      <c r="I23" s="64">
        <v>0.12</v>
      </c>
      <c r="J23" s="64">
        <v>0.08</v>
      </c>
      <c r="K23" s="64">
        <v>17.38</v>
      </c>
      <c r="L23" s="64">
        <v>22.43</v>
      </c>
      <c r="M23" s="64">
        <v>98.28</v>
      </c>
      <c r="N23" s="64">
        <v>6.9</v>
      </c>
      <c r="O23" s="64">
        <v>0</v>
      </c>
      <c r="P23" s="64">
        <v>0.26</v>
      </c>
      <c r="Q23" s="64">
        <v>18.66</v>
      </c>
      <c r="R23" s="198"/>
      <c r="S23" s="198"/>
      <c r="T23" s="198"/>
      <c r="U23" s="198"/>
    </row>
    <row r="24" spans="1:21" s="12" customFormat="1" x14ac:dyDescent="0.25">
      <c r="A24" s="214" t="s">
        <v>455</v>
      </c>
      <c r="B24" s="64">
        <v>4.84</v>
      </c>
      <c r="C24" s="64">
        <v>9.44</v>
      </c>
      <c r="D24" s="64">
        <v>14.28</v>
      </c>
      <c r="E24" s="64">
        <v>0.97</v>
      </c>
      <c r="F24" s="64">
        <v>2.29</v>
      </c>
      <c r="G24" s="64">
        <v>18.059999999999999</v>
      </c>
      <c r="H24" s="64">
        <v>6.88</v>
      </c>
      <c r="I24" s="64">
        <v>0.12</v>
      </c>
      <c r="J24" s="64">
        <v>7.0000000000000007E-2</v>
      </c>
      <c r="K24" s="64">
        <v>10.48</v>
      </c>
      <c r="L24" s="64">
        <v>22.44</v>
      </c>
      <c r="M24" s="64">
        <v>98.28</v>
      </c>
      <c r="N24" s="64">
        <v>7</v>
      </c>
      <c r="O24" s="64">
        <v>0</v>
      </c>
      <c r="P24" s="64">
        <v>0.26</v>
      </c>
      <c r="Q24" s="64">
        <v>18.47</v>
      </c>
      <c r="R24" s="198"/>
      <c r="S24" s="198"/>
      <c r="T24" s="198"/>
      <c r="U24" s="198"/>
    </row>
    <row r="25" spans="1:21" s="12" customFormat="1" x14ac:dyDescent="0.25">
      <c r="A25" s="214" t="s">
        <v>456</v>
      </c>
      <c r="B25" s="64">
        <v>4.79</v>
      </c>
      <c r="C25" s="64">
        <v>8.85</v>
      </c>
      <c r="D25" s="64">
        <v>13.64</v>
      </c>
      <c r="E25" s="64">
        <v>0.89</v>
      </c>
      <c r="F25" s="64">
        <v>3.73</v>
      </c>
      <c r="G25" s="64">
        <v>20.21</v>
      </c>
      <c r="H25" s="64">
        <v>6.64</v>
      </c>
      <c r="I25" s="64">
        <v>0.12</v>
      </c>
      <c r="J25" s="64">
        <v>0.12</v>
      </c>
      <c r="K25" s="64">
        <v>12.75</v>
      </c>
      <c r="L25" s="64">
        <v>22.42</v>
      </c>
      <c r="M25" s="64">
        <v>98.28</v>
      </c>
      <c r="N25" s="64">
        <v>6.9</v>
      </c>
      <c r="O25" s="64">
        <v>0</v>
      </c>
      <c r="P25" s="64">
        <v>0.26</v>
      </c>
      <c r="Q25" s="64">
        <v>17.68</v>
      </c>
      <c r="R25" s="198"/>
      <c r="S25" s="198"/>
      <c r="T25" s="198"/>
      <c r="U25" s="198"/>
    </row>
    <row r="26" spans="1:21" s="12" customFormat="1" x14ac:dyDescent="0.25">
      <c r="A26" s="214" t="s">
        <v>457</v>
      </c>
      <c r="B26" s="64">
        <v>4.6500000000000004</v>
      </c>
      <c r="C26" s="64">
        <v>8.59</v>
      </c>
      <c r="D26" s="64">
        <v>13.25</v>
      </c>
      <c r="E26" s="64">
        <v>1.66</v>
      </c>
      <c r="F26" s="64">
        <v>4.45</v>
      </c>
      <c r="G26" s="64">
        <v>20.21</v>
      </c>
      <c r="H26" s="64">
        <v>6.64</v>
      </c>
      <c r="I26" s="64">
        <v>0.12</v>
      </c>
      <c r="J26" s="64">
        <v>0.16</v>
      </c>
      <c r="K26" s="64">
        <v>36.33</v>
      </c>
      <c r="L26" s="64">
        <v>22.33</v>
      </c>
      <c r="M26" s="64">
        <v>98.28</v>
      </c>
      <c r="N26" s="64">
        <v>6.9</v>
      </c>
      <c r="O26" s="64">
        <v>0</v>
      </c>
      <c r="P26" s="64">
        <v>0.25</v>
      </c>
      <c r="Q26" s="64">
        <v>16.440000000000001</v>
      </c>
      <c r="R26" s="198"/>
      <c r="S26" s="198"/>
      <c r="T26" s="198"/>
      <c r="U26" s="198"/>
    </row>
    <row r="27" spans="1:21" s="12" customFormat="1" x14ac:dyDescent="0.25">
      <c r="A27" s="214" t="s">
        <v>458</v>
      </c>
      <c r="B27" s="64">
        <v>4.7699999999999996</v>
      </c>
      <c r="C27" s="64">
        <v>8.76</v>
      </c>
      <c r="D27" s="64">
        <v>13.53</v>
      </c>
      <c r="E27" s="64">
        <v>1.66</v>
      </c>
      <c r="F27" s="64">
        <v>1.1499999999999999</v>
      </c>
      <c r="G27" s="64">
        <v>20.21</v>
      </c>
      <c r="H27" s="64">
        <v>6.64</v>
      </c>
      <c r="I27" s="64">
        <v>0.12</v>
      </c>
      <c r="J27" s="64">
        <v>0.08</v>
      </c>
      <c r="K27" s="64">
        <v>48.42</v>
      </c>
      <c r="L27" s="64">
        <v>22.31</v>
      </c>
      <c r="M27" s="64">
        <v>98.29</v>
      </c>
      <c r="N27" s="64">
        <v>6.9</v>
      </c>
      <c r="O27" s="64">
        <v>0</v>
      </c>
      <c r="P27" s="64">
        <v>0.28000000000000003</v>
      </c>
      <c r="Q27" s="64">
        <v>16.64</v>
      </c>
      <c r="R27" s="198"/>
      <c r="S27" s="198"/>
      <c r="T27" s="198"/>
      <c r="U27" s="198"/>
    </row>
    <row r="28" spans="1:21" s="12" customFormat="1" x14ac:dyDescent="0.25">
      <c r="A28" s="214" t="s">
        <v>459</v>
      </c>
      <c r="B28" s="64">
        <v>4.5599999999999996</v>
      </c>
      <c r="C28" s="64">
        <v>9.14</v>
      </c>
      <c r="D28" s="64">
        <v>13.7</v>
      </c>
      <c r="E28" s="64">
        <v>1.86</v>
      </c>
      <c r="F28" s="64">
        <v>2.35</v>
      </c>
      <c r="G28" s="64">
        <v>18.5</v>
      </c>
      <c r="H28" s="64">
        <v>6.2</v>
      </c>
      <c r="I28" s="64">
        <v>0.12</v>
      </c>
      <c r="J28" s="64">
        <v>0.02</v>
      </c>
      <c r="K28" s="64">
        <v>18.79</v>
      </c>
      <c r="L28" s="64">
        <v>22.36</v>
      </c>
      <c r="M28" s="64">
        <v>98.29</v>
      </c>
      <c r="N28" s="64">
        <v>7</v>
      </c>
      <c r="O28" s="64">
        <v>0</v>
      </c>
      <c r="P28" s="64">
        <v>0.27</v>
      </c>
      <c r="Q28" s="64">
        <v>16.68</v>
      </c>
      <c r="R28" s="198"/>
      <c r="S28" s="198"/>
      <c r="T28" s="198"/>
      <c r="U28" s="198"/>
    </row>
    <row r="29" spans="1:21" s="12" customFormat="1" x14ac:dyDescent="0.25">
      <c r="A29" s="214" t="s">
        <v>460</v>
      </c>
      <c r="B29" s="64">
        <v>4.59</v>
      </c>
      <c r="C29" s="64">
        <v>8.86</v>
      </c>
      <c r="D29" s="64">
        <v>13.46</v>
      </c>
      <c r="E29" s="64">
        <v>1.34</v>
      </c>
      <c r="F29" s="64">
        <v>1.78</v>
      </c>
      <c r="G29" s="64">
        <v>17.010000000000002</v>
      </c>
      <c r="H29" s="64">
        <v>6.02</v>
      </c>
      <c r="I29" s="64">
        <v>0.12</v>
      </c>
      <c r="J29" s="64">
        <v>7.0000000000000007E-2</v>
      </c>
      <c r="K29" s="64">
        <v>153.30000000000001</v>
      </c>
      <c r="L29" s="64">
        <v>22.3</v>
      </c>
      <c r="M29" s="64">
        <v>98.3</v>
      </c>
      <c r="N29" s="64">
        <v>7</v>
      </c>
      <c r="O29" s="64">
        <v>0</v>
      </c>
      <c r="P29" s="64">
        <v>0.26</v>
      </c>
      <c r="Q29" s="64">
        <v>16.420000000000002</v>
      </c>
      <c r="R29" s="198"/>
      <c r="S29" s="198"/>
      <c r="T29" s="198"/>
      <c r="U29" s="198"/>
    </row>
    <row r="30" spans="1:21" s="12" customFormat="1" x14ac:dyDescent="0.25">
      <c r="A30" s="214" t="s">
        <v>461</v>
      </c>
      <c r="B30" s="64">
        <v>5.03</v>
      </c>
      <c r="C30" s="64">
        <v>9.16</v>
      </c>
      <c r="D30" s="64">
        <v>14.19</v>
      </c>
      <c r="E30" s="64">
        <v>1.54</v>
      </c>
      <c r="F30" s="64">
        <v>1.19</v>
      </c>
      <c r="G30" s="64">
        <v>17.010000000000002</v>
      </c>
      <c r="H30" s="64">
        <v>6.02</v>
      </c>
      <c r="I30" s="64">
        <v>0.13</v>
      </c>
      <c r="J30" s="64">
        <v>0.1</v>
      </c>
      <c r="K30" s="64">
        <v>20.34</v>
      </c>
      <c r="L30" s="64">
        <v>22.33</v>
      </c>
      <c r="M30" s="64">
        <v>98.3</v>
      </c>
      <c r="N30" s="64">
        <v>7</v>
      </c>
      <c r="O30" s="64">
        <v>0</v>
      </c>
      <c r="P30" s="64">
        <v>0.28000000000000003</v>
      </c>
      <c r="Q30" s="64">
        <v>16.27</v>
      </c>
      <c r="R30" s="198"/>
      <c r="S30" s="198"/>
      <c r="T30" s="198"/>
      <c r="U30" s="198"/>
    </row>
    <row r="31" spans="1:21" s="12" customFormat="1" x14ac:dyDescent="0.25">
      <c r="A31" s="214" t="s">
        <v>462</v>
      </c>
      <c r="B31" s="64">
        <v>5.67</v>
      </c>
      <c r="C31" s="64">
        <v>10.47</v>
      </c>
      <c r="D31" s="64">
        <v>16.14</v>
      </c>
      <c r="E31" s="64">
        <v>1.06</v>
      </c>
      <c r="F31" s="64">
        <v>0.96</v>
      </c>
      <c r="G31" s="64">
        <v>17.010000000000002</v>
      </c>
      <c r="H31" s="64">
        <v>6.02</v>
      </c>
      <c r="I31" s="64">
        <v>0.13</v>
      </c>
      <c r="J31" s="64">
        <v>0.11</v>
      </c>
      <c r="K31" s="64">
        <v>32.06</v>
      </c>
      <c r="L31" s="64">
        <v>22.41</v>
      </c>
      <c r="M31" s="64">
        <v>98.29</v>
      </c>
      <c r="N31" s="64">
        <v>8.1999999999999993</v>
      </c>
      <c r="O31" s="64">
        <v>0</v>
      </c>
      <c r="P31" s="64">
        <v>0.27</v>
      </c>
      <c r="Q31" s="64">
        <v>16.71</v>
      </c>
      <c r="R31" s="198"/>
      <c r="S31" s="198"/>
      <c r="T31" s="198"/>
      <c r="U31" s="198"/>
    </row>
    <row r="32" spans="1:21" s="12" customFormat="1" x14ac:dyDescent="0.25">
      <c r="A32" s="214" t="s">
        <v>463</v>
      </c>
      <c r="B32" s="64">
        <v>5.97</v>
      </c>
      <c r="C32" s="64">
        <v>12.14</v>
      </c>
      <c r="D32" s="64">
        <v>18.11</v>
      </c>
      <c r="E32" s="64">
        <v>1.84</v>
      </c>
      <c r="F32" s="64">
        <v>2.48</v>
      </c>
      <c r="G32" s="64">
        <v>17.78</v>
      </c>
      <c r="H32" s="64">
        <v>6.78</v>
      </c>
      <c r="I32" s="64">
        <v>0.13</v>
      </c>
      <c r="J32" s="64">
        <v>0.16</v>
      </c>
      <c r="K32" s="64">
        <v>20.010000000000002</v>
      </c>
      <c r="L32" s="64">
        <v>22.48</v>
      </c>
      <c r="M32" s="64">
        <v>98.31</v>
      </c>
      <c r="N32" s="64">
        <v>15.9</v>
      </c>
      <c r="O32" s="64">
        <v>0</v>
      </c>
      <c r="P32" s="64">
        <v>0.28000000000000003</v>
      </c>
      <c r="Q32" s="64">
        <v>16.97</v>
      </c>
      <c r="R32" s="198"/>
      <c r="S32" s="198"/>
      <c r="T32" s="198"/>
      <c r="U32" s="198"/>
    </row>
    <row r="33" spans="1:21" s="12" customFormat="1" x14ac:dyDescent="0.25">
      <c r="A33" s="214" t="s">
        <v>464</v>
      </c>
      <c r="B33" s="64">
        <v>6.78</v>
      </c>
      <c r="C33" s="64">
        <v>12.96</v>
      </c>
      <c r="D33" s="64">
        <v>19.739999999999998</v>
      </c>
      <c r="E33" s="64">
        <v>1.32</v>
      </c>
      <c r="F33" s="64">
        <v>2.12</v>
      </c>
      <c r="G33" s="64">
        <v>18.46</v>
      </c>
      <c r="H33" s="64">
        <v>7.38</v>
      </c>
      <c r="I33" s="64">
        <v>0.12</v>
      </c>
      <c r="J33" s="64">
        <v>0.15</v>
      </c>
      <c r="K33" s="64">
        <v>13.39</v>
      </c>
      <c r="L33" s="64">
        <v>22.58</v>
      </c>
      <c r="M33" s="64">
        <v>98.3</v>
      </c>
      <c r="N33" s="64">
        <v>30.8</v>
      </c>
      <c r="O33" s="64">
        <v>0</v>
      </c>
      <c r="P33" s="64">
        <v>0.28000000000000003</v>
      </c>
      <c r="Q33" s="64">
        <v>16.98</v>
      </c>
      <c r="R33" s="198"/>
      <c r="S33" s="198"/>
      <c r="T33" s="198"/>
      <c r="U33" s="198"/>
    </row>
    <row r="34" spans="1:21" s="12" customFormat="1" x14ac:dyDescent="0.25">
      <c r="A34" s="214" t="s">
        <v>465</v>
      </c>
      <c r="B34" s="64">
        <v>9.0299999999999994</v>
      </c>
      <c r="C34" s="64">
        <v>13.54</v>
      </c>
      <c r="D34" s="64">
        <v>22.57</v>
      </c>
      <c r="E34" s="64">
        <v>1.68</v>
      </c>
      <c r="F34" s="64">
        <v>2.16</v>
      </c>
      <c r="G34" s="64">
        <v>18.46</v>
      </c>
      <c r="H34" s="64">
        <v>7.38</v>
      </c>
      <c r="I34" s="64">
        <v>0.12</v>
      </c>
      <c r="J34" s="64">
        <v>0.18</v>
      </c>
      <c r="K34" s="64">
        <v>22.31</v>
      </c>
      <c r="L34" s="64">
        <v>22.72</v>
      </c>
      <c r="M34" s="64">
        <v>98.29</v>
      </c>
      <c r="N34" s="64">
        <v>34.4</v>
      </c>
      <c r="O34" s="64">
        <v>0</v>
      </c>
      <c r="P34" s="64">
        <v>0.3</v>
      </c>
      <c r="Q34" s="64">
        <v>17.09</v>
      </c>
      <c r="R34" s="198"/>
      <c r="S34" s="198"/>
      <c r="T34" s="198"/>
      <c r="U34" s="198"/>
    </row>
    <row r="35" spans="1:21" s="12" customFormat="1" x14ac:dyDescent="0.25">
      <c r="A35" s="214" t="s">
        <v>466</v>
      </c>
      <c r="B35" s="64">
        <v>10.18</v>
      </c>
      <c r="C35" s="64">
        <v>13.95</v>
      </c>
      <c r="D35" s="64">
        <v>24.13</v>
      </c>
      <c r="E35" s="64">
        <v>1.31</v>
      </c>
      <c r="F35" s="64">
        <v>2.02</v>
      </c>
      <c r="G35" s="64">
        <v>18.46</v>
      </c>
      <c r="H35" s="64">
        <v>7.38</v>
      </c>
      <c r="I35" s="64">
        <v>0.12</v>
      </c>
      <c r="J35" s="64">
        <v>0.17</v>
      </c>
      <c r="K35" s="64">
        <v>358.39</v>
      </c>
      <c r="L35" s="64">
        <v>22.92</v>
      </c>
      <c r="M35" s="64">
        <v>98.28</v>
      </c>
      <c r="N35" s="64">
        <v>40.200000000000003</v>
      </c>
      <c r="O35" s="64">
        <v>0</v>
      </c>
      <c r="P35" s="64">
        <v>0.31</v>
      </c>
      <c r="Q35" s="64">
        <v>17.04</v>
      </c>
      <c r="R35" s="198"/>
      <c r="S35" s="198"/>
      <c r="T35" s="198"/>
      <c r="U35" s="198"/>
    </row>
    <row r="36" spans="1:21" s="12" customFormat="1" x14ac:dyDescent="0.25">
      <c r="A36" s="214" t="s">
        <v>467</v>
      </c>
      <c r="B36" s="64">
        <v>9.15</v>
      </c>
      <c r="C36" s="64">
        <v>12.78</v>
      </c>
      <c r="D36" s="64">
        <v>21.93</v>
      </c>
      <c r="E36" s="64">
        <v>1.79</v>
      </c>
      <c r="F36" s="64">
        <v>0.69</v>
      </c>
      <c r="G36" s="64">
        <v>21.86</v>
      </c>
      <c r="H36" s="64">
        <v>8.91</v>
      </c>
      <c r="I36" s="64">
        <v>0.12</v>
      </c>
      <c r="J36" s="64">
        <v>0.2</v>
      </c>
      <c r="K36" s="64">
        <v>353.86</v>
      </c>
      <c r="L36" s="64">
        <v>23.13</v>
      </c>
      <c r="M36" s="64">
        <v>98.28</v>
      </c>
      <c r="N36" s="64">
        <v>46.9</v>
      </c>
      <c r="O36" s="64">
        <v>0</v>
      </c>
      <c r="P36" s="64">
        <v>0.31</v>
      </c>
      <c r="Q36" s="64">
        <v>17.010000000000002</v>
      </c>
      <c r="R36" s="198"/>
      <c r="S36" s="198"/>
      <c r="T36" s="198"/>
      <c r="U36" s="198"/>
    </row>
    <row r="37" spans="1:21" s="12" customFormat="1" x14ac:dyDescent="0.25">
      <c r="A37" s="214" t="s">
        <v>468</v>
      </c>
      <c r="B37" s="64">
        <v>8.69</v>
      </c>
      <c r="C37" s="64">
        <v>10.62</v>
      </c>
      <c r="D37" s="64">
        <v>19.309999999999999</v>
      </c>
      <c r="E37" s="64">
        <v>1.67</v>
      </c>
      <c r="F37" s="64">
        <v>1.5</v>
      </c>
      <c r="G37" s="64">
        <v>24.83</v>
      </c>
      <c r="H37" s="64">
        <v>9.52</v>
      </c>
      <c r="I37" s="64">
        <v>0.12</v>
      </c>
      <c r="J37" s="64">
        <v>0.17</v>
      </c>
      <c r="K37" s="64">
        <v>8.0299999999999994</v>
      </c>
      <c r="L37" s="64">
        <v>23.23</v>
      </c>
      <c r="M37" s="64">
        <v>98.27</v>
      </c>
      <c r="N37" s="64">
        <v>63</v>
      </c>
      <c r="O37" s="64">
        <v>0</v>
      </c>
      <c r="P37" s="64">
        <v>0.3</v>
      </c>
      <c r="Q37" s="64">
        <v>16.16</v>
      </c>
      <c r="R37" s="198"/>
      <c r="S37" s="198"/>
      <c r="T37" s="198"/>
      <c r="U37" s="198"/>
    </row>
    <row r="38" spans="1:21" s="12" customFormat="1" x14ac:dyDescent="0.25">
      <c r="A38" s="214" t="s">
        <v>469</v>
      </c>
      <c r="B38" s="64">
        <v>9.1300000000000008</v>
      </c>
      <c r="C38" s="64">
        <v>10.8</v>
      </c>
      <c r="D38" s="64">
        <v>19.940000000000001</v>
      </c>
      <c r="E38" s="64">
        <v>1.38</v>
      </c>
      <c r="F38" s="64">
        <v>1.24</v>
      </c>
      <c r="G38" s="64">
        <v>24.83</v>
      </c>
      <c r="H38" s="64">
        <v>9.52</v>
      </c>
      <c r="I38" s="64">
        <v>0.12</v>
      </c>
      <c r="J38" s="64">
        <v>0.17</v>
      </c>
      <c r="K38" s="64">
        <v>15.02</v>
      </c>
      <c r="L38" s="64">
        <v>23.3</v>
      </c>
      <c r="M38" s="64">
        <v>98.07</v>
      </c>
      <c r="N38" s="64">
        <v>102.5</v>
      </c>
      <c r="O38" s="64">
        <v>0</v>
      </c>
      <c r="P38" s="64">
        <v>0.33</v>
      </c>
      <c r="Q38" s="64">
        <v>15.59</v>
      </c>
      <c r="R38" s="198"/>
      <c r="S38" s="198"/>
      <c r="T38" s="198"/>
      <c r="U38" s="198"/>
    </row>
    <row r="39" spans="1:21" s="12" customFormat="1" x14ac:dyDescent="0.25">
      <c r="A39" s="214" t="s">
        <v>470</v>
      </c>
      <c r="B39" s="64">
        <v>8.59</v>
      </c>
      <c r="C39" s="64">
        <v>11.29</v>
      </c>
      <c r="D39" s="64">
        <v>19.88</v>
      </c>
      <c r="E39" s="64">
        <v>2.15</v>
      </c>
      <c r="F39" s="64">
        <v>1.03</v>
      </c>
      <c r="G39" s="64">
        <v>24.83</v>
      </c>
      <c r="H39" s="64">
        <v>9.52</v>
      </c>
      <c r="I39" s="64">
        <v>0.12</v>
      </c>
      <c r="J39" s="64">
        <v>0.14000000000000001</v>
      </c>
      <c r="K39" s="64">
        <v>24.35</v>
      </c>
      <c r="L39" s="64">
        <v>23.88</v>
      </c>
      <c r="M39" s="64">
        <v>95.08</v>
      </c>
      <c r="N39" s="64">
        <v>237.4</v>
      </c>
      <c r="O39" s="64">
        <v>0</v>
      </c>
      <c r="P39" s="64">
        <v>0.33</v>
      </c>
      <c r="Q39" s="64">
        <v>16.100000000000001</v>
      </c>
      <c r="R39" s="198"/>
      <c r="S39" s="198"/>
      <c r="T39" s="198"/>
      <c r="U39" s="198"/>
    </row>
    <row r="40" spans="1:21" s="12" customFormat="1" x14ac:dyDescent="0.25">
      <c r="A40" s="214" t="s">
        <v>471</v>
      </c>
      <c r="B40" s="64">
        <v>8.48</v>
      </c>
      <c r="C40" s="64">
        <v>11.32</v>
      </c>
      <c r="D40" s="64">
        <v>19.8</v>
      </c>
      <c r="E40" s="64">
        <v>0.59</v>
      </c>
      <c r="F40" s="64">
        <v>0.91</v>
      </c>
      <c r="G40" s="64">
        <v>23.66</v>
      </c>
      <c r="H40" s="64">
        <v>7.66</v>
      </c>
      <c r="I40" s="64">
        <v>0.13</v>
      </c>
      <c r="J40" s="64">
        <v>0.12</v>
      </c>
      <c r="K40" s="64">
        <v>144.43</v>
      </c>
      <c r="L40" s="64">
        <v>24.65</v>
      </c>
      <c r="M40" s="64">
        <v>91.39</v>
      </c>
      <c r="N40" s="64">
        <v>223.3</v>
      </c>
      <c r="O40" s="64">
        <v>0</v>
      </c>
      <c r="P40" s="64">
        <v>0.36</v>
      </c>
      <c r="Q40" s="64">
        <v>15.92</v>
      </c>
      <c r="R40" s="198"/>
      <c r="S40" s="198"/>
      <c r="T40" s="198"/>
      <c r="U40" s="198"/>
    </row>
    <row r="41" spans="1:21" s="12" customFormat="1" x14ac:dyDescent="0.25">
      <c r="A41" s="214" t="s">
        <v>472</v>
      </c>
      <c r="B41" s="64">
        <v>8.2200000000000006</v>
      </c>
      <c r="C41" s="64">
        <v>11.5</v>
      </c>
      <c r="D41" s="64">
        <v>19.71</v>
      </c>
      <c r="E41" s="64">
        <v>1.35</v>
      </c>
      <c r="F41" s="64">
        <v>1.7</v>
      </c>
      <c r="G41" s="64">
        <v>22.64</v>
      </c>
      <c r="H41" s="64">
        <v>6.9</v>
      </c>
      <c r="I41" s="64">
        <v>0.13</v>
      </c>
      <c r="J41" s="64">
        <v>0.57999999999999996</v>
      </c>
      <c r="K41" s="64">
        <v>150.6</v>
      </c>
      <c r="L41" s="64">
        <v>24.22</v>
      </c>
      <c r="M41" s="64">
        <v>93.29</v>
      </c>
      <c r="N41" s="64">
        <v>224.4</v>
      </c>
      <c r="O41" s="64">
        <v>0</v>
      </c>
      <c r="P41" s="64">
        <v>0.38</v>
      </c>
      <c r="Q41" s="64">
        <v>16.04</v>
      </c>
      <c r="R41" s="198"/>
      <c r="S41" s="198"/>
      <c r="T41" s="198"/>
      <c r="U41" s="198"/>
    </row>
    <row r="42" spans="1:21" s="12" customFormat="1" x14ac:dyDescent="0.25">
      <c r="A42" s="214" t="s">
        <v>473</v>
      </c>
      <c r="B42" s="64">
        <v>8.01</v>
      </c>
      <c r="C42" s="64">
        <v>10.75</v>
      </c>
      <c r="D42" s="64">
        <v>18.75</v>
      </c>
      <c r="E42" s="64">
        <v>1.29</v>
      </c>
      <c r="F42" s="64">
        <v>0.56999999999999995</v>
      </c>
      <c r="G42" s="64">
        <v>22.64</v>
      </c>
      <c r="H42" s="64">
        <v>6.9</v>
      </c>
      <c r="I42" s="64">
        <v>0.12</v>
      </c>
      <c r="J42" s="64">
        <v>0.28000000000000003</v>
      </c>
      <c r="K42" s="64">
        <v>164.12</v>
      </c>
      <c r="L42" s="64">
        <v>24.24</v>
      </c>
      <c r="M42" s="64">
        <v>93.39</v>
      </c>
      <c r="N42" s="64">
        <v>228.9</v>
      </c>
      <c r="O42" s="64">
        <v>0</v>
      </c>
      <c r="P42" s="64">
        <v>0.4</v>
      </c>
      <c r="Q42" s="64">
        <v>15.51</v>
      </c>
      <c r="R42" s="198"/>
      <c r="S42" s="198"/>
      <c r="T42" s="198"/>
      <c r="U42" s="198"/>
    </row>
    <row r="43" spans="1:21" s="12" customFormat="1" x14ac:dyDescent="0.25">
      <c r="A43" s="214" t="s">
        <v>474</v>
      </c>
      <c r="B43" s="64">
        <v>7.97</v>
      </c>
      <c r="C43" s="64">
        <v>12.27</v>
      </c>
      <c r="D43" s="64">
        <v>20.25</v>
      </c>
      <c r="E43" s="64">
        <v>0.76</v>
      </c>
      <c r="F43" s="64">
        <v>4.12</v>
      </c>
      <c r="G43" s="64">
        <v>22.64</v>
      </c>
      <c r="H43" s="64">
        <v>6.9</v>
      </c>
      <c r="I43" s="64">
        <v>0.13</v>
      </c>
      <c r="J43" s="64">
        <v>0.49</v>
      </c>
      <c r="K43" s="64">
        <v>161.66999999999999</v>
      </c>
      <c r="L43" s="64">
        <v>24.22</v>
      </c>
      <c r="M43" s="64">
        <v>93.46</v>
      </c>
      <c r="N43" s="64">
        <v>170</v>
      </c>
      <c r="O43" s="64">
        <v>0</v>
      </c>
      <c r="P43" s="64">
        <v>0.46</v>
      </c>
      <c r="Q43" s="64">
        <v>16.37</v>
      </c>
      <c r="R43" s="198"/>
      <c r="S43" s="198"/>
      <c r="T43" s="198"/>
      <c r="U43" s="198"/>
    </row>
    <row r="44" spans="1:21" s="12" customFormat="1" x14ac:dyDescent="0.25">
      <c r="A44" s="214" t="s">
        <v>475</v>
      </c>
      <c r="B44" s="64">
        <v>7.92</v>
      </c>
      <c r="C44" s="64">
        <v>14.46</v>
      </c>
      <c r="D44" s="64">
        <v>22.39</v>
      </c>
      <c r="E44" s="64">
        <v>1.26</v>
      </c>
      <c r="F44" s="64">
        <v>4.09</v>
      </c>
      <c r="G44" s="64">
        <v>26.78</v>
      </c>
      <c r="H44" s="64">
        <v>8.6300000000000008</v>
      </c>
      <c r="I44" s="64">
        <v>0.13</v>
      </c>
      <c r="J44" s="64">
        <v>0.36</v>
      </c>
      <c r="K44" s="64">
        <v>137.55000000000001</v>
      </c>
      <c r="L44" s="64">
        <v>24.21</v>
      </c>
      <c r="M44" s="64">
        <v>93.66</v>
      </c>
      <c r="N44" s="64">
        <v>142.19999999999999</v>
      </c>
      <c r="O44" s="64">
        <v>0</v>
      </c>
      <c r="P44" s="64">
        <v>0.48</v>
      </c>
      <c r="Q44" s="64">
        <v>16.899999999999999</v>
      </c>
      <c r="R44" s="198"/>
      <c r="S44" s="198"/>
      <c r="T44" s="198"/>
      <c r="U44" s="198"/>
    </row>
    <row r="45" spans="1:21" s="12" customFormat="1" x14ac:dyDescent="0.25">
      <c r="A45" s="214" t="s">
        <v>476</v>
      </c>
      <c r="B45" s="64">
        <v>7.23</v>
      </c>
      <c r="C45" s="64">
        <v>12.89</v>
      </c>
      <c r="D45" s="64">
        <v>20.12</v>
      </c>
      <c r="E45" s="64">
        <v>1.6</v>
      </c>
      <c r="F45" s="64">
        <v>2.65</v>
      </c>
      <c r="G45" s="64">
        <v>30.39</v>
      </c>
      <c r="H45" s="64">
        <v>9.32</v>
      </c>
      <c r="I45" s="64">
        <v>0.12</v>
      </c>
      <c r="J45" s="64">
        <v>0.1</v>
      </c>
      <c r="K45" s="64">
        <v>124.33</v>
      </c>
      <c r="L45" s="64">
        <v>24.26</v>
      </c>
      <c r="M45" s="64">
        <v>94.04</v>
      </c>
      <c r="N45" s="64">
        <v>159.80000000000001</v>
      </c>
      <c r="O45" s="64">
        <v>0</v>
      </c>
      <c r="P45" s="64">
        <v>0.42</v>
      </c>
      <c r="Q45" s="64">
        <v>17.239999999999998</v>
      </c>
      <c r="R45" s="198"/>
      <c r="S45" s="198"/>
      <c r="T45" s="198"/>
      <c r="U45" s="198"/>
    </row>
    <row r="46" spans="1:21" s="12" customFormat="1" x14ac:dyDescent="0.25">
      <c r="A46" s="214" t="s">
        <v>477</v>
      </c>
      <c r="B46" s="64">
        <v>10.53</v>
      </c>
      <c r="C46" s="64">
        <v>15.34</v>
      </c>
      <c r="D46" s="64">
        <v>25.87</v>
      </c>
      <c r="E46" s="64">
        <v>1.65</v>
      </c>
      <c r="F46" s="64">
        <v>4.66</v>
      </c>
      <c r="G46" s="64">
        <v>30.39</v>
      </c>
      <c r="H46" s="64">
        <v>9.32</v>
      </c>
      <c r="I46" s="64">
        <v>0.12</v>
      </c>
      <c r="J46" s="64">
        <v>0.18</v>
      </c>
      <c r="K46" s="64">
        <v>358.96</v>
      </c>
      <c r="L46" s="64">
        <v>24.83</v>
      </c>
      <c r="M46" s="64">
        <v>91.71</v>
      </c>
      <c r="N46" s="64">
        <v>132.5</v>
      </c>
      <c r="O46" s="64">
        <v>0</v>
      </c>
      <c r="P46" s="64">
        <v>0.48</v>
      </c>
      <c r="Q46" s="64">
        <v>16.850000000000001</v>
      </c>
      <c r="R46" s="198"/>
      <c r="S46" s="198"/>
      <c r="T46" s="198"/>
      <c r="U46" s="198"/>
    </row>
    <row r="47" spans="1:21" s="12" customFormat="1" x14ac:dyDescent="0.25">
      <c r="A47" s="214" t="s">
        <v>478</v>
      </c>
      <c r="B47" s="64">
        <v>15</v>
      </c>
      <c r="C47" s="64">
        <v>22.32</v>
      </c>
      <c r="D47" s="64">
        <v>37.31</v>
      </c>
      <c r="E47" s="64">
        <v>1.31</v>
      </c>
      <c r="F47" s="64">
        <v>6.07</v>
      </c>
      <c r="G47" s="64">
        <v>30.39</v>
      </c>
      <c r="H47" s="64">
        <v>9.32</v>
      </c>
      <c r="I47" s="64">
        <v>0.12</v>
      </c>
      <c r="J47" s="64">
        <v>0.3</v>
      </c>
      <c r="K47" s="64">
        <v>349.91</v>
      </c>
      <c r="L47" s="64">
        <v>24.81</v>
      </c>
      <c r="M47" s="64">
        <v>93.13</v>
      </c>
      <c r="N47" s="64">
        <v>26</v>
      </c>
      <c r="O47" s="64">
        <v>0</v>
      </c>
      <c r="P47" s="64">
        <v>0.72</v>
      </c>
      <c r="Q47" s="64">
        <v>15.94</v>
      </c>
      <c r="R47" s="198"/>
      <c r="S47" s="198"/>
      <c r="T47" s="198"/>
      <c r="U47" s="198"/>
    </row>
    <row r="48" spans="1:21" s="12" customFormat="1" x14ac:dyDescent="0.25">
      <c r="A48" s="214" t="s">
        <v>479</v>
      </c>
      <c r="B48" s="64">
        <v>10.34</v>
      </c>
      <c r="C48" s="64">
        <v>14.69</v>
      </c>
      <c r="D48" s="64">
        <v>25.03</v>
      </c>
      <c r="E48" s="64">
        <v>1.59</v>
      </c>
      <c r="F48" s="64">
        <v>0.56999999999999995</v>
      </c>
      <c r="G48" s="64">
        <v>32.369999999999997</v>
      </c>
      <c r="H48" s="64">
        <v>8.01</v>
      </c>
      <c r="I48" s="64">
        <v>0.13</v>
      </c>
      <c r="J48" s="64">
        <v>2.4</v>
      </c>
      <c r="K48" s="64">
        <v>108.32</v>
      </c>
      <c r="L48" s="64">
        <v>22.58</v>
      </c>
      <c r="M48" s="64">
        <v>97.44</v>
      </c>
      <c r="N48" s="64">
        <v>18.100000000000001</v>
      </c>
      <c r="O48" s="64">
        <v>2</v>
      </c>
      <c r="P48" s="64">
        <v>0.55000000000000004</v>
      </c>
      <c r="Q48" s="64">
        <v>16.5</v>
      </c>
      <c r="R48" s="198"/>
      <c r="S48" s="198"/>
      <c r="T48" s="198"/>
      <c r="U48" s="198"/>
    </row>
    <row r="49" spans="1:21" s="12" customFormat="1" x14ac:dyDescent="0.25">
      <c r="A49" s="214" t="s">
        <v>480</v>
      </c>
      <c r="B49" s="64">
        <v>8.76</v>
      </c>
      <c r="C49" s="64">
        <v>11.82</v>
      </c>
      <c r="D49" s="64">
        <v>20.58</v>
      </c>
      <c r="E49" s="64">
        <v>1.64</v>
      </c>
      <c r="F49" s="64">
        <v>1.81</v>
      </c>
      <c r="G49" s="64">
        <v>34.1</v>
      </c>
      <c r="H49" s="64">
        <v>7.49</v>
      </c>
      <c r="I49" s="64">
        <v>0.13</v>
      </c>
      <c r="J49" s="64">
        <v>0.83</v>
      </c>
      <c r="K49" s="64">
        <v>114.77</v>
      </c>
      <c r="L49" s="64">
        <v>21.28</v>
      </c>
      <c r="M49" s="64">
        <v>98.33</v>
      </c>
      <c r="N49" s="64">
        <v>32.5</v>
      </c>
      <c r="O49" s="64">
        <v>1</v>
      </c>
      <c r="P49" s="64">
        <v>0.49</v>
      </c>
      <c r="Q49" s="64">
        <v>18.48</v>
      </c>
      <c r="R49" s="198"/>
      <c r="S49" s="198"/>
      <c r="T49" s="198"/>
      <c r="U49" s="198"/>
    </row>
    <row r="50" spans="1:21" s="12" customFormat="1" x14ac:dyDescent="0.25">
      <c r="A50" s="214" t="s">
        <v>481</v>
      </c>
      <c r="B50" s="64">
        <v>8.01</v>
      </c>
      <c r="C50" s="64">
        <v>15.14</v>
      </c>
      <c r="D50" s="64">
        <v>23.15</v>
      </c>
      <c r="E50" s="64">
        <v>1.57</v>
      </c>
      <c r="F50" s="64">
        <v>2.94</v>
      </c>
      <c r="G50" s="64">
        <v>34.1</v>
      </c>
      <c r="H50" s="64">
        <v>7.49</v>
      </c>
      <c r="I50" s="64">
        <v>0.13</v>
      </c>
      <c r="J50" s="64">
        <v>0.13</v>
      </c>
      <c r="K50" s="64">
        <v>207.08</v>
      </c>
      <c r="L50" s="64">
        <v>21.25</v>
      </c>
      <c r="M50" s="64">
        <v>98.33</v>
      </c>
      <c r="N50" s="64">
        <v>33.9</v>
      </c>
      <c r="O50" s="64">
        <v>0.6</v>
      </c>
      <c r="P50" s="64">
        <v>0.46</v>
      </c>
      <c r="Q50" s="64">
        <v>19.39</v>
      </c>
      <c r="R50" s="198"/>
      <c r="S50" s="198"/>
      <c r="T50" s="198"/>
      <c r="U50" s="198"/>
    </row>
    <row r="51" spans="1:21" s="12" customFormat="1" x14ac:dyDescent="0.25">
      <c r="A51" s="214" t="s">
        <v>482</v>
      </c>
      <c r="B51" s="64">
        <v>9.06</v>
      </c>
      <c r="C51" s="64">
        <v>17.420000000000002</v>
      </c>
      <c r="D51" s="64">
        <v>26.48</v>
      </c>
      <c r="E51" s="64">
        <v>1.36</v>
      </c>
      <c r="F51" s="64">
        <v>2</v>
      </c>
      <c r="G51" s="64">
        <v>34.1</v>
      </c>
      <c r="H51" s="64">
        <v>7.49</v>
      </c>
      <c r="I51" s="64">
        <v>0.13</v>
      </c>
      <c r="J51" s="64">
        <v>0.36</v>
      </c>
      <c r="K51" s="64">
        <v>346.49</v>
      </c>
      <c r="L51" s="64">
        <v>21.63</v>
      </c>
      <c r="M51" s="64">
        <v>98.35</v>
      </c>
      <c r="N51" s="64">
        <v>39.799999999999997</v>
      </c>
      <c r="O51" s="64">
        <v>0.4</v>
      </c>
      <c r="P51" s="64">
        <v>0.49</v>
      </c>
      <c r="Q51" s="64">
        <v>19.02</v>
      </c>
      <c r="R51" s="198"/>
      <c r="S51" s="198"/>
      <c r="T51" s="198"/>
      <c r="U51" s="198"/>
    </row>
    <row r="52" spans="1:21" s="12" customFormat="1" x14ac:dyDescent="0.25">
      <c r="A52" s="214" t="s">
        <v>483</v>
      </c>
      <c r="B52" s="64">
        <v>11.95</v>
      </c>
      <c r="C52" s="64">
        <v>24.35</v>
      </c>
      <c r="D52" s="64">
        <v>36.299999999999997</v>
      </c>
      <c r="E52" s="64">
        <v>1.42</v>
      </c>
      <c r="F52" s="64">
        <v>3.47</v>
      </c>
      <c r="G52" s="64">
        <v>28.73</v>
      </c>
      <c r="H52" s="64">
        <v>8.44</v>
      </c>
      <c r="I52" s="64">
        <v>0.13</v>
      </c>
      <c r="J52" s="64">
        <v>7.0000000000000007E-2</v>
      </c>
      <c r="K52" s="64">
        <v>76.69</v>
      </c>
      <c r="L52" s="64">
        <v>21.62</v>
      </c>
      <c r="M52" s="64">
        <v>98.35</v>
      </c>
      <c r="N52" s="64">
        <v>28.4</v>
      </c>
      <c r="O52" s="64">
        <v>0.4</v>
      </c>
      <c r="P52" s="64">
        <v>0.56999999999999995</v>
      </c>
      <c r="Q52" s="64">
        <v>18.809999999999999</v>
      </c>
      <c r="R52" s="198"/>
      <c r="S52" s="198"/>
      <c r="T52" s="198"/>
      <c r="U52" s="198"/>
    </row>
    <row r="53" spans="1:21" s="12" customFormat="1" x14ac:dyDescent="0.25">
      <c r="A53" s="214" t="s">
        <v>484</v>
      </c>
      <c r="B53" s="64">
        <v>9.1300000000000008</v>
      </c>
      <c r="C53" s="64">
        <v>16.55</v>
      </c>
      <c r="D53" s="64">
        <v>25.68</v>
      </c>
      <c r="E53" s="64">
        <v>1.04</v>
      </c>
      <c r="F53" s="64">
        <v>1.61</v>
      </c>
      <c r="G53" s="64">
        <v>24.03</v>
      </c>
      <c r="H53" s="64">
        <v>8.82</v>
      </c>
      <c r="I53" s="64">
        <v>0.13</v>
      </c>
      <c r="J53" s="64">
        <v>0.09</v>
      </c>
      <c r="K53" s="64">
        <v>77.040000000000006</v>
      </c>
      <c r="L53" s="64">
        <v>21.47</v>
      </c>
      <c r="M53" s="64">
        <v>98.35</v>
      </c>
      <c r="N53" s="64">
        <v>37.799999999999997</v>
      </c>
      <c r="O53" s="64">
        <v>1.6</v>
      </c>
      <c r="P53" s="64">
        <v>0.52</v>
      </c>
      <c r="Q53" s="64">
        <v>18.71</v>
      </c>
      <c r="R53" s="198"/>
      <c r="S53" s="198"/>
      <c r="T53" s="198"/>
      <c r="U53" s="198"/>
    </row>
    <row r="54" spans="1:21" s="12" customFormat="1" x14ac:dyDescent="0.25">
      <c r="A54" s="214" t="s">
        <v>485</v>
      </c>
      <c r="B54" s="64">
        <v>8.32</v>
      </c>
      <c r="C54" s="64">
        <v>14.75</v>
      </c>
      <c r="D54" s="64">
        <v>23.08</v>
      </c>
      <c r="E54" s="64">
        <v>1.68</v>
      </c>
      <c r="F54" s="64">
        <v>1.63</v>
      </c>
      <c r="G54" s="64">
        <v>24.03</v>
      </c>
      <c r="H54" s="64">
        <v>8.82</v>
      </c>
      <c r="I54" s="64">
        <v>0.12</v>
      </c>
      <c r="J54" s="64">
        <v>0.15</v>
      </c>
      <c r="K54" s="64">
        <v>66.75</v>
      </c>
      <c r="L54" s="64">
        <v>21.49</v>
      </c>
      <c r="M54" s="64">
        <v>98.35</v>
      </c>
      <c r="N54" s="64">
        <v>60.9</v>
      </c>
      <c r="O54" s="64">
        <v>0.2</v>
      </c>
      <c r="P54" s="64">
        <v>0.52</v>
      </c>
      <c r="Q54" s="64">
        <v>18.86</v>
      </c>
      <c r="R54" s="198"/>
      <c r="S54" s="198"/>
      <c r="T54" s="198"/>
      <c r="U54" s="198"/>
    </row>
    <row r="55" spans="1:21" s="12" customFormat="1" x14ac:dyDescent="0.25">
      <c r="A55" s="214" t="s">
        <v>486</v>
      </c>
      <c r="B55" s="64">
        <v>12.79</v>
      </c>
      <c r="C55" s="64">
        <v>22.78</v>
      </c>
      <c r="D55" s="64">
        <v>35.58</v>
      </c>
      <c r="E55" s="64">
        <v>1.49</v>
      </c>
      <c r="F55" s="64">
        <v>2.48</v>
      </c>
      <c r="G55" s="64">
        <v>24.03</v>
      </c>
      <c r="H55" s="64">
        <v>8.82</v>
      </c>
      <c r="I55" s="64">
        <v>0.13</v>
      </c>
      <c r="J55" s="64">
        <v>0.11</v>
      </c>
      <c r="K55" s="64">
        <v>340.79</v>
      </c>
      <c r="L55" s="64">
        <v>21.85</v>
      </c>
      <c r="M55" s="64">
        <v>98.35</v>
      </c>
      <c r="N55" s="64">
        <v>88.1</v>
      </c>
      <c r="O55" s="64">
        <v>0.2</v>
      </c>
      <c r="P55" s="64">
        <v>0.64</v>
      </c>
      <c r="Q55" s="64">
        <v>18.670000000000002</v>
      </c>
      <c r="R55" s="198"/>
      <c r="S55" s="198"/>
      <c r="T55" s="198"/>
      <c r="U55" s="198"/>
    </row>
    <row r="56" spans="1:21" s="12" customFormat="1" x14ac:dyDescent="0.25">
      <c r="A56" s="214" t="s">
        <v>487</v>
      </c>
      <c r="B56" s="64">
        <v>12.44</v>
      </c>
      <c r="C56" s="64">
        <v>21.49</v>
      </c>
      <c r="D56" s="64">
        <v>33.93</v>
      </c>
      <c r="E56" s="64">
        <v>0.62</v>
      </c>
      <c r="F56" s="64">
        <v>2.86</v>
      </c>
      <c r="G56" s="64">
        <v>23.29</v>
      </c>
      <c r="H56" s="64">
        <v>10.35</v>
      </c>
      <c r="I56" s="64">
        <v>0.12</v>
      </c>
      <c r="J56" s="64">
        <v>0.24</v>
      </c>
      <c r="K56" s="64">
        <v>333.97</v>
      </c>
      <c r="L56" s="64">
        <v>22.29</v>
      </c>
      <c r="M56" s="64">
        <v>98.34</v>
      </c>
      <c r="N56" s="64">
        <v>122.5</v>
      </c>
      <c r="O56" s="64">
        <v>0</v>
      </c>
      <c r="P56" s="64">
        <v>0.63</v>
      </c>
      <c r="Q56" s="64">
        <v>19.29</v>
      </c>
      <c r="R56" s="198"/>
      <c r="S56" s="198"/>
      <c r="T56" s="198"/>
      <c r="U56" s="198"/>
    </row>
    <row r="57" spans="1:21" s="12" customFormat="1" x14ac:dyDescent="0.25">
      <c r="A57" s="214" t="s">
        <v>488</v>
      </c>
      <c r="B57" s="64">
        <v>12.16</v>
      </c>
      <c r="C57" s="64">
        <v>16.690000000000001</v>
      </c>
      <c r="D57" s="64">
        <v>28.85</v>
      </c>
      <c r="E57" s="64">
        <v>1.04</v>
      </c>
      <c r="F57" s="64">
        <v>1.28</v>
      </c>
      <c r="G57" s="64">
        <v>22.64</v>
      </c>
      <c r="H57" s="64">
        <v>11.51</v>
      </c>
      <c r="I57" s="64">
        <v>0.12</v>
      </c>
      <c r="J57" s="64">
        <v>0.27</v>
      </c>
      <c r="K57" s="64">
        <v>331.89</v>
      </c>
      <c r="L57" s="64">
        <v>22.61</v>
      </c>
      <c r="M57" s="64">
        <v>97.84</v>
      </c>
      <c r="N57" s="64">
        <v>150</v>
      </c>
      <c r="O57" s="64">
        <v>0</v>
      </c>
      <c r="P57" s="64">
        <v>0.61</v>
      </c>
      <c r="Q57" s="64">
        <v>19.37</v>
      </c>
      <c r="R57" s="198"/>
      <c r="S57" s="198"/>
      <c r="T57" s="198"/>
      <c r="U57" s="198"/>
    </row>
    <row r="58" spans="1:21" s="12" customFormat="1" x14ac:dyDescent="0.25">
      <c r="A58" s="214" t="s">
        <v>489</v>
      </c>
      <c r="B58" s="64">
        <v>14.91</v>
      </c>
      <c r="C58" s="64">
        <v>23.78</v>
      </c>
      <c r="D58" s="64">
        <v>38.69</v>
      </c>
      <c r="E58" s="64">
        <v>1.32</v>
      </c>
      <c r="F58" s="64">
        <v>4.88</v>
      </c>
      <c r="G58" s="64">
        <v>22.64</v>
      </c>
      <c r="H58" s="64">
        <v>11.51</v>
      </c>
      <c r="I58" s="64">
        <v>0.12</v>
      </c>
      <c r="J58" s="64">
        <v>0.2</v>
      </c>
      <c r="K58" s="64">
        <v>335.61</v>
      </c>
      <c r="L58" s="64">
        <v>22.92</v>
      </c>
      <c r="M58" s="64">
        <v>97.84</v>
      </c>
      <c r="N58" s="64">
        <v>163.80000000000001</v>
      </c>
      <c r="O58" s="64">
        <v>0</v>
      </c>
      <c r="P58" s="64">
        <v>0.72</v>
      </c>
      <c r="Q58" s="64">
        <v>18.75</v>
      </c>
      <c r="R58" s="198"/>
      <c r="S58" s="198"/>
      <c r="T58" s="198"/>
      <c r="U58" s="198"/>
    </row>
    <row r="59" spans="1:21" s="12" customFormat="1" x14ac:dyDescent="0.25">
      <c r="A59" s="214" t="s">
        <v>490</v>
      </c>
      <c r="B59" s="64">
        <v>14.68</v>
      </c>
      <c r="C59" s="64">
        <v>22.08</v>
      </c>
      <c r="D59" s="64">
        <v>36.76</v>
      </c>
      <c r="E59" s="64">
        <v>2.02</v>
      </c>
      <c r="F59" s="64">
        <v>2.64</v>
      </c>
      <c r="G59" s="64">
        <v>22.64</v>
      </c>
      <c r="H59" s="64">
        <v>11.51</v>
      </c>
      <c r="I59" s="64">
        <v>0.12</v>
      </c>
      <c r="J59" s="64">
        <v>0.18</v>
      </c>
      <c r="K59" s="64">
        <v>344.26</v>
      </c>
      <c r="L59" s="64">
        <v>23.38</v>
      </c>
      <c r="M59" s="64">
        <v>97.83</v>
      </c>
      <c r="N59" s="64">
        <v>185.9</v>
      </c>
      <c r="O59" s="64">
        <v>0.2</v>
      </c>
      <c r="P59" s="64">
        <v>0.7</v>
      </c>
      <c r="Q59" s="64">
        <v>18.89</v>
      </c>
      <c r="R59" s="198"/>
      <c r="S59" s="198"/>
      <c r="T59" s="198"/>
      <c r="U59" s="198"/>
    </row>
    <row r="60" spans="1:21" s="12" customFormat="1" x14ac:dyDescent="0.25">
      <c r="A60" s="214" t="s">
        <v>491</v>
      </c>
      <c r="B60" s="64">
        <v>15.51</v>
      </c>
      <c r="C60" s="64">
        <v>20.149999999999999</v>
      </c>
      <c r="D60" s="64">
        <v>35.65</v>
      </c>
      <c r="E60" s="64">
        <v>1.33</v>
      </c>
      <c r="F60" s="64">
        <v>3.37</v>
      </c>
      <c r="G60" s="64">
        <v>23.88</v>
      </c>
      <c r="H60" s="64">
        <v>11.88</v>
      </c>
      <c r="I60" s="64">
        <v>0.12</v>
      </c>
      <c r="J60" s="64">
        <v>0.1</v>
      </c>
      <c r="K60" s="64">
        <v>4.41</v>
      </c>
      <c r="L60" s="64">
        <v>23.73</v>
      </c>
      <c r="M60" s="64">
        <v>98.28</v>
      </c>
      <c r="N60" s="64">
        <v>217.8</v>
      </c>
      <c r="O60" s="64">
        <v>0</v>
      </c>
      <c r="P60" s="64">
        <v>0.71</v>
      </c>
      <c r="Q60" s="64">
        <v>18.739999999999998</v>
      </c>
      <c r="R60" s="198"/>
      <c r="S60" s="198"/>
      <c r="T60" s="198"/>
      <c r="U60" s="198"/>
    </row>
    <row r="61" spans="1:21" s="12" customFormat="1" x14ac:dyDescent="0.25">
      <c r="A61" s="214" t="s">
        <v>492</v>
      </c>
      <c r="B61" s="64">
        <v>15.2</v>
      </c>
      <c r="C61" s="64">
        <v>15.64</v>
      </c>
      <c r="D61" s="64">
        <v>30.84</v>
      </c>
      <c r="E61" s="64">
        <v>0.88</v>
      </c>
      <c r="F61" s="64">
        <v>2.16</v>
      </c>
      <c r="G61" s="64">
        <v>24.97</v>
      </c>
      <c r="H61" s="64">
        <v>12.02</v>
      </c>
      <c r="I61" s="64">
        <v>0.12</v>
      </c>
      <c r="J61" s="64">
        <v>0.11</v>
      </c>
      <c r="K61" s="64">
        <v>352.71</v>
      </c>
      <c r="L61" s="64">
        <v>24.12</v>
      </c>
      <c r="M61" s="64">
        <v>97.83</v>
      </c>
      <c r="N61" s="64">
        <v>273.39999999999998</v>
      </c>
      <c r="O61" s="64">
        <v>0</v>
      </c>
      <c r="P61" s="64">
        <v>0.67</v>
      </c>
      <c r="Q61" s="64">
        <v>18.239999999999998</v>
      </c>
      <c r="R61" s="198"/>
      <c r="S61" s="198"/>
      <c r="T61" s="198"/>
      <c r="U61" s="198"/>
    </row>
    <row r="62" spans="1:21" s="12" customFormat="1" x14ac:dyDescent="0.25">
      <c r="A62" s="214" t="s">
        <v>493</v>
      </c>
      <c r="B62" s="64">
        <v>13.72</v>
      </c>
      <c r="C62" s="64">
        <v>14.95</v>
      </c>
      <c r="D62" s="64">
        <v>28.66</v>
      </c>
      <c r="E62" s="64">
        <v>1.32</v>
      </c>
      <c r="F62" s="64">
        <v>0.85</v>
      </c>
      <c r="G62" s="64">
        <v>24.97</v>
      </c>
      <c r="H62" s="64">
        <v>12.02</v>
      </c>
      <c r="I62" s="64">
        <v>0.13</v>
      </c>
      <c r="J62" s="64">
        <v>0.16</v>
      </c>
      <c r="K62" s="64">
        <v>358.92</v>
      </c>
      <c r="L62" s="64">
        <v>24.47</v>
      </c>
      <c r="M62" s="64">
        <v>97.23</v>
      </c>
      <c r="N62" s="64">
        <v>396.1</v>
      </c>
      <c r="O62" s="64">
        <v>0</v>
      </c>
      <c r="P62" s="64">
        <v>0.72</v>
      </c>
      <c r="Q62" s="64">
        <v>18.78</v>
      </c>
      <c r="R62" s="198"/>
      <c r="S62" s="198"/>
      <c r="T62" s="198"/>
      <c r="U62" s="198"/>
    </row>
    <row r="63" spans="1:21" s="12" customFormat="1" x14ac:dyDescent="0.25">
      <c r="A63" s="214" t="s">
        <v>494</v>
      </c>
      <c r="B63" s="64">
        <v>12.79</v>
      </c>
      <c r="C63" s="64">
        <v>14.96</v>
      </c>
      <c r="D63" s="64">
        <v>27.75</v>
      </c>
      <c r="E63" s="64">
        <v>1.3</v>
      </c>
      <c r="F63" s="64">
        <v>1.23</v>
      </c>
      <c r="G63" s="64">
        <v>24.97</v>
      </c>
      <c r="H63" s="64">
        <v>12.02</v>
      </c>
      <c r="I63" s="64">
        <v>0.13</v>
      </c>
      <c r="J63" s="64">
        <v>0.27</v>
      </c>
      <c r="K63" s="64">
        <v>14.36</v>
      </c>
      <c r="L63" s="64">
        <v>25.01</v>
      </c>
      <c r="M63" s="64">
        <v>94.96</v>
      </c>
      <c r="N63" s="64">
        <v>589.79999999999995</v>
      </c>
      <c r="O63" s="64">
        <v>0</v>
      </c>
      <c r="P63" s="64">
        <v>0.73</v>
      </c>
      <c r="Q63" s="64">
        <v>18.170000000000002</v>
      </c>
      <c r="R63" s="198"/>
      <c r="S63" s="198"/>
      <c r="T63" s="198"/>
      <c r="U63" s="198"/>
    </row>
    <row r="64" spans="1:21" s="12" customFormat="1" x14ac:dyDescent="0.25">
      <c r="A64" s="214" t="s">
        <v>495</v>
      </c>
      <c r="B64" s="64">
        <v>11.98</v>
      </c>
      <c r="C64" s="64">
        <v>15.63</v>
      </c>
      <c r="D64" s="64">
        <v>27.62</v>
      </c>
      <c r="E64" s="64">
        <v>0.73</v>
      </c>
      <c r="F64" s="64">
        <v>0.91</v>
      </c>
      <c r="G64" s="64">
        <v>28.09</v>
      </c>
      <c r="H64" s="64">
        <v>10.56</v>
      </c>
      <c r="I64" s="64">
        <v>0.13</v>
      </c>
      <c r="J64" s="64">
        <v>0.33</v>
      </c>
      <c r="K64" s="64">
        <v>334.35</v>
      </c>
      <c r="L64" s="64">
        <v>26.12</v>
      </c>
      <c r="M64" s="64">
        <v>92.33</v>
      </c>
      <c r="N64" s="64">
        <v>409.4</v>
      </c>
      <c r="O64" s="64">
        <v>0</v>
      </c>
      <c r="P64" s="64">
        <v>0.71</v>
      </c>
      <c r="Q64" s="216" t="s">
        <v>42</v>
      </c>
      <c r="R64" s="198"/>
      <c r="S64" s="198"/>
      <c r="T64" s="198"/>
      <c r="U64" s="198"/>
    </row>
    <row r="65" spans="1:21" s="12" customFormat="1" x14ac:dyDescent="0.25">
      <c r="A65" s="214" t="s">
        <v>496</v>
      </c>
      <c r="B65" s="64">
        <v>11.29</v>
      </c>
      <c r="C65" s="64">
        <v>15.56</v>
      </c>
      <c r="D65" s="64">
        <v>26.85</v>
      </c>
      <c r="E65" s="64">
        <v>0.99</v>
      </c>
      <c r="F65" s="64">
        <v>1.08</v>
      </c>
      <c r="G65" s="64">
        <v>28.54</v>
      </c>
      <c r="H65" s="64">
        <v>10.35</v>
      </c>
      <c r="I65" s="64">
        <v>0.13</v>
      </c>
      <c r="J65" s="64">
        <v>0.3</v>
      </c>
      <c r="K65" s="64">
        <v>359.28</v>
      </c>
      <c r="L65" s="64">
        <v>26.2</v>
      </c>
      <c r="M65" s="64">
        <v>89.68</v>
      </c>
      <c r="N65" s="64">
        <v>435.9</v>
      </c>
      <c r="O65" s="64">
        <v>0</v>
      </c>
      <c r="P65" s="64">
        <v>0.72</v>
      </c>
      <c r="Q65" s="64">
        <v>17.3</v>
      </c>
      <c r="R65" s="198"/>
      <c r="S65" s="198"/>
      <c r="T65" s="198"/>
      <c r="U65" s="198"/>
    </row>
    <row r="66" spans="1:21" s="12" customFormat="1" x14ac:dyDescent="0.25">
      <c r="A66" s="214" t="s">
        <v>497</v>
      </c>
      <c r="B66" s="64">
        <v>10.84</v>
      </c>
      <c r="C66" s="64">
        <v>16.64</v>
      </c>
      <c r="D66" s="64">
        <v>27.48</v>
      </c>
      <c r="E66" s="64">
        <v>0.86</v>
      </c>
      <c r="F66" s="64">
        <v>1.04</v>
      </c>
      <c r="G66" s="64">
        <v>28.54</v>
      </c>
      <c r="H66" s="64">
        <v>10.35</v>
      </c>
      <c r="I66" s="64">
        <v>0.13</v>
      </c>
      <c r="J66" s="64">
        <v>0.38</v>
      </c>
      <c r="K66" s="64">
        <v>335.54</v>
      </c>
      <c r="L66" s="64">
        <v>26.91</v>
      </c>
      <c r="M66" s="64">
        <v>87.02</v>
      </c>
      <c r="N66" s="64">
        <v>359.2</v>
      </c>
      <c r="O66" s="64">
        <v>0</v>
      </c>
      <c r="P66" s="64">
        <v>0.73</v>
      </c>
      <c r="Q66" s="64">
        <v>17.579999999999998</v>
      </c>
      <c r="R66" s="198"/>
      <c r="S66" s="198"/>
      <c r="T66" s="198"/>
      <c r="U66" s="198"/>
    </row>
    <row r="67" spans="1:21" s="12" customFormat="1" x14ac:dyDescent="0.25">
      <c r="A67" s="214" t="s">
        <v>498</v>
      </c>
      <c r="B67" s="64">
        <v>10.79</v>
      </c>
      <c r="C67" s="64">
        <v>17.18</v>
      </c>
      <c r="D67" s="64">
        <v>27.97</v>
      </c>
      <c r="E67" s="64">
        <v>1.31</v>
      </c>
      <c r="F67" s="64">
        <v>1.74</v>
      </c>
      <c r="G67" s="64">
        <v>28.54</v>
      </c>
      <c r="H67" s="64">
        <v>10.35</v>
      </c>
      <c r="I67" s="64">
        <v>0.13</v>
      </c>
      <c r="J67" s="64">
        <v>0.47</v>
      </c>
      <c r="K67" s="64">
        <v>332.64</v>
      </c>
      <c r="L67" s="64">
        <v>27.15</v>
      </c>
      <c r="M67" s="64">
        <v>86.08</v>
      </c>
      <c r="N67" s="64">
        <v>324.10000000000002</v>
      </c>
      <c r="O67" s="64">
        <v>0</v>
      </c>
      <c r="P67" s="64">
        <v>0.85</v>
      </c>
      <c r="Q67" s="64">
        <v>17.84</v>
      </c>
      <c r="R67" s="198"/>
      <c r="S67" s="198"/>
      <c r="T67" s="198"/>
      <c r="U67" s="198"/>
    </row>
    <row r="68" spans="1:21" s="12" customFormat="1" x14ac:dyDescent="0.25">
      <c r="A68" s="214" t="s">
        <v>499</v>
      </c>
      <c r="B68" s="64">
        <v>10.94</v>
      </c>
      <c r="C68" s="64">
        <v>18.32</v>
      </c>
      <c r="D68" s="64">
        <v>29.26</v>
      </c>
      <c r="E68" s="64">
        <v>1.07</v>
      </c>
      <c r="F68" s="64">
        <v>1.81</v>
      </c>
      <c r="G68" s="64">
        <v>46.61</v>
      </c>
      <c r="H68" s="64">
        <v>17.989999999999998</v>
      </c>
      <c r="I68" s="64">
        <v>0.13</v>
      </c>
      <c r="J68" s="64">
        <v>0.63</v>
      </c>
      <c r="K68" s="64">
        <v>324.66000000000003</v>
      </c>
      <c r="L68" s="64">
        <v>26.95</v>
      </c>
      <c r="M68" s="64">
        <v>86.86</v>
      </c>
      <c r="N68" s="64">
        <v>270.39999999999998</v>
      </c>
      <c r="O68" s="64">
        <v>0</v>
      </c>
      <c r="P68" s="64">
        <v>1.01</v>
      </c>
      <c r="Q68" s="64">
        <v>17.8</v>
      </c>
      <c r="R68" s="198"/>
      <c r="S68" s="198"/>
      <c r="T68" s="198"/>
      <c r="U68" s="198"/>
    </row>
    <row r="69" spans="1:21" s="12" customFormat="1" x14ac:dyDescent="0.25">
      <c r="A69" s="214" t="s">
        <v>500</v>
      </c>
      <c r="B69" s="64">
        <v>10.92</v>
      </c>
      <c r="C69" s="64">
        <v>18.510000000000002</v>
      </c>
      <c r="D69" s="64">
        <v>29.43</v>
      </c>
      <c r="E69" s="64">
        <v>1.27</v>
      </c>
      <c r="F69" s="64">
        <v>1.63</v>
      </c>
      <c r="G69" s="64">
        <v>63.14</v>
      </c>
      <c r="H69" s="64">
        <v>21.08</v>
      </c>
      <c r="I69" s="64">
        <v>0.13</v>
      </c>
      <c r="J69" s="64">
        <v>0.65</v>
      </c>
      <c r="K69" s="64">
        <v>323.79000000000002</v>
      </c>
      <c r="L69" s="64">
        <v>26.9</v>
      </c>
      <c r="M69" s="64">
        <v>85.37</v>
      </c>
      <c r="N69" s="64">
        <v>258.10000000000002</v>
      </c>
      <c r="O69" s="64">
        <v>0</v>
      </c>
      <c r="P69" s="64">
        <v>1.0900000000000001</v>
      </c>
      <c r="Q69" s="64">
        <v>17.66</v>
      </c>
      <c r="R69" s="198"/>
      <c r="S69" s="198"/>
      <c r="T69" s="198"/>
      <c r="U69" s="198"/>
    </row>
    <row r="70" spans="1:21" s="12" customFormat="1" x14ac:dyDescent="0.25">
      <c r="A70" s="214" t="s">
        <v>501</v>
      </c>
      <c r="B70" s="64">
        <v>11.04</v>
      </c>
      <c r="C70" s="64">
        <v>18.79</v>
      </c>
      <c r="D70" s="64">
        <v>29.83</v>
      </c>
      <c r="E70" s="64">
        <v>0.84</v>
      </c>
      <c r="F70" s="64">
        <v>1.24</v>
      </c>
      <c r="G70" s="64">
        <v>63.14</v>
      </c>
      <c r="H70" s="64">
        <v>21.08</v>
      </c>
      <c r="I70" s="64">
        <v>0.13</v>
      </c>
      <c r="J70" s="64">
        <v>0.64</v>
      </c>
      <c r="K70" s="64">
        <v>328.88</v>
      </c>
      <c r="L70" s="64">
        <v>26.81</v>
      </c>
      <c r="M70" s="64">
        <v>82.85</v>
      </c>
      <c r="N70" s="64">
        <v>222.4</v>
      </c>
      <c r="O70" s="64">
        <v>0</v>
      </c>
      <c r="P70" s="64">
        <v>1.08</v>
      </c>
      <c r="Q70" s="64">
        <v>17.63</v>
      </c>
      <c r="R70" s="198"/>
      <c r="S70" s="198"/>
      <c r="T70" s="198"/>
      <c r="U70" s="198"/>
    </row>
    <row r="71" spans="1:21" s="12" customFormat="1" x14ac:dyDescent="0.25">
      <c r="A71" s="214" t="s">
        <v>502</v>
      </c>
      <c r="B71" s="64">
        <v>10.78</v>
      </c>
      <c r="C71" s="64">
        <v>18.84</v>
      </c>
      <c r="D71" s="64">
        <v>29.63</v>
      </c>
      <c r="E71" s="64">
        <v>0.65</v>
      </c>
      <c r="F71" s="64">
        <v>1.0900000000000001</v>
      </c>
      <c r="G71" s="64">
        <v>63.14</v>
      </c>
      <c r="H71" s="64">
        <v>21.08</v>
      </c>
      <c r="I71" s="64">
        <v>0.13</v>
      </c>
      <c r="J71" s="64">
        <v>0.48</v>
      </c>
      <c r="K71" s="64">
        <v>333.9</v>
      </c>
      <c r="L71" s="64">
        <v>26.39</v>
      </c>
      <c r="M71" s="64">
        <v>82.38</v>
      </c>
      <c r="N71" s="64">
        <v>179.6</v>
      </c>
      <c r="O71" s="64">
        <v>0</v>
      </c>
      <c r="P71" s="64">
        <v>1.03</v>
      </c>
      <c r="Q71" s="64">
        <v>16.95</v>
      </c>
      <c r="R71" s="198"/>
      <c r="S71" s="198"/>
      <c r="T71" s="198"/>
      <c r="U71" s="198"/>
    </row>
    <row r="72" spans="1:21" s="12" customFormat="1" x14ac:dyDescent="0.25">
      <c r="A72" s="214" t="s">
        <v>503</v>
      </c>
      <c r="B72" s="64">
        <v>9.5500000000000007</v>
      </c>
      <c r="C72" s="64">
        <v>18.559999999999999</v>
      </c>
      <c r="D72" s="64">
        <v>28.11</v>
      </c>
      <c r="E72" s="64">
        <v>0.66</v>
      </c>
      <c r="F72" s="64">
        <v>1.49</v>
      </c>
      <c r="G72" s="64">
        <v>70.66</v>
      </c>
      <c r="H72" s="64">
        <v>19.03</v>
      </c>
      <c r="I72" s="64">
        <v>0.13</v>
      </c>
      <c r="J72" s="64">
        <v>0.39</v>
      </c>
      <c r="K72" s="64">
        <v>10.25</v>
      </c>
      <c r="L72" s="64">
        <v>25.8</v>
      </c>
      <c r="M72" s="64">
        <v>81.86</v>
      </c>
      <c r="N72" s="64">
        <v>168</v>
      </c>
      <c r="O72" s="64">
        <v>0</v>
      </c>
      <c r="P72" s="64">
        <v>0.97</v>
      </c>
      <c r="Q72" s="64">
        <v>15.69</v>
      </c>
      <c r="R72" s="198"/>
      <c r="S72" s="198"/>
      <c r="T72" s="198"/>
      <c r="U72" s="198"/>
    </row>
    <row r="73" spans="1:21" s="12" customFormat="1" x14ac:dyDescent="0.25">
      <c r="A73" s="214" t="s">
        <v>504</v>
      </c>
      <c r="B73" s="64">
        <v>8.1999999999999993</v>
      </c>
      <c r="C73" s="64">
        <v>18.579999999999998</v>
      </c>
      <c r="D73" s="64">
        <v>26.78</v>
      </c>
      <c r="E73" s="64">
        <v>1.32</v>
      </c>
      <c r="F73" s="64">
        <v>1.66</v>
      </c>
      <c r="G73" s="64">
        <v>77.23</v>
      </c>
      <c r="H73" s="64">
        <v>18.2</v>
      </c>
      <c r="I73" s="64">
        <v>0.14000000000000001</v>
      </c>
      <c r="J73" s="64">
        <v>0.66</v>
      </c>
      <c r="K73" s="64">
        <v>320.89</v>
      </c>
      <c r="L73" s="64">
        <v>25.74</v>
      </c>
      <c r="M73" s="64">
        <v>83.37</v>
      </c>
      <c r="N73" s="64">
        <v>152.9</v>
      </c>
      <c r="O73" s="64">
        <v>0</v>
      </c>
      <c r="P73" s="64">
        <v>0.93</v>
      </c>
      <c r="Q73" s="64">
        <v>15.02</v>
      </c>
      <c r="R73" s="198"/>
      <c r="S73" s="198"/>
      <c r="T73" s="198"/>
      <c r="U73" s="198"/>
    </row>
    <row r="74" spans="1:21" s="12" customFormat="1" x14ac:dyDescent="0.25">
      <c r="A74" s="214" t="s">
        <v>505</v>
      </c>
      <c r="B74" s="64">
        <v>7.75</v>
      </c>
      <c r="C74" s="64">
        <v>18.079999999999998</v>
      </c>
      <c r="D74" s="64">
        <v>25.82</v>
      </c>
      <c r="E74" s="64">
        <v>1.26</v>
      </c>
      <c r="F74" s="64">
        <v>1.55</v>
      </c>
      <c r="G74" s="64">
        <v>77.23</v>
      </c>
      <c r="H74" s="64">
        <v>18.2</v>
      </c>
      <c r="I74" s="64">
        <v>0.13</v>
      </c>
      <c r="J74" s="64">
        <v>0.62</v>
      </c>
      <c r="K74" s="64">
        <v>325.99</v>
      </c>
      <c r="L74" s="64">
        <v>25.53</v>
      </c>
      <c r="M74" s="64">
        <v>83.25</v>
      </c>
      <c r="N74" s="64">
        <v>119.4</v>
      </c>
      <c r="O74" s="64">
        <v>0</v>
      </c>
      <c r="P74" s="64">
        <v>0.89</v>
      </c>
      <c r="Q74" s="64">
        <v>14.95</v>
      </c>
      <c r="R74" s="198"/>
      <c r="S74" s="198"/>
      <c r="T74" s="198"/>
      <c r="U74" s="198"/>
    </row>
    <row r="75" spans="1:21" s="12" customFormat="1" x14ac:dyDescent="0.25">
      <c r="A75" s="214" t="s">
        <v>506</v>
      </c>
      <c r="B75" s="64">
        <v>7.14</v>
      </c>
      <c r="C75" s="64">
        <v>17.100000000000001</v>
      </c>
      <c r="D75" s="64">
        <v>24.24</v>
      </c>
      <c r="E75" s="64">
        <v>1.34</v>
      </c>
      <c r="F75" s="64">
        <v>1.5</v>
      </c>
      <c r="G75" s="64">
        <v>77.23</v>
      </c>
      <c r="H75" s="64">
        <v>18.2</v>
      </c>
      <c r="I75" s="64">
        <v>0.13</v>
      </c>
      <c r="J75" s="64">
        <v>0.54</v>
      </c>
      <c r="K75" s="64">
        <v>324.42</v>
      </c>
      <c r="L75" s="64">
        <v>25.11</v>
      </c>
      <c r="M75" s="64">
        <v>84.97</v>
      </c>
      <c r="N75" s="64">
        <v>100.7</v>
      </c>
      <c r="O75" s="64">
        <v>0</v>
      </c>
      <c r="P75" s="64">
        <v>0.88</v>
      </c>
      <c r="Q75" s="64">
        <v>14.17</v>
      </c>
      <c r="R75" s="198"/>
      <c r="S75" s="198"/>
      <c r="T75" s="198"/>
      <c r="U75" s="198"/>
    </row>
    <row r="76" spans="1:21" s="12" customFormat="1" x14ac:dyDescent="0.25">
      <c r="A76" s="214" t="s">
        <v>507</v>
      </c>
      <c r="B76" s="64">
        <v>7.27</v>
      </c>
      <c r="C76" s="64">
        <v>17.29</v>
      </c>
      <c r="D76" s="64">
        <v>24.55</v>
      </c>
      <c r="E76" s="64">
        <v>1.22</v>
      </c>
      <c r="F76" s="64">
        <v>1.42</v>
      </c>
      <c r="G76" s="64">
        <v>69.59</v>
      </c>
      <c r="H76" s="64">
        <v>14.2</v>
      </c>
      <c r="I76" s="64">
        <v>0.12</v>
      </c>
      <c r="J76" s="64">
        <v>0.38</v>
      </c>
      <c r="K76" s="64">
        <v>337.64</v>
      </c>
      <c r="L76" s="64">
        <v>25.06</v>
      </c>
      <c r="M76" s="64">
        <v>87.53</v>
      </c>
      <c r="N76" s="64">
        <v>111.8</v>
      </c>
      <c r="O76" s="64">
        <v>0</v>
      </c>
      <c r="P76" s="64">
        <v>0.85</v>
      </c>
      <c r="Q76" s="64">
        <v>14.5</v>
      </c>
      <c r="R76" s="198"/>
      <c r="S76" s="198"/>
      <c r="T76" s="198"/>
      <c r="U76" s="198"/>
    </row>
    <row r="77" spans="1:21" s="12" customFormat="1" x14ac:dyDescent="0.25">
      <c r="A77" s="214" t="s">
        <v>508</v>
      </c>
      <c r="B77" s="64">
        <v>7.65</v>
      </c>
      <c r="C77" s="64">
        <v>18.37</v>
      </c>
      <c r="D77" s="64">
        <v>26.02</v>
      </c>
      <c r="E77" s="64">
        <v>0.66</v>
      </c>
      <c r="F77" s="64">
        <v>1.18</v>
      </c>
      <c r="G77" s="64">
        <v>62.9</v>
      </c>
      <c r="H77" s="64">
        <v>12.58</v>
      </c>
      <c r="I77" s="64">
        <v>0.12</v>
      </c>
      <c r="J77" s="64">
        <v>0.33</v>
      </c>
      <c r="K77" s="64">
        <v>358.07</v>
      </c>
      <c r="L77" s="64">
        <v>24.94</v>
      </c>
      <c r="M77" s="64">
        <v>88.93</v>
      </c>
      <c r="N77" s="64">
        <v>77.099999999999994</v>
      </c>
      <c r="O77" s="64">
        <v>0</v>
      </c>
      <c r="P77" s="64">
        <v>0.84</v>
      </c>
      <c r="Q77" s="64">
        <v>14.11</v>
      </c>
      <c r="R77" s="198"/>
      <c r="S77" s="198"/>
      <c r="T77" s="198"/>
      <c r="U77" s="198"/>
    </row>
    <row r="78" spans="1:21" s="12" customFormat="1" x14ac:dyDescent="0.25">
      <c r="A78" s="214" t="s">
        <v>509</v>
      </c>
      <c r="B78" s="64">
        <v>8.15</v>
      </c>
      <c r="C78" s="64">
        <v>19.82</v>
      </c>
      <c r="D78" s="64">
        <v>27.96</v>
      </c>
      <c r="E78" s="64">
        <v>1.24</v>
      </c>
      <c r="F78" s="64">
        <v>0.77</v>
      </c>
      <c r="G78" s="64">
        <v>62.9</v>
      </c>
      <c r="H78" s="64">
        <v>12.58</v>
      </c>
      <c r="I78" s="64">
        <v>0.12</v>
      </c>
      <c r="J78" s="64">
        <v>0.34</v>
      </c>
      <c r="K78" s="64">
        <v>20.56</v>
      </c>
      <c r="L78" s="64">
        <v>24.37</v>
      </c>
      <c r="M78" s="64">
        <v>90.95</v>
      </c>
      <c r="N78" s="64">
        <v>69.3</v>
      </c>
      <c r="O78" s="64">
        <v>0</v>
      </c>
      <c r="P78" s="64">
        <v>0.81</v>
      </c>
      <c r="Q78" s="64">
        <v>15.09</v>
      </c>
      <c r="R78" s="198"/>
      <c r="S78" s="198"/>
      <c r="T78" s="198"/>
      <c r="U78" s="198"/>
    </row>
    <row r="79" spans="1:21" s="12" customFormat="1" x14ac:dyDescent="0.25">
      <c r="A79" s="214" t="s">
        <v>510</v>
      </c>
      <c r="B79" s="64">
        <v>10.56</v>
      </c>
      <c r="C79" s="64">
        <v>24.93</v>
      </c>
      <c r="D79" s="64">
        <v>35.49</v>
      </c>
      <c r="E79" s="64">
        <v>1.1100000000000001</v>
      </c>
      <c r="F79" s="64">
        <v>1.45</v>
      </c>
      <c r="G79" s="64">
        <v>62.9</v>
      </c>
      <c r="H79" s="64">
        <v>12.58</v>
      </c>
      <c r="I79" s="64">
        <v>0.12</v>
      </c>
      <c r="J79" s="64">
        <v>0.28000000000000003</v>
      </c>
      <c r="K79" s="64">
        <v>14.11</v>
      </c>
      <c r="L79" s="64">
        <v>24.4</v>
      </c>
      <c r="M79" s="64">
        <v>88.97</v>
      </c>
      <c r="N79" s="64">
        <v>50.3</v>
      </c>
      <c r="O79" s="64">
        <v>0</v>
      </c>
      <c r="P79" s="64">
        <v>0.81</v>
      </c>
      <c r="Q79" s="64">
        <v>15.34</v>
      </c>
      <c r="R79" s="198"/>
      <c r="S79" s="198"/>
      <c r="T79" s="198"/>
      <c r="U79" s="198"/>
    </row>
    <row r="80" spans="1:21" s="12" customFormat="1" x14ac:dyDescent="0.25">
      <c r="A80" s="214" t="s">
        <v>511</v>
      </c>
      <c r="B80" s="64">
        <v>10.75</v>
      </c>
      <c r="C80" s="64">
        <v>23.73</v>
      </c>
      <c r="D80" s="64">
        <v>34.47</v>
      </c>
      <c r="E80" s="64">
        <v>1.39</v>
      </c>
      <c r="F80" s="64">
        <v>2.13</v>
      </c>
      <c r="G80" s="64">
        <v>59.3</v>
      </c>
      <c r="H80" s="64">
        <v>13.24</v>
      </c>
      <c r="I80" s="64">
        <v>0.13</v>
      </c>
      <c r="J80" s="64">
        <v>0.14000000000000001</v>
      </c>
      <c r="K80" s="64">
        <v>16.850000000000001</v>
      </c>
      <c r="L80" s="64">
        <v>23.94</v>
      </c>
      <c r="M80" s="64">
        <v>91.23</v>
      </c>
      <c r="N80" s="64">
        <v>24.3</v>
      </c>
      <c r="O80" s="64">
        <v>0</v>
      </c>
      <c r="P80" s="64">
        <v>0.85</v>
      </c>
      <c r="Q80" s="64">
        <v>15.46</v>
      </c>
      <c r="R80" s="198"/>
      <c r="S80" s="198"/>
      <c r="T80" s="198"/>
      <c r="U80" s="198"/>
    </row>
    <row r="81" spans="1:26" s="12" customFormat="1" x14ac:dyDescent="0.25">
      <c r="A81" s="214" t="s">
        <v>512</v>
      </c>
      <c r="B81" s="64">
        <v>9.4</v>
      </c>
      <c r="C81" s="64">
        <v>28.52</v>
      </c>
      <c r="D81" s="64">
        <v>37.92</v>
      </c>
      <c r="E81" s="64">
        <v>1.31</v>
      </c>
      <c r="F81" s="64">
        <v>3.76</v>
      </c>
      <c r="G81" s="64">
        <v>56.14</v>
      </c>
      <c r="H81" s="64">
        <v>13.91</v>
      </c>
      <c r="I81" s="64">
        <v>0.12</v>
      </c>
      <c r="J81" s="64">
        <v>0.11</v>
      </c>
      <c r="K81" s="64">
        <v>134.68</v>
      </c>
      <c r="L81" s="64">
        <v>23.65</v>
      </c>
      <c r="M81" s="64">
        <v>94.37</v>
      </c>
      <c r="N81" s="64">
        <v>10.3</v>
      </c>
      <c r="O81" s="64">
        <v>0</v>
      </c>
      <c r="P81" s="64">
        <v>1.22</v>
      </c>
      <c r="Q81" s="64">
        <v>15.36</v>
      </c>
      <c r="R81" s="198"/>
      <c r="S81" s="198"/>
      <c r="T81" s="198"/>
      <c r="U81" s="198"/>
    </row>
    <row r="82" spans="1:26" s="12" customFormat="1" x14ac:dyDescent="0.25">
      <c r="A82" s="214" t="s">
        <v>513</v>
      </c>
      <c r="B82" s="64">
        <v>8.59</v>
      </c>
      <c r="C82" s="64">
        <v>27.28</v>
      </c>
      <c r="D82" s="64">
        <v>35.869999999999997</v>
      </c>
      <c r="E82" s="64">
        <v>0.74</v>
      </c>
      <c r="F82" s="64">
        <v>2.92</v>
      </c>
      <c r="G82" s="64">
        <v>56.14</v>
      </c>
      <c r="H82" s="64">
        <v>13.91</v>
      </c>
      <c r="I82" s="64">
        <v>0.12</v>
      </c>
      <c r="J82" s="64">
        <v>0.2</v>
      </c>
      <c r="K82" s="64">
        <v>172.28</v>
      </c>
      <c r="L82" s="64">
        <v>23.22</v>
      </c>
      <c r="M82" s="64">
        <v>96.29</v>
      </c>
      <c r="N82" s="64">
        <v>7.7</v>
      </c>
      <c r="O82" s="64">
        <v>0</v>
      </c>
      <c r="P82" s="64">
        <v>1.1399999999999999</v>
      </c>
      <c r="Q82" s="64">
        <v>15.57</v>
      </c>
      <c r="R82" s="198"/>
      <c r="S82" s="198"/>
      <c r="T82" s="198"/>
      <c r="U82" s="198"/>
    </row>
    <row r="83" spans="1:26" s="12" customFormat="1" x14ac:dyDescent="0.25">
      <c r="A83" s="214" t="s">
        <v>514</v>
      </c>
      <c r="B83" s="64">
        <v>9.0399999999999991</v>
      </c>
      <c r="C83" s="64">
        <v>19.329999999999998</v>
      </c>
      <c r="D83" s="64">
        <v>28.37</v>
      </c>
      <c r="E83" s="64">
        <v>1.5</v>
      </c>
      <c r="F83" s="64">
        <v>1.44</v>
      </c>
      <c r="G83" s="64">
        <v>56.14</v>
      </c>
      <c r="H83" s="64">
        <v>13.91</v>
      </c>
      <c r="I83" s="64">
        <v>0.12</v>
      </c>
      <c r="J83" s="64">
        <v>7.0000000000000007E-2</v>
      </c>
      <c r="K83" s="64">
        <v>60.01</v>
      </c>
      <c r="L83" s="64">
        <v>23.01</v>
      </c>
      <c r="M83" s="64">
        <v>95.56</v>
      </c>
      <c r="N83" s="64">
        <v>7.3</v>
      </c>
      <c r="O83" s="64">
        <v>0</v>
      </c>
      <c r="P83" s="64">
        <v>0.94</v>
      </c>
      <c r="Q83" s="64">
        <v>15.36</v>
      </c>
      <c r="R83" s="198"/>
      <c r="S83" s="198"/>
      <c r="T83" s="198"/>
      <c r="U83" s="198"/>
    </row>
    <row r="84" spans="1:26" s="12" customFormat="1" x14ac:dyDescent="0.25">
      <c r="A84" s="214" t="s">
        <v>515</v>
      </c>
      <c r="B84" s="64">
        <v>8.69</v>
      </c>
      <c r="C84" s="64">
        <v>15.04</v>
      </c>
      <c r="D84" s="64">
        <v>23.73</v>
      </c>
      <c r="E84" s="64">
        <v>1.35</v>
      </c>
      <c r="F84" s="64">
        <v>1.98</v>
      </c>
      <c r="G84" s="64">
        <v>56.53</v>
      </c>
      <c r="H84" s="64">
        <v>14.81</v>
      </c>
      <c r="I84" s="64">
        <v>0.12</v>
      </c>
      <c r="J84" s="64">
        <v>0.16</v>
      </c>
      <c r="K84" s="64">
        <v>34.090000000000003</v>
      </c>
      <c r="L84" s="64">
        <v>22.94</v>
      </c>
      <c r="M84" s="64">
        <v>95.44</v>
      </c>
      <c r="N84" s="64">
        <v>7.2</v>
      </c>
      <c r="O84" s="64">
        <v>0</v>
      </c>
      <c r="P84" s="64">
        <v>0.91</v>
      </c>
      <c r="Q84" s="64">
        <v>14.63</v>
      </c>
      <c r="R84" s="198"/>
      <c r="S84" s="198"/>
      <c r="T84" s="198"/>
      <c r="U84" s="198"/>
    </row>
    <row r="85" spans="1:26" s="12" customFormat="1" x14ac:dyDescent="0.25">
      <c r="A85" s="214" t="s">
        <v>516</v>
      </c>
      <c r="B85" s="64">
        <v>7.78</v>
      </c>
      <c r="C85" s="64">
        <v>14.37</v>
      </c>
      <c r="D85" s="64">
        <v>22.15</v>
      </c>
      <c r="E85" s="64">
        <v>0.64</v>
      </c>
      <c r="F85" s="64">
        <v>1.76</v>
      </c>
      <c r="G85" s="64">
        <v>56.86</v>
      </c>
      <c r="H85" s="64">
        <v>15.17</v>
      </c>
      <c r="I85" s="64">
        <v>0.12</v>
      </c>
      <c r="J85" s="64">
        <v>0.06</v>
      </c>
      <c r="K85" s="64">
        <v>109.69</v>
      </c>
      <c r="L85" s="64">
        <v>22.76</v>
      </c>
      <c r="M85" s="64">
        <v>96.69</v>
      </c>
      <c r="N85" s="64">
        <v>7.3</v>
      </c>
      <c r="O85" s="64">
        <v>0</v>
      </c>
      <c r="P85" s="64">
        <v>0.82</v>
      </c>
      <c r="Q85" s="64">
        <v>14.52</v>
      </c>
      <c r="R85" s="198"/>
      <c r="S85" s="198"/>
      <c r="T85" s="198"/>
      <c r="U85" s="198"/>
    </row>
    <row r="86" spans="1:26" s="12" customFormat="1" x14ac:dyDescent="0.25">
      <c r="A86" s="214" t="s">
        <v>517</v>
      </c>
      <c r="B86" s="64">
        <v>6.94</v>
      </c>
      <c r="C86" s="64">
        <v>13.94</v>
      </c>
      <c r="D86" s="64">
        <v>20.88</v>
      </c>
      <c r="E86" s="64">
        <v>1.35</v>
      </c>
      <c r="F86" s="64">
        <v>2.42</v>
      </c>
      <c r="G86" s="64">
        <v>56.86</v>
      </c>
      <c r="H86" s="64">
        <v>15.17</v>
      </c>
      <c r="I86" s="64">
        <v>0.12</v>
      </c>
      <c r="J86" s="64">
        <v>0.06</v>
      </c>
      <c r="K86" s="64">
        <v>121.97</v>
      </c>
      <c r="L86" s="64">
        <v>22.69</v>
      </c>
      <c r="M86" s="64">
        <v>97.09</v>
      </c>
      <c r="N86" s="64">
        <v>7.2</v>
      </c>
      <c r="O86" s="64">
        <v>0</v>
      </c>
      <c r="P86" s="64">
        <v>0.84</v>
      </c>
      <c r="Q86" s="64">
        <v>14.43</v>
      </c>
      <c r="R86" s="198"/>
      <c r="S86" s="198"/>
      <c r="T86" s="198"/>
      <c r="U86" s="198"/>
    </row>
    <row r="87" spans="1:26" s="12" customFormat="1" x14ac:dyDescent="0.25">
      <c r="A87" s="214" t="s">
        <v>518</v>
      </c>
      <c r="B87" s="64">
        <v>6.81</v>
      </c>
      <c r="C87" s="64">
        <v>13.49</v>
      </c>
      <c r="D87" s="64">
        <v>20.309999999999999</v>
      </c>
      <c r="E87" s="64">
        <v>0.73</v>
      </c>
      <c r="F87" s="64">
        <v>1.47</v>
      </c>
      <c r="G87" s="64">
        <v>56.86</v>
      </c>
      <c r="H87" s="64">
        <v>15.17</v>
      </c>
      <c r="I87" s="64">
        <v>0.12</v>
      </c>
      <c r="J87" s="64">
        <v>0.14000000000000001</v>
      </c>
      <c r="K87" s="64">
        <v>21.36</v>
      </c>
      <c r="L87" s="64">
        <v>22.69</v>
      </c>
      <c r="M87" s="64">
        <v>97.24</v>
      </c>
      <c r="N87" s="64">
        <v>7.2</v>
      </c>
      <c r="O87" s="64">
        <v>0</v>
      </c>
      <c r="P87" s="64">
        <v>0.86</v>
      </c>
      <c r="Q87" s="64">
        <v>14.49</v>
      </c>
      <c r="R87" s="198"/>
      <c r="S87" s="198"/>
      <c r="T87" s="198"/>
      <c r="U87" s="198"/>
    </row>
    <row r="88" spans="1:26" s="12" customFormat="1" x14ac:dyDescent="0.25">
      <c r="A88" s="214" t="s">
        <v>519</v>
      </c>
      <c r="B88" s="64">
        <v>6.14</v>
      </c>
      <c r="C88" s="64">
        <v>14.08</v>
      </c>
      <c r="D88" s="64">
        <v>20.22</v>
      </c>
      <c r="E88" s="64">
        <v>1.31</v>
      </c>
      <c r="F88" s="64">
        <v>4.5199999999999996</v>
      </c>
      <c r="G88" s="64">
        <v>49.92</v>
      </c>
      <c r="H88" s="64">
        <v>13.59</v>
      </c>
      <c r="I88" s="64">
        <v>0.13</v>
      </c>
      <c r="J88" s="64">
        <v>0.56000000000000005</v>
      </c>
      <c r="K88" s="64">
        <v>114.14</v>
      </c>
      <c r="L88" s="64">
        <v>22.68</v>
      </c>
      <c r="M88" s="64">
        <v>97.35</v>
      </c>
      <c r="N88" s="64">
        <v>7.3</v>
      </c>
      <c r="O88" s="64">
        <v>0</v>
      </c>
      <c r="P88" s="64">
        <v>0.79</v>
      </c>
      <c r="Q88" s="64">
        <v>14.54</v>
      </c>
      <c r="R88" s="198"/>
      <c r="S88" s="198"/>
      <c r="T88" s="198"/>
      <c r="U88" s="198"/>
    </row>
    <row r="89" spans="1:26" s="12" customFormat="1" x14ac:dyDescent="0.25">
      <c r="A89" s="214" t="s">
        <v>520</v>
      </c>
      <c r="B89" s="64">
        <v>6.16</v>
      </c>
      <c r="C89" s="64">
        <v>12.94</v>
      </c>
      <c r="D89" s="64">
        <v>19.100000000000001</v>
      </c>
      <c r="E89" s="64">
        <v>1.78</v>
      </c>
      <c r="F89" s="64">
        <v>1.62</v>
      </c>
      <c r="G89" s="64">
        <v>43.85</v>
      </c>
      <c r="H89" s="64">
        <v>12.95</v>
      </c>
      <c r="I89" s="64">
        <v>0.12</v>
      </c>
      <c r="J89" s="64">
        <v>0.15</v>
      </c>
      <c r="K89" s="64">
        <v>125.5</v>
      </c>
      <c r="L89" s="64">
        <v>22.57</v>
      </c>
      <c r="M89" s="64">
        <v>97.9</v>
      </c>
      <c r="N89" s="64">
        <v>7.3</v>
      </c>
      <c r="O89" s="64">
        <v>0</v>
      </c>
      <c r="P89" s="64">
        <v>0.82</v>
      </c>
      <c r="Q89" s="64">
        <v>14.72</v>
      </c>
      <c r="R89" s="198"/>
      <c r="S89" s="198"/>
      <c r="T89" s="198"/>
      <c r="U89" s="198"/>
    </row>
    <row r="90" spans="1:26" s="12" customFormat="1" x14ac:dyDescent="0.25">
      <c r="A90" s="214" t="s">
        <v>521</v>
      </c>
      <c r="B90" s="64">
        <v>5.98</v>
      </c>
      <c r="C90" s="64">
        <v>15.31</v>
      </c>
      <c r="D90" s="64">
        <v>21.3</v>
      </c>
      <c r="E90" s="64">
        <v>2.6</v>
      </c>
      <c r="F90" s="64">
        <v>4.7300000000000004</v>
      </c>
      <c r="G90" s="64">
        <v>43.85</v>
      </c>
      <c r="H90" s="64">
        <v>12.95</v>
      </c>
      <c r="I90" s="64">
        <v>0.12</v>
      </c>
      <c r="J90" s="64">
        <v>0.76</v>
      </c>
      <c r="K90" s="64">
        <v>154.84</v>
      </c>
      <c r="L90" s="64">
        <v>22.55</v>
      </c>
      <c r="M90" s="64">
        <v>97.88</v>
      </c>
      <c r="N90" s="64">
        <v>7</v>
      </c>
      <c r="O90" s="64">
        <v>0</v>
      </c>
      <c r="P90" s="64">
        <v>0.73</v>
      </c>
      <c r="Q90" s="64">
        <v>15.83</v>
      </c>
      <c r="R90" s="198"/>
      <c r="S90" s="198"/>
      <c r="T90" s="198"/>
      <c r="U90" s="198"/>
    </row>
    <row r="91" spans="1:26" s="12" customFormat="1" x14ac:dyDescent="0.25">
      <c r="A91" s="214" t="s">
        <v>522</v>
      </c>
      <c r="B91" s="64">
        <v>6.46</v>
      </c>
      <c r="C91" s="64">
        <v>16.91</v>
      </c>
      <c r="D91" s="64">
        <v>23.37</v>
      </c>
      <c r="E91" s="64">
        <v>2.41</v>
      </c>
      <c r="F91" s="64">
        <v>5.9</v>
      </c>
      <c r="G91" s="64">
        <v>43.85</v>
      </c>
      <c r="H91" s="64">
        <v>12.95</v>
      </c>
      <c r="I91" s="64">
        <v>0.12</v>
      </c>
      <c r="J91" s="64">
        <v>0.34</v>
      </c>
      <c r="K91" s="64">
        <v>153.25</v>
      </c>
      <c r="L91" s="64">
        <v>22.59</v>
      </c>
      <c r="M91" s="64">
        <v>97.71</v>
      </c>
      <c r="N91" s="64">
        <v>7.2</v>
      </c>
      <c r="O91" s="64">
        <v>0</v>
      </c>
      <c r="P91" s="64">
        <v>0.69</v>
      </c>
      <c r="Q91" s="64">
        <v>16.29</v>
      </c>
      <c r="R91" s="198"/>
      <c r="S91" s="198"/>
      <c r="T91" s="198"/>
      <c r="U91" s="198"/>
    </row>
    <row r="92" spans="1:26" s="12" customFormat="1" x14ac:dyDescent="0.25">
      <c r="A92" s="214" t="s">
        <v>523</v>
      </c>
      <c r="B92" s="64">
        <v>6.14</v>
      </c>
      <c r="C92" s="64">
        <v>19.670000000000002</v>
      </c>
      <c r="D92" s="64">
        <v>25.82</v>
      </c>
      <c r="E92" s="64">
        <v>2.23</v>
      </c>
      <c r="F92" s="64">
        <v>9.4499999999999993</v>
      </c>
      <c r="G92" s="64">
        <v>37.69</v>
      </c>
      <c r="H92" s="64">
        <v>11.06</v>
      </c>
      <c r="I92" s="64">
        <v>0.12</v>
      </c>
      <c r="J92" s="64">
        <v>0.11</v>
      </c>
      <c r="K92" s="64">
        <v>174.28</v>
      </c>
      <c r="L92" s="64">
        <v>22.68</v>
      </c>
      <c r="M92" s="64">
        <v>97.58</v>
      </c>
      <c r="N92" s="64">
        <v>7.3</v>
      </c>
      <c r="O92" s="64">
        <v>0</v>
      </c>
      <c r="P92" s="64">
        <v>0.57999999999999996</v>
      </c>
      <c r="Q92" s="64">
        <v>16.64</v>
      </c>
      <c r="R92" s="198"/>
      <c r="S92" s="198"/>
      <c r="T92" s="198"/>
      <c r="U92" s="198"/>
    </row>
    <row r="93" spans="1:26" s="12" customFormat="1" x14ac:dyDescent="0.25">
      <c r="A93" s="214" t="s">
        <v>524</v>
      </c>
      <c r="B93" s="64">
        <v>14.11</v>
      </c>
      <c r="C93" s="64">
        <v>24.75</v>
      </c>
      <c r="D93" s="64">
        <v>38.86</v>
      </c>
      <c r="E93" s="64">
        <v>2.2599999999999998</v>
      </c>
      <c r="F93" s="64">
        <v>9.01</v>
      </c>
      <c r="G93" s="64">
        <v>32.299999999999997</v>
      </c>
      <c r="H93" s="64">
        <v>10.3</v>
      </c>
      <c r="I93" s="64">
        <v>0.12</v>
      </c>
      <c r="J93" s="64">
        <v>0.06</v>
      </c>
      <c r="K93" s="64">
        <v>151.56</v>
      </c>
      <c r="L93" s="64">
        <v>22.6</v>
      </c>
      <c r="M93" s="64">
        <v>97.92</v>
      </c>
      <c r="N93" s="64">
        <v>7.3</v>
      </c>
      <c r="O93" s="64">
        <v>0</v>
      </c>
      <c r="P93" s="64">
        <v>0.69</v>
      </c>
      <c r="Q93" s="64">
        <v>16.260000000000002</v>
      </c>
      <c r="R93" s="198"/>
      <c r="S93" s="198"/>
      <c r="T93" s="198"/>
      <c r="U93" s="198"/>
    </row>
    <row r="94" spans="1:26" s="12" customFormat="1" x14ac:dyDescent="0.25">
      <c r="A94" s="214" t="s">
        <v>525</v>
      </c>
      <c r="B94" s="64">
        <v>5.96</v>
      </c>
      <c r="C94" s="64">
        <v>17.61</v>
      </c>
      <c r="D94" s="64">
        <v>23.57</v>
      </c>
      <c r="E94" s="64">
        <v>2.64</v>
      </c>
      <c r="F94" s="64">
        <v>5.04</v>
      </c>
      <c r="G94" s="64">
        <v>32.299999999999997</v>
      </c>
      <c r="H94" s="64">
        <v>10.3</v>
      </c>
      <c r="I94" s="64">
        <v>0.11</v>
      </c>
      <c r="J94" s="64">
        <v>0.5</v>
      </c>
      <c r="K94" s="64">
        <v>145.88999999999999</v>
      </c>
      <c r="L94" s="64">
        <v>22.64</v>
      </c>
      <c r="M94" s="64">
        <v>97.67</v>
      </c>
      <c r="N94" s="64">
        <v>7.2</v>
      </c>
      <c r="O94" s="64">
        <v>0</v>
      </c>
      <c r="P94" s="64">
        <v>0.67</v>
      </c>
      <c r="Q94" s="64">
        <v>16.09</v>
      </c>
      <c r="R94" s="198"/>
      <c r="S94" s="198"/>
      <c r="T94" s="198"/>
      <c r="U94" s="198"/>
    </row>
    <row r="95" spans="1:26" s="12" customFormat="1" x14ac:dyDescent="0.25">
      <c r="A95" s="214" t="s">
        <v>526</v>
      </c>
      <c r="B95" s="64">
        <v>7.04</v>
      </c>
      <c r="C95" s="64">
        <v>12.62</v>
      </c>
      <c r="D95" s="64">
        <v>19.66</v>
      </c>
      <c r="E95" s="64">
        <v>2.11</v>
      </c>
      <c r="F95" s="64">
        <v>1.58</v>
      </c>
      <c r="G95" s="64">
        <v>32.299999999999997</v>
      </c>
      <c r="H95" s="64">
        <v>10.3</v>
      </c>
      <c r="I95" s="64">
        <v>0.11</v>
      </c>
      <c r="J95" s="64">
        <v>1</v>
      </c>
      <c r="K95" s="64">
        <v>151.71</v>
      </c>
      <c r="L95" s="64">
        <v>22.62</v>
      </c>
      <c r="M95" s="64">
        <v>97.52</v>
      </c>
      <c r="N95" s="64">
        <v>7.2</v>
      </c>
      <c r="O95" s="64">
        <v>0</v>
      </c>
      <c r="P95" s="64">
        <v>0.72</v>
      </c>
      <c r="Q95" s="64">
        <v>16.8</v>
      </c>
      <c r="R95" s="198"/>
      <c r="S95" s="198"/>
      <c r="T95" s="198"/>
      <c r="U95" s="198"/>
    </row>
    <row r="96" spans="1:26" s="12" customFormat="1" x14ac:dyDescent="0.25">
      <c r="A96" s="214" t="s">
        <v>527</v>
      </c>
      <c r="B96" s="64">
        <v>7.03</v>
      </c>
      <c r="C96" s="64">
        <v>10.76</v>
      </c>
      <c r="D96" s="64">
        <v>17.8</v>
      </c>
      <c r="E96" s="64">
        <v>1.9</v>
      </c>
      <c r="F96" s="64">
        <v>1.97</v>
      </c>
      <c r="G96" s="64">
        <v>33.369999999999997</v>
      </c>
      <c r="H96" s="64">
        <v>9.3800000000000008</v>
      </c>
      <c r="I96" s="64">
        <v>0.13</v>
      </c>
      <c r="J96" s="64">
        <v>0.28000000000000003</v>
      </c>
      <c r="K96" s="64">
        <v>170.32</v>
      </c>
      <c r="L96" s="64">
        <v>22.66</v>
      </c>
      <c r="M96" s="64">
        <v>97.78</v>
      </c>
      <c r="N96" s="64">
        <v>7.3</v>
      </c>
      <c r="O96" s="64">
        <v>0</v>
      </c>
      <c r="P96" s="64">
        <v>0.72</v>
      </c>
      <c r="Q96" s="64">
        <v>16.350000000000001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528</v>
      </c>
      <c r="B97" s="64">
        <v>6.77</v>
      </c>
      <c r="C97" s="64">
        <v>11.58</v>
      </c>
      <c r="D97" s="64">
        <v>18.350000000000001</v>
      </c>
      <c r="E97" s="64">
        <v>2.12</v>
      </c>
      <c r="F97" s="64">
        <v>2.35</v>
      </c>
      <c r="G97" s="64">
        <v>34.31</v>
      </c>
      <c r="H97" s="64">
        <v>9.01</v>
      </c>
      <c r="I97" s="64">
        <v>0.13</v>
      </c>
      <c r="J97" s="64">
        <v>0.06</v>
      </c>
      <c r="K97" s="64">
        <v>147.62</v>
      </c>
      <c r="L97" s="64">
        <v>22.49</v>
      </c>
      <c r="M97" s="64">
        <v>98.02</v>
      </c>
      <c r="N97" s="64">
        <v>7.3</v>
      </c>
      <c r="O97" s="64">
        <v>0</v>
      </c>
      <c r="P97" s="64">
        <v>0.66</v>
      </c>
      <c r="Q97" s="64">
        <v>17</v>
      </c>
      <c r="R97" s="198"/>
      <c r="S97" s="198"/>
      <c r="T97" s="198"/>
      <c r="U97" s="198"/>
    </row>
    <row r="98" spans="1:33" s="12" customFormat="1" x14ac:dyDescent="0.25">
      <c r="A98" s="214" t="s">
        <v>529</v>
      </c>
      <c r="B98" s="64">
        <v>6.33</v>
      </c>
      <c r="C98" s="64">
        <v>10.65</v>
      </c>
      <c r="D98" s="64">
        <v>16.989999999999998</v>
      </c>
      <c r="E98" s="64">
        <v>1.89</v>
      </c>
      <c r="F98" s="64">
        <v>2.1</v>
      </c>
      <c r="G98" s="64">
        <v>34.31</v>
      </c>
      <c r="H98" s="64">
        <v>9.01</v>
      </c>
      <c r="I98" s="64">
        <v>0.13</v>
      </c>
      <c r="J98" s="64">
        <v>7.0000000000000007E-2</v>
      </c>
      <c r="K98" s="64">
        <v>170.45</v>
      </c>
      <c r="L98" s="64">
        <v>22.42</v>
      </c>
      <c r="M98" s="64">
        <v>98.13</v>
      </c>
      <c r="N98" s="64">
        <v>7.2</v>
      </c>
      <c r="O98" s="64">
        <v>0</v>
      </c>
      <c r="P98" s="64">
        <v>0.68</v>
      </c>
      <c r="Q98" s="64">
        <v>16.5</v>
      </c>
      <c r="R98" s="198"/>
      <c r="S98" s="198"/>
      <c r="T98" s="198"/>
      <c r="U98" s="198"/>
    </row>
    <row r="99" spans="1:33" s="12" customFormat="1" x14ac:dyDescent="0.25">
      <c r="A99" s="214" t="s">
        <v>530</v>
      </c>
      <c r="B99" s="64">
        <v>6.04</v>
      </c>
      <c r="C99" s="64">
        <v>10.76</v>
      </c>
      <c r="D99" s="64">
        <v>16.8</v>
      </c>
      <c r="E99" s="64">
        <v>2.2799999999999998</v>
      </c>
      <c r="F99" s="64">
        <v>1.1499999999999999</v>
      </c>
      <c r="G99" s="64">
        <v>34.31</v>
      </c>
      <c r="H99" s="64">
        <v>9.01</v>
      </c>
      <c r="I99" s="64">
        <v>0.12</v>
      </c>
      <c r="J99" s="64">
        <v>0.09</v>
      </c>
      <c r="K99" s="64">
        <v>30.2</v>
      </c>
      <c r="L99" s="64">
        <v>22.49</v>
      </c>
      <c r="M99" s="64">
        <v>98.3</v>
      </c>
      <c r="N99" s="64">
        <v>7.2</v>
      </c>
      <c r="O99" s="64">
        <v>0</v>
      </c>
      <c r="P99" s="64">
        <v>0.65</v>
      </c>
      <c r="Q99" s="64">
        <v>16.71</v>
      </c>
      <c r="R99" s="198"/>
      <c r="S99" s="198"/>
      <c r="T99" s="198"/>
      <c r="U99" s="198"/>
    </row>
    <row r="100" spans="1:33" s="12" customFormat="1" x14ac:dyDescent="0.25">
      <c r="A100" s="214" t="s">
        <v>531</v>
      </c>
      <c r="B100" s="64">
        <v>5.67</v>
      </c>
      <c r="C100" s="64">
        <v>10.18</v>
      </c>
      <c r="D100" s="64">
        <v>15.85</v>
      </c>
      <c r="E100" s="64">
        <v>2.65</v>
      </c>
      <c r="F100" s="64">
        <v>1.94</v>
      </c>
      <c r="G100" s="64">
        <v>28.58</v>
      </c>
      <c r="H100" s="64">
        <v>7.9</v>
      </c>
      <c r="I100" s="64">
        <v>0.13</v>
      </c>
      <c r="J100" s="64">
        <v>0.09</v>
      </c>
      <c r="K100" s="64">
        <v>30.2</v>
      </c>
      <c r="L100" s="64">
        <v>22.49</v>
      </c>
      <c r="M100" s="64">
        <v>98.3</v>
      </c>
      <c r="N100" s="64">
        <v>7.2</v>
      </c>
      <c r="O100" s="64">
        <v>0</v>
      </c>
      <c r="P100" s="64">
        <v>0.62</v>
      </c>
      <c r="Q100" s="64">
        <v>15.83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532</v>
      </c>
      <c r="B101" s="64">
        <v>5.45</v>
      </c>
      <c r="C101" s="64">
        <v>10.32</v>
      </c>
      <c r="D101" s="64">
        <v>15.77</v>
      </c>
      <c r="E101" s="64">
        <v>2.2400000000000002</v>
      </c>
      <c r="F101" s="64">
        <v>1.42</v>
      </c>
      <c r="G101" s="64">
        <v>23.56</v>
      </c>
      <c r="H101" s="64">
        <v>7.45</v>
      </c>
      <c r="I101" s="64">
        <v>0.12</v>
      </c>
      <c r="J101" s="64">
        <v>0.16</v>
      </c>
      <c r="K101" s="64">
        <v>25.1</v>
      </c>
      <c r="L101" s="64">
        <v>22.46</v>
      </c>
      <c r="M101" s="64">
        <v>98.3</v>
      </c>
      <c r="N101" s="64">
        <v>7.1</v>
      </c>
      <c r="O101" s="64">
        <v>0</v>
      </c>
      <c r="P101" s="64">
        <v>0.62</v>
      </c>
      <c r="Q101" s="64">
        <v>15.8</v>
      </c>
      <c r="R101" s="198"/>
      <c r="S101" s="198"/>
      <c r="T101" s="198"/>
      <c r="U101" s="198"/>
    </row>
    <row r="102" spans="1:33" s="12" customFormat="1" x14ac:dyDescent="0.25">
      <c r="A102" s="214" t="s">
        <v>533</v>
      </c>
      <c r="B102" s="64">
        <v>5.34</v>
      </c>
      <c r="C102" s="64">
        <v>11.28</v>
      </c>
      <c r="D102" s="64">
        <v>16.62</v>
      </c>
      <c r="E102" s="64">
        <v>2.2400000000000002</v>
      </c>
      <c r="F102" s="64">
        <v>1.48</v>
      </c>
      <c r="G102" s="64">
        <v>23.56</v>
      </c>
      <c r="H102" s="64">
        <v>7.45</v>
      </c>
      <c r="I102" s="64">
        <v>0.13</v>
      </c>
      <c r="J102" s="64">
        <v>0.28999999999999998</v>
      </c>
      <c r="K102" s="64">
        <v>21.25</v>
      </c>
      <c r="L102" s="64">
        <v>22.56</v>
      </c>
      <c r="M102" s="64">
        <v>98.3</v>
      </c>
      <c r="N102" s="64">
        <v>7.1</v>
      </c>
      <c r="O102" s="64">
        <v>0</v>
      </c>
      <c r="P102" s="64">
        <v>0.6</v>
      </c>
      <c r="Q102" s="64">
        <v>16.87</v>
      </c>
      <c r="R102" s="198"/>
      <c r="S102" s="198"/>
      <c r="T102" s="198"/>
      <c r="U102" s="198"/>
    </row>
    <row r="103" spans="1:33" s="12" customFormat="1" x14ac:dyDescent="0.25">
      <c r="A103" s="214" t="s">
        <v>534</v>
      </c>
      <c r="B103" s="64">
        <v>5.25</v>
      </c>
      <c r="C103" s="64">
        <v>11.37</v>
      </c>
      <c r="D103" s="64">
        <v>16.63</v>
      </c>
      <c r="E103" s="64">
        <v>1.97</v>
      </c>
      <c r="F103" s="64">
        <v>1.34</v>
      </c>
      <c r="G103" s="64">
        <v>23.56</v>
      </c>
      <c r="H103" s="64">
        <v>7.45</v>
      </c>
      <c r="I103" s="64">
        <v>0.13</v>
      </c>
      <c r="J103" s="64">
        <v>0.37</v>
      </c>
      <c r="K103" s="64">
        <v>25.43</v>
      </c>
      <c r="L103" s="64">
        <v>22.64</v>
      </c>
      <c r="M103" s="64">
        <v>98.05</v>
      </c>
      <c r="N103" s="64">
        <v>7.3</v>
      </c>
      <c r="O103" s="64">
        <v>0</v>
      </c>
      <c r="P103" s="64">
        <v>0.57999999999999996</v>
      </c>
      <c r="Q103" s="64">
        <v>16.809999999999999</v>
      </c>
      <c r="R103" s="198"/>
      <c r="S103" s="198"/>
      <c r="T103" s="198"/>
      <c r="U103" s="198"/>
    </row>
    <row r="104" spans="1:33" s="12" customFormat="1" x14ac:dyDescent="0.25">
      <c r="A104" s="214" t="s">
        <v>535</v>
      </c>
      <c r="B104" s="64">
        <v>4.88</v>
      </c>
      <c r="C104" s="64">
        <v>11.2</v>
      </c>
      <c r="D104" s="64">
        <v>16.079999999999998</v>
      </c>
      <c r="E104" s="64">
        <v>0.89</v>
      </c>
      <c r="F104" s="64">
        <v>1.9</v>
      </c>
      <c r="G104" s="64">
        <v>26.29</v>
      </c>
      <c r="H104" s="64">
        <v>6.58</v>
      </c>
      <c r="I104" s="64">
        <v>0.12</v>
      </c>
      <c r="J104" s="64">
        <v>0.48</v>
      </c>
      <c r="K104" s="64">
        <v>337.52</v>
      </c>
      <c r="L104" s="64">
        <v>22.54</v>
      </c>
      <c r="M104" s="64">
        <v>98.3</v>
      </c>
      <c r="N104" s="64">
        <v>7.4</v>
      </c>
      <c r="O104" s="64">
        <v>0</v>
      </c>
      <c r="P104" s="64">
        <v>0.55000000000000004</v>
      </c>
      <c r="Q104" s="64">
        <v>16.43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4.1100000000000003</v>
      </c>
      <c r="C106" s="67">
        <f>MIN(C9:C104)</f>
        <v>8.24</v>
      </c>
      <c r="D106" s="67">
        <f t="shared" ref="D106:Q106" si="0">MIN(D9:D104)</f>
        <v>12.56</v>
      </c>
      <c r="E106" s="67">
        <f t="shared" si="0"/>
        <v>0.23</v>
      </c>
      <c r="F106" s="67">
        <f t="shared" si="0"/>
        <v>0.56999999999999995</v>
      </c>
      <c r="G106" s="67">
        <f t="shared" si="0"/>
        <v>15.61</v>
      </c>
      <c r="H106" s="67">
        <f t="shared" si="0"/>
        <v>6.02</v>
      </c>
      <c r="I106" s="67">
        <f t="shared" si="0"/>
        <v>0.11</v>
      </c>
      <c r="J106" s="67">
        <f t="shared" si="0"/>
        <v>0.02</v>
      </c>
      <c r="K106" s="67">
        <f t="shared" si="0"/>
        <v>4.41</v>
      </c>
      <c r="L106" s="67">
        <f t="shared" si="0"/>
        <v>21.25</v>
      </c>
      <c r="M106" s="67">
        <f t="shared" si="0"/>
        <v>81.86</v>
      </c>
      <c r="N106" s="67">
        <f t="shared" si="0"/>
        <v>6.9</v>
      </c>
      <c r="O106" s="67">
        <f t="shared" si="0"/>
        <v>0</v>
      </c>
      <c r="P106" s="67">
        <f t="shared" si="0"/>
        <v>0.25</v>
      </c>
      <c r="Q106" s="67">
        <f t="shared" si="0"/>
        <v>14.11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15.51</v>
      </c>
      <c r="C107" s="66">
        <f t="shared" ref="C107:Q107" si="1">MAX(C9:C104)</f>
        <v>28.52</v>
      </c>
      <c r="D107" s="66">
        <f t="shared" si="1"/>
        <v>38.86</v>
      </c>
      <c r="E107" s="66">
        <f t="shared" si="1"/>
        <v>2.65</v>
      </c>
      <c r="F107" s="66">
        <f t="shared" si="1"/>
        <v>9.4499999999999993</v>
      </c>
      <c r="G107" s="66">
        <f t="shared" si="1"/>
        <v>77.23</v>
      </c>
      <c r="H107" s="66">
        <f t="shared" si="1"/>
        <v>21.08</v>
      </c>
      <c r="I107" s="66">
        <f t="shared" si="1"/>
        <v>0.14000000000000001</v>
      </c>
      <c r="J107" s="66">
        <f t="shared" si="1"/>
        <v>2.4</v>
      </c>
      <c r="K107" s="66">
        <f t="shared" si="1"/>
        <v>359.28</v>
      </c>
      <c r="L107" s="66">
        <f t="shared" si="1"/>
        <v>27.15</v>
      </c>
      <c r="M107" s="66">
        <f t="shared" si="1"/>
        <v>98.35</v>
      </c>
      <c r="N107" s="66">
        <f t="shared" si="1"/>
        <v>589.79999999999995</v>
      </c>
      <c r="O107" s="66">
        <f t="shared" si="1"/>
        <v>2</v>
      </c>
      <c r="P107" s="66">
        <f t="shared" si="1"/>
        <v>1.22</v>
      </c>
      <c r="Q107" s="66">
        <f t="shared" si="1"/>
        <v>19.72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8.0343749999999989</v>
      </c>
      <c r="C108" s="67">
        <f t="shared" ref="C108:Q108" si="2">AVERAGE(C9:C104)</f>
        <v>14.42552083333333</v>
      </c>
      <c r="D108" s="67">
        <f t="shared" si="2"/>
        <v>22.46031249999999</v>
      </c>
      <c r="E108" s="67">
        <f t="shared" si="2"/>
        <v>1.3523958333333332</v>
      </c>
      <c r="F108" s="67">
        <f t="shared" si="2"/>
        <v>2.6097916666666658</v>
      </c>
      <c r="G108" s="67">
        <f t="shared" si="2"/>
        <v>32.935937500000009</v>
      </c>
      <c r="H108" s="67">
        <f t="shared" si="2"/>
        <v>10.340520833333334</v>
      </c>
      <c r="I108" s="67">
        <f t="shared" si="2"/>
        <v>0.12416666666666659</v>
      </c>
      <c r="J108" s="67">
        <f t="shared" si="2"/>
        <v>0.29562499999999992</v>
      </c>
      <c r="K108" s="67">
        <f t="shared" si="2"/>
        <v>160.56208333333339</v>
      </c>
      <c r="L108" s="67">
        <f t="shared" si="2"/>
        <v>23.332708333333329</v>
      </c>
      <c r="M108" s="67">
        <f t="shared" si="2"/>
        <v>95.463020833333303</v>
      </c>
      <c r="N108" s="67">
        <f t="shared" si="2"/>
        <v>83.265625000000014</v>
      </c>
      <c r="O108" s="67">
        <f t="shared" si="2"/>
        <v>6.8750000000000006E-2</v>
      </c>
      <c r="P108" s="67">
        <f t="shared" si="2"/>
        <v>0.57666666666666655</v>
      </c>
      <c r="Q108" s="67">
        <f t="shared" si="2"/>
        <v>16.968421052631573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3.0387611092264852</v>
      </c>
      <c r="C109" s="67">
        <f t="shared" ref="C109:Q109" si="3">STDEV(C9:C104)</f>
        <v>4.9103688080571333</v>
      </c>
      <c r="D109" s="67">
        <f t="shared" si="3"/>
        <v>7.4265531358944372</v>
      </c>
      <c r="E109" s="67">
        <f t="shared" si="3"/>
        <v>0.52088739017719954</v>
      </c>
      <c r="F109" s="67">
        <f t="shared" si="3"/>
        <v>1.7299716938156842</v>
      </c>
      <c r="G109" s="67">
        <f t="shared" si="3"/>
        <v>17.092675352056155</v>
      </c>
      <c r="H109" s="67">
        <f t="shared" si="3"/>
        <v>3.6711648430470301</v>
      </c>
      <c r="I109" s="67">
        <f t="shared" si="3"/>
        <v>5.5567250231099378E-3</v>
      </c>
      <c r="J109" s="67">
        <f t="shared" si="3"/>
        <v>0.30895686123674809</v>
      </c>
      <c r="K109" s="67">
        <f t="shared" si="3"/>
        <v>125.61453720696213</v>
      </c>
      <c r="L109" s="67">
        <f t="shared" si="3"/>
        <v>1.4242290466048577</v>
      </c>
      <c r="M109" s="67">
        <f t="shared" si="3"/>
        <v>4.5825107160506784</v>
      </c>
      <c r="N109" s="67">
        <f t="shared" si="3"/>
        <v>117.8150860040071</v>
      </c>
      <c r="O109" s="67">
        <f t="shared" si="3"/>
        <v>0.28848515422899373</v>
      </c>
      <c r="P109" s="67">
        <f t="shared" si="3"/>
        <v>0.25733315153161485</v>
      </c>
      <c r="Q109" s="67">
        <f t="shared" si="3"/>
        <v>1.4672708170668092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P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33" sqref="H13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536</v>
      </c>
      <c r="B9" s="64">
        <v>4.5999999999999996</v>
      </c>
      <c r="C9" s="64">
        <v>11.11</v>
      </c>
      <c r="D9" s="64">
        <v>15.7</v>
      </c>
      <c r="E9" s="64">
        <v>2.1</v>
      </c>
      <c r="F9" s="64">
        <v>1.7</v>
      </c>
      <c r="G9" s="64">
        <v>28.67</v>
      </c>
      <c r="H9" s="64">
        <v>5.9</v>
      </c>
      <c r="I9" s="64">
        <v>0.13</v>
      </c>
      <c r="J9" s="64">
        <v>0.31</v>
      </c>
      <c r="K9" s="64">
        <v>344.95</v>
      </c>
      <c r="L9" s="64">
        <v>22.52</v>
      </c>
      <c r="M9" s="64">
        <v>98.3</v>
      </c>
      <c r="N9" s="64">
        <v>7.2</v>
      </c>
      <c r="O9" s="64">
        <v>0</v>
      </c>
      <c r="P9" s="64">
        <v>0.52</v>
      </c>
      <c r="Q9" s="64">
        <v>16.170000000000002</v>
      </c>
      <c r="R9" s="198"/>
      <c r="S9" s="198"/>
      <c r="T9" s="198"/>
      <c r="U9" s="198"/>
    </row>
    <row r="10" spans="1:21" s="12" customFormat="1" x14ac:dyDescent="0.25">
      <c r="A10" s="214" t="s">
        <v>537</v>
      </c>
      <c r="B10" s="64">
        <v>4.54</v>
      </c>
      <c r="C10" s="64">
        <v>11.03</v>
      </c>
      <c r="D10" s="64">
        <v>15.57</v>
      </c>
      <c r="E10" s="64">
        <v>2.13</v>
      </c>
      <c r="F10" s="64">
        <v>1.01</v>
      </c>
      <c r="G10" s="64">
        <v>28.67</v>
      </c>
      <c r="H10" s="64">
        <v>5.9</v>
      </c>
      <c r="I10" s="64">
        <v>0.13</v>
      </c>
      <c r="J10" s="64">
        <v>0.36</v>
      </c>
      <c r="K10" s="64">
        <v>337.37</v>
      </c>
      <c r="L10" s="64">
        <v>22.52</v>
      </c>
      <c r="M10" s="64">
        <v>98.32</v>
      </c>
      <c r="N10" s="64">
        <v>7.5</v>
      </c>
      <c r="O10" s="64">
        <v>0.8</v>
      </c>
      <c r="P10" s="64">
        <v>0.51</v>
      </c>
      <c r="Q10" s="64">
        <v>15.63</v>
      </c>
      <c r="R10" s="198"/>
      <c r="S10" s="198"/>
      <c r="T10" s="198"/>
      <c r="U10" s="198"/>
    </row>
    <row r="11" spans="1:21" s="12" customFormat="1" x14ac:dyDescent="0.25">
      <c r="A11" s="214" t="s">
        <v>538</v>
      </c>
      <c r="B11" s="64">
        <v>4.4400000000000004</v>
      </c>
      <c r="C11" s="64">
        <v>10.62</v>
      </c>
      <c r="D11" s="64">
        <v>15.07</v>
      </c>
      <c r="E11" s="64">
        <v>2.39</v>
      </c>
      <c r="F11" s="64">
        <v>3.46</v>
      </c>
      <c r="G11" s="64">
        <v>28.67</v>
      </c>
      <c r="H11" s="64">
        <v>5.9</v>
      </c>
      <c r="I11" s="64">
        <v>0.13</v>
      </c>
      <c r="J11" s="64">
        <v>0.45</v>
      </c>
      <c r="K11" s="64">
        <v>344.59</v>
      </c>
      <c r="L11" s="64">
        <v>22.07</v>
      </c>
      <c r="M11" s="64">
        <v>98.36</v>
      </c>
      <c r="N11" s="64">
        <v>8.1999999999999993</v>
      </c>
      <c r="O11" s="64">
        <v>2.8</v>
      </c>
      <c r="P11" s="64">
        <v>0.49</v>
      </c>
      <c r="Q11" s="64">
        <v>14.12</v>
      </c>
      <c r="R11" s="198"/>
      <c r="S11" s="198"/>
      <c r="T11" s="198"/>
      <c r="U11" s="198"/>
    </row>
    <row r="12" spans="1:21" s="12" customFormat="1" x14ac:dyDescent="0.25">
      <c r="A12" s="214" t="s">
        <v>539</v>
      </c>
      <c r="B12" s="64">
        <v>4.5999999999999996</v>
      </c>
      <c r="C12" s="64">
        <v>9.85</v>
      </c>
      <c r="D12" s="64">
        <v>14.45</v>
      </c>
      <c r="E12" s="64">
        <v>1.52</v>
      </c>
      <c r="F12" s="64">
        <v>1.86</v>
      </c>
      <c r="G12" s="64">
        <v>27.03</v>
      </c>
      <c r="H12" s="64">
        <v>6.38</v>
      </c>
      <c r="I12" s="64">
        <v>0.14000000000000001</v>
      </c>
      <c r="J12" s="64">
        <v>1.27</v>
      </c>
      <c r="K12" s="64">
        <v>108.95</v>
      </c>
      <c r="L12" s="64">
        <v>21.29</v>
      </c>
      <c r="M12" s="64">
        <v>98.36</v>
      </c>
      <c r="N12" s="64">
        <v>9.3000000000000007</v>
      </c>
      <c r="O12" s="64">
        <v>0.2</v>
      </c>
      <c r="P12" s="64">
        <v>0.5</v>
      </c>
      <c r="Q12" s="64">
        <v>14.08</v>
      </c>
      <c r="R12" s="198"/>
      <c r="S12" s="198"/>
      <c r="T12" s="198"/>
      <c r="U12" s="198"/>
    </row>
    <row r="13" spans="1:21" s="12" customFormat="1" x14ac:dyDescent="0.25">
      <c r="A13" s="214" t="s">
        <v>540</v>
      </c>
      <c r="B13" s="64">
        <v>4.62</v>
      </c>
      <c r="C13" s="64">
        <v>9.26</v>
      </c>
      <c r="D13" s="64">
        <v>13.89</v>
      </c>
      <c r="E13" s="64">
        <v>1.7</v>
      </c>
      <c r="F13" s="64">
        <v>1.73</v>
      </c>
      <c r="G13" s="64">
        <v>25.6</v>
      </c>
      <c r="H13" s="64">
        <v>6.57</v>
      </c>
      <c r="I13" s="64">
        <v>0.13</v>
      </c>
      <c r="J13" s="64">
        <v>2.02</v>
      </c>
      <c r="K13" s="64">
        <v>108.43</v>
      </c>
      <c r="L13" s="64">
        <v>20.81</v>
      </c>
      <c r="M13" s="64">
        <v>98.35</v>
      </c>
      <c r="N13" s="64">
        <v>7.9</v>
      </c>
      <c r="O13" s="64">
        <v>0.6</v>
      </c>
      <c r="P13" s="64">
        <v>0.47</v>
      </c>
      <c r="Q13" s="64">
        <v>15.64</v>
      </c>
      <c r="R13" s="198"/>
      <c r="S13" s="198"/>
      <c r="T13" s="198"/>
      <c r="U13" s="198"/>
    </row>
    <row r="14" spans="1:21" s="12" customFormat="1" x14ac:dyDescent="0.25">
      <c r="A14" s="214" t="s">
        <v>541</v>
      </c>
      <c r="B14" s="64">
        <v>4.49</v>
      </c>
      <c r="C14" s="64">
        <v>9.39</v>
      </c>
      <c r="D14" s="64">
        <v>13.88</v>
      </c>
      <c r="E14" s="64">
        <v>1.63</v>
      </c>
      <c r="F14" s="64">
        <v>0.99</v>
      </c>
      <c r="G14" s="64">
        <v>25.6</v>
      </c>
      <c r="H14" s="64">
        <v>6.57</v>
      </c>
      <c r="I14" s="64">
        <v>0.13</v>
      </c>
      <c r="J14" s="64">
        <v>0.88</v>
      </c>
      <c r="K14" s="64">
        <v>144.41</v>
      </c>
      <c r="L14" s="64">
        <v>20.58</v>
      </c>
      <c r="M14" s="64">
        <v>98.37</v>
      </c>
      <c r="N14" s="64">
        <v>7.9</v>
      </c>
      <c r="O14" s="64">
        <v>0.8</v>
      </c>
      <c r="P14" s="64">
        <v>0.48</v>
      </c>
      <c r="Q14" s="64">
        <v>17.75</v>
      </c>
      <c r="R14" s="198"/>
      <c r="S14" s="198"/>
      <c r="T14" s="198"/>
      <c r="U14" s="198"/>
    </row>
    <row r="15" spans="1:21" s="12" customFormat="1" x14ac:dyDescent="0.25">
      <c r="A15" s="214" t="s">
        <v>542</v>
      </c>
      <c r="B15" s="64">
        <v>4.28</v>
      </c>
      <c r="C15" s="64">
        <v>9.02</v>
      </c>
      <c r="D15" s="64">
        <v>13.29</v>
      </c>
      <c r="E15" s="64">
        <v>2.15</v>
      </c>
      <c r="F15" s="64">
        <v>1.37</v>
      </c>
      <c r="G15" s="64">
        <v>25.6</v>
      </c>
      <c r="H15" s="64">
        <v>6.57</v>
      </c>
      <c r="I15" s="64">
        <v>0.13</v>
      </c>
      <c r="J15" s="64">
        <v>0.28999999999999998</v>
      </c>
      <c r="K15" s="64">
        <v>147.91</v>
      </c>
      <c r="L15" s="64">
        <v>20.47</v>
      </c>
      <c r="M15" s="64">
        <v>98.38</v>
      </c>
      <c r="N15" s="64">
        <v>7.4</v>
      </c>
      <c r="O15" s="64">
        <v>0.4</v>
      </c>
      <c r="P15" s="64">
        <v>0.47</v>
      </c>
      <c r="Q15" s="64">
        <v>18.04</v>
      </c>
      <c r="R15" s="198"/>
      <c r="S15" s="198"/>
      <c r="T15" s="198"/>
      <c r="U15" s="198"/>
    </row>
    <row r="16" spans="1:21" s="12" customFormat="1" x14ac:dyDescent="0.25">
      <c r="A16" s="214" t="s">
        <v>543</v>
      </c>
      <c r="B16" s="64">
        <v>4.01</v>
      </c>
      <c r="C16" s="64">
        <v>8.92</v>
      </c>
      <c r="D16" s="64">
        <v>12.93</v>
      </c>
      <c r="E16" s="64">
        <v>1.84</v>
      </c>
      <c r="F16" s="64">
        <v>1.47</v>
      </c>
      <c r="G16" s="64">
        <v>21.7</v>
      </c>
      <c r="H16" s="64">
        <v>5.4</v>
      </c>
      <c r="I16" s="64">
        <v>0.12</v>
      </c>
      <c r="J16" s="64">
        <v>0.43</v>
      </c>
      <c r="K16" s="64">
        <v>151.99</v>
      </c>
      <c r="L16" s="64">
        <v>20.350000000000001</v>
      </c>
      <c r="M16" s="64">
        <v>98.38</v>
      </c>
      <c r="N16" s="64">
        <v>7.4</v>
      </c>
      <c r="O16" s="64">
        <v>0.8</v>
      </c>
      <c r="P16" s="64">
        <v>0.46</v>
      </c>
      <c r="Q16" s="64">
        <v>17.84</v>
      </c>
      <c r="R16" s="198"/>
      <c r="S16" s="198"/>
      <c r="T16" s="198"/>
      <c r="U16" s="198"/>
    </row>
    <row r="17" spans="1:21" s="12" customFormat="1" x14ac:dyDescent="0.25">
      <c r="A17" s="214" t="s">
        <v>544</v>
      </c>
      <c r="B17" s="64">
        <v>3.83</v>
      </c>
      <c r="C17" s="64">
        <v>9.32</v>
      </c>
      <c r="D17" s="64">
        <v>13.15</v>
      </c>
      <c r="E17" s="64">
        <v>1.97</v>
      </c>
      <c r="F17" s="64">
        <v>1.64</v>
      </c>
      <c r="G17" s="64">
        <v>18.3</v>
      </c>
      <c r="H17" s="64">
        <v>4.93</v>
      </c>
      <c r="I17" s="64">
        <v>0.12</v>
      </c>
      <c r="J17" s="64">
        <v>0.15</v>
      </c>
      <c r="K17" s="64">
        <v>106.03</v>
      </c>
      <c r="L17" s="64">
        <v>20.18</v>
      </c>
      <c r="M17" s="64">
        <v>98.38</v>
      </c>
      <c r="N17" s="64">
        <v>7.6</v>
      </c>
      <c r="O17" s="64">
        <v>0.4</v>
      </c>
      <c r="P17" s="64">
        <v>0.44</v>
      </c>
      <c r="Q17" s="64">
        <v>18.32</v>
      </c>
      <c r="R17" s="198"/>
      <c r="S17" s="198"/>
      <c r="T17" s="198"/>
      <c r="U17" s="198"/>
    </row>
    <row r="18" spans="1:21" s="12" customFormat="1" x14ac:dyDescent="0.25">
      <c r="A18" s="214" t="s">
        <v>545</v>
      </c>
      <c r="B18" s="64">
        <v>3.83</v>
      </c>
      <c r="C18" s="64">
        <v>9.68</v>
      </c>
      <c r="D18" s="64">
        <v>13.51</v>
      </c>
      <c r="E18" s="64">
        <v>1.94</v>
      </c>
      <c r="F18" s="64">
        <v>1.1499999999999999</v>
      </c>
      <c r="G18" s="64">
        <v>18.3</v>
      </c>
      <c r="H18" s="64">
        <v>4.93</v>
      </c>
      <c r="I18" s="64">
        <v>0.13</v>
      </c>
      <c r="J18" s="64">
        <v>0.2</v>
      </c>
      <c r="K18" s="64">
        <v>17.68</v>
      </c>
      <c r="L18" s="64">
        <v>20.23</v>
      </c>
      <c r="M18" s="64">
        <v>98.38</v>
      </c>
      <c r="N18" s="64">
        <v>7.4</v>
      </c>
      <c r="O18" s="64">
        <v>0</v>
      </c>
      <c r="P18" s="64">
        <v>0.43</v>
      </c>
      <c r="Q18" s="64">
        <v>18.809999999999999</v>
      </c>
      <c r="R18" s="198"/>
      <c r="S18" s="198"/>
      <c r="T18" s="198"/>
      <c r="U18" s="198"/>
    </row>
    <row r="19" spans="1:21" s="12" customFormat="1" x14ac:dyDescent="0.25">
      <c r="A19" s="214" t="s">
        <v>546</v>
      </c>
      <c r="B19" s="64">
        <v>3.8</v>
      </c>
      <c r="C19" s="64">
        <v>9.69</v>
      </c>
      <c r="D19" s="64">
        <v>13.49</v>
      </c>
      <c r="E19" s="64">
        <v>1.89</v>
      </c>
      <c r="F19" s="64">
        <v>1.33</v>
      </c>
      <c r="G19" s="64">
        <v>18.3</v>
      </c>
      <c r="H19" s="64">
        <v>4.93</v>
      </c>
      <c r="I19" s="64">
        <v>0.13</v>
      </c>
      <c r="J19" s="64">
        <v>0.36</v>
      </c>
      <c r="K19" s="64">
        <v>21.17</v>
      </c>
      <c r="L19" s="64">
        <v>20.37</v>
      </c>
      <c r="M19" s="64">
        <v>98.38</v>
      </c>
      <c r="N19" s="64">
        <v>7.3</v>
      </c>
      <c r="O19" s="64">
        <v>0.2</v>
      </c>
      <c r="P19" s="64">
        <v>0.42</v>
      </c>
      <c r="Q19" s="64">
        <v>18.52</v>
      </c>
      <c r="R19" s="198"/>
      <c r="S19" s="198"/>
      <c r="T19" s="198"/>
      <c r="U19" s="198"/>
    </row>
    <row r="20" spans="1:21" s="12" customFormat="1" x14ac:dyDescent="0.25">
      <c r="A20" s="214" t="s">
        <v>547</v>
      </c>
      <c r="B20" s="64">
        <v>3.6</v>
      </c>
      <c r="C20" s="64">
        <v>9.66</v>
      </c>
      <c r="D20" s="64">
        <v>13.26</v>
      </c>
      <c r="E20" s="64">
        <v>1.79</v>
      </c>
      <c r="F20" s="64">
        <v>1.79</v>
      </c>
      <c r="G20" s="64">
        <v>15.39</v>
      </c>
      <c r="H20" s="64">
        <v>4.05</v>
      </c>
      <c r="I20" s="64">
        <v>0.14000000000000001</v>
      </c>
      <c r="J20" s="64">
        <v>0.28000000000000003</v>
      </c>
      <c r="K20" s="64">
        <v>14.37</v>
      </c>
      <c r="L20" s="64">
        <v>20.41</v>
      </c>
      <c r="M20" s="64">
        <v>98.38</v>
      </c>
      <c r="N20" s="64">
        <v>7.2</v>
      </c>
      <c r="O20" s="64">
        <v>0.2</v>
      </c>
      <c r="P20" s="64">
        <v>0.4</v>
      </c>
      <c r="Q20" s="64">
        <v>17.97</v>
      </c>
      <c r="R20" s="198"/>
      <c r="S20" s="198"/>
      <c r="T20" s="198"/>
      <c r="U20" s="198"/>
    </row>
    <row r="21" spans="1:21" s="12" customFormat="1" x14ac:dyDescent="0.25">
      <c r="A21" s="214" t="s">
        <v>548</v>
      </c>
      <c r="B21" s="64">
        <v>3.47</v>
      </c>
      <c r="C21" s="64">
        <v>9.67</v>
      </c>
      <c r="D21" s="64">
        <v>13.14</v>
      </c>
      <c r="E21" s="64">
        <v>1.82</v>
      </c>
      <c r="F21" s="64">
        <v>2.08</v>
      </c>
      <c r="G21" s="64">
        <v>12.85</v>
      </c>
      <c r="H21" s="64">
        <v>3.7</v>
      </c>
      <c r="I21" s="64">
        <v>0.12</v>
      </c>
      <c r="J21" s="64">
        <v>0.2</v>
      </c>
      <c r="K21" s="64">
        <v>25.52</v>
      </c>
      <c r="L21" s="64">
        <v>20.420000000000002</v>
      </c>
      <c r="M21" s="64">
        <v>98.38</v>
      </c>
      <c r="N21" s="64">
        <v>7.3</v>
      </c>
      <c r="O21" s="64">
        <v>0</v>
      </c>
      <c r="P21" s="64">
        <v>0.38</v>
      </c>
      <c r="Q21" s="64">
        <v>17.55</v>
      </c>
      <c r="R21" s="198"/>
      <c r="S21" s="198"/>
      <c r="T21" s="198"/>
      <c r="U21" s="198"/>
    </row>
    <row r="22" spans="1:21" s="12" customFormat="1" x14ac:dyDescent="0.25">
      <c r="A22" s="214" t="s">
        <v>549</v>
      </c>
      <c r="B22" s="64">
        <v>3.45</v>
      </c>
      <c r="C22" s="64">
        <v>9.83</v>
      </c>
      <c r="D22" s="64">
        <v>13.28</v>
      </c>
      <c r="E22" s="64">
        <v>2.0299999999999998</v>
      </c>
      <c r="F22" s="64">
        <v>0.73</v>
      </c>
      <c r="G22" s="64">
        <v>12.85</v>
      </c>
      <c r="H22" s="64">
        <v>3.7</v>
      </c>
      <c r="I22" s="64">
        <v>0.13</v>
      </c>
      <c r="J22" s="64">
        <v>0.12</v>
      </c>
      <c r="K22" s="64">
        <v>14.55</v>
      </c>
      <c r="L22" s="64">
        <v>20.6</v>
      </c>
      <c r="M22" s="64">
        <v>98.38</v>
      </c>
      <c r="N22" s="64">
        <v>6.9</v>
      </c>
      <c r="O22" s="64">
        <v>0</v>
      </c>
      <c r="P22" s="64">
        <v>0.37</v>
      </c>
      <c r="Q22" s="64">
        <v>16.87</v>
      </c>
      <c r="R22" s="198"/>
      <c r="S22" s="198"/>
      <c r="T22" s="198"/>
      <c r="U22" s="198"/>
    </row>
    <row r="23" spans="1:21" s="12" customFormat="1" x14ac:dyDescent="0.25">
      <c r="A23" s="214" t="s">
        <v>550</v>
      </c>
      <c r="B23" s="64">
        <v>3.33</v>
      </c>
      <c r="C23" s="64">
        <v>8.89</v>
      </c>
      <c r="D23" s="64">
        <v>12.22</v>
      </c>
      <c r="E23" s="64">
        <v>1.29</v>
      </c>
      <c r="F23" s="64">
        <v>1.41</v>
      </c>
      <c r="G23" s="64">
        <v>12.85</v>
      </c>
      <c r="H23" s="64">
        <v>3.7</v>
      </c>
      <c r="I23" s="64">
        <v>0.12</v>
      </c>
      <c r="J23" s="64">
        <v>0.17</v>
      </c>
      <c r="K23" s="64">
        <v>19.47</v>
      </c>
      <c r="L23" s="64">
        <v>20.82</v>
      </c>
      <c r="M23" s="64">
        <v>98.38</v>
      </c>
      <c r="N23" s="64">
        <v>7.1</v>
      </c>
      <c r="O23" s="64">
        <v>0</v>
      </c>
      <c r="P23" s="64">
        <v>0.35</v>
      </c>
      <c r="Q23" s="64">
        <v>15.59</v>
      </c>
      <c r="R23" s="198"/>
      <c r="S23" s="198"/>
      <c r="T23" s="198"/>
      <c r="U23" s="198"/>
    </row>
    <row r="24" spans="1:21" s="12" customFormat="1" x14ac:dyDescent="0.25">
      <c r="A24" s="214" t="s">
        <v>551</v>
      </c>
      <c r="B24" s="64">
        <v>3.36</v>
      </c>
      <c r="C24" s="64">
        <v>8.4600000000000009</v>
      </c>
      <c r="D24" s="64">
        <v>11.83</v>
      </c>
      <c r="E24" s="64">
        <v>0.39</v>
      </c>
      <c r="F24" s="64">
        <v>1.44</v>
      </c>
      <c r="G24" s="64">
        <v>12.61</v>
      </c>
      <c r="H24" s="64">
        <v>2.99</v>
      </c>
      <c r="I24" s="64">
        <v>0.12</v>
      </c>
      <c r="J24" s="64">
        <v>0.3</v>
      </c>
      <c r="K24" s="64">
        <v>320.86</v>
      </c>
      <c r="L24" s="64">
        <v>20.98</v>
      </c>
      <c r="M24" s="64">
        <v>98.38</v>
      </c>
      <c r="N24" s="64">
        <v>7.3</v>
      </c>
      <c r="O24" s="64">
        <v>0</v>
      </c>
      <c r="P24" s="64">
        <v>0.37</v>
      </c>
      <c r="Q24" s="64">
        <v>15.27</v>
      </c>
      <c r="R24" s="198"/>
      <c r="S24" s="198"/>
      <c r="T24" s="198"/>
      <c r="U24" s="198"/>
    </row>
    <row r="25" spans="1:21" s="12" customFormat="1" x14ac:dyDescent="0.25">
      <c r="A25" s="214" t="s">
        <v>552</v>
      </c>
      <c r="B25" s="64">
        <v>3.44</v>
      </c>
      <c r="C25" s="64">
        <v>8.89</v>
      </c>
      <c r="D25" s="64">
        <v>12.33</v>
      </c>
      <c r="E25" s="64">
        <v>1.34</v>
      </c>
      <c r="F25" s="64">
        <v>0.86</v>
      </c>
      <c r="G25" s="64">
        <v>12.41</v>
      </c>
      <c r="H25" s="64">
        <v>2.7</v>
      </c>
      <c r="I25" s="64">
        <v>0.12</v>
      </c>
      <c r="J25" s="64">
        <v>0.25</v>
      </c>
      <c r="K25" s="64">
        <v>320.07</v>
      </c>
      <c r="L25" s="64">
        <v>21.05</v>
      </c>
      <c r="M25" s="64">
        <v>98.38</v>
      </c>
      <c r="N25" s="64">
        <v>7.3</v>
      </c>
      <c r="O25" s="64">
        <v>0</v>
      </c>
      <c r="P25" s="64">
        <v>0.35</v>
      </c>
      <c r="Q25" s="64">
        <v>15.55</v>
      </c>
      <c r="R25" s="198"/>
      <c r="S25" s="198"/>
      <c r="T25" s="198"/>
      <c r="U25" s="198"/>
    </row>
    <row r="26" spans="1:21" s="12" customFormat="1" x14ac:dyDescent="0.25">
      <c r="A26" s="214" t="s">
        <v>553</v>
      </c>
      <c r="B26" s="64">
        <v>3.57</v>
      </c>
      <c r="C26" s="64">
        <v>8.6999999999999993</v>
      </c>
      <c r="D26" s="64">
        <v>12.27</v>
      </c>
      <c r="E26" s="64">
        <v>1.08</v>
      </c>
      <c r="F26" s="64">
        <v>1.39</v>
      </c>
      <c r="G26" s="64">
        <v>12.41</v>
      </c>
      <c r="H26" s="64">
        <v>2.7</v>
      </c>
      <c r="I26" s="64">
        <v>0.12</v>
      </c>
      <c r="J26" s="64">
        <v>0.72</v>
      </c>
      <c r="K26" s="64">
        <v>326.33999999999997</v>
      </c>
      <c r="L26" s="64">
        <v>21.04</v>
      </c>
      <c r="M26" s="64">
        <v>98.38</v>
      </c>
      <c r="N26" s="64">
        <v>7.5</v>
      </c>
      <c r="O26" s="64">
        <v>0</v>
      </c>
      <c r="P26" s="64">
        <v>0.35</v>
      </c>
      <c r="Q26" s="64">
        <v>14.57</v>
      </c>
      <c r="R26" s="198"/>
      <c r="S26" s="198"/>
      <c r="T26" s="198"/>
      <c r="U26" s="198"/>
    </row>
    <row r="27" spans="1:21" s="12" customFormat="1" x14ac:dyDescent="0.25">
      <c r="A27" s="214" t="s">
        <v>554</v>
      </c>
      <c r="B27" s="64">
        <v>3.85</v>
      </c>
      <c r="C27" s="64">
        <v>9.48</v>
      </c>
      <c r="D27" s="64">
        <v>13.33</v>
      </c>
      <c r="E27" s="64">
        <v>1.1000000000000001</v>
      </c>
      <c r="F27" s="64">
        <v>1.24</v>
      </c>
      <c r="G27" s="64">
        <v>12.41</v>
      </c>
      <c r="H27" s="64">
        <v>2.7</v>
      </c>
      <c r="I27" s="64">
        <v>0.13</v>
      </c>
      <c r="J27" s="64">
        <v>0.76</v>
      </c>
      <c r="K27" s="64">
        <v>330.86</v>
      </c>
      <c r="L27" s="64">
        <v>21.03</v>
      </c>
      <c r="M27" s="64">
        <v>98.38</v>
      </c>
      <c r="N27" s="64">
        <v>7.6</v>
      </c>
      <c r="O27" s="64">
        <v>0</v>
      </c>
      <c r="P27" s="64">
        <v>0.34</v>
      </c>
      <c r="Q27" s="64">
        <v>14.83</v>
      </c>
      <c r="R27" s="198"/>
      <c r="S27" s="198"/>
      <c r="T27" s="198"/>
      <c r="U27" s="198"/>
    </row>
    <row r="28" spans="1:21" s="12" customFormat="1" x14ac:dyDescent="0.25">
      <c r="A28" s="214" t="s">
        <v>555</v>
      </c>
      <c r="B28" s="64">
        <v>4.0199999999999996</v>
      </c>
      <c r="C28" s="64">
        <v>9.42</v>
      </c>
      <c r="D28" s="64">
        <v>13.44</v>
      </c>
      <c r="E28" s="64">
        <v>1.22</v>
      </c>
      <c r="F28" s="64">
        <v>1.2</v>
      </c>
      <c r="G28" s="64">
        <v>10.72</v>
      </c>
      <c r="H28" s="64">
        <v>2.34</v>
      </c>
      <c r="I28" s="64">
        <v>0.13</v>
      </c>
      <c r="J28" s="64">
        <v>0.73</v>
      </c>
      <c r="K28" s="64">
        <v>330.33</v>
      </c>
      <c r="L28" s="64">
        <v>21.01</v>
      </c>
      <c r="M28" s="64">
        <v>98.38</v>
      </c>
      <c r="N28" s="64">
        <v>7.6</v>
      </c>
      <c r="O28" s="64">
        <v>0</v>
      </c>
      <c r="P28" s="64">
        <v>0.34</v>
      </c>
      <c r="Q28" s="64">
        <v>14.86</v>
      </c>
      <c r="R28" s="198"/>
      <c r="S28" s="198"/>
      <c r="T28" s="198"/>
      <c r="U28" s="198"/>
    </row>
    <row r="29" spans="1:21" s="12" customFormat="1" x14ac:dyDescent="0.25">
      <c r="A29" s="214" t="s">
        <v>556</v>
      </c>
      <c r="B29" s="64">
        <v>4.66</v>
      </c>
      <c r="C29" s="64">
        <v>9.76</v>
      </c>
      <c r="D29" s="64">
        <v>14.42</v>
      </c>
      <c r="E29" s="64">
        <v>1</v>
      </c>
      <c r="F29" s="64">
        <v>1.97</v>
      </c>
      <c r="G29" s="64">
        <v>9.24</v>
      </c>
      <c r="H29" s="64">
        <v>2.19</v>
      </c>
      <c r="I29" s="64">
        <v>0.12</v>
      </c>
      <c r="J29" s="64">
        <v>0.83</v>
      </c>
      <c r="K29" s="64">
        <v>333.34</v>
      </c>
      <c r="L29" s="64">
        <v>20.98</v>
      </c>
      <c r="M29" s="64">
        <v>98.38</v>
      </c>
      <c r="N29" s="64">
        <v>7.6</v>
      </c>
      <c r="O29" s="64">
        <v>0</v>
      </c>
      <c r="P29" s="64">
        <v>0.34</v>
      </c>
      <c r="Q29" s="64">
        <v>14.91</v>
      </c>
      <c r="R29" s="198"/>
      <c r="S29" s="198"/>
      <c r="T29" s="198"/>
      <c r="U29" s="198"/>
    </row>
    <row r="30" spans="1:21" s="12" customFormat="1" x14ac:dyDescent="0.25">
      <c r="A30" s="214" t="s">
        <v>557</v>
      </c>
      <c r="B30" s="64">
        <v>8.31</v>
      </c>
      <c r="C30" s="64">
        <v>14.9</v>
      </c>
      <c r="D30" s="64">
        <v>23.21</v>
      </c>
      <c r="E30" s="64">
        <v>1.53</v>
      </c>
      <c r="F30" s="64">
        <v>3.12</v>
      </c>
      <c r="G30" s="64">
        <v>9.24</v>
      </c>
      <c r="H30" s="64">
        <v>2.19</v>
      </c>
      <c r="I30" s="64">
        <v>0.12</v>
      </c>
      <c r="J30" s="64">
        <v>0.59</v>
      </c>
      <c r="K30" s="64">
        <v>334.06</v>
      </c>
      <c r="L30" s="64">
        <v>20.97</v>
      </c>
      <c r="M30" s="64">
        <v>98.38</v>
      </c>
      <c r="N30" s="64">
        <v>7.6</v>
      </c>
      <c r="O30" s="64">
        <v>0</v>
      </c>
      <c r="P30" s="64">
        <v>0.34</v>
      </c>
      <c r="Q30" s="64">
        <v>15.56</v>
      </c>
      <c r="R30" s="198"/>
      <c r="S30" s="198"/>
      <c r="T30" s="198"/>
      <c r="U30" s="198"/>
    </row>
    <row r="31" spans="1:21" s="12" customFormat="1" x14ac:dyDescent="0.25">
      <c r="A31" s="214" t="s">
        <v>558</v>
      </c>
      <c r="B31" s="64">
        <v>10.039999999999999</v>
      </c>
      <c r="C31" s="64">
        <v>19.47</v>
      </c>
      <c r="D31" s="64">
        <v>29.51</v>
      </c>
      <c r="E31" s="64">
        <v>1.78</v>
      </c>
      <c r="F31" s="64">
        <v>3.78</v>
      </c>
      <c r="G31" s="64">
        <v>9.24</v>
      </c>
      <c r="H31" s="64">
        <v>2.19</v>
      </c>
      <c r="I31" s="64">
        <v>0.13</v>
      </c>
      <c r="J31" s="64">
        <v>0.15</v>
      </c>
      <c r="K31" s="64">
        <v>350.02</v>
      </c>
      <c r="L31" s="64">
        <v>20.92</v>
      </c>
      <c r="M31" s="64">
        <v>98.38</v>
      </c>
      <c r="N31" s="64">
        <v>9.5</v>
      </c>
      <c r="O31" s="64">
        <v>0</v>
      </c>
      <c r="P31" s="64">
        <v>0.43</v>
      </c>
      <c r="Q31" s="64">
        <v>14.13</v>
      </c>
      <c r="R31" s="198"/>
      <c r="S31" s="198"/>
      <c r="T31" s="198"/>
      <c r="U31" s="198"/>
    </row>
    <row r="32" spans="1:21" s="12" customFormat="1" x14ac:dyDescent="0.25">
      <c r="A32" s="214" t="s">
        <v>559</v>
      </c>
      <c r="B32" s="64">
        <v>7.77</v>
      </c>
      <c r="C32" s="64">
        <v>18.87</v>
      </c>
      <c r="D32" s="64">
        <v>26.65</v>
      </c>
      <c r="E32" s="64">
        <v>1.72</v>
      </c>
      <c r="F32" s="64">
        <v>6.11</v>
      </c>
      <c r="G32" s="64">
        <v>9.07</v>
      </c>
      <c r="H32" s="64">
        <v>3.35</v>
      </c>
      <c r="I32" s="64">
        <v>0.12</v>
      </c>
      <c r="J32" s="64">
        <v>7.0000000000000007E-2</v>
      </c>
      <c r="K32" s="64">
        <v>310.79000000000002</v>
      </c>
      <c r="L32" s="64">
        <v>20.93</v>
      </c>
      <c r="M32" s="64">
        <v>98.38</v>
      </c>
      <c r="N32" s="64">
        <v>16.2</v>
      </c>
      <c r="O32" s="64">
        <v>0</v>
      </c>
      <c r="P32" s="64">
        <v>0.45</v>
      </c>
      <c r="Q32" s="64">
        <v>15.25</v>
      </c>
      <c r="R32" s="198"/>
      <c r="S32" s="198"/>
      <c r="T32" s="198"/>
      <c r="U32" s="198"/>
    </row>
    <row r="33" spans="1:21" s="12" customFormat="1" x14ac:dyDescent="0.25">
      <c r="A33" s="214" t="s">
        <v>560</v>
      </c>
      <c r="B33" s="64">
        <v>12.31</v>
      </c>
      <c r="C33" s="64">
        <v>23.27</v>
      </c>
      <c r="D33" s="64">
        <v>35.58</v>
      </c>
      <c r="E33" s="64">
        <v>1.35</v>
      </c>
      <c r="F33" s="64">
        <v>1.86</v>
      </c>
      <c r="G33" s="64">
        <v>8.93</v>
      </c>
      <c r="H33" s="64">
        <v>4.2699999999999996</v>
      </c>
      <c r="I33" s="64">
        <v>0.13</v>
      </c>
      <c r="J33" s="64">
        <v>0.05</v>
      </c>
      <c r="K33" s="64">
        <v>287.01</v>
      </c>
      <c r="L33" s="64">
        <v>21.01</v>
      </c>
      <c r="M33" s="64">
        <v>98.38</v>
      </c>
      <c r="N33" s="64">
        <v>24.3</v>
      </c>
      <c r="O33" s="64">
        <v>0</v>
      </c>
      <c r="P33" s="64">
        <v>0.53</v>
      </c>
      <c r="Q33" s="64">
        <v>14.63</v>
      </c>
      <c r="R33" s="198"/>
      <c r="S33" s="198"/>
      <c r="T33" s="198"/>
      <c r="U33" s="198"/>
    </row>
    <row r="34" spans="1:21" s="12" customFormat="1" x14ac:dyDescent="0.25">
      <c r="A34" s="214" t="s">
        <v>561</v>
      </c>
      <c r="B34" s="64">
        <v>12.06</v>
      </c>
      <c r="C34" s="64">
        <v>18.989999999999998</v>
      </c>
      <c r="D34" s="64">
        <v>31.05</v>
      </c>
      <c r="E34" s="64">
        <v>1.76</v>
      </c>
      <c r="F34" s="64">
        <v>1.37</v>
      </c>
      <c r="G34" s="64">
        <v>8.93</v>
      </c>
      <c r="H34" s="64">
        <v>4.2699999999999996</v>
      </c>
      <c r="I34" s="64">
        <v>0.12</v>
      </c>
      <c r="J34" s="64">
        <v>0.05</v>
      </c>
      <c r="K34" s="64">
        <v>27.48</v>
      </c>
      <c r="L34" s="64">
        <v>21.23</v>
      </c>
      <c r="M34" s="64">
        <v>98.38</v>
      </c>
      <c r="N34" s="64">
        <v>35.700000000000003</v>
      </c>
      <c r="O34" s="64">
        <v>0</v>
      </c>
      <c r="P34" s="64">
        <v>0.52</v>
      </c>
      <c r="Q34" s="64">
        <v>15.68</v>
      </c>
      <c r="R34" s="198"/>
      <c r="S34" s="198"/>
      <c r="T34" s="198"/>
      <c r="U34" s="198"/>
    </row>
    <row r="35" spans="1:21" s="12" customFormat="1" x14ac:dyDescent="0.25">
      <c r="A35" s="214" t="s">
        <v>562</v>
      </c>
      <c r="B35" s="64">
        <v>9.06</v>
      </c>
      <c r="C35" s="64">
        <v>16.54</v>
      </c>
      <c r="D35" s="64">
        <v>25.6</v>
      </c>
      <c r="E35" s="64">
        <v>1.22</v>
      </c>
      <c r="F35" s="64">
        <v>0.67</v>
      </c>
      <c r="G35" s="64">
        <v>8.93</v>
      </c>
      <c r="H35" s="64">
        <v>4.2699999999999996</v>
      </c>
      <c r="I35" s="64">
        <v>0.13</v>
      </c>
      <c r="J35" s="64">
        <v>0.04</v>
      </c>
      <c r="K35" s="64">
        <v>216.78</v>
      </c>
      <c r="L35" s="64">
        <v>21.28</v>
      </c>
      <c r="M35" s="64">
        <v>98.38</v>
      </c>
      <c r="N35" s="64">
        <v>43.1</v>
      </c>
      <c r="O35" s="64">
        <v>0</v>
      </c>
      <c r="P35" s="64">
        <v>0.45</v>
      </c>
      <c r="Q35" s="64">
        <v>14.67</v>
      </c>
      <c r="R35" s="198"/>
      <c r="S35" s="198"/>
      <c r="T35" s="198"/>
      <c r="U35" s="198"/>
    </row>
    <row r="36" spans="1:21" s="12" customFormat="1" x14ac:dyDescent="0.25">
      <c r="A36" s="214" t="s">
        <v>563</v>
      </c>
      <c r="B36" s="64">
        <v>18.03</v>
      </c>
      <c r="C36" s="64">
        <v>23.15</v>
      </c>
      <c r="D36" s="64">
        <v>41.18</v>
      </c>
      <c r="E36" s="64">
        <v>1.1299999999999999</v>
      </c>
      <c r="F36" s="64">
        <v>0.54</v>
      </c>
      <c r="G36" s="64">
        <v>14.82</v>
      </c>
      <c r="H36" s="64">
        <v>9.17</v>
      </c>
      <c r="I36" s="64">
        <v>0.12</v>
      </c>
      <c r="J36" s="64">
        <v>0.05</v>
      </c>
      <c r="K36" s="64">
        <v>34.51</v>
      </c>
      <c r="L36" s="64">
        <v>21.5</v>
      </c>
      <c r="M36" s="64">
        <v>98.38</v>
      </c>
      <c r="N36" s="64">
        <v>45.8</v>
      </c>
      <c r="O36" s="64">
        <v>0</v>
      </c>
      <c r="P36" s="64">
        <v>0.62</v>
      </c>
      <c r="Q36" s="64">
        <v>14.25</v>
      </c>
      <c r="R36" s="198"/>
      <c r="S36" s="198"/>
      <c r="T36" s="198"/>
      <c r="U36" s="198"/>
    </row>
    <row r="37" spans="1:21" s="12" customFormat="1" x14ac:dyDescent="0.25">
      <c r="A37" s="214" t="s">
        <v>564</v>
      </c>
      <c r="B37" s="64">
        <v>10.97</v>
      </c>
      <c r="C37" s="64">
        <v>15.27</v>
      </c>
      <c r="D37" s="64">
        <v>26.24</v>
      </c>
      <c r="E37" s="64">
        <v>1.53</v>
      </c>
      <c r="F37" s="64">
        <v>1.08</v>
      </c>
      <c r="G37" s="64">
        <v>19.98</v>
      </c>
      <c r="H37" s="64">
        <v>11.16</v>
      </c>
      <c r="I37" s="64">
        <v>0.12</v>
      </c>
      <c r="J37" s="64">
        <v>0.1</v>
      </c>
      <c r="K37" s="64">
        <v>154.83000000000001</v>
      </c>
      <c r="L37" s="64">
        <v>21.51</v>
      </c>
      <c r="M37" s="64">
        <v>98.38</v>
      </c>
      <c r="N37" s="64">
        <v>38.200000000000003</v>
      </c>
      <c r="O37" s="64">
        <v>0</v>
      </c>
      <c r="P37" s="64">
        <v>0.51</v>
      </c>
      <c r="Q37" s="64">
        <v>14.64</v>
      </c>
      <c r="R37" s="198"/>
      <c r="S37" s="198"/>
      <c r="T37" s="198"/>
      <c r="U37" s="198"/>
    </row>
    <row r="38" spans="1:21" s="12" customFormat="1" x14ac:dyDescent="0.25">
      <c r="A38" s="214" t="s">
        <v>565</v>
      </c>
      <c r="B38" s="64">
        <v>10.14</v>
      </c>
      <c r="C38" s="64">
        <v>19.190000000000001</v>
      </c>
      <c r="D38" s="64">
        <v>29.33</v>
      </c>
      <c r="E38" s="64">
        <v>1.44</v>
      </c>
      <c r="F38" s="64">
        <v>1.73</v>
      </c>
      <c r="G38" s="64">
        <v>19.98</v>
      </c>
      <c r="H38" s="64">
        <v>11.16</v>
      </c>
      <c r="I38" s="64">
        <v>0.12</v>
      </c>
      <c r="J38" s="64">
        <v>0.1</v>
      </c>
      <c r="K38" s="64">
        <v>68.14</v>
      </c>
      <c r="L38" s="64">
        <v>21.55</v>
      </c>
      <c r="M38" s="64">
        <v>98.38</v>
      </c>
      <c r="N38" s="64">
        <v>46.6</v>
      </c>
      <c r="O38" s="64">
        <v>0</v>
      </c>
      <c r="P38" s="64">
        <v>0.53</v>
      </c>
      <c r="Q38" s="64">
        <v>14.86</v>
      </c>
      <c r="R38" s="198"/>
      <c r="S38" s="198"/>
      <c r="T38" s="198"/>
      <c r="U38" s="198"/>
    </row>
    <row r="39" spans="1:21" s="12" customFormat="1" x14ac:dyDescent="0.25">
      <c r="A39" s="214" t="s">
        <v>566</v>
      </c>
      <c r="B39" s="64">
        <v>17.05</v>
      </c>
      <c r="C39" s="64">
        <v>22.52</v>
      </c>
      <c r="D39" s="64">
        <v>39.57</v>
      </c>
      <c r="E39" s="64">
        <v>1.47</v>
      </c>
      <c r="F39" s="64">
        <v>0.88</v>
      </c>
      <c r="G39" s="64">
        <v>19.98</v>
      </c>
      <c r="H39" s="64">
        <v>11.16</v>
      </c>
      <c r="I39" s="64">
        <v>0.12</v>
      </c>
      <c r="J39" s="64">
        <v>0.09</v>
      </c>
      <c r="K39" s="64">
        <v>340.96</v>
      </c>
      <c r="L39" s="64">
        <v>21.77</v>
      </c>
      <c r="M39" s="64">
        <v>98.38</v>
      </c>
      <c r="N39" s="64">
        <v>55.9</v>
      </c>
      <c r="O39" s="64">
        <v>0</v>
      </c>
      <c r="P39" s="64">
        <v>0.65</v>
      </c>
      <c r="Q39" s="64">
        <v>14.67</v>
      </c>
      <c r="R39" s="198"/>
      <c r="S39" s="198"/>
      <c r="T39" s="198"/>
      <c r="U39" s="198"/>
    </row>
    <row r="40" spans="1:21" s="12" customFormat="1" x14ac:dyDescent="0.25">
      <c r="A40" s="214" t="s">
        <v>567</v>
      </c>
      <c r="B40" s="64">
        <v>15.17</v>
      </c>
      <c r="C40" s="64">
        <v>19.64</v>
      </c>
      <c r="D40" s="64">
        <v>34.81</v>
      </c>
      <c r="E40" s="64">
        <v>1.3</v>
      </c>
      <c r="F40" s="64">
        <v>2.4300000000000002</v>
      </c>
      <c r="G40" s="64">
        <v>28.55</v>
      </c>
      <c r="H40" s="64">
        <v>13.06</v>
      </c>
      <c r="I40" s="64">
        <v>0.12</v>
      </c>
      <c r="J40" s="64">
        <v>0.28999999999999998</v>
      </c>
      <c r="K40" s="64">
        <v>318.08</v>
      </c>
      <c r="L40" s="64">
        <v>21.91</v>
      </c>
      <c r="M40" s="64">
        <v>98.37</v>
      </c>
      <c r="N40" s="64">
        <v>61.9</v>
      </c>
      <c r="O40" s="64">
        <v>0.2</v>
      </c>
      <c r="P40" s="64">
        <v>0.61</v>
      </c>
      <c r="Q40" s="64">
        <v>15.05</v>
      </c>
      <c r="R40" s="198"/>
      <c r="S40" s="198"/>
      <c r="T40" s="198"/>
      <c r="U40" s="198"/>
    </row>
    <row r="41" spans="1:21" s="12" customFormat="1" x14ac:dyDescent="0.25">
      <c r="A41" s="214" t="s">
        <v>568</v>
      </c>
      <c r="B41" s="64">
        <v>17.399999999999999</v>
      </c>
      <c r="C41" s="64">
        <v>25.65</v>
      </c>
      <c r="D41" s="64">
        <v>43.05</v>
      </c>
      <c r="E41" s="64">
        <v>2.16</v>
      </c>
      <c r="F41" s="64">
        <v>4.25</v>
      </c>
      <c r="G41" s="64">
        <v>36.049999999999997</v>
      </c>
      <c r="H41" s="64">
        <v>13.83</v>
      </c>
      <c r="I41" s="64">
        <v>0.12</v>
      </c>
      <c r="J41" s="64">
        <v>0.33</v>
      </c>
      <c r="K41" s="64">
        <v>347.94</v>
      </c>
      <c r="L41" s="64">
        <v>22.04</v>
      </c>
      <c r="M41" s="64">
        <v>98.37</v>
      </c>
      <c r="N41" s="64">
        <v>105.8</v>
      </c>
      <c r="O41" s="64">
        <v>0</v>
      </c>
      <c r="P41" s="64">
        <v>0.67</v>
      </c>
      <c r="Q41" s="64">
        <v>15.76</v>
      </c>
      <c r="R41" s="198"/>
      <c r="S41" s="198"/>
      <c r="T41" s="198"/>
      <c r="U41" s="198"/>
    </row>
    <row r="42" spans="1:21" s="12" customFormat="1" x14ac:dyDescent="0.25">
      <c r="A42" s="214" t="s">
        <v>569</v>
      </c>
      <c r="B42" s="64">
        <v>20.05</v>
      </c>
      <c r="C42" s="64">
        <v>26.89</v>
      </c>
      <c r="D42" s="64">
        <v>46.94</v>
      </c>
      <c r="E42" s="64">
        <v>2.0699999999999998</v>
      </c>
      <c r="F42" s="64">
        <v>3.94</v>
      </c>
      <c r="G42" s="64">
        <v>36.049999999999997</v>
      </c>
      <c r="H42" s="64">
        <v>13.83</v>
      </c>
      <c r="I42" s="64">
        <v>0.12</v>
      </c>
      <c r="J42" s="64">
        <v>0.13</v>
      </c>
      <c r="K42" s="64">
        <v>345.85</v>
      </c>
      <c r="L42" s="64">
        <v>22.27</v>
      </c>
      <c r="M42" s="64">
        <v>98.35</v>
      </c>
      <c r="N42" s="64">
        <v>136.19999999999999</v>
      </c>
      <c r="O42" s="64">
        <v>0</v>
      </c>
      <c r="P42" s="64">
        <v>0.72</v>
      </c>
      <c r="Q42" s="64">
        <v>16.29</v>
      </c>
      <c r="R42" s="198"/>
      <c r="S42" s="198"/>
      <c r="T42" s="198"/>
      <c r="U42" s="198"/>
    </row>
    <row r="43" spans="1:21" s="12" customFormat="1" x14ac:dyDescent="0.25">
      <c r="A43" s="214" t="s">
        <v>570</v>
      </c>
      <c r="B43" s="64">
        <v>16.190000000000001</v>
      </c>
      <c r="C43" s="64">
        <v>19.41</v>
      </c>
      <c r="D43" s="64">
        <v>35.61</v>
      </c>
      <c r="E43" s="64">
        <v>2</v>
      </c>
      <c r="F43" s="64">
        <v>3</v>
      </c>
      <c r="G43" s="64">
        <v>36.049999999999997</v>
      </c>
      <c r="H43" s="64">
        <v>13.83</v>
      </c>
      <c r="I43" s="64">
        <v>0.12</v>
      </c>
      <c r="J43" s="64">
        <v>0.04</v>
      </c>
      <c r="K43" s="64">
        <v>145.01</v>
      </c>
      <c r="L43" s="64">
        <v>22.22</v>
      </c>
      <c r="M43" s="64">
        <v>98.35</v>
      </c>
      <c r="N43" s="64">
        <v>104.7</v>
      </c>
      <c r="O43" s="64">
        <v>0</v>
      </c>
      <c r="P43" s="64">
        <v>0.64</v>
      </c>
      <c r="Q43" s="64">
        <v>15.55</v>
      </c>
      <c r="R43" s="198"/>
      <c r="S43" s="198"/>
      <c r="T43" s="198"/>
      <c r="U43" s="198"/>
    </row>
    <row r="44" spans="1:21" s="12" customFormat="1" x14ac:dyDescent="0.25">
      <c r="A44" s="214" t="s">
        <v>571</v>
      </c>
      <c r="B44" s="64">
        <v>14.31</v>
      </c>
      <c r="C44" s="64">
        <v>15.7</v>
      </c>
      <c r="D44" s="64">
        <v>30.02</v>
      </c>
      <c r="E44" s="64">
        <v>1.93</v>
      </c>
      <c r="F44" s="64">
        <v>1.9</v>
      </c>
      <c r="G44" s="64">
        <v>36.24</v>
      </c>
      <c r="H44" s="64">
        <v>15.07</v>
      </c>
      <c r="I44" s="64">
        <v>0.12</v>
      </c>
      <c r="J44" s="64">
        <v>0.03</v>
      </c>
      <c r="K44" s="64">
        <v>346.78</v>
      </c>
      <c r="L44" s="64">
        <v>21.99</v>
      </c>
      <c r="M44" s="64">
        <v>98.34</v>
      </c>
      <c r="N44" s="64">
        <v>89.2</v>
      </c>
      <c r="O44" s="64">
        <v>0</v>
      </c>
      <c r="P44" s="64">
        <v>0.62</v>
      </c>
      <c r="Q44" s="64">
        <v>17.8</v>
      </c>
      <c r="R44" s="198"/>
      <c r="S44" s="198"/>
      <c r="T44" s="198"/>
      <c r="U44" s="198"/>
    </row>
    <row r="45" spans="1:21" s="12" customFormat="1" x14ac:dyDescent="0.25">
      <c r="A45" s="214" t="s">
        <v>572</v>
      </c>
      <c r="B45" s="64">
        <v>14.1</v>
      </c>
      <c r="C45" s="64">
        <v>15.57</v>
      </c>
      <c r="D45" s="64">
        <v>29.67</v>
      </c>
      <c r="E45" s="64">
        <v>2.0299999999999998</v>
      </c>
      <c r="F45" s="64">
        <v>1.77</v>
      </c>
      <c r="G45" s="64">
        <v>36.4</v>
      </c>
      <c r="H45" s="64">
        <v>15.57</v>
      </c>
      <c r="I45" s="64">
        <v>0.13</v>
      </c>
      <c r="J45" s="64">
        <v>0.02</v>
      </c>
      <c r="K45" s="64">
        <v>23.84</v>
      </c>
      <c r="L45" s="64">
        <v>22.04</v>
      </c>
      <c r="M45" s="64">
        <v>98.35</v>
      </c>
      <c r="N45" s="64">
        <v>93.2</v>
      </c>
      <c r="O45" s="64">
        <v>0</v>
      </c>
      <c r="P45" s="64">
        <v>0.62</v>
      </c>
      <c r="Q45" s="64">
        <v>17.68</v>
      </c>
      <c r="R45" s="198"/>
      <c r="S45" s="198"/>
      <c r="T45" s="198"/>
      <c r="U45" s="198"/>
    </row>
    <row r="46" spans="1:21" s="12" customFormat="1" x14ac:dyDescent="0.25">
      <c r="A46" s="214" t="s">
        <v>573</v>
      </c>
      <c r="B46" s="64">
        <v>14.83</v>
      </c>
      <c r="C46" s="64">
        <v>13.88</v>
      </c>
      <c r="D46" s="64">
        <v>28.72</v>
      </c>
      <c r="E46" s="64">
        <v>1.81</v>
      </c>
      <c r="F46" s="64">
        <v>1.18</v>
      </c>
      <c r="G46" s="64">
        <v>36.4</v>
      </c>
      <c r="H46" s="64">
        <v>15.57</v>
      </c>
      <c r="I46" s="64">
        <v>0.13</v>
      </c>
      <c r="J46" s="64">
        <v>0.18</v>
      </c>
      <c r="K46" s="64">
        <v>13.68</v>
      </c>
      <c r="L46" s="64">
        <v>22.65</v>
      </c>
      <c r="M46" s="64">
        <v>98.34</v>
      </c>
      <c r="N46" s="64">
        <v>139</v>
      </c>
      <c r="O46" s="64">
        <v>0</v>
      </c>
      <c r="P46" s="64">
        <v>0.64</v>
      </c>
      <c r="Q46" s="64">
        <v>16.84</v>
      </c>
      <c r="R46" s="198"/>
      <c r="S46" s="198"/>
      <c r="T46" s="198"/>
      <c r="U46" s="198"/>
    </row>
    <row r="47" spans="1:21" s="12" customFormat="1" x14ac:dyDescent="0.25">
      <c r="A47" s="214" t="s">
        <v>574</v>
      </c>
      <c r="B47" s="64">
        <v>15.57</v>
      </c>
      <c r="C47" s="64">
        <v>14.32</v>
      </c>
      <c r="D47" s="64">
        <v>29.88</v>
      </c>
      <c r="E47" s="64">
        <v>2.1800000000000002</v>
      </c>
      <c r="F47" s="64">
        <v>0.95</v>
      </c>
      <c r="G47" s="64">
        <v>36.4</v>
      </c>
      <c r="H47" s="64">
        <v>15.57</v>
      </c>
      <c r="I47" s="64">
        <v>0.13</v>
      </c>
      <c r="J47" s="64">
        <v>0.22</v>
      </c>
      <c r="K47" s="64">
        <v>343.84</v>
      </c>
      <c r="L47" s="64">
        <v>23.18</v>
      </c>
      <c r="M47" s="64">
        <v>98.28</v>
      </c>
      <c r="N47" s="64">
        <v>185.4</v>
      </c>
      <c r="O47" s="64">
        <v>0</v>
      </c>
      <c r="P47" s="64">
        <v>0.65</v>
      </c>
      <c r="Q47" s="64">
        <v>16.649999999999999</v>
      </c>
      <c r="R47" s="198"/>
      <c r="S47" s="198"/>
      <c r="T47" s="198"/>
      <c r="U47" s="198"/>
    </row>
    <row r="48" spans="1:21" s="12" customFormat="1" x14ac:dyDescent="0.25">
      <c r="A48" s="214" t="s">
        <v>575</v>
      </c>
      <c r="B48" s="64">
        <v>15.54</v>
      </c>
      <c r="C48" s="64">
        <v>14.17</v>
      </c>
      <c r="D48" s="64">
        <v>29.72</v>
      </c>
      <c r="E48" s="64">
        <v>2.2799999999999998</v>
      </c>
      <c r="F48" s="64">
        <v>0.86</v>
      </c>
      <c r="G48" s="64">
        <v>32.21</v>
      </c>
      <c r="H48" s="64">
        <v>12.71</v>
      </c>
      <c r="I48" s="64">
        <v>0.13</v>
      </c>
      <c r="J48" s="64">
        <v>0.15</v>
      </c>
      <c r="K48" s="64">
        <v>332.58</v>
      </c>
      <c r="L48" s="64">
        <v>23.47</v>
      </c>
      <c r="M48" s="64">
        <v>98.1</v>
      </c>
      <c r="N48" s="64">
        <v>191.5</v>
      </c>
      <c r="O48" s="64">
        <v>0</v>
      </c>
      <c r="P48" s="64">
        <v>0.68</v>
      </c>
      <c r="Q48" s="64">
        <v>16.5</v>
      </c>
      <c r="R48" s="198"/>
      <c r="S48" s="198"/>
      <c r="T48" s="198"/>
      <c r="U48" s="198"/>
    </row>
    <row r="49" spans="1:21" s="12" customFormat="1" x14ac:dyDescent="0.25">
      <c r="A49" s="214" t="s">
        <v>576</v>
      </c>
      <c r="B49" s="64">
        <v>16</v>
      </c>
      <c r="C49" s="64">
        <v>14.01</v>
      </c>
      <c r="D49" s="64">
        <v>30.01</v>
      </c>
      <c r="E49" s="64">
        <v>2.23</v>
      </c>
      <c r="F49" s="64">
        <v>0.47</v>
      </c>
      <c r="G49" s="64">
        <v>28.55</v>
      </c>
      <c r="H49" s="64">
        <v>11.55</v>
      </c>
      <c r="I49" s="64">
        <v>0.13</v>
      </c>
      <c r="J49" s="64">
        <v>0.18</v>
      </c>
      <c r="K49" s="64">
        <v>22.16</v>
      </c>
      <c r="L49" s="64">
        <v>23.61</v>
      </c>
      <c r="M49" s="64">
        <v>97.54</v>
      </c>
      <c r="N49" s="64">
        <v>253.3</v>
      </c>
      <c r="O49" s="64">
        <v>0</v>
      </c>
      <c r="P49" s="64">
        <v>0.7</v>
      </c>
      <c r="Q49" s="64">
        <v>16.170000000000002</v>
      </c>
      <c r="R49" s="198"/>
      <c r="S49" s="198"/>
      <c r="T49" s="198"/>
      <c r="U49" s="198"/>
    </row>
    <row r="50" spans="1:21" s="12" customFormat="1" x14ac:dyDescent="0.25">
      <c r="A50" s="214" t="s">
        <v>577</v>
      </c>
      <c r="B50" s="64">
        <v>15.1</v>
      </c>
      <c r="C50" s="64">
        <v>13.89</v>
      </c>
      <c r="D50" s="64">
        <v>28.98</v>
      </c>
      <c r="E50" s="64">
        <v>1.94</v>
      </c>
      <c r="F50" s="64">
        <v>0.64</v>
      </c>
      <c r="G50" s="64">
        <v>28.55</v>
      </c>
      <c r="H50" s="64">
        <v>11.55</v>
      </c>
      <c r="I50" s="64">
        <v>0.13</v>
      </c>
      <c r="J50" s="64">
        <v>7.0000000000000007E-2</v>
      </c>
      <c r="K50" s="64">
        <v>23.68</v>
      </c>
      <c r="L50" s="64">
        <v>23.32</v>
      </c>
      <c r="M50" s="64">
        <v>97.92</v>
      </c>
      <c r="N50" s="64">
        <v>240.7</v>
      </c>
      <c r="O50" s="64">
        <v>0</v>
      </c>
      <c r="P50" s="64">
        <v>0.74</v>
      </c>
      <c r="Q50" s="64">
        <v>15.66</v>
      </c>
      <c r="R50" s="198"/>
      <c r="S50" s="198"/>
      <c r="T50" s="198"/>
      <c r="U50" s="198"/>
    </row>
    <row r="51" spans="1:21" s="12" customFormat="1" x14ac:dyDescent="0.25">
      <c r="A51" s="214" t="s">
        <v>578</v>
      </c>
      <c r="B51" s="64">
        <v>9.52</v>
      </c>
      <c r="C51" s="64">
        <v>18.850000000000001</v>
      </c>
      <c r="D51" s="64">
        <v>28.38</v>
      </c>
      <c r="E51" s="64">
        <v>1.58</v>
      </c>
      <c r="F51" s="64">
        <v>9.6</v>
      </c>
      <c r="G51" s="64">
        <v>28.55</v>
      </c>
      <c r="H51" s="64">
        <v>11.55</v>
      </c>
      <c r="I51" s="64">
        <v>0.13</v>
      </c>
      <c r="J51" s="64">
        <v>0.1</v>
      </c>
      <c r="K51" s="64">
        <v>26.59</v>
      </c>
      <c r="L51" s="64">
        <v>23.24</v>
      </c>
      <c r="M51" s="64">
        <v>97.86</v>
      </c>
      <c r="N51" s="64">
        <v>181.1</v>
      </c>
      <c r="O51" s="64">
        <v>0</v>
      </c>
      <c r="P51" s="64">
        <v>0.77</v>
      </c>
      <c r="Q51" s="64">
        <v>14.6</v>
      </c>
      <c r="R51" s="198"/>
      <c r="S51" s="198"/>
      <c r="T51" s="198"/>
      <c r="U51" s="198"/>
    </row>
    <row r="52" spans="1:21" s="12" customFormat="1" x14ac:dyDescent="0.25">
      <c r="A52" s="214" t="s">
        <v>579</v>
      </c>
      <c r="B52" s="64">
        <v>5.0999999999999996</v>
      </c>
      <c r="C52" s="64">
        <v>24.55</v>
      </c>
      <c r="D52" s="64">
        <v>29.65</v>
      </c>
      <c r="E52" s="64">
        <v>1.58</v>
      </c>
      <c r="F52" s="64">
        <v>5.55</v>
      </c>
      <c r="G52" s="64">
        <v>26.84</v>
      </c>
      <c r="H52" s="64">
        <v>11.17</v>
      </c>
      <c r="I52" s="64">
        <v>0.13</v>
      </c>
      <c r="J52" s="64">
        <v>0.17</v>
      </c>
      <c r="K52" s="64">
        <v>13.26</v>
      </c>
      <c r="L52" s="64">
        <v>23.69</v>
      </c>
      <c r="M52" s="64">
        <v>97.59</v>
      </c>
      <c r="N52" s="64">
        <v>240.4</v>
      </c>
      <c r="O52" s="64">
        <v>0</v>
      </c>
      <c r="P52" s="64">
        <v>1.26</v>
      </c>
      <c r="Q52" s="64">
        <v>11.49</v>
      </c>
      <c r="R52" s="198"/>
      <c r="S52" s="198"/>
      <c r="T52" s="198"/>
      <c r="U52" s="198"/>
    </row>
    <row r="53" spans="1:21" s="12" customFormat="1" x14ac:dyDescent="0.25">
      <c r="A53" s="214" t="s">
        <v>580</v>
      </c>
      <c r="B53" s="64">
        <v>7.22</v>
      </c>
      <c r="C53" s="64">
        <v>23.45</v>
      </c>
      <c r="D53" s="64">
        <v>30.66</v>
      </c>
      <c r="E53" s="64">
        <v>1.51</v>
      </c>
      <c r="F53" s="64">
        <v>1.27</v>
      </c>
      <c r="G53" s="64">
        <v>25.33</v>
      </c>
      <c r="H53" s="64">
        <v>11.02</v>
      </c>
      <c r="I53" s="64">
        <v>0.11</v>
      </c>
      <c r="J53" s="64">
        <v>0.1</v>
      </c>
      <c r="K53" s="64">
        <v>42.92</v>
      </c>
      <c r="L53" s="64">
        <v>24.22</v>
      </c>
      <c r="M53" s="64">
        <v>95.64</v>
      </c>
      <c r="N53" s="64">
        <v>260.3</v>
      </c>
      <c r="O53" s="64">
        <v>0</v>
      </c>
      <c r="P53" s="64">
        <v>1.04</v>
      </c>
      <c r="Q53" s="64">
        <v>12.05</v>
      </c>
      <c r="R53" s="198"/>
      <c r="S53" s="198"/>
      <c r="T53" s="198"/>
      <c r="U53" s="198"/>
    </row>
    <row r="54" spans="1:21" s="12" customFormat="1" x14ac:dyDescent="0.25">
      <c r="A54" s="214" t="s">
        <v>581</v>
      </c>
      <c r="B54" s="64">
        <v>7.93</v>
      </c>
      <c r="C54" s="64">
        <v>19.059999999999999</v>
      </c>
      <c r="D54" s="64">
        <v>26.99</v>
      </c>
      <c r="E54" s="64">
        <v>1.65</v>
      </c>
      <c r="F54" s="64">
        <v>2.3199999999999998</v>
      </c>
      <c r="G54" s="64">
        <v>25.33</v>
      </c>
      <c r="H54" s="64">
        <v>11.02</v>
      </c>
      <c r="I54" s="64">
        <v>0.12</v>
      </c>
      <c r="J54" s="64">
        <v>0.13</v>
      </c>
      <c r="K54" s="64">
        <v>62.08</v>
      </c>
      <c r="L54" s="64">
        <v>24.12</v>
      </c>
      <c r="M54" s="64">
        <v>95.04</v>
      </c>
      <c r="N54" s="64">
        <v>283.5</v>
      </c>
      <c r="O54" s="64">
        <v>0</v>
      </c>
      <c r="P54" s="64">
        <v>1.04</v>
      </c>
      <c r="Q54" s="64">
        <v>12.88</v>
      </c>
      <c r="R54" s="198"/>
      <c r="S54" s="198"/>
      <c r="T54" s="198"/>
      <c r="U54" s="198"/>
    </row>
    <row r="55" spans="1:21" s="12" customFormat="1" x14ac:dyDescent="0.25">
      <c r="A55" s="214" t="s">
        <v>582</v>
      </c>
      <c r="B55" s="64">
        <v>5.84</v>
      </c>
      <c r="C55" s="64">
        <v>18.079999999999998</v>
      </c>
      <c r="D55" s="64">
        <v>23.92</v>
      </c>
      <c r="E55" s="64">
        <v>1.54</v>
      </c>
      <c r="F55" s="64">
        <v>2.36</v>
      </c>
      <c r="G55" s="64">
        <v>25.33</v>
      </c>
      <c r="H55" s="64">
        <v>11.02</v>
      </c>
      <c r="I55" s="64">
        <v>0.11</v>
      </c>
      <c r="J55" s="64">
        <v>0.34</v>
      </c>
      <c r="K55" s="64">
        <v>150.46</v>
      </c>
      <c r="L55" s="64">
        <v>24.01</v>
      </c>
      <c r="M55" s="64">
        <v>94.59</v>
      </c>
      <c r="N55" s="64">
        <v>379.5</v>
      </c>
      <c r="O55" s="64">
        <v>0</v>
      </c>
      <c r="P55" s="64">
        <v>1.02</v>
      </c>
      <c r="Q55" s="64">
        <v>13.45</v>
      </c>
      <c r="R55" s="198"/>
      <c r="S55" s="198"/>
      <c r="T55" s="198"/>
      <c r="U55" s="198"/>
    </row>
    <row r="56" spans="1:21" s="12" customFormat="1" x14ac:dyDescent="0.25">
      <c r="A56" s="214" t="s">
        <v>583</v>
      </c>
      <c r="B56" s="64">
        <v>5.51</v>
      </c>
      <c r="C56" s="64">
        <v>16.010000000000002</v>
      </c>
      <c r="D56" s="64">
        <v>21.51</v>
      </c>
      <c r="E56" s="64">
        <v>1.18</v>
      </c>
      <c r="F56" s="64">
        <v>3.81</v>
      </c>
      <c r="G56" s="64">
        <v>31.07</v>
      </c>
      <c r="H56" s="64">
        <v>11.65</v>
      </c>
      <c r="I56" s="64">
        <v>0.11</v>
      </c>
      <c r="J56" s="64">
        <v>0.1</v>
      </c>
      <c r="K56" s="64">
        <v>187.12</v>
      </c>
      <c r="L56" s="64">
        <v>24.29</v>
      </c>
      <c r="M56" s="64">
        <v>94</v>
      </c>
      <c r="N56" s="64">
        <v>386.7</v>
      </c>
      <c r="O56" s="64">
        <v>0</v>
      </c>
      <c r="P56" s="64">
        <v>1</v>
      </c>
      <c r="Q56" s="64">
        <v>13.77</v>
      </c>
      <c r="R56" s="198"/>
      <c r="S56" s="198"/>
      <c r="T56" s="198"/>
      <c r="U56" s="198"/>
    </row>
    <row r="57" spans="1:21" s="12" customFormat="1" x14ac:dyDescent="0.25">
      <c r="A57" s="214" t="s">
        <v>584</v>
      </c>
      <c r="B57" s="64">
        <v>5.43</v>
      </c>
      <c r="C57" s="64">
        <v>14.5</v>
      </c>
      <c r="D57" s="64">
        <v>19.93</v>
      </c>
      <c r="E57" s="64">
        <v>1.33</v>
      </c>
      <c r="F57" s="64">
        <v>1.23</v>
      </c>
      <c r="G57" s="64">
        <v>36.1</v>
      </c>
      <c r="H57" s="64">
        <v>12.15</v>
      </c>
      <c r="I57" s="64">
        <v>0.12</v>
      </c>
      <c r="J57" s="64">
        <v>0.14000000000000001</v>
      </c>
      <c r="K57" s="64">
        <v>137.38</v>
      </c>
      <c r="L57" s="64">
        <v>24.58</v>
      </c>
      <c r="M57" s="64">
        <v>93.55</v>
      </c>
      <c r="N57" s="64">
        <v>359.6</v>
      </c>
      <c r="O57" s="64">
        <v>0</v>
      </c>
      <c r="P57" s="64">
        <v>0.96</v>
      </c>
      <c r="Q57" s="64">
        <v>13.56</v>
      </c>
      <c r="R57" s="198"/>
      <c r="S57" s="198"/>
      <c r="T57" s="198"/>
      <c r="U57" s="198"/>
    </row>
    <row r="58" spans="1:21" s="12" customFormat="1" x14ac:dyDescent="0.25">
      <c r="A58" s="214" t="s">
        <v>585</v>
      </c>
      <c r="B58" s="64">
        <v>8.6199999999999992</v>
      </c>
      <c r="C58" s="64">
        <v>17.02</v>
      </c>
      <c r="D58" s="64">
        <v>25.65</v>
      </c>
      <c r="E58" s="64">
        <v>1.64</v>
      </c>
      <c r="F58" s="64">
        <v>3.97</v>
      </c>
      <c r="G58" s="64">
        <v>36.1</v>
      </c>
      <c r="H58" s="64">
        <v>12.15</v>
      </c>
      <c r="I58" s="64">
        <v>0.12</v>
      </c>
      <c r="J58" s="64">
        <v>0.08</v>
      </c>
      <c r="K58" s="64">
        <v>19.12</v>
      </c>
      <c r="L58" s="64">
        <v>26.02</v>
      </c>
      <c r="M58" s="64">
        <v>87.33</v>
      </c>
      <c r="N58" s="64">
        <v>369</v>
      </c>
      <c r="O58" s="64">
        <v>0</v>
      </c>
      <c r="P58" s="64">
        <v>0.98</v>
      </c>
      <c r="Q58" s="64">
        <v>12.63</v>
      </c>
      <c r="R58" s="198"/>
      <c r="S58" s="198"/>
      <c r="T58" s="198"/>
      <c r="U58" s="198"/>
    </row>
    <row r="59" spans="1:21" s="12" customFormat="1" x14ac:dyDescent="0.25">
      <c r="A59" s="214" t="s">
        <v>586</v>
      </c>
      <c r="B59" s="64">
        <v>7.39</v>
      </c>
      <c r="C59" s="64">
        <v>17.010000000000002</v>
      </c>
      <c r="D59" s="64">
        <v>24.4</v>
      </c>
      <c r="E59" s="64">
        <v>1.1499999999999999</v>
      </c>
      <c r="F59" s="64">
        <v>2.5499999999999998</v>
      </c>
      <c r="G59" s="64">
        <v>36.1</v>
      </c>
      <c r="H59" s="64">
        <v>12.15</v>
      </c>
      <c r="I59" s="64">
        <v>0.12</v>
      </c>
      <c r="J59" s="64">
        <v>0.11</v>
      </c>
      <c r="K59" s="64">
        <v>333.22</v>
      </c>
      <c r="L59" s="64">
        <v>25.87</v>
      </c>
      <c r="M59" s="64">
        <v>86.84</v>
      </c>
      <c r="N59" s="64">
        <v>496.1</v>
      </c>
      <c r="O59" s="64">
        <v>0</v>
      </c>
      <c r="P59" s="64">
        <v>0.96</v>
      </c>
      <c r="Q59" s="64">
        <v>12.6</v>
      </c>
      <c r="R59" s="198"/>
      <c r="S59" s="198"/>
      <c r="T59" s="198"/>
      <c r="U59" s="198"/>
    </row>
    <row r="60" spans="1:21" s="12" customFormat="1" x14ac:dyDescent="0.25">
      <c r="A60" s="214" t="s">
        <v>587</v>
      </c>
      <c r="B60" s="64">
        <v>6.13</v>
      </c>
      <c r="C60" s="64">
        <v>16.63</v>
      </c>
      <c r="D60" s="64">
        <v>22.76</v>
      </c>
      <c r="E60" s="64">
        <v>1.21</v>
      </c>
      <c r="F60" s="64">
        <v>3.89</v>
      </c>
      <c r="G60" s="64">
        <v>47.09</v>
      </c>
      <c r="H60" s="64">
        <v>13.09</v>
      </c>
      <c r="I60" s="64">
        <v>0.12</v>
      </c>
      <c r="J60" s="64">
        <v>0.16</v>
      </c>
      <c r="K60" s="64">
        <v>344.26</v>
      </c>
      <c r="L60" s="64">
        <v>27.07</v>
      </c>
      <c r="M60" s="64">
        <v>82.04</v>
      </c>
      <c r="N60" s="64">
        <v>568.9</v>
      </c>
      <c r="O60" s="64">
        <v>0</v>
      </c>
      <c r="P60" s="64">
        <v>0.96</v>
      </c>
      <c r="Q60" s="64">
        <v>11.25</v>
      </c>
      <c r="R60" s="198"/>
      <c r="S60" s="198"/>
      <c r="T60" s="198"/>
      <c r="U60" s="198"/>
    </row>
    <row r="61" spans="1:21" s="12" customFormat="1" x14ac:dyDescent="0.25">
      <c r="A61" s="214" t="s">
        <v>588</v>
      </c>
      <c r="B61" s="64">
        <v>5.38</v>
      </c>
      <c r="C61" s="64">
        <v>19.93</v>
      </c>
      <c r="D61" s="64">
        <v>25.31</v>
      </c>
      <c r="E61" s="64">
        <v>1.1499999999999999</v>
      </c>
      <c r="F61" s="64">
        <v>5.84</v>
      </c>
      <c r="G61" s="64">
        <v>56.71</v>
      </c>
      <c r="H61" s="64">
        <v>13.48</v>
      </c>
      <c r="I61" s="64">
        <v>0.12</v>
      </c>
      <c r="J61" s="64">
        <v>0.24</v>
      </c>
      <c r="K61" s="64">
        <v>341.44</v>
      </c>
      <c r="L61" s="64">
        <v>27.73</v>
      </c>
      <c r="M61" s="64">
        <v>80.39</v>
      </c>
      <c r="N61" s="64">
        <v>431.1</v>
      </c>
      <c r="O61" s="64">
        <v>0</v>
      </c>
      <c r="P61" s="64">
        <v>0.89</v>
      </c>
      <c r="Q61" s="64">
        <v>10.54</v>
      </c>
      <c r="R61" s="198"/>
      <c r="S61" s="198"/>
      <c r="T61" s="198"/>
      <c r="U61" s="198"/>
    </row>
    <row r="62" spans="1:21" s="12" customFormat="1" x14ac:dyDescent="0.25">
      <c r="A62" s="214" t="s">
        <v>589</v>
      </c>
      <c r="B62" s="64">
        <v>5.81</v>
      </c>
      <c r="C62" s="64">
        <v>20.79</v>
      </c>
      <c r="D62" s="64">
        <v>26.6</v>
      </c>
      <c r="E62" s="64">
        <v>0.81</v>
      </c>
      <c r="F62" s="64">
        <v>3.64</v>
      </c>
      <c r="G62" s="64">
        <v>56.71</v>
      </c>
      <c r="H62" s="64">
        <v>13.48</v>
      </c>
      <c r="I62" s="64">
        <v>0.12</v>
      </c>
      <c r="J62" s="64">
        <v>0.38</v>
      </c>
      <c r="K62" s="64">
        <v>333.52</v>
      </c>
      <c r="L62" s="64">
        <v>27.33</v>
      </c>
      <c r="M62" s="64">
        <v>80.84</v>
      </c>
      <c r="N62" s="64">
        <v>425.8</v>
      </c>
      <c r="O62" s="64">
        <v>0</v>
      </c>
      <c r="P62" s="64">
        <v>0.92</v>
      </c>
      <c r="Q62" s="64">
        <v>11.11</v>
      </c>
      <c r="R62" s="198"/>
      <c r="S62" s="198"/>
      <c r="T62" s="198"/>
      <c r="U62" s="198"/>
    </row>
    <row r="63" spans="1:21" s="12" customFormat="1" x14ac:dyDescent="0.25">
      <c r="A63" s="214" t="s">
        <v>590</v>
      </c>
      <c r="B63" s="64">
        <v>5.34</v>
      </c>
      <c r="C63" s="64">
        <v>20.11</v>
      </c>
      <c r="D63" s="64">
        <v>25.45</v>
      </c>
      <c r="E63" s="64">
        <v>2.02</v>
      </c>
      <c r="F63" s="64">
        <v>2.27</v>
      </c>
      <c r="G63" s="64">
        <v>56.71</v>
      </c>
      <c r="H63" s="64">
        <v>13.48</v>
      </c>
      <c r="I63" s="64">
        <v>0.12</v>
      </c>
      <c r="J63" s="64">
        <v>0.28000000000000003</v>
      </c>
      <c r="K63" s="64">
        <v>338.87</v>
      </c>
      <c r="L63" s="64">
        <v>28.38</v>
      </c>
      <c r="M63" s="64">
        <v>76.81</v>
      </c>
      <c r="N63" s="64">
        <v>399.2</v>
      </c>
      <c r="O63" s="64">
        <v>0</v>
      </c>
      <c r="P63" s="64">
        <v>0.9</v>
      </c>
      <c r="Q63" s="64">
        <v>10.78</v>
      </c>
      <c r="R63" s="198"/>
      <c r="S63" s="198"/>
      <c r="T63" s="198"/>
      <c r="U63" s="198"/>
    </row>
    <row r="64" spans="1:21" s="12" customFormat="1" x14ac:dyDescent="0.25">
      <c r="A64" s="214" t="s">
        <v>591</v>
      </c>
      <c r="B64" s="64">
        <v>6.68</v>
      </c>
      <c r="C64" s="64">
        <v>21.34</v>
      </c>
      <c r="D64" s="64">
        <v>28.03</v>
      </c>
      <c r="E64" s="64">
        <v>0.83</v>
      </c>
      <c r="F64" s="64">
        <v>4.25</v>
      </c>
      <c r="G64" s="64">
        <v>54.04</v>
      </c>
      <c r="H64" s="64">
        <v>13.04</v>
      </c>
      <c r="I64" s="64">
        <v>0.11</v>
      </c>
      <c r="J64" s="64">
        <v>0.15</v>
      </c>
      <c r="K64" s="64">
        <v>339.58</v>
      </c>
      <c r="L64" s="64">
        <v>27.55</v>
      </c>
      <c r="M64" s="64">
        <v>78.849999999999994</v>
      </c>
      <c r="N64" s="64">
        <v>387.1</v>
      </c>
      <c r="O64" s="64">
        <v>0</v>
      </c>
      <c r="P64" s="64">
        <v>0.88</v>
      </c>
      <c r="Q64" s="64">
        <v>11.38</v>
      </c>
      <c r="R64" s="198"/>
      <c r="S64" s="198"/>
      <c r="T64" s="198"/>
      <c r="U64" s="198"/>
    </row>
    <row r="65" spans="1:21" s="12" customFormat="1" x14ac:dyDescent="0.25">
      <c r="A65" s="214" t="s">
        <v>592</v>
      </c>
      <c r="B65" s="64">
        <v>5.67</v>
      </c>
      <c r="C65" s="64">
        <v>18.95</v>
      </c>
      <c r="D65" s="64">
        <v>24.62</v>
      </c>
      <c r="E65" s="64">
        <v>1.39</v>
      </c>
      <c r="F65" s="64">
        <v>5.72</v>
      </c>
      <c r="G65" s="64">
        <v>51.7</v>
      </c>
      <c r="H65" s="64">
        <v>12.86</v>
      </c>
      <c r="I65" s="64">
        <v>0.12</v>
      </c>
      <c r="J65" s="64">
        <v>0.14000000000000001</v>
      </c>
      <c r="K65" s="64">
        <v>307.60000000000002</v>
      </c>
      <c r="L65" s="64">
        <v>26.4</v>
      </c>
      <c r="M65" s="64">
        <v>84</v>
      </c>
      <c r="N65" s="64">
        <v>400.1</v>
      </c>
      <c r="O65" s="64">
        <v>0</v>
      </c>
      <c r="P65" s="64">
        <v>0.84</v>
      </c>
      <c r="Q65" s="64">
        <v>12.3</v>
      </c>
      <c r="R65" s="198"/>
      <c r="S65" s="198"/>
      <c r="T65" s="198"/>
      <c r="U65" s="198"/>
    </row>
    <row r="66" spans="1:21" s="12" customFormat="1" x14ac:dyDescent="0.25">
      <c r="A66" s="214" t="s">
        <v>593</v>
      </c>
      <c r="B66" s="64">
        <v>5.35</v>
      </c>
      <c r="C66" s="64">
        <v>19.11</v>
      </c>
      <c r="D66" s="64">
        <v>24.47</v>
      </c>
      <c r="E66" s="64">
        <v>1.44</v>
      </c>
      <c r="F66" s="64">
        <v>9.2200000000000006</v>
      </c>
      <c r="G66" s="64">
        <v>51.7</v>
      </c>
      <c r="H66" s="64">
        <v>12.86</v>
      </c>
      <c r="I66" s="64">
        <v>0.11</v>
      </c>
      <c r="J66" s="64">
        <v>0.12</v>
      </c>
      <c r="K66" s="64">
        <v>218.58</v>
      </c>
      <c r="L66" s="64">
        <v>26.88</v>
      </c>
      <c r="M66" s="64">
        <v>80.86</v>
      </c>
      <c r="N66" s="64">
        <v>381</v>
      </c>
      <c r="O66" s="64">
        <v>0</v>
      </c>
      <c r="P66" s="64">
        <v>0.83</v>
      </c>
      <c r="Q66" s="64">
        <v>12.43</v>
      </c>
      <c r="R66" s="198"/>
      <c r="S66" s="198"/>
      <c r="T66" s="198"/>
      <c r="U66" s="198"/>
    </row>
    <row r="67" spans="1:21" s="12" customFormat="1" x14ac:dyDescent="0.25">
      <c r="A67" s="214" t="s">
        <v>594</v>
      </c>
      <c r="B67" s="64">
        <v>5.0999999999999996</v>
      </c>
      <c r="C67" s="64">
        <v>19.170000000000002</v>
      </c>
      <c r="D67" s="64">
        <v>24.27</v>
      </c>
      <c r="E67" s="64">
        <v>1.53</v>
      </c>
      <c r="F67" s="64">
        <v>7.16</v>
      </c>
      <c r="G67" s="64">
        <v>51.7</v>
      </c>
      <c r="H67" s="64">
        <v>12.86</v>
      </c>
      <c r="I67" s="64">
        <v>0.11</v>
      </c>
      <c r="J67" s="64">
        <v>0.13</v>
      </c>
      <c r="K67" s="64">
        <v>351.67</v>
      </c>
      <c r="L67" s="64">
        <v>26.73</v>
      </c>
      <c r="M67" s="64">
        <v>83.28</v>
      </c>
      <c r="N67" s="64">
        <v>323.10000000000002</v>
      </c>
      <c r="O67" s="64">
        <v>0</v>
      </c>
      <c r="P67" s="64">
        <v>0.86</v>
      </c>
      <c r="Q67" s="64">
        <v>12.89</v>
      </c>
      <c r="R67" s="198"/>
      <c r="S67" s="198"/>
      <c r="T67" s="198"/>
      <c r="U67" s="198"/>
    </row>
    <row r="68" spans="1:21" s="12" customFormat="1" x14ac:dyDescent="0.25">
      <c r="A68" s="214" t="s">
        <v>595</v>
      </c>
      <c r="B68" s="64">
        <v>5.46</v>
      </c>
      <c r="C68" s="64">
        <v>21.36</v>
      </c>
      <c r="D68" s="64">
        <v>26.82</v>
      </c>
      <c r="E68" s="64">
        <v>2.42</v>
      </c>
      <c r="F68" s="64">
        <v>6.76</v>
      </c>
      <c r="G68" s="64">
        <v>58.38</v>
      </c>
      <c r="H68" s="64">
        <v>20.27</v>
      </c>
      <c r="I68" s="64">
        <v>0.12</v>
      </c>
      <c r="J68" s="64">
        <v>0.08</v>
      </c>
      <c r="K68" s="64">
        <v>333.48</v>
      </c>
      <c r="L68" s="64">
        <v>26.6</v>
      </c>
      <c r="M68" s="64">
        <v>85.35</v>
      </c>
      <c r="N68" s="64">
        <v>291.39999999999998</v>
      </c>
      <c r="O68" s="64">
        <v>0</v>
      </c>
      <c r="P68" s="64">
        <v>0.9</v>
      </c>
      <c r="Q68" s="64">
        <v>13.56</v>
      </c>
      <c r="R68" s="198"/>
      <c r="S68" s="198"/>
      <c r="T68" s="198"/>
      <c r="U68" s="198"/>
    </row>
    <row r="69" spans="1:21" s="12" customFormat="1" x14ac:dyDescent="0.25">
      <c r="A69" s="214" t="s">
        <v>596</v>
      </c>
      <c r="B69" s="64">
        <v>5.73</v>
      </c>
      <c r="C69" s="64">
        <v>19.670000000000002</v>
      </c>
      <c r="D69" s="64">
        <v>25.4</v>
      </c>
      <c r="E69" s="64">
        <v>1.49</v>
      </c>
      <c r="F69" s="64">
        <v>2.97</v>
      </c>
      <c r="G69" s="64">
        <v>64.23</v>
      </c>
      <c r="H69" s="64">
        <v>23.26</v>
      </c>
      <c r="I69" s="64">
        <v>0.12</v>
      </c>
      <c r="J69" s="64">
        <v>0.25</v>
      </c>
      <c r="K69" s="64">
        <v>7.7</v>
      </c>
      <c r="L69" s="64">
        <v>27.04</v>
      </c>
      <c r="M69" s="64">
        <v>83.83</v>
      </c>
      <c r="N69" s="64">
        <v>235.8</v>
      </c>
      <c r="O69" s="64">
        <v>0</v>
      </c>
      <c r="P69" s="64">
        <v>0.92</v>
      </c>
      <c r="Q69" s="64">
        <v>12.46</v>
      </c>
      <c r="R69" s="198"/>
      <c r="S69" s="198"/>
      <c r="T69" s="198"/>
      <c r="U69" s="198"/>
    </row>
    <row r="70" spans="1:21" s="12" customFormat="1" x14ac:dyDescent="0.25">
      <c r="A70" s="214" t="s">
        <v>597</v>
      </c>
      <c r="B70" s="64">
        <v>5.09</v>
      </c>
      <c r="C70" s="64">
        <v>19.91</v>
      </c>
      <c r="D70" s="64">
        <v>25</v>
      </c>
      <c r="E70" s="64">
        <v>1.71</v>
      </c>
      <c r="F70" s="64">
        <v>3.14</v>
      </c>
      <c r="G70" s="64">
        <v>64.23</v>
      </c>
      <c r="H70" s="64">
        <v>23.26</v>
      </c>
      <c r="I70" s="64">
        <v>0.12</v>
      </c>
      <c r="J70" s="64">
        <v>0.2</v>
      </c>
      <c r="K70" s="64">
        <v>359.9</v>
      </c>
      <c r="L70" s="64">
        <v>27.18</v>
      </c>
      <c r="M70" s="64">
        <v>83.11</v>
      </c>
      <c r="N70" s="64">
        <v>213.2</v>
      </c>
      <c r="O70" s="64">
        <v>0</v>
      </c>
      <c r="P70" s="64">
        <v>0.97</v>
      </c>
      <c r="Q70" s="64">
        <v>11.85</v>
      </c>
      <c r="R70" s="198"/>
      <c r="S70" s="198"/>
      <c r="T70" s="198"/>
      <c r="U70" s="198"/>
    </row>
    <row r="71" spans="1:21" s="12" customFormat="1" x14ac:dyDescent="0.25">
      <c r="A71" s="214" t="s">
        <v>598</v>
      </c>
      <c r="B71" s="64">
        <v>4.04</v>
      </c>
      <c r="C71" s="64">
        <v>17.34</v>
      </c>
      <c r="D71" s="64">
        <v>21.39</v>
      </c>
      <c r="E71" s="64">
        <v>1.69</v>
      </c>
      <c r="F71" s="64">
        <v>3.5</v>
      </c>
      <c r="G71" s="64">
        <v>64.23</v>
      </c>
      <c r="H71" s="64">
        <v>23.26</v>
      </c>
      <c r="I71" s="64">
        <v>0.12</v>
      </c>
      <c r="J71" s="64">
        <v>0.2</v>
      </c>
      <c r="K71" s="64">
        <v>23.04</v>
      </c>
      <c r="L71" s="64">
        <v>26.15</v>
      </c>
      <c r="M71" s="64">
        <v>88.18</v>
      </c>
      <c r="N71" s="64">
        <v>184.2</v>
      </c>
      <c r="O71" s="64">
        <v>0</v>
      </c>
      <c r="P71" s="64">
        <v>1.01</v>
      </c>
      <c r="Q71" s="64">
        <v>10.71</v>
      </c>
      <c r="R71" s="198"/>
      <c r="S71" s="198"/>
      <c r="T71" s="198"/>
      <c r="U71" s="198"/>
    </row>
    <row r="72" spans="1:21" s="12" customFormat="1" x14ac:dyDescent="0.25">
      <c r="A72" s="214" t="s">
        <v>599</v>
      </c>
      <c r="B72" s="64">
        <v>4.41</v>
      </c>
      <c r="C72" s="64">
        <v>18.309999999999999</v>
      </c>
      <c r="D72" s="64">
        <v>22.72</v>
      </c>
      <c r="E72" s="64">
        <v>1.1399999999999999</v>
      </c>
      <c r="F72" s="64">
        <v>3.23</v>
      </c>
      <c r="G72" s="64">
        <v>68.67</v>
      </c>
      <c r="H72" s="64">
        <v>21.68</v>
      </c>
      <c r="I72" s="64">
        <v>0.12</v>
      </c>
      <c r="J72" s="64">
        <v>0.13</v>
      </c>
      <c r="K72" s="64">
        <v>24.25</v>
      </c>
      <c r="L72" s="64">
        <v>26.27</v>
      </c>
      <c r="M72" s="64">
        <v>87.2</v>
      </c>
      <c r="N72" s="64">
        <v>158.5</v>
      </c>
      <c r="O72" s="64">
        <v>0</v>
      </c>
      <c r="P72" s="64">
        <v>1.03</v>
      </c>
      <c r="Q72" s="64">
        <v>9.59</v>
      </c>
      <c r="R72" s="198"/>
      <c r="S72" s="198"/>
      <c r="T72" s="198"/>
      <c r="U72" s="198"/>
    </row>
    <row r="73" spans="1:21" s="12" customFormat="1" x14ac:dyDescent="0.25">
      <c r="A73" s="214" t="s">
        <v>600</v>
      </c>
      <c r="B73" s="64">
        <v>5.66</v>
      </c>
      <c r="C73" s="64">
        <v>20.5</v>
      </c>
      <c r="D73" s="64">
        <v>26.16</v>
      </c>
      <c r="E73" s="64">
        <v>1.53</v>
      </c>
      <c r="F73" s="64">
        <v>4.45</v>
      </c>
      <c r="G73" s="64">
        <v>72.569999999999993</v>
      </c>
      <c r="H73" s="64">
        <v>21.06</v>
      </c>
      <c r="I73" s="64">
        <v>0.11</v>
      </c>
      <c r="J73" s="64">
        <v>0.16</v>
      </c>
      <c r="K73" s="64">
        <v>18.28</v>
      </c>
      <c r="L73" s="64">
        <v>26.2</v>
      </c>
      <c r="M73" s="64">
        <v>88.11</v>
      </c>
      <c r="N73" s="64">
        <v>134.9</v>
      </c>
      <c r="O73" s="64">
        <v>0</v>
      </c>
      <c r="P73" s="64">
        <v>1.05</v>
      </c>
      <c r="Q73" s="64">
        <v>8.92</v>
      </c>
      <c r="R73" s="198"/>
      <c r="S73" s="198"/>
      <c r="T73" s="198"/>
      <c r="U73" s="198"/>
    </row>
    <row r="74" spans="1:21" s="12" customFormat="1" x14ac:dyDescent="0.25">
      <c r="A74" s="214" t="s">
        <v>601</v>
      </c>
      <c r="B74" s="64">
        <v>5.64</v>
      </c>
      <c r="C74" s="64">
        <v>21.54</v>
      </c>
      <c r="D74" s="64">
        <v>27.18</v>
      </c>
      <c r="E74" s="64">
        <v>2.33</v>
      </c>
      <c r="F74" s="64">
        <v>4.63</v>
      </c>
      <c r="G74" s="64">
        <v>72.569999999999993</v>
      </c>
      <c r="H74" s="64">
        <v>21.06</v>
      </c>
      <c r="I74" s="64">
        <v>0.12</v>
      </c>
      <c r="J74" s="64">
        <v>0.21</v>
      </c>
      <c r="K74" s="64">
        <v>349</v>
      </c>
      <c r="L74" s="64">
        <v>26.57</v>
      </c>
      <c r="M74" s="64">
        <v>86.74</v>
      </c>
      <c r="N74" s="64">
        <v>134.30000000000001</v>
      </c>
      <c r="O74" s="64">
        <v>0</v>
      </c>
      <c r="P74" s="64">
        <v>1.1000000000000001</v>
      </c>
      <c r="Q74" s="64">
        <v>10.77</v>
      </c>
      <c r="R74" s="198"/>
      <c r="S74" s="198"/>
      <c r="T74" s="198"/>
      <c r="U74" s="198"/>
    </row>
    <row r="75" spans="1:21" s="12" customFormat="1" x14ac:dyDescent="0.25">
      <c r="A75" s="214" t="s">
        <v>602</v>
      </c>
      <c r="B75" s="64">
        <v>5.68</v>
      </c>
      <c r="C75" s="64">
        <v>25.48</v>
      </c>
      <c r="D75" s="64">
        <v>31.15</v>
      </c>
      <c r="E75" s="64">
        <v>1.61</v>
      </c>
      <c r="F75" s="64">
        <v>12.22</v>
      </c>
      <c r="G75" s="64">
        <v>72.569999999999993</v>
      </c>
      <c r="H75" s="64">
        <v>21.06</v>
      </c>
      <c r="I75" s="64">
        <v>0.12</v>
      </c>
      <c r="J75" s="64">
        <v>0.09</v>
      </c>
      <c r="K75" s="64">
        <v>194.29</v>
      </c>
      <c r="L75" s="64">
        <v>26.43</v>
      </c>
      <c r="M75" s="64">
        <v>87.39</v>
      </c>
      <c r="N75" s="64">
        <v>126.7</v>
      </c>
      <c r="O75" s="64">
        <v>0</v>
      </c>
      <c r="P75" s="64">
        <v>1.2</v>
      </c>
      <c r="Q75" s="64">
        <v>11.06</v>
      </c>
      <c r="R75" s="198"/>
      <c r="S75" s="198"/>
      <c r="T75" s="198"/>
      <c r="U75" s="198"/>
    </row>
    <row r="76" spans="1:21" s="12" customFormat="1" x14ac:dyDescent="0.25">
      <c r="A76" s="214" t="s">
        <v>603</v>
      </c>
      <c r="B76" s="64">
        <v>3.94</v>
      </c>
      <c r="C76" s="64">
        <v>23.24</v>
      </c>
      <c r="D76" s="64">
        <v>27.18</v>
      </c>
      <c r="E76" s="64">
        <v>2.0299999999999998</v>
      </c>
      <c r="F76" s="64">
        <v>11.19</v>
      </c>
      <c r="G76" s="64">
        <v>66.59</v>
      </c>
      <c r="H76" s="64">
        <v>21.57</v>
      </c>
      <c r="I76" s="64">
        <v>0.11</v>
      </c>
      <c r="J76" s="64">
        <v>0.1</v>
      </c>
      <c r="K76" s="64">
        <v>24.64</v>
      </c>
      <c r="L76" s="64">
        <v>25.76</v>
      </c>
      <c r="M76" s="64">
        <v>91.61</v>
      </c>
      <c r="N76" s="64">
        <v>99.7</v>
      </c>
      <c r="O76" s="64">
        <v>0</v>
      </c>
      <c r="P76" s="64">
        <v>1.18</v>
      </c>
      <c r="Q76" s="64">
        <v>13.02</v>
      </c>
      <c r="R76" s="198"/>
      <c r="S76" s="198"/>
      <c r="T76" s="198"/>
      <c r="U76" s="198"/>
    </row>
    <row r="77" spans="1:21" s="12" customFormat="1" x14ac:dyDescent="0.25">
      <c r="A77" s="214" t="s">
        <v>604</v>
      </c>
      <c r="B77" s="64">
        <v>6.81</v>
      </c>
      <c r="C77" s="64">
        <v>31.62</v>
      </c>
      <c r="D77" s="64">
        <v>38.43</v>
      </c>
      <c r="E77" s="64">
        <v>2.4</v>
      </c>
      <c r="F77" s="64">
        <v>7.99</v>
      </c>
      <c r="G77" s="64">
        <v>61.36</v>
      </c>
      <c r="H77" s="64">
        <v>21.78</v>
      </c>
      <c r="I77" s="64">
        <v>0.11</v>
      </c>
      <c r="J77" s="64">
        <v>0.14000000000000001</v>
      </c>
      <c r="K77" s="64">
        <v>21.62</v>
      </c>
      <c r="L77" s="64">
        <v>25.76</v>
      </c>
      <c r="M77" s="64">
        <v>92.42</v>
      </c>
      <c r="N77" s="64">
        <v>68.099999999999994</v>
      </c>
      <c r="O77" s="64">
        <v>0</v>
      </c>
      <c r="P77" s="64">
        <v>1.35</v>
      </c>
      <c r="Q77" s="64">
        <v>13.37</v>
      </c>
      <c r="R77" s="198"/>
      <c r="S77" s="198"/>
      <c r="T77" s="198"/>
      <c r="U77" s="198"/>
    </row>
    <row r="78" spans="1:21" s="12" customFormat="1" x14ac:dyDescent="0.25">
      <c r="A78" s="214" t="s">
        <v>605</v>
      </c>
      <c r="B78" s="64">
        <v>7.85</v>
      </c>
      <c r="C78" s="64">
        <v>34.68</v>
      </c>
      <c r="D78" s="64">
        <v>42.53</v>
      </c>
      <c r="E78" s="64">
        <v>2.42</v>
      </c>
      <c r="F78" s="64">
        <v>13.58</v>
      </c>
      <c r="G78" s="64">
        <v>61.36</v>
      </c>
      <c r="H78" s="64">
        <v>21.78</v>
      </c>
      <c r="I78" s="64">
        <v>0.12</v>
      </c>
      <c r="J78" s="64">
        <v>0.11</v>
      </c>
      <c r="K78" s="64">
        <v>156.16999999999999</v>
      </c>
      <c r="L78" s="64">
        <v>25.61</v>
      </c>
      <c r="M78" s="64">
        <v>92.67</v>
      </c>
      <c r="N78" s="64">
        <v>58.1</v>
      </c>
      <c r="O78" s="64">
        <v>0</v>
      </c>
      <c r="P78" s="64">
        <v>1.34</v>
      </c>
      <c r="Q78" s="64">
        <v>13.21</v>
      </c>
      <c r="R78" s="198"/>
      <c r="S78" s="198"/>
      <c r="T78" s="198"/>
      <c r="U78" s="198"/>
    </row>
    <row r="79" spans="1:21" s="12" customFormat="1" x14ac:dyDescent="0.25">
      <c r="A79" s="214" t="s">
        <v>606</v>
      </c>
      <c r="B79" s="64">
        <v>4.88</v>
      </c>
      <c r="C79" s="64">
        <v>24.41</v>
      </c>
      <c r="D79" s="64">
        <v>29.29</v>
      </c>
      <c r="E79" s="64">
        <v>3.06</v>
      </c>
      <c r="F79" s="64">
        <v>13.19</v>
      </c>
      <c r="G79" s="64">
        <v>61.36</v>
      </c>
      <c r="H79" s="64">
        <v>21.78</v>
      </c>
      <c r="I79" s="64">
        <v>0.12</v>
      </c>
      <c r="J79" s="64">
        <v>7.0000000000000007E-2</v>
      </c>
      <c r="K79" s="64">
        <v>205.32</v>
      </c>
      <c r="L79" s="64">
        <v>25.36</v>
      </c>
      <c r="M79" s="64">
        <v>93.48</v>
      </c>
      <c r="N79" s="64">
        <v>41.2</v>
      </c>
      <c r="O79" s="64">
        <v>0</v>
      </c>
      <c r="P79" s="64">
        <v>1.1200000000000001</v>
      </c>
      <c r="Q79" s="64">
        <v>13.43</v>
      </c>
      <c r="R79" s="198"/>
      <c r="S79" s="198"/>
      <c r="T79" s="198"/>
      <c r="U79" s="198"/>
    </row>
    <row r="80" spans="1:21" s="12" customFormat="1" x14ac:dyDescent="0.25">
      <c r="A80" s="214" t="s">
        <v>607</v>
      </c>
      <c r="B80" s="64">
        <v>9</v>
      </c>
      <c r="C80" s="64">
        <v>24.66</v>
      </c>
      <c r="D80" s="64">
        <v>33.65</v>
      </c>
      <c r="E80" s="64">
        <v>2.4300000000000002</v>
      </c>
      <c r="F80" s="64">
        <v>6.12</v>
      </c>
      <c r="G80" s="64">
        <v>65.989999999999995</v>
      </c>
      <c r="H80" s="64">
        <v>21.39</v>
      </c>
      <c r="I80" s="64">
        <v>0.11</v>
      </c>
      <c r="J80" s="64">
        <v>0</v>
      </c>
      <c r="K80" s="64">
        <v>88.66</v>
      </c>
      <c r="L80" s="64">
        <v>25.16</v>
      </c>
      <c r="M80" s="64">
        <v>94.02</v>
      </c>
      <c r="N80" s="64">
        <v>20.3</v>
      </c>
      <c r="O80" s="64">
        <v>0</v>
      </c>
      <c r="P80" s="64">
        <v>1.0900000000000001</v>
      </c>
      <c r="Q80" s="64">
        <v>14.01</v>
      </c>
      <c r="R80" s="198"/>
      <c r="S80" s="198"/>
      <c r="T80" s="198"/>
      <c r="U80" s="198"/>
    </row>
    <row r="81" spans="1:26" s="12" customFormat="1" x14ac:dyDescent="0.25">
      <c r="A81" s="214" t="s">
        <v>608</v>
      </c>
      <c r="B81" s="64">
        <v>6.82</v>
      </c>
      <c r="C81" s="64">
        <v>24.46</v>
      </c>
      <c r="D81" s="64">
        <v>31.29</v>
      </c>
      <c r="E81" s="64">
        <v>2.13</v>
      </c>
      <c r="F81" s="64">
        <v>5.03</v>
      </c>
      <c r="G81" s="64">
        <v>70.040000000000006</v>
      </c>
      <c r="H81" s="64">
        <v>21.09</v>
      </c>
      <c r="I81" s="64">
        <v>0.11</v>
      </c>
      <c r="J81" s="64">
        <v>0.13</v>
      </c>
      <c r="K81" s="64">
        <v>23.15</v>
      </c>
      <c r="L81" s="64">
        <v>25.06</v>
      </c>
      <c r="M81" s="64">
        <v>95.36</v>
      </c>
      <c r="N81" s="64">
        <v>9.1999999999999993</v>
      </c>
      <c r="O81" s="64">
        <v>0</v>
      </c>
      <c r="P81" s="64">
        <v>1.1599999999999999</v>
      </c>
      <c r="Q81" s="64">
        <v>12.89</v>
      </c>
      <c r="R81" s="198"/>
      <c r="S81" s="198"/>
      <c r="T81" s="198"/>
      <c r="U81" s="198"/>
    </row>
    <row r="82" spans="1:26" s="12" customFormat="1" x14ac:dyDescent="0.25">
      <c r="A82" s="214" t="s">
        <v>609</v>
      </c>
      <c r="B82" s="64">
        <v>6.6</v>
      </c>
      <c r="C82" s="64">
        <v>25.01</v>
      </c>
      <c r="D82" s="64">
        <v>31.62</v>
      </c>
      <c r="E82" s="64">
        <v>2.44</v>
      </c>
      <c r="F82" s="64">
        <v>9.76</v>
      </c>
      <c r="G82" s="64">
        <v>70.040000000000006</v>
      </c>
      <c r="H82" s="64">
        <v>21.09</v>
      </c>
      <c r="I82" s="64">
        <v>0.12</v>
      </c>
      <c r="J82" s="64">
        <v>7.0000000000000007E-2</v>
      </c>
      <c r="K82" s="64">
        <v>38.46</v>
      </c>
      <c r="L82" s="64">
        <v>24.86</v>
      </c>
      <c r="M82" s="64">
        <v>96.7</v>
      </c>
      <c r="N82" s="64">
        <v>7.7</v>
      </c>
      <c r="O82" s="64">
        <v>0</v>
      </c>
      <c r="P82" s="64">
        <v>0.95</v>
      </c>
      <c r="Q82" s="64">
        <v>11.66</v>
      </c>
      <c r="R82" s="198"/>
      <c r="S82" s="198"/>
      <c r="T82" s="198"/>
      <c r="U82" s="198"/>
    </row>
    <row r="83" spans="1:26" s="12" customFormat="1" x14ac:dyDescent="0.25">
      <c r="A83" s="214" t="s">
        <v>610</v>
      </c>
      <c r="B83" s="64">
        <v>6.8</v>
      </c>
      <c r="C83" s="64">
        <v>20.12</v>
      </c>
      <c r="D83" s="64">
        <v>26.92</v>
      </c>
      <c r="E83" s="64">
        <v>1.98</v>
      </c>
      <c r="F83" s="64">
        <v>3.31</v>
      </c>
      <c r="G83" s="64">
        <v>70.040000000000006</v>
      </c>
      <c r="H83" s="64">
        <v>21.09</v>
      </c>
      <c r="I83" s="64">
        <v>0.12</v>
      </c>
      <c r="J83" s="64">
        <v>0.78</v>
      </c>
      <c r="K83" s="64">
        <v>356.97</v>
      </c>
      <c r="L83" s="64">
        <v>24.54</v>
      </c>
      <c r="M83" s="64">
        <v>89.58</v>
      </c>
      <c r="N83" s="64">
        <v>8.4</v>
      </c>
      <c r="O83" s="64">
        <v>0</v>
      </c>
      <c r="P83" s="64">
        <v>1.1200000000000001</v>
      </c>
      <c r="Q83" s="64">
        <v>12.13</v>
      </c>
      <c r="R83" s="198"/>
      <c r="S83" s="198"/>
      <c r="T83" s="198"/>
      <c r="U83" s="198"/>
    </row>
    <row r="84" spans="1:26" s="12" customFormat="1" x14ac:dyDescent="0.25">
      <c r="A84" s="214" t="s">
        <v>611</v>
      </c>
      <c r="B84" s="64">
        <v>5.49</v>
      </c>
      <c r="C84" s="64">
        <v>15.37</v>
      </c>
      <c r="D84" s="64">
        <v>20.85</v>
      </c>
      <c r="E84" s="64">
        <v>1.59</v>
      </c>
      <c r="F84" s="64">
        <v>3.54</v>
      </c>
      <c r="G84" s="64">
        <v>72.95</v>
      </c>
      <c r="H84" s="64">
        <v>21.23</v>
      </c>
      <c r="I84" s="64">
        <v>0.12</v>
      </c>
      <c r="J84" s="64">
        <v>1.96</v>
      </c>
      <c r="K84" s="64">
        <v>104.49</v>
      </c>
      <c r="L84" s="64">
        <v>22.22</v>
      </c>
      <c r="M84" s="64">
        <v>93.8</v>
      </c>
      <c r="N84" s="64">
        <v>13.8</v>
      </c>
      <c r="O84" s="64">
        <v>3.8</v>
      </c>
      <c r="P84" s="64">
        <v>1.07</v>
      </c>
      <c r="Q84" s="64">
        <v>12.94</v>
      </c>
      <c r="R84" s="198"/>
      <c r="S84" s="198"/>
      <c r="T84" s="198"/>
      <c r="U84" s="198"/>
    </row>
    <row r="85" spans="1:26" s="12" customFormat="1" x14ac:dyDescent="0.25">
      <c r="A85" s="214" t="s">
        <v>612</v>
      </c>
      <c r="B85" s="64">
        <v>4.74</v>
      </c>
      <c r="C85" s="64">
        <v>14.24</v>
      </c>
      <c r="D85" s="64">
        <v>18.98</v>
      </c>
      <c r="E85" s="64">
        <v>1.88</v>
      </c>
      <c r="F85" s="64">
        <v>2.4</v>
      </c>
      <c r="G85" s="64">
        <v>75.5</v>
      </c>
      <c r="H85" s="64">
        <v>21.28</v>
      </c>
      <c r="I85" s="64">
        <v>0.12</v>
      </c>
      <c r="J85" s="64">
        <v>1.06</v>
      </c>
      <c r="K85" s="64">
        <v>112.59</v>
      </c>
      <c r="L85" s="64">
        <v>20.9</v>
      </c>
      <c r="M85" s="64">
        <v>98.37</v>
      </c>
      <c r="N85" s="64">
        <v>7.8</v>
      </c>
      <c r="O85" s="64">
        <v>0.4</v>
      </c>
      <c r="P85" s="64">
        <v>0.97</v>
      </c>
      <c r="Q85" s="64">
        <v>15.01</v>
      </c>
      <c r="R85" s="198"/>
      <c r="S85" s="198"/>
      <c r="T85" s="198"/>
      <c r="U85" s="198"/>
    </row>
    <row r="86" spans="1:26" s="12" customFormat="1" x14ac:dyDescent="0.25">
      <c r="A86" s="214" t="s">
        <v>613</v>
      </c>
      <c r="B86" s="64">
        <v>4.51</v>
      </c>
      <c r="C86" s="64">
        <v>16.420000000000002</v>
      </c>
      <c r="D86" s="64">
        <v>20.93</v>
      </c>
      <c r="E86" s="64">
        <v>1.63</v>
      </c>
      <c r="F86" s="64">
        <v>2.8</v>
      </c>
      <c r="G86" s="64">
        <v>75.5</v>
      </c>
      <c r="H86" s="64">
        <v>21.28</v>
      </c>
      <c r="I86" s="64">
        <v>0.12</v>
      </c>
      <c r="J86" s="64">
        <v>0.26</v>
      </c>
      <c r="K86" s="64">
        <v>124.13</v>
      </c>
      <c r="L86" s="64">
        <v>21.05</v>
      </c>
      <c r="M86" s="64">
        <v>98.38</v>
      </c>
      <c r="N86" s="64">
        <v>7.4</v>
      </c>
      <c r="O86" s="64">
        <v>0.2</v>
      </c>
      <c r="P86" s="64">
        <v>0.97</v>
      </c>
      <c r="Q86" s="64">
        <v>15.98</v>
      </c>
      <c r="R86" s="198"/>
      <c r="S86" s="198"/>
      <c r="T86" s="198"/>
      <c r="U86" s="198"/>
    </row>
    <row r="87" spans="1:26" s="12" customFormat="1" x14ac:dyDescent="0.25">
      <c r="A87" s="214" t="s">
        <v>614</v>
      </c>
      <c r="B87" s="64">
        <v>8.23</v>
      </c>
      <c r="C87" s="64">
        <v>30.34</v>
      </c>
      <c r="D87" s="64">
        <v>38.57</v>
      </c>
      <c r="E87" s="64">
        <v>1.34</v>
      </c>
      <c r="F87" s="64">
        <v>4.3</v>
      </c>
      <c r="G87" s="64">
        <v>75.5</v>
      </c>
      <c r="H87" s="64">
        <v>21.28</v>
      </c>
      <c r="I87" s="64">
        <v>0.12</v>
      </c>
      <c r="J87" s="64">
        <v>0.12</v>
      </c>
      <c r="K87" s="64">
        <v>249.66</v>
      </c>
      <c r="L87" s="64">
        <v>21.01</v>
      </c>
      <c r="M87" s="64">
        <v>98.38</v>
      </c>
      <c r="N87" s="64">
        <v>7.3</v>
      </c>
      <c r="O87" s="64">
        <v>0</v>
      </c>
      <c r="P87" s="64">
        <v>1</v>
      </c>
      <c r="Q87" s="64">
        <v>15.7</v>
      </c>
      <c r="R87" s="198"/>
      <c r="S87" s="198"/>
      <c r="T87" s="198"/>
      <c r="U87" s="198"/>
    </row>
    <row r="88" spans="1:26" s="12" customFormat="1" x14ac:dyDescent="0.25">
      <c r="A88" s="214" t="s">
        <v>615</v>
      </c>
      <c r="B88" s="64">
        <v>7.49</v>
      </c>
      <c r="C88" s="64">
        <v>20.309999999999999</v>
      </c>
      <c r="D88" s="64">
        <v>27.81</v>
      </c>
      <c r="E88" s="64">
        <v>1.66</v>
      </c>
      <c r="F88" s="64">
        <v>2.89</v>
      </c>
      <c r="G88" s="64">
        <v>63.36</v>
      </c>
      <c r="H88" s="64">
        <v>17.03</v>
      </c>
      <c r="I88" s="64">
        <v>0.12</v>
      </c>
      <c r="J88" s="64">
        <v>0.44</v>
      </c>
      <c r="K88" s="64">
        <v>339.77</v>
      </c>
      <c r="L88" s="64">
        <v>21.33</v>
      </c>
      <c r="M88" s="64">
        <v>98.38</v>
      </c>
      <c r="N88" s="64">
        <v>7.2</v>
      </c>
      <c r="O88" s="64">
        <v>0.2</v>
      </c>
      <c r="P88" s="64">
        <v>1</v>
      </c>
      <c r="Q88" s="64">
        <v>15.35</v>
      </c>
      <c r="R88" s="198"/>
      <c r="S88" s="198"/>
      <c r="T88" s="198"/>
      <c r="U88" s="198"/>
    </row>
    <row r="89" spans="1:26" s="12" customFormat="1" x14ac:dyDescent="0.25">
      <c r="A89" s="214" t="s">
        <v>616</v>
      </c>
      <c r="B89" s="64">
        <v>10.73</v>
      </c>
      <c r="C89" s="64">
        <v>25.99</v>
      </c>
      <c r="D89" s="64">
        <v>36.72</v>
      </c>
      <c r="E89" s="64">
        <v>2.17</v>
      </c>
      <c r="F89" s="64">
        <v>2.63</v>
      </c>
      <c r="G89" s="64">
        <v>52.74</v>
      </c>
      <c r="H89" s="64">
        <v>15.31</v>
      </c>
      <c r="I89" s="64">
        <v>0.12</v>
      </c>
      <c r="J89" s="64">
        <v>0.03</v>
      </c>
      <c r="K89" s="64">
        <v>319.33999999999997</v>
      </c>
      <c r="L89" s="64">
        <v>21.35</v>
      </c>
      <c r="M89" s="64">
        <v>98.38</v>
      </c>
      <c r="N89" s="64">
        <v>7.4</v>
      </c>
      <c r="O89" s="64">
        <v>0</v>
      </c>
      <c r="P89" s="64">
        <v>1.04</v>
      </c>
      <c r="Q89" s="64">
        <v>16.54</v>
      </c>
      <c r="R89" s="198"/>
      <c r="S89" s="198"/>
      <c r="T89" s="198"/>
      <c r="U89" s="198"/>
    </row>
    <row r="90" spans="1:26" s="12" customFormat="1" x14ac:dyDescent="0.25">
      <c r="A90" s="214" t="s">
        <v>617</v>
      </c>
      <c r="B90" s="64">
        <v>8.59</v>
      </c>
      <c r="C90" s="64">
        <v>20.74</v>
      </c>
      <c r="D90" s="64">
        <v>29.34</v>
      </c>
      <c r="E90" s="64">
        <v>2.7</v>
      </c>
      <c r="F90" s="64">
        <v>1.41</v>
      </c>
      <c r="G90" s="64">
        <v>52.74</v>
      </c>
      <c r="H90" s="64">
        <v>15.31</v>
      </c>
      <c r="I90" s="64">
        <v>0.12</v>
      </c>
      <c r="J90" s="64">
        <v>0.28000000000000003</v>
      </c>
      <c r="K90" s="64">
        <v>351.15</v>
      </c>
      <c r="L90" s="64">
        <v>21.36</v>
      </c>
      <c r="M90" s="64">
        <v>98.39</v>
      </c>
      <c r="N90" s="64">
        <v>7.8</v>
      </c>
      <c r="O90" s="64">
        <v>0</v>
      </c>
      <c r="P90" s="64">
        <v>1.01</v>
      </c>
      <c r="Q90" s="64">
        <v>17.09</v>
      </c>
      <c r="R90" s="198"/>
      <c r="S90" s="198"/>
      <c r="T90" s="198"/>
      <c r="U90" s="198"/>
    </row>
    <row r="91" spans="1:26" s="12" customFormat="1" x14ac:dyDescent="0.25">
      <c r="A91" s="214" t="s">
        <v>618</v>
      </c>
      <c r="B91" s="64">
        <v>8.57</v>
      </c>
      <c r="C91" s="64">
        <v>16.940000000000001</v>
      </c>
      <c r="D91" s="64">
        <v>25.52</v>
      </c>
      <c r="E91" s="64">
        <v>2.52</v>
      </c>
      <c r="F91" s="64">
        <v>1.72</v>
      </c>
      <c r="G91" s="64">
        <v>52.74</v>
      </c>
      <c r="H91" s="64">
        <v>15.31</v>
      </c>
      <c r="I91" s="64">
        <v>0.12</v>
      </c>
      <c r="J91" s="64">
        <v>0.75</v>
      </c>
      <c r="K91" s="64">
        <v>316.60000000000002</v>
      </c>
      <c r="L91" s="64">
        <v>21.18</v>
      </c>
      <c r="M91" s="64">
        <v>98.39</v>
      </c>
      <c r="N91" s="64">
        <v>8.1999999999999993</v>
      </c>
      <c r="O91" s="64">
        <v>0</v>
      </c>
      <c r="P91" s="64">
        <v>0.98</v>
      </c>
      <c r="Q91" s="64">
        <v>17.27</v>
      </c>
      <c r="R91" s="198"/>
      <c r="S91" s="198"/>
      <c r="T91" s="198"/>
      <c r="U91" s="198"/>
    </row>
    <row r="92" spans="1:26" s="12" customFormat="1" x14ac:dyDescent="0.25">
      <c r="A92" s="214" t="s">
        <v>619</v>
      </c>
      <c r="B92" s="64">
        <v>8.77</v>
      </c>
      <c r="C92" s="64">
        <v>17.190000000000001</v>
      </c>
      <c r="D92" s="64">
        <v>25.96</v>
      </c>
      <c r="E92" s="64">
        <v>2.09</v>
      </c>
      <c r="F92" s="64">
        <v>1.4</v>
      </c>
      <c r="G92" s="64">
        <v>45.55</v>
      </c>
      <c r="H92" s="64">
        <v>12.6</v>
      </c>
      <c r="I92" s="64">
        <v>0.12</v>
      </c>
      <c r="J92" s="64">
        <v>1.04</v>
      </c>
      <c r="K92" s="64">
        <v>341.9</v>
      </c>
      <c r="L92" s="64">
        <v>21.21</v>
      </c>
      <c r="M92" s="64">
        <v>98.38</v>
      </c>
      <c r="N92" s="64">
        <v>7.7</v>
      </c>
      <c r="O92" s="64">
        <v>0</v>
      </c>
      <c r="P92" s="64">
        <v>0.96</v>
      </c>
      <c r="Q92" s="64">
        <v>16.61</v>
      </c>
      <c r="R92" s="198"/>
      <c r="S92" s="198"/>
      <c r="T92" s="198"/>
      <c r="U92" s="198"/>
    </row>
    <row r="93" spans="1:26" s="12" customFormat="1" x14ac:dyDescent="0.25">
      <c r="A93" s="214" t="s">
        <v>620</v>
      </c>
      <c r="B93" s="64">
        <v>9.1199999999999992</v>
      </c>
      <c r="C93" s="64">
        <v>17.96</v>
      </c>
      <c r="D93" s="64">
        <v>27.08</v>
      </c>
      <c r="E93" s="64">
        <v>1.27</v>
      </c>
      <c r="F93" s="64">
        <v>1.7</v>
      </c>
      <c r="G93" s="64">
        <v>39.26</v>
      </c>
      <c r="H93" s="64">
        <v>11.52</v>
      </c>
      <c r="I93" s="64">
        <v>0.12</v>
      </c>
      <c r="J93" s="64">
        <v>1.48</v>
      </c>
      <c r="K93" s="64">
        <v>335.11</v>
      </c>
      <c r="L93" s="64">
        <v>21.22</v>
      </c>
      <c r="M93" s="64">
        <v>98.38</v>
      </c>
      <c r="N93" s="64">
        <v>7.7</v>
      </c>
      <c r="O93" s="64">
        <v>0</v>
      </c>
      <c r="P93" s="64">
        <v>0.96</v>
      </c>
      <c r="Q93" s="64">
        <v>15.42</v>
      </c>
      <c r="R93" s="198"/>
      <c r="S93" s="198"/>
      <c r="T93" s="198"/>
      <c r="U93" s="198"/>
    </row>
    <row r="94" spans="1:26" s="12" customFormat="1" x14ac:dyDescent="0.25">
      <c r="A94" s="214" t="s">
        <v>621</v>
      </c>
      <c r="B94" s="64">
        <v>9.14</v>
      </c>
      <c r="C94" s="64">
        <v>16.75</v>
      </c>
      <c r="D94" s="64">
        <v>25.89</v>
      </c>
      <c r="E94" s="64">
        <v>1.81</v>
      </c>
      <c r="F94" s="64">
        <v>1.57</v>
      </c>
      <c r="G94" s="64">
        <v>39.26</v>
      </c>
      <c r="H94" s="64">
        <v>11.52</v>
      </c>
      <c r="I94" s="64">
        <v>0.13</v>
      </c>
      <c r="J94" s="64">
        <v>2.04</v>
      </c>
      <c r="K94" s="64">
        <v>337.15</v>
      </c>
      <c r="L94" s="64">
        <v>21.21</v>
      </c>
      <c r="M94" s="64">
        <v>98.37</v>
      </c>
      <c r="N94" s="64">
        <v>7.5</v>
      </c>
      <c r="O94" s="64">
        <v>0.4</v>
      </c>
      <c r="P94" s="64">
        <v>0.93</v>
      </c>
      <c r="Q94" s="64">
        <v>15.48</v>
      </c>
      <c r="R94" s="198"/>
      <c r="S94" s="198"/>
      <c r="T94" s="198"/>
      <c r="U94" s="198"/>
    </row>
    <row r="95" spans="1:26" s="12" customFormat="1" x14ac:dyDescent="0.25">
      <c r="A95" s="214" t="s">
        <v>622</v>
      </c>
      <c r="B95" s="64">
        <v>7.97</v>
      </c>
      <c r="C95" s="64">
        <v>17</v>
      </c>
      <c r="D95" s="64">
        <v>24.97</v>
      </c>
      <c r="E95" s="64">
        <v>2.0499999999999998</v>
      </c>
      <c r="F95" s="64">
        <v>1.62</v>
      </c>
      <c r="G95" s="64">
        <v>39.26</v>
      </c>
      <c r="H95" s="64">
        <v>11.52</v>
      </c>
      <c r="I95" s="64">
        <v>0.12</v>
      </c>
      <c r="J95" s="64">
        <v>2.17</v>
      </c>
      <c r="K95" s="64">
        <v>340.31</v>
      </c>
      <c r="L95" s="64">
        <v>21.02</v>
      </c>
      <c r="M95" s="64">
        <v>98.35</v>
      </c>
      <c r="N95" s="64">
        <v>8.1999999999999993</v>
      </c>
      <c r="O95" s="64">
        <v>0.2</v>
      </c>
      <c r="P95" s="64">
        <v>0.87</v>
      </c>
      <c r="Q95" s="64">
        <v>15.04</v>
      </c>
      <c r="R95" s="198"/>
      <c r="S95" s="198"/>
      <c r="T95" s="198"/>
      <c r="U95" s="198"/>
    </row>
    <row r="96" spans="1:26" s="12" customFormat="1" x14ac:dyDescent="0.25">
      <c r="A96" s="214" t="s">
        <v>623</v>
      </c>
      <c r="B96" s="64">
        <v>6.84</v>
      </c>
      <c r="C96" s="64">
        <v>16.87</v>
      </c>
      <c r="D96" s="64">
        <v>23.7</v>
      </c>
      <c r="E96" s="64">
        <v>2.2599999999999998</v>
      </c>
      <c r="F96" s="64">
        <v>2.17</v>
      </c>
      <c r="G96" s="64">
        <v>38.39</v>
      </c>
      <c r="H96" s="64">
        <v>11.84</v>
      </c>
      <c r="I96" s="64">
        <v>0.13</v>
      </c>
      <c r="J96" s="64">
        <v>1.3</v>
      </c>
      <c r="K96" s="64">
        <v>336.88</v>
      </c>
      <c r="L96" s="64">
        <v>20.68</v>
      </c>
      <c r="M96" s="64">
        <v>98.37</v>
      </c>
      <c r="N96" s="64">
        <v>7.6</v>
      </c>
      <c r="O96" s="64">
        <v>0.6</v>
      </c>
      <c r="P96" s="64">
        <v>0.81</v>
      </c>
      <c r="Q96" s="64">
        <v>14.53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624</v>
      </c>
      <c r="B97" s="64">
        <v>6.26</v>
      </c>
      <c r="C97" s="64">
        <v>17.149999999999999</v>
      </c>
      <c r="D97" s="64">
        <v>23.41</v>
      </c>
      <c r="E97" s="64">
        <v>2.27</v>
      </c>
      <c r="F97" s="64">
        <v>1.28</v>
      </c>
      <c r="G97" s="64">
        <v>37.619999999999997</v>
      </c>
      <c r="H97" s="64">
        <v>11.97</v>
      </c>
      <c r="I97" s="64">
        <v>0.13</v>
      </c>
      <c r="J97" s="64">
        <v>0.66</v>
      </c>
      <c r="K97" s="64">
        <v>334.37</v>
      </c>
      <c r="L97" s="64">
        <v>20.77</v>
      </c>
      <c r="M97" s="64">
        <v>98.38</v>
      </c>
      <c r="N97" s="64">
        <v>7</v>
      </c>
      <c r="O97" s="64">
        <v>0</v>
      </c>
      <c r="P97" s="64">
        <v>0.79</v>
      </c>
      <c r="Q97" s="64">
        <v>14.16</v>
      </c>
      <c r="R97" s="198"/>
      <c r="S97" s="198"/>
      <c r="T97" s="198"/>
      <c r="U97" s="198"/>
    </row>
    <row r="98" spans="1:33" s="12" customFormat="1" x14ac:dyDescent="0.25">
      <c r="A98" s="214" t="s">
        <v>625</v>
      </c>
      <c r="B98" s="64">
        <v>6.04</v>
      </c>
      <c r="C98" s="64">
        <v>15.81</v>
      </c>
      <c r="D98" s="64">
        <v>21.85</v>
      </c>
      <c r="E98" s="64">
        <v>1.88</v>
      </c>
      <c r="F98" s="64">
        <v>1.41</v>
      </c>
      <c r="G98" s="64">
        <v>37.619999999999997</v>
      </c>
      <c r="H98" s="64">
        <v>11.97</v>
      </c>
      <c r="I98" s="64">
        <v>0.12</v>
      </c>
      <c r="J98" s="64">
        <v>0.97</v>
      </c>
      <c r="K98" s="64">
        <v>344.56</v>
      </c>
      <c r="L98" s="64">
        <v>20.84</v>
      </c>
      <c r="M98" s="64">
        <v>98.38</v>
      </c>
      <c r="N98" s="64">
        <v>7.6</v>
      </c>
      <c r="O98" s="64">
        <v>0</v>
      </c>
      <c r="P98" s="64">
        <v>0.77</v>
      </c>
      <c r="Q98" s="64">
        <v>13.57</v>
      </c>
      <c r="R98" s="198"/>
      <c r="S98" s="198"/>
      <c r="T98" s="198"/>
      <c r="U98" s="198"/>
    </row>
    <row r="99" spans="1:33" s="12" customFormat="1" x14ac:dyDescent="0.25">
      <c r="A99" s="214" t="s">
        <v>626</v>
      </c>
      <c r="B99" s="64">
        <v>6.15</v>
      </c>
      <c r="C99" s="64">
        <v>16.600000000000001</v>
      </c>
      <c r="D99" s="64">
        <v>22.75</v>
      </c>
      <c r="E99" s="64">
        <v>1.82</v>
      </c>
      <c r="F99" s="64">
        <v>2.56</v>
      </c>
      <c r="G99" s="64">
        <v>37.619999999999997</v>
      </c>
      <c r="H99" s="64">
        <v>11.97</v>
      </c>
      <c r="I99" s="64">
        <v>0.12</v>
      </c>
      <c r="J99" s="64">
        <v>0.76</v>
      </c>
      <c r="K99" s="64">
        <v>347.79</v>
      </c>
      <c r="L99" s="64">
        <v>20.78</v>
      </c>
      <c r="M99" s="64">
        <v>98.38</v>
      </c>
      <c r="N99" s="64">
        <v>7.7</v>
      </c>
      <c r="O99" s="64">
        <v>0.2</v>
      </c>
      <c r="P99" s="64">
        <v>0.74</v>
      </c>
      <c r="Q99" s="64">
        <v>14.57</v>
      </c>
      <c r="R99" s="198"/>
      <c r="S99" s="198"/>
      <c r="T99" s="198"/>
      <c r="U99" s="198"/>
    </row>
    <row r="100" spans="1:33" s="12" customFormat="1" x14ac:dyDescent="0.25">
      <c r="A100" s="214" t="s">
        <v>627</v>
      </c>
      <c r="B100" s="64">
        <v>6.32</v>
      </c>
      <c r="C100" s="64">
        <v>22.95</v>
      </c>
      <c r="D100" s="64">
        <v>29.27</v>
      </c>
      <c r="E100" s="64">
        <v>1.87</v>
      </c>
      <c r="F100" s="64">
        <v>4.4800000000000004</v>
      </c>
      <c r="G100" s="64">
        <v>32.090000000000003</v>
      </c>
      <c r="H100" s="64">
        <v>12.46</v>
      </c>
      <c r="I100" s="64">
        <v>0.12</v>
      </c>
      <c r="J100" s="64">
        <v>0.28999999999999998</v>
      </c>
      <c r="K100" s="64">
        <v>346.64</v>
      </c>
      <c r="L100" s="64">
        <v>20.86</v>
      </c>
      <c r="M100" s="64">
        <v>98.38</v>
      </c>
      <c r="N100" s="64">
        <v>7.3</v>
      </c>
      <c r="O100" s="64">
        <v>0</v>
      </c>
      <c r="P100" s="64">
        <v>0.74</v>
      </c>
      <c r="Q100" s="64">
        <v>15.02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628</v>
      </c>
      <c r="B101" s="64">
        <v>8.67</v>
      </c>
      <c r="C101" s="64">
        <v>20.63</v>
      </c>
      <c r="D101" s="64">
        <v>29.3</v>
      </c>
      <c r="E101" s="64">
        <v>1.91</v>
      </c>
      <c r="F101" s="64">
        <v>2.7</v>
      </c>
      <c r="G101" s="64">
        <v>27.24</v>
      </c>
      <c r="H101" s="64">
        <v>12.65</v>
      </c>
      <c r="I101" s="64">
        <v>0.12</v>
      </c>
      <c r="J101" s="64">
        <v>0.22</v>
      </c>
      <c r="K101" s="64">
        <v>4.34</v>
      </c>
      <c r="L101" s="64">
        <v>20.85</v>
      </c>
      <c r="M101" s="64">
        <v>98.37</v>
      </c>
      <c r="N101" s="64">
        <v>7.6</v>
      </c>
      <c r="O101" s="64">
        <v>0</v>
      </c>
      <c r="P101" s="64">
        <v>0.74</v>
      </c>
      <c r="Q101" s="64">
        <v>15.11</v>
      </c>
      <c r="R101" s="198"/>
      <c r="S101" s="198"/>
      <c r="T101" s="198"/>
      <c r="U101" s="198"/>
    </row>
    <row r="102" spans="1:33" s="12" customFormat="1" x14ac:dyDescent="0.25">
      <c r="A102" s="214" t="s">
        <v>629</v>
      </c>
      <c r="B102" s="64">
        <v>7.24</v>
      </c>
      <c r="C102" s="64">
        <v>21.45</v>
      </c>
      <c r="D102" s="64">
        <v>28.68</v>
      </c>
      <c r="E102" s="64">
        <v>2.4700000000000002</v>
      </c>
      <c r="F102" s="64">
        <v>3.09</v>
      </c>
      <c r="G102" s="64">
        <v>27.24</v>
      </c>
      <c r="H102" s="64">
        <v>12.65</v>
      </c>
      <c r="I102" s="64">
        <v>0.13</v>
      </c>
      <c r="J102" s="64">
        <v>0.21</v>
      </c>
      <c r="K102" s="64">
        <v>100.21</v>
      </c>
      <c r="L102" s="64">
        <v>20.77</v>
      </c>
      <c r="M102" s="64">
        <v>98.36</v>
      </c>
      <c r="N102" s="64">
        <v>7.7</v>
      </c>
      <c r="O102" s="64">
        <v>0</v>
      </c>
      <c r="P102" s="64">
        <v>0.7</v>
      </c>
      <c r="Q102" s="64">
        <v>15.59</v>
      </c>
      <c r="R102" s="198"/>
      <c r="S102" s="198"/>
      <c r="T102" s="198"/>
      <c r="U102" s="198"/>
    </row>
    <row r="103" spans="1:33" s="12" customFormat="1" x14ac:dyDescent="0.25">
      <c r="A103" s="214" t="s">
        <v>630</v>
      </c>
      <c r="B103" s="64">
        <v>7.09</v>
      </c>
      <c r="C103" s="64">
        <v>19.03</v>
      </c>
      <c r="D103" s="64">
        <v>26.13</v>
      </c>
      <c r="E103" s="64">
        <v>2.14</v>
      </c>
      <c r="F103" s="64">
        <v>2.16</v>
      </c>
      <c r="G103" s="64">
        <v>27.24</v>
      </c>
      <c r="H103" s="64">
        <v>12.65</v>
      </c>
      <c r="I103" s="64">
        <v>0.12</v>
      </c>
      <c r="J103" s="64">
        <v>0.32</v>
      </c>
      <c r="K103" s="64">
        <v>88.56</v>
      </c>
      <c r="L103" s="64">
        <v>20.69</v>
      </c>
      <c r="M103" s="64">
        <v>98.35</v>
      </c>
      <c r="N103" s="64">
        <v>8</v>
      </c>
      <c r="O103" s="64">
        <v>0</v>
      </c>
      <c r="P103" s="64">
        <v>0.72</v>
      </c>
      <c r="Q103" s="64">
        <v>16.059999999999999</v>
      </c>
      <c r="R103" s="198"/>
      <c r="S103" s="198"/>
      <c r="T103" s="198"/>
      <c r="U103" s="198"/>
    </row>
    <row r="104" spans="1:33" s="12" customFormat="1" x14ac:dyDescent="0.25">
      <c r="A104" s="214" t="s">
        <v>631</v>
      </c>
      <c r="B104" s="64">
        <v>7.23</v>
      </c>
      <c r="C104" s="64">
        <v>16.82</v>
      </c>
      <c r="D104" s="64">
        <v>24.06</v>
      </c>
      <c r="E104" s="64">
        <v>1.07</v>
      </c>
      <c r="F104" s="64">
        <v>2.31</v>
      </c>
      <c r="G104" s="64">
        <v>35.39</v>
      </c>
      <c r="H104" s="64">
        <v>13.9</v>
      </c>
      <c r="I104" s="64">
        <v>0.12</v>
      </c>
      <c r="J104" s="64">
        <v>0.3</v>
      </c>
      <c r="K104" s="64">
        <v>94.82</v>
      </c>
      <c r="L104" s="64">
        <v>20.73</v>
      </c>
      <c r="M104" s="64">
        <v>98.35</v>
      </c>
      <c r="N104" s="64">
        <v>7.9</v>
      </c>
      <c r="O104" s="64">
        <v>0</v>
      </c>
      <c r="P104" s="64">
        <v>0.7</v>
      </c>
      <c r="Q104" s="64">
        <v>16.16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3.33</v>
      </c>
      <c r="C106" s="67">
        <f>MIN(C9:C104)</f>
        <v>8.4600000000000009</v>
      </c>
      <c r="D106" s="67">
        <f t="shared" ref="D106:Q106" si="0">MIN(D9:D104)</f>
        <v>11.83</v>
      </c>
      <c r="E106" s="67">
        <f t="shared" si="0"/>
        <v>0.39</v>
      </c>
      <c r="F106" s="67">
        <f t="shared" si="0"/>
        <v>0.47</v>
      </c>
      <c r="G106" s="67">
        <f t="shared" si="0"/>
        <v>8.93</v>
      </c>
      <c r="H106" s="67">
        <f t="shared" si="0"/>
        <v>2.19</v>
      </c>
      <c r="I106" s="67">
        <f t="shared" si="0"/>
        <v>0.11</v>
      </c>
      <c r="J106" s="67">
        <f t="shared" si="0"/>
        <v>0</v>
      </c>
      <c r="K106" s="67">
        <f t="shared" si="0"/>
        <v>4.34</v>
      </c>
      <c r="L106" s="67">
        <f t="shared" si="0"/>
        <v>20.18</v>
      </c>
      <c r="M106" s="67">
        <f t="shared" si="0"/>
        <v>76.81</v>
      </c>
      <c r="N106" s="67">
        <f t="shared" si="0"/>
        <v>6.9</v>
      </c>
      <c r="O106" s="67">
        <f t="shared" si="0"/>
        <v>0</v>
      </c>
      <c r="P106" s="67">
        <f t="shared" si="0"/>
        <v>0.34</v>
      </c>
      <c r="Q106" s="67">
        <f t="shared" si="0"/>
        <v>8.92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20.05</v>
      </c>
      <c r="C107" s="66">
        <f t="shared" ref="C107:Q107" si="1">MAX(C9:C104)</f>
        <v>34.68</v>
      </c>
      <c r="D107" s="66">
        <f t="shared" si="1"/>
        <v>46.94</v>
      </c>
      <c r="E107" s="66">
        <f t="shared" si="1"/>
        <v>3.06</v>
      </c>
      <c r="F107" s="66">
        <f t="shared" si="1"/>
        <v>13.58</v>
      </c>
      <c r="G107" s="66">
        <f t="shared" si="1"/>
        <v>75.5</v>
      </c>
      <c r="H107" s="66">
        <f t="shared" si="1"/>
        <v>23.26</v>
      </c>
      <c r="I107" s="66">
        <f t="shared" si="1"/>
        <v>0.14000000000000001</v>
      </c>
      <c r="J107" s="66">
        <f t="shared" si="1"/>
        <v>2.17</v>
      </c>
      <c r="K107" s="66">
        <f t="shared" si="1"/>
        <v>359.9</v>
      </c>
      <c r="L107" s="66">
        <f t="shared" si="1"/>
        <v>28.38</v>
      </c>
      <c r="M107" s="66">
        <f t="shared" si="1"/>
        <v>98.39</v>
      </c>
      <c r="N107" s="66">
        <f t="shared" si="1"/>
        <v>568.9</v>
      </c>
      <c r="O107" s="66">
        <f t="shared" si="1"/>
        <v>3.8</v>
      </c>
      <c r="P107" s="66">
        <f t="shared" si="1"/>
        <v>1.35</v>
      </c>
      <c r="Q107" s="66">
        <f t="shared" si="1"/>
        <v>18.809999999999999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7.6188541666666687</v>
      </c>
      <c r="C108" s="67">
        <f t="shared" ref="C108:Q108" si="2">AVERAGE(C9:C104)</f>
        <v>17.493541666666665</v>
      </c>
      <c r="D108" s="67">
        <f t="shared" si="2"/>
        <v>25.11333333333333</v>
      </c>
      <c r="E108" s="67">
        <f t="shared" si="2"/>
        <v>1.7492708333333333</v>
      </c>
      <c r="F108" s="67">
        <f t="shared" si="2"/>
        <v>3.2313541666666663</v>
      </c>
      <c r="G108" s="67">
        <f t="shared" si="2"/>
        <v>37.884166666666665</v>
      </c>
      <c r="H108" s="67">
        <f t="shared" si="2"/>
        <v>12.217083333333333</v>
      </c>
      <c r="I108" s="67">
        <f t="shared" si="2"/>
        <v>0.12197916666666653</v>
      </c>
      <c r="J108" s="67">
        <f t="shared" si="2"/>
        <v>0.37770833333333326</v>
      </c>
      <c r="K108" s="67">
        <f t="shared" si="2"/>
        <v>201.04354166666675</v>
      </c>
      <c r="L108" s="67">
        <f t="shared" si="2"/>
        <v>22.872812500000006</v>
      </c>
      <c r="M108" s="67">
        <f t="shared" si="2"/>
        <v>94.962500000000034</v>
      </c>
      <c r="N108" s="67">
        <f t="shared" si="2"/>
        <v>107.42604166666672</v>
      </c>
      <c r="O108" s="67">
        <f t="shared" si="2"/>
        <v>0.13958333333333331</v>
      </c>
      <c r="P108" s="67">
        <f t="shared" si="2"/>
        <v>0.76218750000000002</v>
      </c>
      <c r="Q108" s="67">
        <f t="shared" si="2"/>
        <v>14.549270833333329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3.9729397493786602</v>
      </c>
      <c r="C109" s="67">
        <f t="shared" ref="C109:Q109" si="3">STDEV(C9:C104)</f>
        <v>5.6335095127127097</v>
      </c>
      <c r="D109" s="67">
        <f t="shared" si="3"/>
        <v>7.9277618354298856</v>
      </c>
      <c r="E109" s="67">
        <f t="shared" si="3"/>
        <v>0.46418291492554065</v>
      </c>
      <c r="F109" s="67">
        <f t="shared" si="3"/>
        <v>2.7962221204564259</v>
      </c>
      <c r="G109" s="67">
        <f t="shared" si="3"/>
        <v>20.245648092038596</v>
      </c>
      <c r="H109" s="67">
        <f t="shared" si="3"/>
        <v>6.2098019150824362</v>
      </c>
      <c r="I109" s="67">
        <f t="shared" si="3"/>
        <v>6.5886332208811241E-3</v>
      </c>
      <c r="J109" s="67">
        <f t="shared" si="3"/>
        <v>0.46596697232555628</v>
      </c>
      <c r="K109" s="67">
        <f t="shared" si="3"/>
        <v>137.39349153342584</v>
      </c>
      <c r="L109" s="67">
        <f t="shared" si="3"/>
        <v>2.3715558753140713</v>
      </c>
      <c r="M109" s="67">
        <f t="shared" si="3"/>
        <v>5.7774603781464933</v>
      </c>
      <c r="N109" s="67">
        <f t="shared" si="3"/>
        <v>143.35843869919873</v>
      </c>
      <c r="O109" s="67">
        <f t="shared" si="3"/>
        <v>0.50272503034994265</v>
      </c>
      <c r="P109" s="67">
        <f t="shared" si="3"/>
        <v>0.26867786669659188</v>
      </c>
      <c r="Q109" s="67">
        <f t="shared" si="3"/>
        <v>2.1494896553621468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39" sqref="H13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632</v>
      </c>
      <c r="B9" s="64">
        <v>6.95</v>
      </c>
      <c r="C9" s="64">
        <v>14.85</v>
      </c>
      <c r="D9" s="64">
        <v>21.8</v>
      </c>
      <c r="E9" s="64">
        <v>1.24</v>
      </c>
      <c r="F9" s="64">
        <v>2.59</v>
      </c>
      <c r="G9" s="64">
        <v>42.52</v>
      </c>
      <c r="H9" s="64">
        <v>14.89</v>
      </c>
      <c r="I9" s="64">
        <v>0.13</v>
      </c>
      <c r="J9" s="64">
        <v>7.0000000000000007E-2</v>
      </c>
      <c r="K9" s="64">
        <v>37.15</v>
      </c>
      <c r="L9" s="64">
        <v>20.68</v>
      </c>
      <c r="M9" s="64">
        <v>98.35</v>
      </c>
      <c r="N9" s="64">
        <v>8.3000000000000007</v>
      </c>
      <c r="O9" s="64">
        <v>0</v>
      </c>
      <c r="P9" s="64">
        <v>0.7</v>
      </c>
      <c r="Q9" s="64">
        <v>15.11</v>
      </c>
      <c r="R9" s="198"/>
      <c r="S9" s="198"/>
      <c r="T9" s="198"/>
      <c r="U9" s="198"/>
    </row>
    <row r="10" spans="1:21" s="12" customFormat="1" x14ac:dyDescent="0.25">
      <c r="A10" s="214" t="s">
        <v>633</v>
      </c>
      <c r="B10" s="64">
        <v>6.97</v>
      </c>
      <c r="C10" s="64">
        <v>12.6</v>
      </c>
      <c r="D10" s="64">
        <v>19.559999999999999</v>
      </c>
      <c r="E10" s="64">
        <v>1.4</v>
      </c>
      <c r="F10" s="64">
        <v>1.17</v>
      </c>
      <c r="G10" s="64">
        <v>42.52</v>
      </c>
      <c r="H10" s="64">
        <v>14.89</v>
      </c>
      <c r="I10" s="64">
        <v>0.12</v>
      </c>
      <c r="J10" s="64">
        <v>0.18</v>
      </c>
      <c r="K10" s="64">
        <v>85.68</v>
      </c>
      <c r="L10" s="64">
        <v>20.58</v>
      </c>
      <c r="M10" s="64">
        <v>98.35</v>
      </c>
      <c r="N10" s="64">
        <v>8.1</v>
      </c>
      <c r="O10" s="64">
        <v>0</v>
      </c>
      <c r="P10" s="64">
        <v>0.69</v>
      </c>
      <c r="Q10" s="64">
        <v>15.38</v>
      </c>
      <c r="R10" s="198"/>
      <c r="S10" s="198"/>
      <c r="T10" s="198"/>
      <c r="U10" s="198"/>
    </row>
    <row r="11" spans="1:21" s="12" customFormat="1" x14ac:dyDescent="0.25">
      <c r="A11" s="214" t="s">
        <v>634</v>
      </c>
      <c r="B11" s="64">
        <v>6.53</v>
      </c>
      <c r="C11" s="64">
        <v>12.74</v>
      </c>
      <c r="D11" s="64">
        <v>19.27</v>
      </c>
      <c r="E11" s="64">
        <v>1.08</v>
      </c>
      <c r="F11" s="64">
        <v>2.79</v>
      </c>
      <c r="G11" s="64">
        <v>42.52</v>
      </c>
      <c r="H11" s="64">
        <v>14.89</v>
      </c>
      <c r="I11" s="64">
        <v>0.13</v>
      </c>
      <c r="J11" s="64">
        <v>0.2</v>
      </c>
      <c r="K11" s="64">
        <v>350.15</v>
      </c>
      <c r="L11" s="64">
        <v>20.66</v>
      </c>
      <c r="M11" s="64">
        <v>98.36</v>
      </c>
      <c r="N11" s="64">
        <v>7.6</v>
      </c>
      <c r="O11" s="64">
        <v>0</v>
      </c>
      <c r="P11" s="64">
        <v>0.63</v>
      </c>
      <c r="Q11" s="64">
        <v>15.49</v>
      </c>
      <c r="R11" s="198"/>
      <c r="S11" s="198"/>
      <c r="T11" s="198"/>
      <c r="U11" s="198"/>
    </row>
    <row r="12" spans="1:21" s="12" customFormat="1" x14ac:dyDescent="0.25">
      <c r="A12" s="214" t="s">
        <v>635</v>
      </c>
      <c r="B12" s="64">
        <v>6.35</v>
      </c>
      <c r="C12" s="64">
        <v>11.77</v>
      </c>
      <c r="D12" s="64">
        <v>18.12</v>
      </c>
      <c r="E12" s="64">
        <v>1.2</v>
      </c>
      <c r="F12" s="64">
        <v>1.3</v>
      </c>
      <c r="G12" s="64">
        <v>31.98</v>
      </c>
      <c r="H12" s="64">
        <v>13.43</v>
      </c>
      <c r="I12" s="64">
        <v>0.13</v>
      </c>
      <c r="J12" s="64">
        <v>0.08</v>
      </c>
      <c r="K12" s="64">
        <v>314.13</v>
      </c>
      <c r="L12" s="64">
        <v>20.67</v>
      </c>
      <c r="M12" s="64">
        <v>98.36</v>
      </c>
      <c r="N12" s="64">
        <v>7.6</v>
      </c>
      <c r="O12" s="64">
        <v>0</v>
      </c>
      <c r="P12" s="64">
        <v>0.67</v>
      </c>
      <c r="Q12" s="64">
        <v>15.13</v>
      </c>
      <c r="R12" s="198"/>
      <c r="S12" s="198"/>
      <c r="T12" s="198"/>
      <c r="U12" s="198"/>
    </row>
    <row r="13" spans="1:21" s="12" customFormat="1" x14ac:dyDescent="0.25">
      <c r="A13" s="214" t="s">
        <v>636</v>
      </c>
      <c r="B13" s="64">
        <v>6.2</v>
      </c>
      <c r="C13" s="64">
        <v>11.93</v>
      </c>
      <c r="D13" s="64">
        <v>18.13</v>
      </c>
      <c r="E13" s="64">
        <v>1.29</v>
      </c>
      <c r="F13" s="64">
        <v>0.96</v>
      </c>
      <c r="G13" s="64">
        <v>22.75</v>
      </c>
      <c r="H13" s="64">
        <v>12.86</v>
      </c>
      <c r="I13" s="64">
        <v>0.12</v>
      </c>
      <c r="J13" s="64">
        <v>0.25</v>
      </c>
      <c r="K13" s="64">
        <v>332.68</v>
      </c>
      <c r="L13" s="64">
        <v>20.76</v>
      </c>
      <c r="M13" s="64">
        <v>98.4</v>
      </c>
      <c r="N13" s="64">
        <v>7.6</v>
      </c>
      <c r="O13" s="64">
        <v>0</v>
      </c>
      <c r="P13" s="64">
        <v>0.61</v>
      </c>
      <c r="Q13" s="64">
        <v>15.62</v>
      </c>
      <c r="R13" s="198"/>
      <c r="S13" s="198"/>
      <c r="T13" s="198"/>
      <c r="U13" s="198"/>
    </row>
    <row r="14" spans="1:21" s="12" customFormat="1" x14ac:dyDescent="0.25">
      <c r="A14" s="214" t="s">
        <v>637</v>
      </c>
      <c r="B14" s="64">
        <v>5.85</v>
      </c>
      <c r="C14" s="64">
        <v>11.15</v>
      </c>
      <c r="D14" s="64">
        <v>17</v>
      </c>
      <c r="E14" s="64">
        <v>1.03</v>
      </c>
      <c r="F14" s="64">
        <v>3.59</v>
      </c>
      <c r="G14" s="64">
        <v>22.75</v>
      </c>
      <c r="H14" s="64">
        <v>12.86</v>
      </c>
      <c r="I14" s="64">
        <v>0.13</v>
      </c>
      <c r="J14" s="64">
        <v>0.09</v>
      </c>
      <c r="K14" s="64">
        <v>262.38</v>
      </c>
      <c r="L14" s="64">
        <v>20.72</v>
      </c>
      <c r="M14" s="64">
        <v>98.39</v>
      </c>
      <c r="N14" s="64">
        <v>7.6</v>
      </c>
      <c r="O14" s="64">
        <v>0</v>
      </c>
      <c r="P14" s="64">
        <v>0.59</v>
      </c>
      <c r="Q14" s="64">
        <v>15.34</v>
      </c>
      <c r="R14" s="198"/>
      <c r="S14" s="198"/>
      <c r="T14" s="198"/>
      <c r="U14" s="198"/>
    </row>
    <row r="15" spans="1:21" s="12" customFormat="1" x14ac:dyDescent="0.25">
      <c r="A15" s="214" t="s">
        <v>638</v>
      </c>
      <c r="B15" s="64">
        <v>6.25</v>
      </c>
      <c r="C15" s="64">
        <v>13.27</v>
      </c>
      <c r="D15" s="64">
        <v>19.510000000000002</v>
      </c>
      <c r="E15" s="64">
        <v>1.57</v>
      </c>
      <c r="F15" s="64">
        <v>5.44</v>
      </c>
      <c r="G15" s="64">
        <v>22.75</v>
      </c>
      <c r="H15" s="64">
        <v>12.86</v>
      </c>
      <c r="I15" s="64">
        <v>0.13</v>
      </c>
      <c r="J15" s="64">
        <v>0.16</v>
      </c>
      <c r="K15" s="64">
        <v>313.73</v>
      </c>
      <c r="L15" s="64">
        <v>20.72</v>
      </c>
      <c r="M15" s="64">
        <v>98.4</v>
      </c>
      <c r="N15" s="64">
        <v>7.4</v>
      </c>
      <c r="O15" s="64">
        <v>0</v>
      </c>
      <c r="P15" s="64">
        <v>0.51</v>
      </c>
      <c r="Q15" s="64">
        <v>16.23</v>
      </c>
      <c r="R15" s="198"/>
      <c r="S15" s="198"/>
      <c r="T15" s="198"/>
      <c r="U15" s="198"/>
    </row>
    <row r="16" spans="1:21" s="12" customFormat="1" x14ac:dyDescent="0.25">
      <c r="A16" s="214" t="s">
        <v>639</v>
      </c>
      <c r="B16" s="64">
        <v>5.73</v>
      </c>
      <c r="C16" s="64">
        <v>13.6</v>
      </c>
      <c r="D16" s="64">
        <v>19.329999999999998</v>
      </c>
      <c r="E16" s="64">
        <v>1.44</v>
      </c>
      <c r="F16" s="64">
        <v>4.93</v>
      </c>
      <c r="G16" s="64">
        <v>20.57</v>
      </c>
      <c r="H16" s="64">
        <v>10.36</v>
      </c>
      <c r="I16" s="64">
        <v>0.12</v>
      </c>
      <c r="J16" s="64">
        <v>0.65</v>
      </c>
      <c r="K16" s="64">
        <v>338.55</v>
      </c>
      <c r="L16" s="64">
        <v>20.88</v>
      </c>
      <c r="M16" s="64">
        <v>98.4</v>
      </c>
      <c r="N16" s="64">
        <v>7.6</v>
      </c>
      <c r="O16" s="64">
        <v>0</v>
      </c>
      <c r="P16" s="64">
        <v>0.49</v>
      </c>
      <c r="Q16" s="64">
        <v>16.41</v>
      </c>
      <c r="R16" s="198"/>
      <c r="S16" s="198"/>
      <c r="T16" s="198"/>
      <c r="U16" s="198"/>
    </row>
    <row r="17" spans="1:21" s="12" customFormat="1" x14ac:dyDescent="0.25">
      <c r="A17" s="214" t="s">
        <v>640</v>
      </c>
      <c r="B17" s="64">
        <v>5.96</v>
      </c>
      <c r="C17" s="64">
        <v>13.47</v>
      </c>
      <c r="D17" s="64">
        <v>19.43</v>
      </c>
      <c r="E17" s="64">
        <v>1.46</v>
      </c>
      <c r="F17" s="64">
        <v>4.74</v>
      </c>
      <c r="G17" s="64">
        <v>18.649999999999999</v>
      </c>
      <c r="H17" s="64">
        <v>9.35</v>
      </c>
      <c r="I17" s="64">
        <v>0.12</v>
      </c>
      <c r="J17" s="64">
        <v>0.41</v>
      </c>
      <c r="K17" s="64">
        <v>315.91000000000003</v>
      </c>
      <c r="L17" s="64">
        <v>20.85</v>
      </c>
      <c r="M17" s="64">
        <v>98.4</v>
      </c>
      <c r="N17" s="64">
        <v>7.6</v>
      </c>
      <c r="O17" s="64">
        <v>0.2</v>
      </c>
      <c r="P17" s="64">
        <v>0.52</v>
      </c>
      <c r="Q17" s="64">
        <v>16.579999999999998</v>
      </c>
      <c r="R17" s="198"/>
      <c r="S17" s="198"/>
      <c r="T17" s="198"/>
      <c r="U17" s="198"/>
    </row>
    <row r="18" spans="1:21" s="12" customFormat="1" x14ac:dyDescent="0.25">
      <c r="A18" s="214" t="s">
        <v>641</v>
      </c>
      <c r="B18" s="64">
        <v>6.03</v>
      </c>
      <c r="C18" s="64">
        <v>13.17</v>
      </c>
      <c r="D18" s="64">
        <v>19.2</v>
      </c>
      <c r="E18" s="64">
        <v>0.98</v>
      </c>
      <c r="F18" s="64">
        <v>3.59</v>
      </c>
      <c r="G18" s="64">
        <v>18.649999999999999</v>
      </c>
      <c r="H18" s="64">
        <v>9.35</v>
      </c>
      <c r="I18" s="64">
        <v>0.13</v>
      </c>
      <c r="J18" s="64">
        <v>0.48</v>
      </c>
      <c r="K18" s="64">
        <v>321.75</v>
      </c>
      <c r="L18" s="64">
        <v>20.81</v>
      </c>
      <c r="M18" s="64">
        <v>98.4</v>
      </c>
      <c r="N18" s="64">
        <v>7.5</v>
      </c>
      <c r="O18" s="64">
        <v>0</v>
      </c>
      <c r="P18" s="64">
        <v>0.52</v>
      </c>
      <c r="Q18" s="64">
        <v>16.690000000000001</v>
      </c>
      <c r="R18" s="198"/>
      <c r="S18" s="198"/>
      <c r="T18" s="198"/>
      <c r="U18" s="198"/>
    </row>
    <row r="19" spans="1:21" s="12" customFormat="1" x14ac:dyDescent="0.25">
      <c r="A19" s="214" t="s">
        <v>642</v>
      </c>
      <c r="B19" s="64">
        <v>6.58</v>
      </c>
      <c r="C19" s="64">
        <v>12.97</v>
      </c>
      <c r="D19" s="64">
        <v>19.55</v>
      </c>
      <c r="E19" s="64">
        <v>1.87</v>
      </c>
      <c r="F19" s="64">
        <v>1.48</v>
      </c>
      <c r="G19" s="64">
        <v>18.649999999999999</v>
      </c>
      <c r="H19" s="64">
        <v>9.35</v>
      </c>
      <c r="I19" s="64">
        <v>0.13</v>
      </c>
      <c r="J19" s="64">
        <v>0.44</v>
      </c>
      <c r="K19" s="64">
        <v>314.77999999999997</v>
      </c>
      <c r="L19" s="64">
        <v>20.81</v>
      </c>
      <c r="M19" s="64">
        <v>98.4</v>
      </c>
      <c r="N19" s="64">
        <v>7.4</v>
      </c>
      <c r="O19" s="64">
        <v>0</v>
      </c>
      <c r="P19" s="64">
        <v>0.54</v>
      </c>
      <c r="Q19" s="64">
        <v>16.600000000000001</v>
      </c>
      <c r="R19" s="198"/>
      <c r="S19" s="198"/>
      <c r="T19" s="198"/>
      <c r="U19" s="198"/>
    </row>
    <row r="20" spans="1:21" s="12" customFormat="1" x14ac:dyDescent="0.25">
      <c r="A20" s="214" t="s">
        <v>643</v>
      </c>
      <c r="B20" s="64">
        <v>6.31</v>
      </c>
      <c r="C20" s="64">
        <v>12.96</v>
      </c>
      <c r="D20" s="64">
        <v>19.27</v>
      </c>
      <c r="E20" s="64">
        <v>1.42</v>
      </c>
      <c r="F20" s="64">
        <v>0.79</v>
      </c>
      <c r="G20" s="64">
        <v>24.56</v>
      </c>
      <c r="H20" s="64">
        <v>10.78</v>
      </c>
      <c r="I20" s="64">
        <v>0.12</v>
      </c>
      <c r="J20" s="64">
        <v>0.57999999999999996</v>
      </c>
      <c r="K20" s="64">
        <v>314.66000000000003</v>
      </c>
      <c r="L20" s="64">
        <v>20.88</v>
      </c>
      <c r="M20" s="64">
        <v>98.4</v>
      </c>
      <c r="N20" s="64">
        <v>7.5</v>
      </c>
      <c r="O20" s="64">
        <v>0</v>
      </c>
      <c r="P20" s="64">
        <v>0.56000000000000005</v>
      </c>
      <c r="Q20" s="64">
        <v>16</v>
      </c>
      <c r="R20" s="198"/>
      <c r="S20" s="198"/>
      <c r="T20" s="198"/>
      <c r="U20" s="198"/>
    </row>
    <row r="21" spans="1:21" s="12" customFormat="1" x14ac:dyDescent="0.25">
      <c r="A21" s="214" t="s">
        <v>644</v>
      </c>
      <c r="B21" s="64">
        <v>6.19</v>
      </c>
      <c r="C21" s="64">
        <v>12.91</v>
      </c>
      <c r="D21" s="64">
        <v>19.100000000000001</v>
      </c>
      <c r="E21" s="64">
        <v>1.65</v>
      </c>
      <c r="F21" s="64">
        <v>0.88</v>
      </c>
      <c r="G21" s="64">
        <v>29.72</v>
      </c>
      <c r="H21" s="64">
        <v>11.36</v>
      </c>
      <c r="I21" s="64">
        <v>0.13</v>
      </c>
      <c r="J21" s="64">
        <v>0.46</v>
      </c>
      <c r="K21" s="64">
        <v>317.33999999999997</v>
      </c>
      <c r="L21" s="64">
        <v>20.86</v>
      </c>
      <c r="M21" s="64">
        <v>98.4</v>
      </c>
      <c r="N21" s="64">
        <v>7.6</v>
      </c>
      <c r="O21" s="64">
        <v>0</v>
      </c>
      <c r="P21" s="64">
        <v>0.56999999999999995</v>
      </c>
      <c r="Q21" s="64">
        <v>15.52</v>
      </c>
      <c r="R21" s="198"/>
      <c r="S21" s="198"/>
      <c r="T21" s="198"/>
      <c r="U21" s="198"/>
    </row>
    <row r="22" spans="1:21" s="12" customFormat="1" x14ac:dyDescent="0.25">
      <c r="A22" s="214" t="s">
        <v>645</v>
      </c>
      <c r="B22" s="64">
        <v>6</v>
      </c>
      <c r="C22" s="64">
        <v>12.71</v>
      </c>
      <c r="D22" s="64">
        <v>18.7</v>
      </c>
      <c r="E22" s="64">
        <v>1.55</v>
      </c>
      <c r="F22" s="64">
        <v>0.8</v>
      </c>
      <c r="G22" s="64">
        <v>29.72</v>
      </c>
      <c r="H22" s="64">
        <v>11.36</v>
      </c>
      <c r="I22" s="64">
        <v>0.13</v>
      </c>
      <c r="J22" s="64">
        <v>0.42</v>
      </c>
      <c r="K22" s="64">
        <v>317.29000000000002</v>
      </c>
      <c r="L22" s="64">
        <v>20.84</v>
      </c>
      <c r="M22" s="64">
        <v>98.4</v>
      </c>
      <c r="N22" s="64">
        <v>7.8</v>
      </c>
      <c r="O22" s="64">
        <v>0</v>
      </c>
      <c r="P22" s="64">
        <v>0.54</v>
      </c>
      <c r="Q22" s="64">
        <v>15.6</v>
      </c>
      <c r="R22" s="198"/>
      <c r="S22" s="198"/>
      <c r="T22" s="198"/>
      <c r="U22" s="198"/>
    </row>
    <row r="23" spans="1:21" s="12" customFormat="1" x14ac:dyDescent="0.25">
      <c r="A23" s="214" t="s">
        <v>646</v>
      </c>
      <c r="B23" s="64">
        <v>5.75</v>
      </c>
      <c r="C23" s="64">
        <v>11.9</v>
      </c>
      <c r="D23" s="64">
        <v>17.649999999999999</v>
      </c>
      <c r="E23" s="64">
        <v>1.35</v>
      </c>
      <c r="F23" s="64">
        <v>0.84</v>
      </c>
      <c r="G23" s="64">
        <v>29.72</v>
      </c>
      <c r="H23" s="64">
        <v>11.36</v>
      </c>
      <c r="I23" s="64">
        <v>0.13</v>
      </c>
      <c r="J23" s="64">
        <v>0.15</v>
      </c>
      <c r="K23" s="64">
        <v>333.3</v>
      </c>
      <c r="L23" s="64">
        <v>20.84</v>
      </c>
      <c r="M23" s="64">
        <v>98.4</v>
      </c>
      <c r="N23" s="64">
        <v>7.6</v>
      </c>
      <c r="O23" s="64">
        <v>0</v>
      </c>
      <c r="P23" s="64">
        <v>0.54</v>
      </c>
      <c r="Q23" s="64">
        <v>15.26</v>
      </c>
      <c r="R23" s="198"/>
      <c r="S23" s="198"/>
      <c r="T23" s="198"/>
      <c r="U23" s="198"/>
    </row>
    <row r="24" spans="1:21" s="12" customFormat="1" x14ac:dyDescent="0.25">
      <c r="A24" s="214" t="s">
        <v>647</v>
      </c>
      <c r="B24" s="64">
        <v>5.72</v>
      </c>
      <c r="C24" s="64">
        <v>12.06</v>
      </c>
      <c r="D24" s="64">
        <v>17.78</v>
      </c>
      <c r="E24" s="64">
        <v>0.98</v>
      </c>
      <c r="F24" s="64">
        <v>1.82</v>
      </c>
      <c r="G24" s="64">
        <v>31.4</v>
      </c>
      <c r="H24" s="64">
        <v>12.37</v>
      </c>
      <c r="I24" s="64">
        <v>0.13</v>
      </c>
      <c r="J24" s="64">
        <v>0.09</v>
      </c>
      <c r="K24" s="64">
        <v>340.99</v>
      </c>
      <c r="L24" s="64">
        <v>20.8</v>
      </c>
      <c r="M24" s="64">
        <v>98.4</v>
      </c>
      <c r="N24" s="64">
        <v>7.5</v>
      </c>
      <c r="O24" s="64">
        <v>0</v>
      </c>
      <c r="P24" s="64">
        <v>0.51</v>
      </c>
      <c r="Q24" s="64">
        <v>14.15</v>
      </c>
      <c r="R24" s="198"/>
      <c r="S24" s="198"/>
      <c r="T24" s="198"/>
      <c r="U24" s="198"/>
    </row>
    <row r="25" spans="1:21" s="12" customFormat="1" x14ac:dyDescent="0.25">
      <c r="A25" s="214" t="s">
        <v>648</v>
      </c>
      <c r="B25" s="64">
        <v>6.02</v>
      </c>
      <c r="C25" s="64">
        <v>12.13</v>
      </c>
      <c r="D25" s="64">
        <v>18.149999999999999</v>
      </c>
      <c r="E25" s="64">
        <v>2.08</v>
      </c>
      <c r="F25" s="64">
        <v>1.25</v>
      </c>
      <c r="G25" s="64">
        <v>32.86</v>
      </c>
      <c r="H25" s="64">
        <v>12.78</v>
      </c>
      <c r="I25" s="64">
        <v>0.13</v>
      </c>
      <c r="J25" s="64">
        <v>0.26</v>
      </c>
      <c r="K25" s="64">
        <v>355.21</v>
      </c>
      <c r="L25" s="64">
        <v>20.83</v>
      </c>
      <c r="M25" s="64">
        <v>98.4</v>
      </c>
      <c r="N25" s="64">
        <v>7.5</v>
      </c>
      <c r="O25" s="64">
        <v>0</v>
      </c>
      <c r="P25" s="64">
        <v>0.51</v>
      </c>
      <c r="Q25" s="64">
        <v>14.68</v>
      </c>
      <c r="R25" s="198"/>
      <c r="S25" s="198"/>
      <c r="T25" s="198"/>
      <c r="U25" s="198"/>
    </row>
    <row r="26" spans="1:21" s="12" customFormat="1" x14ac:dyDescent="0.25">
      <c r="A26" s="214" t="s">
        <v>649</v>
      </c>
      <c r="B26" s="64">
        <v>5.57</v>
      </c>
      <c r="C26" s="64">
        <v>13.53</v>
      </c>
      <c r="D26" s="64">
        <v>19.100000000000001</v>
      </c>
      <c r="E26" s="64">
        <v>1.94</v>
      </c>
      <c r="F26" s="64">
        <v>6.55</v>
      </c>
      <c r="G26" s="64">
        <v>32.86</v>
      </c>
      <c r="H26" s="64">
        <v>12.78</v>
      </c>
      <c r="I26" s="64">
        <v>0.13</v>
      </c>
      <c r="J26" s="64">
        <v>0.15</v>
      </c>
      <c r="K26" s="64">
        <v>81.05</v>
      </c>
      <c r="L26" s="64">
        <v>20.73</v>
      </c>
      <c r="M26" s="64">
        <v>98.4</v>
      </c>
      <c r="N26" s="64">
        <v>7.6</v>
      </c>
      <c r="O26" s="64">
        <v>0</v>
      </c>
      <c r="P26" s="64">
        <v>0.42</v>
      </c>
      <c r="Q26" s="64">
        <v>14.34</v>
      </c>
      <c r="R26" s="198"/>
      <c r="S26" s="198"/>
      <c r="T26" s="198"/>
      <c r="U26" s="198"/>
    </row>
    <row r="27" spans="1:21" s="12" customFormat="1" x14ac:dyDescent="0.25">
      <c r="A27" s="214" t="s">
        <v>650</v>
      </c>
      <c r="B27" s="64">
        <v>6.76</v>
      </c>
      <c r="C27" s="64">
        <v>16.72</v>
      </c>
      <c r="D27" s="64">
        <v>23.48</v>
      </c>
      <c r="E27" s="64">
        <v>2.39</v>
      </c>
      <c r="F27" s="64">
        <v>4.16</v>
      </c>
      <c r="G27" s="64">
        <v>32.86</v>
      </c>
      <c r="H27" s="64">
        <v>12.78</v>
      </c>
      <c r="I27" s="64">
        <v>0.12</v>
      </c>
      <c r="J27" s="64">
        <v>0.18</v>
      </c>
      <c r="K27" s="64">
        <v>99.66</v>
      </c>
      <c r="L27" s="64">
        <v>20.75</v>
      </c>
      <c r="M27" s="64">
        <v>98.4</v>
      </c>
      <c r="N27" s="64">
        <v>7.4</v>
      </c>
      <c r="O27" s="64">
        <v>0</v>
      </c>
      <c r="P27" s="64">
        <v>0.44</v>
      </c>
      <c r="Q27" s="64">
        <v>15.27</v>
      </c>
      <c r="R27" s="198"/>
      <c r="S27" s="198"/>
      <c r="T27" s="198"/>
      <c r="U27" s="198"/>
    </row>
    <row r="28" spans="1:21" s="12" customFormat="1" x14ac:dyDescent="0.25">
      <c r="A28" s="214" t="s">
        <v>651</v>
      </c>
      <c r="B28" s="64">
        <v>5.21</v>
      </c>
      <c r="C28" s="64">
        <v>15.98</v>
      </c>
      <c r="D28" s="64">
        <v>21.19</v>
      </c>
      <c r="E28" s="64">
        <v>2.67</v>
      </c>
      <c r="F28" s="64">
        <v>7.67</v>
      </c>
      <c r="G28" s="64">
        <v>27.08</v>
      </c>
      <c r="H28" s="64">
        <v>10.16</v>
      </c>
      <c r="I28" s="64">
        <v>0.12</v>
      </c>
      <c r="J28" s="64">
        <v>0.22</v>
      </c>
      <c r="K28" s="64">
        <v>92.15</v>
      </c>
      <c r="L28" s="64">
        <v>20.84</v>
      </c>
      <c r="M28" s="64">
        <v>98.4</v>
      </c>
      <c r="N28" s="64">
        <v>7.6</v>
      </c>
      <c r="O28" s="64">
        <v>0</v>
      </c>
      <c r="P28" s="64">
        <v>0.38</v>
      </c>
      <c r="Q28" s="64">
        <v>16.14</v>
      </c>
      <c r="R28" s="198"/>
      <c r="S28" s="198"/>
      <c r="T28" s="198"/>
      <c r="U28" s="198"/>
    </row>
    <row r="29" spans="1:21" s="12" customFormat="1" x14ac:dyDescent="0.25">
      <c r="A29" s="214" t="s">
        <v>652</v>
      </c>
      <c r="B29" s="64">
        <v>8.43</v>
      </c>
      <c r="C29" s="64">
        <v>27.12</v>
      </c>
      <c r="D29" s="64">
        <v>35.54</v>
      </c>
      <c r="E29" s="64">
        <v>2.81</v>
      </c>
      <c r="F29" s="64">
        <v>2.54</v>
      </c>
      <c r="G29" s="64">
        <v>22.03</v>
      </c>
      <c r="H29" s="64">
        <v>9.1</v>
      </c>
      <c r="I29" s="64">
        <v>0.12</v>
      </c>
      <c r="J29" s="64">
        <v>0.1</v>
      </c>
      <c r="K29" s="64">
        <v>97.39</v>
      </c>
      <c r="L29" s="64">
        <v>20.87</v>
      </c>
      <c r="M29" s="64">
        <v>98.4</v>
      </c>
      <c r="N29" s="64">
        <v>7.5</v>
      </c>
      <c r="O29" s="64">
        <v>0</v>
      </c>
      <c r="P29" s="64">
        <v>0.48</v>
      </c>
      <c r="Q29" s="64">
        <v>16.260000000000002</v>
      </c>
      <c r="R29" s="198"/>
      <c r="S29" s="198"/>
      <c r="T29" s="198"/>
      <c r="U29" s="198"/>
    </row>
    <row r="30" spans="1:21" s="12" customFormat="1" x14ac:dyDescent="0.25">
      <c r="A30" s="214" t="s">
        <v>653</v>
      </c>
      <c r="B30" s="64">
        <v>7.04</v>
      </c>
      <c r="C30" s="64">
        <v>22.81</v>
      </c>
      <c r="D30" s="64">
        <v>29.84</v>
      </c>
      <c r="E30" s="64">
        <v>2.33</v>
      </c>
      <c r="F30" s="64">
        <v>3.85</v>
      </c>
      <c r="G30" s="64">
        <v>22.03</v>
      </c>
      <c r="H30" s="64">
        <v>9.1</v>
      </c>
      <c r="I30" s="64">
        <v>0.12</v>
      </c>
      <c r="J30" s="64">
        <v>0.08</v>
      </c>
      <c r="K30" s="64">
        <v>82.53</v>
      </c>
      <c r="L30" s="64">
        <v>20.88</v>
      </c>
      <c r="M30" s="64">
        <v>98.4</v>
      </c>
      <c r="N30" s="64">
        <v>7.6</v>
      </c>
      <c r="O30" s="64">
        <v>0</v>
      </c>
      <c r="P30" s="64">
        <v>0.48</v>
      </c>
      <c r="Q30" s="64">
        <v>16.91</v>
      </c>
      <c r="R30" s="198"/>
      <c r="S30" s="198"/>
      <c r="T30" s="198"/>
      <c r="U30" s="198"/>
    </row>
    <row r="31" spans="1:21" s="12" customFormat="1" x14ac:dyDescent="0.25">
      <c r="A31" s="214" t="s">
        <v>654</v>
      </c>
      <c r="B31" s="64">
        <v>7.57</v>
      </c>
      <c r="C31" s="64">
        <v>15.69</v>
      </c>
      <c r="D31" s="64">
        <v>23.27</v>
      </c>
      <c r="E31" s="64">
        <v>2.57</v>
      </c>
      <c r="F31" s="64">
        <v>1.61</v>
      </c>
      <c r="G31" s="64">
        <v>22.03</v>
      </c>
      <c r="H31" s="64">
        <v>9.1</v>
      </c>
      <c r="I31" s="64">
        <v>0.12</v>
      </c>
      <c r="J31" s="64">
        <v>0.09</v>
      </c>
      <c r="K31" s="64">
        <v>67.430000000000007</v>
      </c>
      <c r="L31" s="64">
        <v>20.93</v>
      </c>
      <c r="M31" s="64">
        <v>98.4</v>
      </c>
      <c r="N31" s="64">
        <v>9.3000000000000007</v>
      </c>
      <c r="O31" s="64">
        <v>0</v>
      </c>
      <c r="P31" s="64">
        <v>0.5</v>
      </c>
      <c r="Q31" s="64">
        <v>17.079999999999998</v>
      </c>
      <c r="R31" s="198"/>
      <c r="S31" s="198"/>
      <c r="T31" s="198"/>
      <c r="U31" s="198"/>
    </row>
    <row r="32" spans="1:21" s="12" customFormat="1" x14ac:dyDescent="0.25">
      <c r="A32" s="214" t="s">
        <v>655</v>
      </c>
      <c r="B32" s="64">
        <v>6.79</v>
      </c>
      <c r="C32" s="64">
        <v>18.97</v>
      </c>
      <c r="D32" s="64">
        <v>25.77</v>
      </c>
      <c r="E32" s="64">
        <v>1.92</v>
      </c>
      <c r="F32" s="64">
        <v>2.74</v>
      </c>
      <c r="G32" s="64">
        <v>32.909999999999997</v>
      </c>
      <c r="H32" s="64">
        <v>12.46</v>
      </c>
      <c r="I32" s="64">
        <v>0.12</v>
      </c>
      <c r="J32" s="64">
        <v>0.44</v>
      </c>
      <c r="K32" s="64">
        <v>103.91</v>
      </c>
      <c r="L32" s="64">
        <v>21</v>
      </c>
      <c r="M32" s="64">
        <v>98.4</v>
      </c>
      <c r="N32" s="64">
        <v>17.899999999999999</v>
      </c>
      <c r="O32" s="64">
        <v>0</v>
      </c>
      <c r="P32" s="64">
        <v>0.47</v>
      </c>
      <c r="Q32" s="64">
        <v>16.61</v>
      </c>
      <c r="R32" s="198"/>
      <c r="S32" s="198"/>
      <c r="T32" s="198"/>
      <c r="U32" s="198"/>
    </row>
    <row r="33" spans="1:21" s="12" customFormat="1" x14ac:dyDescent="0.25">
      <c r="A33" s="214" t="s">
        <v>656</v>
      </c>
      <c r="B33" s="64">
        <v>7.27</v>
      </c>
      <c r="C33" s="64">
        <v>14.06</v>
      </c>
      <c r="D33" s="64">
        <v>21.33</v>
      </c>
      <c r="E33" s="64">
        <v>2.3199999999999998</v>
      </c>
      <c r="F33" s="64">
        <v>1.35</v>
      </c>
      <c r="G33" s="64">
        <v>42.43</v>
      </c>
      <c r="H33" s="64">
        <v>15.01</v>
      </c>
      <c r="I33" s="64">
        <v>0.14000000000000001</v>
      </c>
      <c r="J33" s="64">
        <v>0.15</v>
      </c>
      <c r="K33" s="64">
        <v>84.16</v>
      </c>
      <c r="L33" s="64">
        <v>21.17</v>
      </c>
      <c r="M33" s="64">
        <v>98.35</v>
      </c>
      <c r="N33" s="64">
        <v>29.4</v>
      </c>
      <c r="O33" s="64">
        <v>0</v>
      </c>
      <c r="P33" s="64">
        <v>0.5</v>
      </c>
      <c r="Q33" s="64">
        <v>16.66</v>
      </c>
      <c r="R33" s="198"/>
      <c r="S33" s="198"/>
      <c r="T33" s="198"/>
      <c r="U33" s="198"/>
    </row>
    <row r="34" spans="1:21" s="12" customFormat="1" x14ac:dyDescent="0.25">
      <c r="A34" s="214" t="s">
        <v>657</v>
      </c>
      <c r="B34" s="64">
        <v>7.65</v>
      </c>
      <c r="C34" s="64">
        <v>17.41</v>
      </c>
      <c r="D34" s="64">
        <v>25.06</v>
      </c>
      <c r="E34" s="64">
        <v>2.94</v>
      </c>
      <c r="F34" s="64">
        <v>1.42</v>
      </c>
      <c r="G34" s="64">
        <v>42.43</v>
      </c>
      <c r="H34" s="64">
        <v>15.01</v>
      </c>
      <c r="I34" s="64">
        <v>0.14000000000000001</v>
      </c>
      <c r="J34" s="64">
        <v>0.4</v>
      </c>
      <c r="K34" s="64">
        <v>108.8</v>
      </c>
      <c r="L34" s="64">
        <v>21.32</v>
      </c>
      <c r="M34" s="64">
        <v>98.35</v>
      </c>
      <c r="N34" s="64">
        <v>38.700000000000003</v>
      </c>
      <c r="O34" s="64">
        <v>0</v>
      </c>
      <c r="P34" s="64">
        <v>0.54</v>
      </c>
      <c r="Q34" s="64">
        <v>17.05</v>
      </c>
      <c r="R34" s="198"/>
      <c r="S34" s="198"/>
      <c r="T34" s="198"/>
      <c r="U34" s="198"/>
    </row>
    <row r="35" spans="1:21" s="12" customFormat="1" x14ac:dyDescent="0.25">
      <c r="A35" s="214" t="s">
        <v>658</v>
      </c>
      <c r="B35" s="64">
        <v>7.82</v>
      </c>
      <c r="C35" s="64">
        <v>14.21</v>
      </c>
      <c r="D35" s="64">
        <v>22.03</v>
      </c>
      <c r="E35" s="64">
        <v>2.85</v>
      </c>
      <c r="F35" s="64">
        <v>1.07</v>
      </c>
      <c r="G35" s="64">
        <v>42.43</v>
      </c>
      <c r="H35" s="64">
        <v>15.01</v>
      </c>
      <c r="I35" s="64">
        <v>0.13</v>
      </c>
      <c r="J35" s="64">
        <v>0.56999999999999995</v>
      </c>
      <c r="K35" s="64">
        <v>102.05</v>
      </c>
      <c r="L35" s="64">
        <v>21.36</v>
      </c>
      <c r="M35" s="64">
        <v>98.35</v>
      </c>
      <c r="N35" s="64">
        <v>39.4</v>
      </c>
      <c r="O35" s="64">
        <v>0</v>
      </c>
      <c r="P35" s="64">
        <v>0.53</v>
      </c>
      <c r="Q35" s="64">
        <v>17.600000000000001</v>
      </c>
      <c r="R35" s="198"/>
      <c r="S35" s="198"/>
      <c r="T35" s="198"/>
      <c r="U35" s="198"/>
    </row>
    <row r="36" spans="1:21" s="12" customFormat="1" x14ac:dyDescent="0.25">
      <c r="A36" s="214" t="s">
        <v>659</v>
      </c>
      <c r="B36" s="64">
        <v>7.8</v>
      </c>
      <c r="C36" s="64">
        <v>14.89</v>
      </c>
      <c r="D36" s="64">
        <v>22.69</v>
      </c>
      <c r="E36" s="64">
        <v>2.9</v>
      </c>
      <c r="F36" s="64">
        <v>1.1100000000000001</v>
      </c>
      <c r="G36" s="64">
        <v>47.26</v>
      </c>
      <c r="H36" s="64">
        <v>16.940000000000001</v>
      </c>
      <c r="I36" s="64">
        <v>0.13</v>
      </c>
      <c r="J36" s="64">
        <v>0.71</v>
      </c>
      <c r="K36" s="64">
        <v>109.53</v>
      </c>
      <c r="L36" s="64">
        <v>21.4</v>
      </c>
      <c r="M36" s="64">
        <v>98.35</v>
      </c>
      <c r="N36" s="64">
        <v>34.6</v>
      </c>
      <c r="O36" s="64">
        <v>0</v>
      </c>
      <c r="P36" s="64">
        <v>0.54</v>
      </c>
      <c r="Q36" s="64">
        <v>18.09</v>
      </c>
      <c r="R36" s="198"/>
      <c r="S36" s="198"/>
      <c r="T36" s="198"/>
      <c r="U36" s="198"/>
    </row>
    <row r="37" spans="1:21" s="12" customFormat="1" x14ac:dyDescent="0.25">
      <c r="A37" s="214" t="s">
        <v>660</v>
      </c>
      <c r="B37" s="64">
        <v>11</v>
      </c>
      <c r="C37" s="64">
        <v>16.68</v>
      </c>
      <c r="D37" s="64">
        <v>27.67</v>
      </c>
      <c r="E37" s="64">
        <v>2.58</v>
      </c>
      <c r="F37" s="64">
        <v>0.78</v>
      </c>
      <c r="G37" s="64">
        <v>51.49</v>
      </c>
      <c r="H37" s="64">
        <v>17.73</v>
      </c>
      <c r="I37" s="64">
        <v>0.13</v>
      </c>
      <c r="J37" s="64">
        <v>0.37</v>
      </c>
      <c r="K37" s="64">
        <v>101</v>
      </c>
      <c r="L37" s="64">
        <v>21.51</v>
      </c>
      <c r="M37" s="64">
        <v>98.35</v>
      </c>
      <c r="N37" s="64">
        <v>54.7</v>
      </c>
      <c r="O37" s="64">
        <v>0</v>
      </c>
      <c r="P37" s="64">
        <v>0.56999999999999995</v>
      </c>
      <c r="Q37" s="64">
        <v>18.39</v>
      </c>
      <c r="R37" s="198"/>
      <c r="S37" s="198"/>
      <c r="T37" s="198"/>
      <c r="U37" s="198"/>
    </row>
    <row r="38" spans="1:21" s="12" customFormat="1" x14ac:dyDescent="0.25">
      <c r="A38" s="214" t="s">
        <v>661</v>
      </c>
      <c r="B38" s="64">
        <v>15.95</v>
      </c>
      <c r="C38" s="64">
        <v>22.18</v>
      </c>
      <c r="D38" s="64">
        <v>38.130000000000003</v>
      </c>
      <c r="E38" s="64">
        <v>3.2</v>
      </c>
      <c r="F38" s="64">
        <v>3.09</v>
      </c>
      <c r="G38" s="64">
        <v>51.49</v>
      </c>
      <c r="H38" s="64">
        <v>17.73</v>
      </c>
      <c r="I38" s="64">
        <v>0.13</v>
      </c>
      <c r="J38" s="64">
        <v>0.17</v>
      </c>
      <c r="K38" s="64">
        <v>58.34</v>
      </c>
      <c r="L38" s="64">
        <v>21.76</v>
      </c>
      <c r="M38" s="64">
        <v>98.35</v>
      </c>
      <c r="N38" s="64">
        <v>63.6</v>
      </c>
      <c r="O38" s="64">
        <v>0</v>
      </c>
      <c r="P38" s="64">
        <v>0.68</v>
      </c>
      <c r="Q38" s="64">
        <v>18.670000000000002</v>
      </c>
      <c r="R38" s="198"/>
      <c r="S38" s="198"/>
      <c r="T38" s="198"/>
      <c r="U38" s="198"/>
    </row>
    <row r="39" spans="1:21" s="12" customFormat="1" x14ac:dyDescent="0.25">
      <c r="A39" s="214" t="s">
        <v>662</v>
      </c>
      <c r="B39" s="64">
        <v>15.68</v>
      </c>
      <c r="C39" s="64">
        <v>24.3</v>
      </c>
      <c r="D39" s="64">
        <v>39.979999999999997</v>
      </c>
      <c r="E39" s="64">
        <v>2.85</v>
      </c>
      <c r="F39" s="64">
        <v>4.04</v>
      </c>
      <c r="G39" s="64">
        <v>51.49</v>
      </c>
      <c r="H39" s="64">
        <v>17.73</v>
      </c>
      <c r="I39" s="64">
        <v>0.13</v>
      </c>
      <c r="J39" s="64">
        <v>0.21</v>
      </c>
      <c r="K39" s="64">
        <v>2.2400000000000002</v>
      </c>
      <c r="L39" s="64">
        <v>21.98</v>
      </c>
      <c r="M39" s="64">
        <v>98.36</v>
      </c>
      <c r="N39" s="64">
        <v>48.6</v>
      </c>
      <c r="O39" s="64">
        <v>0</v>
      </c>
      <c r="P39" s="64">
        <v>0.7</v>
      </c>
      <c r="Q39" s="64">
        <v>19.09</v>
      </c>
      <c r="R39" s="198"/>
      <c r="S39" s="198"/>
      <c r="T39" s="198"/>
      <c r="U39" s="198"/>
    </row>
    <row r="40" spans="1:21" s="12" customFormat="1" x14ac:dyDescent="0.25">
      <c r="A40" s="214" t="s">
        <v>663</v>
      </c>
      <c r="B40" s="64">
        <v>11.58</v>
      </c>
      <c r="C40" s="64">
        <v>25.73</v>
      </c>
      <c r="D40" s="64">
        <v>37.32</v>
      </c>
      <c r="E40" s="64">
        <v>1.84</v>
      </c>
      <c r="F40" s="64">
        <v>4.13</v>
      </c>
      <c r="G40" s="64">
        <v>51.57</v>
      </c>
      <c r="H40" s="64">
        <v>16.2</v>
      </c>
      <c r="I40" s="64">
        <v>0.12</v>
      </c>
      <c r="J40" s="64">
        <v>0.36</v>
      </c>
      <c r="K40" s="64">
        <v>97.21</v>
      </c>
      <c r="L40" s="64">
        <v>21.94</v>
      </c>
      <c r="M40" s="64">
        <v>98.37</v>
      </c>
      <c r="N40" s="64">
        <v>81.8</v>
      </c>
      <c r="O40" s="64">
        <v>0</v>
      </c>
      <c r="P40" s="64">
        <v>0.64</v>
      </c>
      <c r="Q40" s="64">
        <v>19.59</v>
      </c>
      <c r="R40" s="198"/>
      <c r="S40" s="198"/>
      <c r="T40" s="198"/>
      <c r="U40" s="198"/>
    </row>
    <row r="41" spans="1:21" s="12" customFormat="1" x14ac:dyDescent="0.25">
      <c r="A41" s="214" t="s">
        <v>664</v>
      </c>
      <c r="B41" s="64">
        <v>15.94</v>
      </c>
      <c r="C41" s="64">
        <v>20.6</v>
      </c>
      <c r="D41" s="64">
        <v>36.54</v>
      </c>
      <c r="E41" s="64">
        <v>3.36</v>
      </c>
      <c r="F41" s="64">
        <v>6.59</v>
      </c>
      <c r="G41" s="64">
        <v>51.64</v>
      </c>
      <c r="H41" s="64">
        <v>15.59</v>
      </c>
      <c r="I41" s="64">
        <v>0.12</v>
      </c>
      <c r="J41" s="64">
        <v>0.25</v>
      </c>
      <c r="K41" s="64">
        <v>82.05</v>
      </c>
      <c r="L41" s="64">
        <v>22.42</v>
      </c>
      <c r="M41" s="64">
        <v>98.35</v>
      </c>
      <c r="N41" s="64">
        <v>151.5</v>
      </c>
      <c r="O41" s="64">
        <v>0</v>
      </c>
      <c r="P41" s="64">
        <v>0.62</v>
      </c>
      <c r="Q41" s="64">
        <v>19.43</v>
      </c>
      <c r="R41" s="198"/>
      <c r="S41" s="198"/>
      <c r="T41" s="198"/>
      <c r="U41" s="198"/>
    </row>
    <row r="42" spans="1:21" s="12" customFormat="1" x14ac:dyDescent="0.25">
      <c r="A42" s="214" t="s">
        <v>665</v>
      </c>
      <c r="B42" s="64">
        <v>14.44</v>
      </c>
      <c r="C42" s="64">
        <v>19.41</v>
      </c>
      <c r="D42" s="64">
        <v>33.85</v>
      </c>
      <c r="E42" s="64">
        <v>3.1</v>
      </c>
      <c r="F42" s="64">
        <v>5.08</v>
      </c>
      <c r="G42" s="64">
        <v>51.64</v>
      </c>
      <c r="H42" s="64">
        <v>15.59</v>
      </c>
      <c r="I42" s="64">
        <v>0.12</v>
      </c>
      <c r="J42" s="64">
        <v>0.28999999999999998</v>
      </c>
      <c r="K42" s="64">
        <v>346.18</v>
      </c>
      <c r="L42" s="64">
        <v>22.97</v>
      </c>
      <c r="M42" s="64">
        <v>98.33</v>
      </c>
      <c r="N42" s="64">
        <v>157.4</v>
      </c>
      <c r="O42" s="64">
        <v>0</v>
      </c>
      <c r="P42" s="64">
        <v>0.64</v>
      </c>
      <c r="Q42" s="64">
        <v>21.2</v>
      </c>
      <c r="R42" s="198"/>
      <c r="S42" s="198"/>
      <c r="T42" s="198"/>
      <c r="U42" s="198"/>
    </row>
    <row r="43" spans="1:21" s="12" customFormat="1" x14ac:dyDescent="0.25">
      <c r="A43" s="214" t="s">
        <v>666</v>
      </c>
      <c r="B43" s="64">
        <v>14.78</v>
      </c>
      <c r="C43" s="64">
        <v>16.78</v>
      </c>
      <c r="D43" s="64">
        <v>31.56</v>
      </c>
      <c r="E43" s="64">
        <v>3.12</v>
      </c>
      <c r="F43" s="64">
        <v>2.42</v>
      </c>
      <c r="G43" s="64">
        <v>51.64</v>
      </c>
      <c r="H43" s="64">
        <v>15.59</v>
      </c>
      <c r="I43" s="64">
        <v>0.13</v>
      </c>
      <c r="J43" s="64">
        <v>0.44</v>
      </c>
      <c r="K43" s="64">
        <v>345.47</v>
      </c>
      <c r="L43" s="64">
        <v>23.64</v>
      </c>
      <c r="M43" s="64">
        <v>97.66</v>
      </c>
      <c r="N43" s="64">
        <v>233.5</v>
      </c>
      <c r="O43" s="64">
        <v>0</v>
      </c>
      <c r="P43" s="64">
        <v>0.68</v>
      </c>
      <c r="Q43" s="64">
        <v>21.19</v>
      </c>
      <c r="R43" s="198"/>
      <c r="S43" s="198"/>
      <c r="T43" s="198"/>
      <c r="U43" s="198"/>
    </row>
    <row r="44" spans="1:21" s="12" customFormat="1" x14ac:dyDescent="0.25">
      <c r="A44" s="214" t="s">
        <v>667</v>
      </c>
      <c r="B44" s="64">
        <v>15.33</v>
      </c>
      <c r="C44" s="64">
        <v>19.489999999999998</v>
      </c>
      <c r="D44" s="64">
        <v>34.82</v>
      </c>
      <c r="E44" s="64">
        <v>3.4</v>
      </c>
      <c r="F44" s="64">
        <v>3.14</v>
      </c>
      <c r="G44" s="64">
        <v>48.96</v>
      </c>
      <c r="H44" s="64">
        <v>15.36</v>
      </c>
      <c r="I44" s="64">
        <v>0.13</v>
      </c>
      <c r="J44" s="64">
        <v>0.23</v>
      </c>
      <c r="K44" s="64">
        <v>84.97</v>
      </c>
      <c r="L44" s="64">
        <v>24.19</v>
      </c>
      <c r="M44" s="64">
        <v>93.29</v>
      </c>
      <c r="N44" s="64">
        <v>302.89999999999998</v>
      </c>
      <c r="O44" s="64">
        <v>0</v>
      </c>
      <c r="P44" s="64">
        <v>0.71</v>
      </c>
      <c r="Q44" s="64">
        <v>20.37</v>
      </c>
      <c r="R44" s="198"/>
      <c r="S44" s="198"/>
      <c r="T44" s="198"/>
      <c r="U44" s="198"/>
    </row>
    <row r="45" spans="1:21" s="12" customFormat="1" x14ac:dyDescent="0.25">
      <c r="A45" s="214" t="s">
        <v>668</v>
      </c>
      <c r="B45" s="64">
        <v>14.98</v>
      </c>
      <c r="C45" s="64">
        <v>16.22</v>
      </c>
      <c r="D45" s="64">
        <v>31.21</v>
      </c>
      <c r="E45" s="64">
        <v>2.93</v>
      </c>
      <c r="F45" s="64">
        <v>1.17</v>
      </c>
      <c r="G45" s="64">
        <v>46.61</v>
      </c>
      <c r="H45" s="64">
        <v>15.26</v>
      </c>
      <c r="I45" s="64">
        <v>0.13</v>
      </c>
      <c r="J45" s="64">
        <v>0.39</v>
      </c>
      <c r="K45" s="64">
        <v>341.26</v>
      </c>
      <c r="L45" s="64">
        <v>25.09</v>
      </c>
      <c r="M45" s="64">
        <v>91.03</v>
      </c>
      <c r="N45" s="64">
        <v>358.3</v>
      </c>
      <c r="O45" s="64">
        <v>0</v>
      </c>
      <c r="P45" s="64">
        <v>0.68</v>
      </c>
      <c r="Q45" s="64">
        <v>20.43</v>
      </c>
      <c r="R45" s="198"/>
      <c r="S45" s="198"/>
      <c r="T45" s="198"/>
      <c r="U45" s="198"/>
    </row>
    <row r="46" spans="1:21" s="12" customFormat="1" x14ac:dyDescent="0.25">
      <c r="A46" s="214" t="s">
        <v>669</v>
      </c>
      <c r="B46" s="64">
        <v>13.34</v>
      </c>
      <c r="C46" s="64">
        <v>15.32</v>
      </c>
      <c r="D46" s="64">
        <v>28.66</v>
      </c>
      <c r="E46" s="64">
        <v>2.93</v>
      </c>
      <c r="F46" s="64">
        <v>2.5499999999999998</v>
      </c>
      <c r="G46" s="64">
        <v>46.61</v>
      </c>
      <c r="H46" s="64">
        <v>15.26</v>
      </c>
      <c r="I46" s="64">
        <v>0.13</v>
      </c>
      <c r="J46" s="64">
        <v>0.33</v>
      </c>
      <c r="K46" s="64">
        <v>107.38</v>
      </c>
      <c r="L46" s="64">
        <v>25.19</v>
      </c>
      <c r="M46" s="64">
        <v>87</v>
      </c>
      <c r="N46" s="64">
        <v>377.1</v>
      </c>
      <c r="O46" s="64">
        <v>0</v>
      </c>
      <c r="P46" s="64">
        <v>0.67</v>
      </c>
      <c r="Q46" s="64">
        <v>20.67</v>
      </c>
      <c r="R46" s="198"/>
      <c r="S46" s="198"/>
      <c r="T46" s="198"/>
      <c r="U46" s="198"/>
    </row>
    <row r="47" spans="1:21" s="12" customFormat="1" x14ac:dyDescent="0.25">
      <c r="A47" s="214" t="s">
        <v>670</v>
      </c>
      <c r="B47" s="64">
        <v>13.28</v>
      </c>
      <c r="C47" s="64">
        <v>14.87</v>
      </c>
      <c r="D47" s="64">
        <v>28.15</v>
      </c>
      <c r="E47" s="64">
        <v>3.27</v>
      </c>
      <c r="F47" s="64">
        <v>2.5499999999999998</v>
      </c>
      <c r="G47" s="64">
        <v>46.61</v>
      </c>
      <c r="H47" s="64">
        <v>15.26</v>
      </c>
      <c r="I47" s="64">
        <v>0.13</v>
      </c>
      <c r="J47" s="64">
        <v>0.26</v>
      </c>
      <c r="K47" s="64">
        <v>75.23</v>
      </c>
      <c r="L47" s="64">
        <v>24.98</v>
      </c>
      <c r="M47" s="64">
        <v>87.44</v>
      </c>
      <c r="N47" s="64">
        <v>251.6</v>
      </c>
      <c r="O47" s="64">
        <v>0</v>
      </c>
      <c r="P47" s="64">
        <v>0.7</v>
      </c>
      <c r="Q47" s="64">
        <v>20.68</v>
      </c>
      <c r="R47" s="198"/>
      <c r="S47" s="198"/>
      <c r="T47" s="198"/>
      <c r="U47" s="198"/>
    </row>
    <row r="48" spans="1:21" s="12" customFormat="1" x14ac:dyDescent="0.25">
      <c r="A48" s="214" t="s">
        <v>671</v>
      </c>
      <c r="B48" s="64">
        <v>12.16</v>
      </c>
      <c r="C48" s="64">
        <v>18.25</v>
      </c>
      <c r="D48" s="64">
        <v>30.42</v>
      </c>
      <c r="E48" s="64">
        <v>3.19</v>
      </c>
      <c r="F48" s="64">
        <v>7.76</v>
      </c>
      <c r="G48" s="64">
        <v>49.77</v>
      </c>
      <c r="H48" s="64">
        <v>17.25</v>
      </c>
      <c r="I48" s="64">
        <v>0.13</v>
      </c>
      <c r="J48" s="64">
        <v>0.49</v>
      </c>
      <c r="K48" s="64">
        <v>110.16</v>
      </c>
      <c r="L48" s="64">
        <v>24.63</v>
      </c>
      <c r="M48" s="64">
        <v>87.1</v>
      </c>
      <c r="N48" s="64">
        <v>198</v>
      </c>
      <c r="O48" s="64">
        <v>0</v>
      </c>
      <c r="P48" s="64">
        <v>0.62</v>
      </c>
      <c r="Q48" s="64">
        <v>21.15</v>
      </c>
      <c r="R48" s="198"/>
      <c r="S48" s="198"/>
      <c r="T48" s="198"/>
      <c r="U48" s="198"/>
    </row>
    <row r="49" spans="1:21" s="12" customFormat="1" x14ac:dyDescent="0.25">
      <c r="A49" s="214" t="s">
        <v>672</v>
      </c>
      <c r="B49" s="64">
        <v>11.31</v>
      </c>
      <c r="C49" s="64">
        <v>15.33</v>
      </c>
      <c r="D49" s="64">
        <v>26.64</v>
      </c>
      <c r="E49" s="64">
        <v>2.84</v>
      </c>
      <c r="F49" s="64">
        <v>5.32</v>
      </c>
      <c r="G49" s="64">
        <v>52.54</v>
      </c>
      <c r="H49" s="64">
        <v>18.059999999999999</v>
      </c>
      <c r="I49" s="64">
        <v>0.14000000000000001</v>
      </c>
      <c r="J49" s="64">
        <v>0.38</v>
      </c>
      <c r="K49" s="64">
        <v>107.16</v>
      </c>
      <c r="L49" s="64">
        <v>24.49</v>
      </c>
      <c r="M49" s="64">
        <v>87.94</v>
      </c>
      <c r="N49" s="64">
        <v>176.3</v>
      </c>
      <c r="O49" s="64">
        <v>0</v>
      </c>
      <c r="P49" s="64">
        <v>0.67</v>
      </c>
      <c r="Q49" s="64">
        <v>21.11</v>
      </c>
      <c r="R49" s="198"/>
      <c r="S49" s="198"/>
      <c r="T49" s="198"/>
      <c r="U49" s="198"/>
    </row>
    <row r="50" spans="1:21" s="12" customFormat="1" x14ac:dyDescent="0.25">
      <c r="A50" s="214" t="s">
        <v>673</v>
      </c>
      <c r="B50" s="64">
        <v>9.7100000000000009</v>
      </c>
      <c r="C50" s="64">
        <v>23.05</v>
      </c>
      <c r="D50" s="64">
        <v>32.76</v>
      </c>
      <c r="E50" s="64">
        <v>3.96</v>
      </c>
      <c r="F50" s="64">
        <v>13.98</v>
      </c>
      <c r="G50" s="64">
        <v>52.54</v>
      </c>
      <c r="H50" s="64">
        <v>18.059999999999999</v>
      </c>
      <c r="I50" s="64">
        <v>0.13</v>
      </c>
      <c r="J50" s="64">
        <v>0.68</v>
      </c>
      <c r="K50" s="64">
        <v>106.62</v>
      </c>
      <c r="L50" s="64">
        <v>24.17</v>
      </c>
      <c r="M50" s="64">
        <v>89.09</v>
      </c>
      <c r="N50" s="64">
        <v>128.5</v>
      </c>
      <c r="O50" s="64">
        <v>0</v>
      </c>
      <c r="P50" s="64">
        <v>0.56000000000000005</v>
      </c>
      <c r="Q50" s="64">
        <v>22.03</v>
      </c>
      <c r="R50" s="198"/>
      <c r="S50" s="198"/>
      <c r="T50" s="198"/>
      <c r="U50" s="198"/>
    </row>
    <row r="51" spans="1:21" s="12" customFormat="1" x14ac:dyDescent="0.25">
      <c r="A51" s="214" t="s">
        <v>674</v>
      </c>
      <c r="B51" s="64">
        <v>10.02</v>
      </c>
      <c r="C51" s="64">
        <v>22.31</v>
      </c>
      <c r="D51" s="64">
        <v>32.33</v>
      </c>
      <c r="E51" s="64">
        <v>3.86</v>
      </c>
      <c r="F51" s="64">
        <v>8.61</v>
      </c>
      <c r="G51" s="64">
        <v>52.54</v>
      </c>
      <c r="H51" s="64">
        <v>18.059999999999999</v>
      </c>
      <c r="I51" s="64">
        <v>0.12</v>
      </c>
      <c r="J51" s="64">
        <v>0.61</v>
      </c>
      <c r="K51" s="64">
        <v>108.56</v>
      </c>
      <c r="L51" s="64">
        <v>24.65</v>
      </c>
      <c r="M51" s="64">
        <v>87.96</v>
      </c>
      <c r="N51" s="64">
        <v>525.1</v>
      </c>
      <c r="O51" s="64">
        <v>0</v>
      </c>
      <c r="P51" s="64">
        <v>0.6</v>
      </c>
      <c r="Q51" s="64">
        <v>21.42</v>
      </c>
      <c r="R51" s="198"/>
      <c r="S51" s="198"/>
      <c r="T51" s="198"/>
      <c r="U51" s="198"/>
    </row>
    <row r="52" spans="1:21" s="12" customFormat="1" x14ac:dyDescent="0.25">
      <c r="A52" s="214" t="s">
        <v>675</v>
      </c>
      <c r="B52" s="64">
        <v>6.74</v>
      </c>
      <c r="C52" s="64">
        <v>18.510000000000002</v>
      </c>
      <c r="D52" s="64">
        <v>25.25</v>
      </c>
      <c r="E52" s="64">
        <v>3.46</v>
      </c>
      <c r="F52" s="64">
        <v>6.1</v>
      </c>
      <c r="G52" s="64">
        <v>46.15</v>
      </c>
      <c r="H52" s="64">
        <v>16.53</v>
      </c>
      <c r="I52" s="64">
        <v>0.12</v>
      </c>
      <c r="J52" s="64">
        <v>1.01</v>
      </c>
      <c r="K52" s="64">
        <v>107.82</v>
      </c>
      <c r="L52" s="64">
        <v>25.28</v>
      </c>
      <c r="M52" s="64">
        <v>83.28</v>
      </c>
      <c r="N52" s="64">
        <v>289.39999999999998</v>
      </c>
      <c r="O52" s="64">
        <v>0</v>
      </c>
      <c r="P52" s="64">
        <v>0.57999999999999996</v>
      </c>
      <c r="Q52" s="64">
        <v>20.3</v>
      </c>
      <c r="R52" s="198"/>
      <c r="S52" s="198"/>
      <c r="T52" s="198"/>
      <c r="U52" s="198"/>
    </row>
    <row r="53" spans="1:21" s="12" customFormat="1" x14ac:dyDescent="0.25">
      <c r="A53" s="214" t="s">
        <v>676</v>
      </c>
      <c r="B53" s="64">
        <v>6.06</v>
      </c>
      <c r="C53" s="64">
        <v>16.850000000000001</v>
      </c>
      <c r="D53" s="64">
        <v>22.91</v>
      </c>
      <c r="E53" s="64">
        <v>3.71</v>
      </c>
      <c r="F53" s="64">
        <v>8.3000000000000007</v>
      </c>
      <c r="G53" s="64">
        <v>40.56</v>
      </c>
      <c r="H53" s="64">
        <v>15.92</v>
      </c>
      <c r="I53" s="64">
        <v>0.12</v>
      </c>
      <c r="J53" s="64">
        <v>0.91</v>
      </c>
      <c r="K53" s="64">
        <v>110.18</v>
      </c>
      <c r="L53" s="64">
        <v>24.91</v>
      </c>
      <c r="M53" s="64">
        <v>85.67</v>
      </c>
      <c r="N53" s="64">
        <v>317.8</v>
      </c>
      <c r="O53" s="64">
        <v>0</v>
      </c>
      <c r="P53" s="64">
        <v>0.54</v>
      </c>
      <c r="Q53" s="64">
        <v>22.03</v>
      </c>
      <c r="R53" s="198"/>
      <c r="S53" s="198"/>
      <c r="T53" s="198"/>
      <c r="U53" s="198"/>
    </row>
    <row r="54" spans="1:21" s="12" customFormat="1" x14ac:dyDescent="0.25">
      <c r="A54" s="214" t="s">
        <v>677</v>
      </c>
      <c r="B54" s="64">
        <v>8.8000000000000007</v>
      </c>
      <c r="C54" s="64">
        <v>18.28</v>
      </c>
      <c r="D54" s="64">
        <v>27.08</v>
      </c>
      <c r="E54" s="64">
        <v>3.74</v>
      </c>
      <c r="F54" s="64">
        <v>4.3</v>
      </c>
      <c r="G54" s="64">
        <v>40.56</v>
      </c>
      <c r="H54" s="64">
        <v>15.92</v>
      </c>
      <c r="I54" s="64">
        <v>0.13</v>
      </c>
      <c r="J54" s="64">
        <v>1.04</v>
      </c>
      <c r="K54" s="64">
        <v>103.88</v>
      </c>
      <c r="L54" s="64">
        <v>25.31</v>
      </c>
      <c r="M54" s="64">
        <v>84.18</v>
      </c>
      <c r="N54" s="64">
        <v>626.6</v>
      </c>
      <c r="O54" s="64">
        <v>0</v>
      </c>
      <c r="P54" s="64">
        <v>0.55000000000000004</v>
      </c>
      <c r="Q54" s="64">
        <v>22.81</v>
      </c>
      <c r="R54" s="198"/>
      <c r="S54" s="198"/>
      <c r="T54" s="198"/>
      <c r="U54" s="198"/>
    </row>
    <row r="55" spans="1:21" s="12" customFormat="1" x14ac:dyDescent="0.25">
      <c r="A55" s="214" t="s">
        <v>678</v>
      </c>
      <c r="B55" s="64">
        <v>6.38</v>
      </c>
      <c r="C55" s="64">
        <v>16.18</v>
      </c>
      <c r="D55" s="64">
        <v>22.56</v>
      </c>
      <c r="E55" s="64">
        <v>3.65</v>
      </c>
      <c r="F55" s="64">
        <v>4.25</v>
      </c>
      <c r="G55" s="64">
        <v>40.56</v>
      </c>
      <c r="H55" s="64">
        <v>15.92</v>
      </c>
      <c r="I55" s="64">
        <v>0.13</v>
      </c>
      <c r="J55" s="64">
        <v>0.71</v>
      </c>
      <c r="K55" s="64">
        <v>122.54</v>
      </c>
      <c r="L55" s="64">
        <v>26.11</v>
      </c>
      <c r="M55" s="64">
        <v>79.52</v>
      </c>
      <c r="N55" s="64">
        <v>887.1</v>
      </c>
      <c r="O55" s="64">
        <v>0</v>
      </c>
      <c r="P55" s="64">
        <v>0.54</v>
      </c>
      <c r="Q55" s="64">
        <v>22.9</v>
      </c>
      <c r="R55" s="198"/>
      <c r="S55" s="198"/>
      <c r="T55" s="198"/>
      <c r="U55" s="198"/>
    </row>
    <row r="56" spans="1:21" s="12" customFormat="1" x14ac:dyDescent="0.25">
      <c r="A56" s="214" t="s">
        <v>679</v>
      </c>
      <c r="B56" s="64">
        <v>6.82</v>
      </c>
      <c r="C56" s="64">
        <v>17.46</v>
      </c>
      <c r="D56" s="64">
        <v>24.28</v>
      </c>
      <c r="E56" s="64">
        <v>1.1100000000000001</v>
      </c>
      <c r="F56" s="64">
        <v>9.5299999999999994</v>
      </c>
      <c r="G56" s="64">
        <v>44.56</v>
      </c>
      <c r="H56" s="64">
        <v>18.64</v>
      </c>
      <c r="I56" s="64">
        <v>0.13</v>
      </c>
      <c r="J56" s="64">
        <v>0.46</v>
      </c>
      <c r="K56" s="64">
        <v>93.16</v>
      </c>
      <c r="L56" s="64">
        <v>27.45</v>
      </c>
      <c r="M56" s="64">
        <v>73.78</v>
      </c>
      <c r="N56" s="64">
        <v>784.9</v>
      </c>
      <c r="O56" s="64">
        <v>0</v>
      </c>
      <c r="P56" s="64">
        <v>0.52</v>
      </c>
      <c r="Q56" s="64">
        <v>22.68</v>
      </c>
      <c r="R56" s="198"/>
      <c r="S56" s="198"/>
      <c r="T56" s="198"/>
      <c r="U56" s="198"/>
    </row>
    <row r="57" spans="1:21" s="12" customFormat="1" x14ac:dyDescent="0.25">
      <c r="A57" s="214" t="s">
        <v>680</v>
      </c>
      <c r="B57" s="64">
        <v>5.37</v>
      </c>
      <c r="C57" s="64">
        <v>13.97</v>
      </c>
      <c r="D57" s="64">
        <v>19.34</v>
      </c>
      <c r="E57" s="64">
        <v>1.06</v>
      </c>
      <c r="F57" s="64">
        <v>2.48</v>
      </c>
      <c r="G57" s="64">
        <v>48.06</v>
      </c>
      <c r="H57" s="64">
        <v>20.79</v>
      </c>
      <c r="I57" s="64">
        <v>0.12</v>
      </c>
      <c r="J57" s="64">
        <v>1.29</v>
      </c>
      <c r="K57" s="64">
        <v>107.53</v>
      </c>
      <c r="L57" s="64">
        <v>26.85</v>
      </c>
      <c r="M57" s="64">
        <v>75.66</v>
      </c>
      <c r="N57" s="64">
        <v>887.5</v>
      </c>
      <c r="O57" s="64">
        <v>0</v>
      </c>
      <c r="P57" s="64">
        <v>0.52</v>
      </c>
      <c r="Q57" s="64">
        <v>22.19</v>
      </c>
      <c r="R57" s="198"/>
      <c r="S57" s="198"/>
      <c r="T57" s="198"/>
      <c r="U57" s="198"/>
    </row>
    <row r="58" spans="1:21" s="12" customFormat="1" x14ac:dyDescent="0.25">
      <c r="A58" s="214" t="s">
        <v>681</v>
      </c>
      <c r="B58" s="64">
        <v>4.8899999999999997</v>
      </c>
      <c r="C58" s="64">
        <v>13.46</v>
      </c>
      <c r="D58" s="64">
        <v>18.36</v>
      </c>
      <c r="E58" s="64">
        <v>1.86</v>
      </c>
      <c r="F58" s="64">
        <v>4.8600000000000003</v>
      </c>
      <c r="G58" s="64">
        <v>48.06</v>
      </c>
      <c r="H58" s="64">
        <v>20.79</v>
      </c>
      <c r="I58" s="64">
        <v>0.13</v>
      </c>
      <c r="J58" s="64">
        <v>0.36</v>
      </c>
      <c r="K58" s="64">
        <v>100.43</v>
      </c>
      <c r="L58" s="64">
        <v>27.72</v>
      </c>
      <c r="M58" s="64">
        <v>72.7</v>
      </c>
      <c r="N58" s="64">
        <v>787.1</v>
      </c>
      <c r="O58" s="64">
        <v>0</v>
      </c>
      <c r="P58" s="64">
        <v>0.52</v>
      </c>
      <c r="Q58" s="64">
        <v>23</v>
      </c>
      <c r="R58" s="198"/>
      <c r="S58" s="198"/>
      <c r="T58" s="198"/>
      <c r="U58" s="198"/>
    </row>
    <row r="59" spans="1:21" s="12" customFormat="1" x14ac:dyDescent="0.25">
      <c r="A59" s="214" t="s">
        <v>682</v>
      </c>
      <c r="B59" s="64">
        <v>4.62</v>
      </c>
      <c r="C59" s="64">
        <v>12.52</v>
      </c>
      <c r="D59" s="64">
        <v>17.14</v>
      </c>
      <c r="E59" s="64">
        <v>1.66</v>
      </c>
      <c r="F59" s="64">
        <v>3.52</v>
      </c>
      <c r="G59" s="64">
        <v>48.06</v>
      </c>
      <c r="H59" s="64">
        <v>20.79</v>
      </c>
      <c r="I59" s="64">
        <v>0.12</v>
      </c>
      <c r="J59" s="64">
        <v>1.27</v>
      </c>
      <c r="K59" s="64">
        <v>115.36</v>
      </c>
      <c r="L59" s="64">
        <v>27.65</v>
      </c>
      <c r="M59" s="64">
        <v>70.78</v>
      </c>
      <c r="N59" s="64">
        <v>803.6</v>
      </c>
      <c r="O59" s="64">
        <v>0</v>
      </c>
      <c r="P59" s="64">
        <v>0.5</v>
      </c>
      <c r="Q59" s="64">
        <v>22.92</v>
      </c>
      <c r="R59" s="198"/>
      <c r="S59" s="198"/>
      <c r="T59" s="198"/>
      <c r="U59" s="198"/>
    </row>
    <row r="60" spans="1:21" s="12" customFormat="1" x14ac:dyDescent="0.25">
      <c r="A60" s="214" t="s">
        <v>683</v>
      </c>
      <c r="B60" s="64">
        <v>4.09</v>
      </c>
      <c r="C60" s="64">
        <v>12.3</v>
      </c>
      <c r="D60" s="64">
        <v>16.38</v>
      </c>
      <c r="E60" s="64">
        <v>1.72</v>
      </c>
      <c r="F60" s="64">
        <v>9.14</v>
      </c>
      <c r="G60" s="64">
        <v>45.63</v>
      </c>
      <c r="H60" s="64">
        <v>22.88</v>
      </c>
      <c r="I60" s="64">
        <v>0.13</v>
      </c>
      <c r="J60" s="64">
        <v>1.1499999999999999</v>
      </c>
      <c r="K60" s="64">
        <v>109.5</v>
      </c>
      <c r="L60" s="64">
        <v>27.34</v>
      </c>
      <c r="M60" s="64">
        <v>71.790000000000006</v>
      </c>
      <c r="N60" s="64">
        <v>502.1</v>
      </c>
      <c r="O60" s="64">
        <v>0</v>
      </c>
      <c r="P60" s="64">
        <v>0.46</v>
      </c>
      <c r="Q60" s="64">
        <v>22.29</v>
      </c>
      <c r="R60" s="198"/>
      <c r="S60" s="198"/>
      <c r="T60" s="198"/>
      <c r="U60" s="198"/>
    </row>
    <row r="61" spans="1:21" s="12" customFormat="1" x14ac:dyDescent="0.25">
      <c r="A61" s="214" t="s">
        <v>684</v>
      </c>
      <c r="B61" s="64">
        <v>3.52</v>
      </c>
      <c r="C61" s="64">
        <v>12.81</v>
      </c>
      <c r="D61" s="64">
        <v>16.34</v>
      </c>
      <c r="E61" s="64">
        <v>1.89</v>
      </c>
      <c r="F61" s="64">
        <v>11.06</v>
      </c>
      <c r="G61" s="64">
        <v>43.5</v>
      </c>
      <c r="H61" s="64">
        <v>23.71</v>
      </c>
      <c r="I61" s="64">
        <v>0.13</v>
      </c>
      <c r="J61" s="64">
        <v>1.25</v>
      </c>
      <c r="K61" s="64">
        <v>98.06</v>
      </c>
      <c r="L61" s="64">
        <v>26.69</v>
      </c>
      <c r="M61" s="64">
        <v>73.209999999999994</v>
      </c>
      <c r="N61" s="64">
        <v>489.7</v>
      </c>
      <c r="O61" s="64">
        <v>0</v>
      </c>
      <c r="P61" s="64">
        <v>0.41</v>
      </c>
      <c r="Q61" s="64">
        <v>21.62</v>
      </c>
      <c r="R61" s="198"/>
      <c r="S61" s="198"/>
      <c r="T61" s="198"/>
      <c r="U61" s="198"/>
    </row>
    <row r="62" spans="1:21" s="12" customFormat="1" x14ac:dyDescent="0.25">
      <c r="A62" s="214" t="s">
        <v>685</v>
      </c>
      <c r="B62" s="64">
        <v>3.47</v>
      </c>
      <c r="C62" s="64">
        <v>13.6</v>
      </c>
      <c r="D62" s="64">
        <v>17.059999999999999</v>
      </c>
      <c r="E62" s="64">
        <v>1.76</v>
      </c>
      <c r="F62" s="64">
        <v>8.94</v>
      </c>
      <c r="G62" s="64">
        <v>43.5</v>
      </c>
      <c r="H62" s="64">
        <v>23.71</v>
      </c>
      <c r="I62" s="64">
        <v>0.13</v>
      </c>
      <c r="J62" s="64">
        <v>0.88</v>
      </c>
      <c r="K62" s="64">
        <v>115.83</v>
      </c>
      <c r="L62" s="64">
        <v>27.24</v>
      </c>
      <c r="M62" s="64">
        <v>71.87</v>
      </c>
      <c r="N62" s="64">
        <v>782.9</v>
      </c>
      <c r="O62" s="64">
        <v>0</v>
      </c>
      <c r="P62" s="64">
        <v>0.4</v>
      </c>
      <c r="Q62" s="64">
        <v>22.22</v>
      </c>
      <c r="R62" s="198"/>
      <c r="S62" s="198"/>
      <c r="T62" s="198"/>
      <c r="U62" s="198"/>
    </row>
    <row r="63" spans="1:21" s="12" customFormat="1" x14ac:dyDescent="0.25">
      <c r="A63" s="214" t="s">
        <v>686</v>
      </c>
      <c r="B63" s="64">
        <v>3.98</v>
      </c>
      <c r="C63" s="64">
        <v>12.65</v>
      </c>
      <c r="D63" s="64">
        <v>16.63</v>
      </c>
      <c r="E63" s="64">
        <v>2.35</v>
      </c>
      <c r="F63" s="64">
        <v>18.309999999999999</v>
      </c>
      <c r="G63" s="64">
        <v>43.5</v>
      </c>
      <c r="H63" s="64">
        <v>23.71</v>
      </c>
      <c r="I63" s="64">
        <v>0.12</v>
      </c>
      <c r="J63" s="64">
        <v>1.17</v>
      </c>
      <c r="K63" s="64">
        <v>110.93</v>
      </c>
      <c r="L63" s="64">
        <v>27.7</v>
      </c>
      <c r="M63" s="64">
        <v>69.94</v>
      </c>
      <c r="N63" s="64">
        <v>459.5</v>
      </c>
      <c r="O63" s="64">
        <v>0</v>
      </c>
      <c r="P63" s="64">
        <v>0.38</v>
      </c>
      <c r="Q63" s="64">
        <v>21.58</v>
      </c>
      <c r="R63" s="198"/>
      <c r="S63" s="198"/>
      <c r="T63" s="198"/>
      <c r="U63" s="198"/>
    </row>
    <row r="64" spans="1:21" s="12" customFormat="1" x14ac:dyDescent="0.25">
      <c r="A64" s="214" t="s">
        <v>687</v>
      </c>
      <c r="B64" s="64">
        <v>3.41</v>
      </c>
      <c r="C64" s="64">
        <v>12.69</v>
      </c>
      <c r="D64" s="64">
        <v>16.100000000000001</v>
      </c>
      <c r="E64" s="64">
        <v>1.68</v>
      </c>
      <c r="F64" s="64">
        <v>10.27</v>
      </c>
      <c r="G64" s="64">
        <v>43.16</v>
      </c>
      <c r="H64" s="64">
        <v>22.43</v>
      </c>
      <c r="I64" s="64">
        <v>0.12</v>
      </c>
      <c r="J64" s="64">
        <v>1.22</v>
      </c>
      <c r="K64" s="64">
        <v>98.19</v>
      </c>
      <c r="L64" s="64">
        <v>27.11</v>
      </c>
      <c r="M64" s="64">
        <v>71.5</v>
      </c>
      <c r="N64" s="64">
        <v>388.5</v>
      </c>
      <c r="O64" s="64">
        <v>0</v>
      </c>
      <c r="P64" s="64">
        <v>0.37</v>
      </c>
      <c r="Q64" s="64">
        <v>20.54</v>
      </c>
      <c r="R64" s="198"/>
      <c r="S64" s="198"/>
      <c r="T64" s="198"/>
      <c r="U64" s="198"/>
    </row>
    <row r="65" spans="1:21" s="12" customFormat="1" x14ac:dyDescent="0.25">
      <c r="A65" s="214" t="s">
        <v>688</v>
      </c>
      <c r="B65" s="64">
        <v>3.59</v>
      </c>
      <c r="C65" s="64">
        <v>12.96</v>
      </c>
      <c r="D65" s="64">
        <v>16.55</v>
      </c>
      <c r="E65" s="64">
        <v>1.89</v>
      </c>
      <c r="F65" s="64">
        <v>13.74</v>
      </c>
      <c r="G65" s="64">
        <v>42.87</v>
      </c>
      <c r="H65" s="64">
        <v>21.92</v>
      </c>
      <c r="I65" s="64">
        <v>0.11</v>
      </c>
      <c r="J65" s="64">
        <v>0.89</v>
      </c>
      <c r="K65" s="64">
        <v>100.44</v>
      </c>
      <c r="L65" s="64">
        <v>26.93</v>
      </c>
      <c r="M65" s="64">
        <v>72.569999999999993</v>
      </c>
      <c r="N65" s="64">
        <v>342</v>
      </c>
      <c r="O65" s="64">
        <v>0</v>
      </c>
      <c r="P65" s="64">
        <v>0.36</v>
      </c>
      <c r="Q65" s="64">
        <v>21.04</v>
      </c>
      <c r="R65" s="198"/>
      <c r="S65" s="198"/>
      <c r="T65" s="198"/>
      <c r="U65" s="198"/>
    </row>
    <row r="66" spans="1:21" s="12" customFormat="1" x14ac:dyDescent="0.25">
      <c r="A66" s="214" t="s">
        <v>689</v>
      </c>
      <c r="B66" s="64">
        <v>3.83</v>
      </c>
      <c r="C66" s="64">
        <v>12.41</v>
      </c>
      <c r="D66" s="64">
        <v>16.239999999999998</v>
      </c>
      <c r="E66" s="64">
        <v>1.67</v>
      </c>
      <c r="F66" s="64">
        <v>3.63</v>
      </c>
      <c r="G66" s="64">
        <v>42.87</v>
      </c>
      <c r="H66" s="64">
        <v>21.92</v>
      </c>
      <c r="I66" s="64">
        <v>0.12</v>
      </c>
      <c r="J66" s="64">
        <v>0.42</v>
      </c>
      <c r="K66" s="64">
        <v>172.32</v>
      </c>
      <c r="L66" s="64">
        <v>27.57</v>
      </c>
      <c r="M66" s="64">
        <v>71.23</v>
      </c>
      <c r="N66" s="64">
        <v>369.9</v>
      </c>
      <c r="O66" s="64">
        <v>0</v>
      </c>
      <c r="P66" s="64">
        <v>0.35</v>
      </c>
      <c r="Q66" s="64">
        <v>21.08</v>
      </c>
      <c r="R66" s="198"/>
      <c r="S66" s="198"/>
      <c r="T66" s="198"/>
      <c r="U66" s="198"/>
    </row>
    <row r="67" spans="1:21" s="12" customFormat="1" x14ac:dyDescent="0.25">
      <c r="A67" s="214" t="s">
        <v>690</v>
      </c>
      <c r="B67" s="64">
        <v>3.7</v>
      </c>
      <c r="C67" s="64">
        <v>11.35</v>
      </c>
      <c r="D67" s="64">
        <v>15.05</v>
      </c>
      <c r="E67" s="64">
        <v>2.0299999999999998</v>
      </c>
      <c r="F67" s="64">
        <v>9.41</v>
      </c>
      <c r="G67" s="64">
        <v>42.87</v>
      </c>
      <c r="H67" s="64">
        <v>21.92</v>
      </c>
      <c r="I67" s="64">
        <v>0.13</v>
      </c>
      <c r="J67" s="64">
        <v>0.44</v>
      </c>
      <c r="K67" s="64">
        <v>130.22</v>
      </c>
      <c r="L67" s="64">
        <v>27.46</v>
      </c>
      <c r="M67" s="64">
        <v>71.930000000000007</v>
      </c>
      <c r="N67" s="64">
        <v>289.89999999999998</v>
      </c>
      <c r="O67" s="64">
        <v>0</v>
      </c>
      <c r="P67" s="64">
        <v>0.35</v>
      </c>
      <c r="Q67" s="64">
        <v>20.54</v>
      </c>
      <c r="R67" s="198"/>
      <c r="S67" s="198"/>
      <c r="T67" s="198"/>
      <c r="U67" s="198"/>
    </row>
    <row r="68" spans="1:21" s="12" customFormat="1" x14ac:dyDescent="0.25">
      <c r="A68" s="214" t="s">
        <v>691</v>
      </c>
      <c r="B68" s="64">
        <v>3.77</v>
      </c>
      <c r="C68" s="64">
        <v>10.98</v>
      </c>
      <c r="D68" s="64">
        <v>14.75</v>
      </c>
      <c r="E68" s="64">
        <v>2.4500000000000002</v>
      </c>
      <c r="F68" s="64">
        <v>5.43</v>
      </c>
      <c r="G68" s="64">
        <v>40.89</v>
      </c>
      <c r="H68" s="64">
        <v>21.86</v>
      </c>
      <c r="I68" s="64">
        <v>0.14000000000000001</v>
      </c>
      <c r="J68" s="64">
        <v>0.86</v>
      </c>
      <c r="K68" s="64">
        <v>154.9</v>
      </c>
      <c r="L68" s="64">
        <v>27.35</v>
      </c>
      <c r="M68" s="64">
        <v>73.41</v>
      </c>
      <c r="N68" s="64">
        <v>319.39999999999998</v>
      </c>
      <c r="O68" s="64">
        <v>0</v>
      </c>
      <c r="P68" s="64">
        <v>0.35</v>
      </c>
      <c r="Q68" s="64">
        <v>19.899999999999999</v>
      </c>
      <c r="R68" s="198"/>
      <c r="S68" s="198"/>
      <c r="T68" s="198"/>
      <c r="U68" s="198"/>
    </row>
    <row r="69" spans="1:21" s="12" customFormat="1" x14ac:dyDescent="0.25">
      <c r="A69" s="214" t="s">
        <v>692</v>
      </c>
      <c r="B69" s="64">
        <v>3.83</v>
      </c>
      <c r="C69" s="64">
        <v>11.56</v>
      </c>
      <c r="D69" s="64">
        <v>15.39</v>
      </c>
      <c r="E69" s="64">
        <v>2.4500000000000002</v>
      </c>
      <c r="F69" s="64">
        <v>6</v>
      </c>
      <c r="G69" s="64">
        <v>39.159999999999997</v>
      </c>
      <c r="H69" s="64">
        <v>21.82</v>
      </c>
      <c r="I69" s="64">
        <v>0.13</v>
      </c>
      <c r="J69" s="64">
        <v>1.18</v>
      </c>
      <c r="K69" s="64">
        <v>105.73</v>
      </c>
      <c r="L69" s="64">
        <v>27.17</v>
      </c>
      <c r="M69" s="64">
        <v>75.319999999999993</v>
      </c>
      <c r="N69" s="64">
        <v>281</v>
      </c>
      <c r="O69" s="64">
        <v>0</v>
      </c>
      <c r="P69" s="64">
        <v>0.35</v>
      </c>
      <c r="Q69" s="64">
        <v>19.11</v>
      </c>
      <c r="R69" s="198"/>
      <c r="S69" s="198"/>
      <c r="T69" s="198"/>
      <c r="U69" s="198"/>
    </row>
    <row r="70" spans="1:21" s="12" customFormat="1" x14ac:dyDescent="0.25">
      <c r="A70" s="214" t="s">
        <v>693</v>
      </c>
      <c r="B70" s="64">
        <v>3.79</v>
      </c>
      <c r="C70" s="64">
        <v>10.97</v>
      </c>
      <c r="D70" s="64">
        <v>14.75</v>
      </c>
      <c r="E70" s="64">
        <v>2.41</v>
      </c>
      <c r="F70" s="64">
        <v>6.23</v>
      </c>
      <c r="G70" s="64">
        <v>39.159999999999997</v>
      </c>
      <c r="H70" s="64">
        <v>21.82</v>
      </c>
      <c r="I70" s="64">
        <v>0.12</v>
      </c>
      <c r="J70" s="64">
        <v>1.47</v>
      </c>
      <c r="K70" s="64">
        <v>104.95</v>
      </c>
      <c r="L70" s="64">
        <v>26.77</v>
      </c>
      <c r="M70" s="64">
        <v>74.790000000000006</v>
      </c>
      <c r="N70" s="64">
        <v>218.8</v>
      </c>
      <c r="O70" s="64">
        <v>0</v>
      </c>
      <c r="P70" s="64">
        <v>0.34</v>
      </c>
      <c r="Q70" s="64">
        <v>18.670000000000002</v>
      </c>
      <c r="R70" s="198"/>
      <c r="S70" s="198"/>
      <c r="T70" s="198"/>
      <c r="U70" s="198"/>
    </row>
    <row r="71" spans="1:21" s="12" customFormat="1" x14ac:dyDescent="0.25">
      <c r="A71" s="214" t="s">
        <v>694</v>
      </c>
      <c r="B71" s="64">
        <v>3.67</v>
      </c>
      <c r="C71" s="64">
        <v>10.43</v>
      </c>
      <c r="D71" s="64">
        <v>14.11</v>
      </c>
      <c r="E71" s="64">
        <v>2.21</v>
      </c>
      <c r="F71" s="64">
        <v>6.98</v>
      </c>
      <c r="G71" s="64">
        <v>39.159999999999997</v>
      </c>
      <c r="H71" s="64">
        <v>21.82</v>
      </c>
      <c r="I71" s="64">
        <v>0.12</v>
      </c>
      <c r="J71" s="64">
        <v>1.1299999999999999</v>
      </c>
      <c r="K71" s="64">
        <v>104.75</v>
      </c>
      <c r="L71" s="64">
        <v>26.84</v>
      </c>
      <c r="M71" s="64">
        <v>73.28</v>
      </c>
      <c r="N71" s="64">
        <v>192.2</v>
      </c>
      <c r="O71" s="64">
        <v>0</v>
      </c>
      <c r="P71" s="64">
        <v>0.34</v>
      </c>
      <c r="Q71" s="64">
        <v>19.16</v>
      </c>
      <c r="R71" s="198"/>
      <c r="S71" s="198"/>
      <c r="T71" s="198"/>
      <c r="U71" s="198"/>
    </row>
    <row r="72" spans="1:21" s="12" customFormat="1" x14ac:dyDescent="0.25">
      <c r="A72" s="214" t="s">
        <v>695</v>
      </c>
      <c r="B72" s="64">
        <v>3.75</v>
      </c>
      <c r="C72" s="64">
        <v>11.83</v>
      </c>
      <c r="D72" s="64">
        <v>15.58</v>
      </c>
      <c r="E72" s="64">
        <v>2</v>
      </c>
      <c r="F72" s="64">
        <v>8.7200000000000006</v>
      </c>
      <c r="G72" s="64">
        <v>38.58</v>
      </c>
      <c r="H72" s="64">
        <v>19.64</v>
      </c>
      <c r="I72" s="64">
        <v>0.12</v>
      </c>
      <c r="J72" s="64">
        <v>0.74</v>
      </c>
      <c r="K72" s="64">
        <v>98.47</v>
      </c>
      <c r="L72" s="64">
        <v>26.88</v>
      </c>
      <c r="M72" s="64">
        <v>72.900000000000006</v>
      </c>
      <c r="N72" s="64">
        <v>157.80000000000001</v>
      </c>
      <c r="O72" s="64">
        <v>0</v>
      </c>
      <c r="P72" s="64">
        <v>0.33</v>
      </c>
      <c r="Q72" s="64">
        <v>20.05</v>
      </c>
      <c r="R72" s="198"/>
      <c r="S72" s="198"/>
      <c r="T72" s="198"/>
      <c r="U72" s="198"/>
    </row>
    <row r="73" spans="1:21" s="12" customFormat="1" x14ac:dyDescent="0.25">
      <c r="A73" s="214" t="s">
        <v>696</v>
      </c>
      <c r="B73" s="64">
        <v>3.74</v>
      </c>
      <c r="C73" s="64">
        <v>12.68</v>
      </c>
      <c r="D73" s="64">
        <v>16.420000000000002</v>
      </c>
      <c r="E73" s="64">
        <v>3.16</v>
      </c>
      <c r="F73" s="64">
        <v>19.78</v>
      </c>
      <c r="G73" s="64">
        <v>38.08</v>
      </c>
      <c r="H73" s="64">
        <v>18.760000000000002</v>
      </c>
      <c r="I73" s="64">
        <v>0.13</v>
      </c>
      <c r="J73" s="64">
        <v>1.08</v>
      </c>
      <c r="K73" s="64">
        <v>106.8</v>
      </c>
      <c r="L73" s="64">
        <v>26.83</v>
      </c>
      <c r="M73" s="64">
        <v>72.790000000000006</v>
      </c>
      <c r="N73" s="64">
        <v>146.4</v>
      </c>
      <c r="O73" s="64">
        <v>0</v>
      </c>
      <c r="P73" s="64">
        <v>0.33</v>
      </c>
      <c r="Q73" s="64">
        <v>20.87</v>
      </c>
      <c r="R73" s="198"/>
      <c r="S73" s="198"/>
      <c r="T73" s="198"/>
      <c r="U73" s="198"/>
    </row>
    <row r="74" spans="1:21" s="12" customFormat="1" x14ac:dyDescent="0.25">
      <c r="A74" s="214" t="s">
        <v>697</v>
      </c>
      <c r="B74" s="64">
        <v>3.34</v>
      </c>
      <c r="C74" s="64">
        <v>12.85</v>
      </c>
      <c r="D74" s="64">
        <v>16.18</v>
      </c>
      <c r="E74" s="64">
        <v>3.1</v>
      </c>
      <c r="F74" s="64">
        <v>26.15</v>
      </c>
      <c r="G74" s="64">
        <v>38.08</v>
      </c>
      <c r="H74" s="64">
        <v>18.760000000000002</v>
      </c>
      <c r="I74" s="64">
        <v>0.12</v>
      </c>
      <c r="J74" s="64">
        <v>1.06</v>
      </c>
      <c r="K74" s="64">
        <v>107.79</v>
      </c>
      <c r="L74" s="64">
        <v>26.75</v>
      </c>
      <c r="M74" s="64">
        <v>75.22</v>
      </c>
      <c r="N74" s="64">
        <v>137.9</v>
      </c>
      <c r="O74" s="64">
        <v>0</v>
      </c>
      <c r="P74" s="64">
        <v>0.32</v>
      </c>
      <c r="Q74" s="64">
        <v>21.14</v>
      </c>
      <c r="R74" s="198"/>
      <c r="S74" s="198"/>
      <c r="T74" s="198"/>
      <c r="U74" s="198"/>
    </row>
    <row r="75" spans="1:21" s="12" customFormat="1" x14ac:dyDescent="0.25">
      <c r="A75" s="214" t="s">
        <v>698</v>
      </c>
      <c r="B75" s="64">
        <v>3.52</v>
      </c>
      <c r="C75" s="64">
        <v>15.82</v>
      </c>
      <c r="D75" s="64">
        <v>19.329999999999998</v>
      </c>
      <c r="E75" s="64">
        <v>2.93</v>
      </c>
      <c r="F75" s="64">
        <v>16.010000000000002</v>
      </c>
      <c r="G75" s="64">
        <v>38.08</v>
      </c>
      <c r="H75" s="64">
        <v>18.760000000000002</v>
      </c>
      <c r="I75" s="64">
        <v>0.12</v>
      </c>
      <c r="J75" s="64">
        <v>1.02</v>
      </c>
      <c r="K75" s="64">
        <v>99.78</v>
      </c>
      <c r="L75" s="64">
        <v>26.69</v>
      </c>
      <c r="M75" s="64">
        <v>76.760000000000005</v>
      </c>
      <c r="N75" s="64">
        <v>114</v>
      </c>
      <c r="O75" s="64">
        <v>0</v>
      </c>
      <c r="P75" s="64">
        <v>0.33</v>
      </c>
      <c r="Q75" s="64">
        <v>20.07</v>
      </c>
      <c r="R75" s="198"/>
      <c r="S75" s="198"/>
      <c r="T75" s="198"/>
      <c r="U75" s="198"/>
    </row>
    <row r="76" spans="1:21" s="12" customFormat="1" x14ac:dyDescent="0.25">
      <c r="A76" s="214" t="s">
        <v>699</v>
      </c>
      <c r="B76" s="64">
        <v>3.47</v>
      </c>
      <c r="C76" s="64">
        <v>15.65</v>
      </c>
      <c r="D76" s="64">
        <v>19.13</v>
      </c>
      <c r="E76" s="64">
        <v>2.77</v>
      </c>
      <c r="F76" s="64">
        <v>21.84</v>
      </c>
      <c r="G76" s="64">
        <v>37.79</v>
      </c>
      <c r="H76" s="64">
        <v>18.57</v>
      </c>
      <c r="I76" s="64">
        <v>0.11</v>
      </c>
      <c r="J76" s="64">
        <v>0.89</v>
      </c>
      <c r="K76" s="64">
        <v>106.46</v>
      </c>
      <c r="L76" s="64">
        <v>26.65</v>
      </c>
      <c r="M76" s="64">
        <v>77.650000000000006</v>
      </c>
      <c r="N76" s="64">
        <v>104</v>
      </c>
      <c r="O76" s="64">
        <v>0</v>
      </c>
      <c r="P76" s="64">
        <v>0.31</v>
      </c>
      <c r="Q76" s="64">
        <v>20.13</v>
      </c>
      <c r="R76" s="198"/>
      <c r="S76" s="198"/>
      <c r="T76" s="198"/>
      <c r="U76" s="198"/>
    </row>
    <row r="77" spans="1:21" s="12" customFormat="1" x14ac:dyDescent="0.25">
      <c r="A77" s="214" t="s">
        <v>700</v>
      </c>
      <c r="B77" s="64">
        <v>4.9000000000000004</v>
      </c>
      <c r="C77" s="64">
        <v>20.14</v>
      </c>
      <c r="D77" s="64">
        <v>25.04</v>
      </c>
      <c r="E77" s="64">
        <v>2.97</v>
      </c>
      <c r="F77" s="64">
        <v>18.84</v>
      </c>
      <c r="G77" s="64">
        <v>37.54</v>
      </c>
      <c r="H77" s="64">
        <v>18.5</v>
      </c>
      <c r="I77" s="64">
        <v>0.12</v>
      </c>
      <c r="J77" s="64">
        <v>0.69</v>
      </c>
      <c r="K77" s="64">
        <v>101.83</v>
      </c>
      <c r="L77" s="64">
        <v>26.47</v>
      </c>
      <c r="M77" s="64">
        <v>81.73</v>
      </c>
      <c r="N77" s="64">
        <v>61.9</v>
      </c>
      <c r="O77" s="64">
        <v>0</v>
      </c>
      <c r="P77" s="64">
        <v>0.43</v>
      </c>
      <c r="Q77" s="64">
        <v>20.12</v>
      </c>
      <c r="R77" s="198"/>
      <c r="S77" s="198"/>
      <c r="T77" s="198"/>
      <c r="U77" s="198"/>
    </row>
    <row r="78" spans="1:21" s="12" customFormat="1" x14ac:dyDescent="0.25">
      <c r="A78" s="214" t="s">
        <v>701</v>
      </c>
      <c r="B78" s="64">
        <v>11.07</v>
      </c>
      <c r="C78" s="64">
        <v>31.65</v>
      </c>
      <c r="D78" s="64">
        <v>42.72</v>
      </c>
      <c r="E78" s="64">
        <v>3</v>
      </c>
      <c r="F78" s="64">
        <v>11.56</v>
      </c>
      <c r="G78" s="64">
        <v>37.54</v>
      </c>
      <c r="H78" s="64">
        <v>18.5</v>
      </c>
      <c r="I78" s="64">
        <v>0.12</v>
      </c>
      <c r="J78" s="64">
        <v>0.22</v>
      </c>
      <c r="K78" s="64">
        <v>87.33</v>
      </c>
      <c r="L78" s="64">
        <v>26.36</v>
      </c>
      <c r="M78" s="64">
        <v>82.59</v>
      </c>
      <c r="N78" s="64">
        <v>51.7</v>
      </c>
      <c r="O78" s="64">
        <v>0</v>
      </c>
      <c r="P78" s="64">
        <v>0.64</v>
      </c>
      <c r="Q78" s="64">
        <v>19.04</v>
      </c>
      <c r="R78" s="198"/>
      <c r="S78" s="198"/>
      <c r="T78" s="198"/>
      <c r="U78" s="198"/>
    </row>
    <row r="79" spans="1:21" s="12" customFormat="1" x14ac:dyDescent="0.25">
      <c r="A79" s="214" t="s">
        <v>702</v>
      </c>
      <c r="B79" s="64">
        <v>9.14</v>
      </c>
      <c r="C79" s="64">
        <v>32.42</v>
      </c>
      <c r="D79" s="64">
        <v>41.56</v>
      </c>
      <c r="E79" s="64">
        <v>3.43</v>
      </c>
      <c r="F79" s="64">
        <v>12.91</v>
      </c>
      <c r="G79" s="64">
        <v>37.54</v>
      </c>
      <c r="H79" s="64">
        <v>18.5</v>
      </c>
      <c r="I79" s="64">
        <v>0.11</v>
      </c>
      <c r="J79" s="64">
        <v>0.27</v>
      </c>
      <c r="K79" s="64">
        <v>89.97</v>
      </c>
      <c r="L79" s="64">
        <v>26.27</v>
      </c>
      <c r="M79" s="64">
        <v>82.63</v>
      </c>
      <c r="N79" s="64">
        <v>39.4</v>
      </c>
      <c r="O79" s="64">
        <v>0</v>
      </c>
      <c r="P79" s="64">
        <v>0.79</v>
      </c>
      <c r="Q79" s="64">
        <v>16.5</v>
      </c>
      <c r="R79" s="198"/>
      <c r="S79" s="198"/>
      <c r="T79" s="198"/>
      <c r="U79" s="198"/>
    </row>
    <row r="80" spans="1:21" s="12" customFormat="1" x14ac:dyDescent="0.25">
      <c r="A80" s="214" t="s">
        <v>703</v>
      </c>
      <c r="B80" s="64">
        <v>17.88</v>
      </c>
      <c r="C80" s="64">
        <v>46.53</v>
      </c>
      <c r="D80" s="64">
        <v>64.41</v>
      </c>
      <c r="E80" s="64">
        <v>2.91</v>
      </c>
      <c r="F80" s="64">
        <v>11.09</v>
      </c>
      <c r="G80" s="64">
        <v>41.88</v>
      </c>
      <c r="H80" s="64">
        <v>19.72</v>
      </c>
      <c r="I80" s="64">
        <v>0.11</v>
      </c>
      <c r="J80" s="64">
        <v>0.12</v>
      </c>
      <c r="K80" s="64">
        <v>331.76</v>
      </c>
      <c r="L80" s="64">
        <v>26.16</v>
      </c>
      <c r="M80" s="64">
        <v>84.3</v>
      </c>
      <c r="N80" s="64">
        <v>20.9</v>
      </c>
      <c r="O80" s="64">
        <v>0</v>
      </c>
      <c r="P80" s="64">
        <v>1.32</v>
      </c>
      <c r="Q80" s="64">
        <v>16.059999999999999</v>
      </c>
      <c r="R80" s="198"/>
      <c r="S80" s="198"/>
      <c r="T80" s="198"/>
      <c r="U80" s="198"/>
    </row>
    <row r="81" spans="1:26" s="12" customFormat="1" x14ac:dyDescent="0.25">
      <c r="A81" s="214" t="s">
        <v>704</v>
      </c>
      <c r="B81" s="64">
        <v>12.02</v>
      </c>
      <c r="C81" s="64">
        <v>33.06</v>
      </c>
      <c r="D81" s="64">
        <v>45.07</v>
      </c>
      <c r="E81" s="64">
        <v>3.75</v>
      </c>
      <c r="F81" s="64">
        <v>9.34</v>
      </c>
      <c r="G81" s="64">
        <v>45.68</v>
      </c>
      <c r="H81" s="64">
        <v>20.69</v>
      </c>
      <c r="I81" s="64">
        <v>0.11</v>
      </c>
      <c r="J81" s="64">
        <v>0.31</v>
      </c>
      <c r="K81" s="64">
        <v>102.86</v>
      </c>
      <c r="L81" s="64">
        <v>26.05</v>
      </c>
      <c r="M81" s="64">
        <v>83.35</v>
      </c>
      <c r="N81" s="64">
        <v>9.5</v>
      </c>
      <c r="O81" s="64">
        <v>0</v>
      </c>
      <c r="P81" s="64">
        <v>0.89</v>
      </c>
      <c r="Q81" s="64">
        <v>15.31</v>
      </c>
      <c r="R81" s="198"/>
      <c r="S81" s="198"/>
      <c r="T81" s="198"/>
      <c r="U81" s="198"/>
    </row>
    <row r="82" spans="1:26" s="12" customFormat="1" x14ac:dyDescent="0.25">
      <c r="A82" s="214" t="s">
        <v>705</v>
      </c>
      <c r="B82" s="64">
        <v>5.8</v>
      </c>
      <c r="C82" s="64">
        <v>28.28</v>
      </c>
      <c r="D82" s="64">
        <v>34.08</v>
      </c>
      <c r="E82" s="64">
        <v>2.39</v>
      </c>
      <c r="F82" s="64">
        <v>17.52</v>
      </c>
      <c r="G82" s="64">
        <v>45.68</v>
      </c>
      <c r="H82" s="64">
        <v>20.69</v>
      </c>
      <c r="I82" s="64">
        <v>0.11</v>
      </c>
      <c r="J82" s="64">
        <v>0.26</v>
      </c>
      <c r="K82" s="64">
        <v>95.1</v>
      </c>
      <c r="L82" s="64">
        <v>25.73</v>
      </c>
      <c r="M82" s="64">
        <v>85.02</v>
      </c>
      <c r="N82" s="64">
        <v>7.7</v>
      </c>
      <c r="O82" s="64">
        <v>0</v>
      </c>
      <c r="P82" s="64">
        <v>0.67</v>
      </c>
      <c r="Q82" s="64">
        <v>17.89</v>
      </c>
      <c r="R82" s="198"/>
      <c r="S82" s="198"/>
      <c r="T82" s="198"/>
      <c r="U82" s="198"/>
    </row>
    <row r="83" spans="1:26" s="12" customFormat="1" x14ac:dyDescent="0.25">
      <c r="A83" s="214" t="s">
        <v>706</v>
      </c>
      <c r="B83" s="64">
        <v>14.69</v>
      </c>
      <c r="C83" s="64">
        <v>46.39</v>
      </c>
      <c r="D83" s="64">
        <v>61.08</v>
      </c>
      <c r="E83" s="64">
        <v>2.9</v>
      </c>
      <c r="F83" s="64">
        <v>9.59</v>
      </c>
      <c r="G83" s="64">
        <v>45.68</v>
      </c>
      <c r="H83" s="64">
        <v>20.69</v>
      </c>
      <c r="I83" s="64">
        <v>0.11</v>
      </c>
      <c r="J83" s="64">
        <v>0.13</v>
      </c>
      <c r="K83" s="64">
        <v>72.8</v>
      </c>
      <c r="L83" s="64">
        <v>25.56</v>
      </c>
      <c r="M83" s="64">
        <v>87.11</v>
      </c>
      <c r="N83" s="64">
        <v>7.6</v>
      </c>
      <c r="O83" s="64">
        <v>0</v>
      </c>
      <c r="P83" s="64">
        <v>1.26</v>
      </c>
      <c r="Q83" s="64">
        <v>17.05</v>
      </c>
      <c r="R83" s="198"/>
      <c r="S83" s="198"/>
      <c r="T83" s="198"/>
      <c r="U83" s="198"/>
    </row>
    <row r="84" spans="1:26" s="12" customFormat="1" x14ac:dyDescent="0.25">
      <c r="A84" s="214" t="s">
        <v>707</v>
      </c>
      <c r="B84" s="64">
        <v>22.98</v>
      </c>
      <c r="C84" s="64">
        <v>41.74</v>
      </c>
      <c r="D84" s="64">
        <v>64.709999999999994</v>
      </c>
      <c r="E84" s="64">
        <v>3.46</v>
      </c>
      <c r="F84" s="64">
        <v>7.22</v>
      </c>
      <c r="G84" s="64">
        <v>54.73</v>
      </c>
      <c r="H84" s="64">
        <v>22.47</v>
      </c>
      <c r="I84" s="64">
        <v>0.11</v>
      </c>
      <c r="J84" s="64">
        <v>0.04</v>
      </c>
      <c r="K84" s="64">
        <v>345.26</v>
      </c>
      <c r="L84" s="64">
        <v>25.43</v>
      </c>
      <c r="M84" s="64">
        <v>87.89</v>
      </c>
      <c r="N84" s="64">
        <v>7.6</v>
      </c>
      <c r="O84" s="64">
        <v>0</v>
      </c>
      <c r="P84" s="64">
        <v>1.44</v>
      </c>
      <c r="Q84" s="64">
        <v>14.93</v>
      </c>
      <c r="R84" s="198"/>
      <c r="S84" s="198"/>
      <c r="T84" s="198"/>
      <c r="U84" s="198"/>
    </row>
    <row r="85" spans="1:26" s="12" customFormat="1" x14ac:dyDescent="0.25">
      <c r="A85" s="214" t="s">
        <v>708</v>
      </c>
      <c r="B85" s="64">
        <v>13.21</v>
      </c>
      <c r="C85" s="64">
        <v>47.23</v>
      </c>
      <c r="D85" s="64">
        <v>60.44</v>
      </c>
      <c r="E85" s="64">
        <v>3.35</v>
      </c>
      <c r="F85" s="64">
        <v>8.5299999999999994</v>
      </c>
      <c r="G85" s="64">
        <v>62.64</v>
      </c>
      <c r="H85" s="64">
        <v>23.2</v>
      </c>
      <c r="I85" s="64">
        <v>0.12</v>
      </c>
      <c r="J85" s="64">
        <v>0.13</v>
      </c>
      <c r="K85" s="64">
        <v>95.73</v>
      </c>
      <c r="L85" s="64">
        <v>25.25</v>
      </c>
      <c r="M85" s="64">
        <v>89.42</v>
      </c>
      <c r="N85" s="64">
        <v>7.5</v>
      </c>
      <c r="O85" s="64">
        <v>0</v>
      </c>
      <c r="P85" s="64">
        <v>1.49</v>
      </c>
      <c r="Q85" s="64">
        <v>14.39</v>
      </c>
      <c r="R85" s="198"/>
      <c r="S85" s="198"/>
      <c r="T85" s="198"/>
      <c r="U85" s="198"/>
    </row>
    <row r="86" spans="1:26" s="12" customFormat="1" x14ac:dyDescent="0.25">
      <c r="A86" s="214" t="s">
        <v>709</v>
      </c>
      <c r="B86" s="64">
        <v>17.260000000000002</v>
      </c>
      <c r="C86" s="64">
        <v>48.6</v>
      </c>
      <c r="D86" s="64">
        <v>65.86</v>
      </c>
      <c r="E86" s="64">
        <v>3.36</v>
      </c>
      <c r="F86" s="64">
        <v>8.4700000000000006</v>
      </c>
      <c r="G86" s="64">
        <v>62.64</v>
      </c>
      <c r="H86" s="64">
        <v>23.2</v>
      </c>
      <c r="I86" s="64">
        <v>0.11</v>
      </c>
      <c r="J86" s="64">
        <v>0.17</v>
      </c>
      <c r="K86" s="64">
        <v>89.27</v>
      </c>
      <c r="L86" s="64">
        <v>25.12</v>
      </c>
      <c r="M86" s="64">
        <v>91.2</v>
      </c>
      <c r="N86" s="64">
        <v>7.5</v>
      </c>
      <c r="O86" s="64">
        <v>0</v>
      </c>
      <c r="P86" s="64">
        <v>1.39</v>
      </c>
      <c r="Q86" s="64">
        <v>17.21</v>
      </c>
      <c r="R86" s="198"/>
      <c r="S86" s="198"/>
      <c r="T86" s="198"/>
      <c r="U86" s="198"/>
    </row>
    <row r="87" spans="1:26" s="12" customFormat="1" x14ac:dyDescent="0.25">
      <c r="A87" s="214" t="s">
        <v>710</v>
      </c>
      <c r="B87" s="64">
        <v>11.06</v>
      </c>
      <c r="C87" s="64">
        <v>34.29</v>
      </c>
      <c r="D87" s="64">
        <v>45.35</v>
      </c>
      <c r="E87" s="64">
        <v>3.01</v>
      </c>
      <c r="F87" s="64">
        <v>8.86</v>
      </c>
      <c r="G87" s="64">
        <v>62.64</v>
      </c>
      <c r="H87" s="64">
        <v>23.2</v>
      </c>
      <c r="I87" s="64">
        <v>0.11</v>
      </c>
      <c r="J87" s="64">
        <v>0.26</v>
      </c>
      <c r="K87" s="64">
        <v>88.35</v>
      </c>
      <c r="L87" s="64">
        <v>25.04</v>
      </c>
      <c r="M87" s="64">
        <v>93.01</v>
      </c>
      <c r="N87" s="64">
        <v>7.5</v>
      </c>
      <c r="O87" s="64">
        <v>0</v>
      </c>
      <c r="P87" s="64">
        <v>1.1499999999999999</v>
      </c>
      <c r="Q87" s="64">
        <v>18.36</v>
      </c>
      <c r="R87" s="198"/>
      <c r="S87" s="198"/>
      <c r="T87" s="198"/>
      <c r="U87" s="198"/>
    </row>
    <row r="88" spans="1:26" s="12" customFormat="1" x14ac:dyDescent="0.25">
      <c r="A88" s="214" t="s">
        <v>711</v>
      </c>
      <c r="B88" s="64">
        <v>14.34</v>
      </c>
      <c r="C88" s="64">
        <v>39.46</v>
      </c>
      <c r="D88" s="64">
        <v>53.8</v>
      </c>
      <c r="E88" s="64">
        <v>0.43</v>
      </c>
      <c r="F88" s="64">
        <v>10.52</v>
      </c>
      <c r="G88" s="64">
        <v>69.040000000000006</v>
      </c>
      <c r="H88" s="64">
        <v>22.67</v>
      </c>
      <c r="I88" s="64">
        <v>0.11</v>
      </c>
      <c r="J88" s="64">
        <v>0.2</v>
      </c>
      <c r="K88" s="64">
        <v>99.14</v>
      </c>
      <c r="L88" s="64">
        <v>24.89</v>
      </c>
      <c r="M88" s="64">
        <v>93.73</v>
      </c>
      <c r="N88" s="64">
        <v>7.6</v>
      </c>
      <c r="O88" s="64">
        <v>0</v>
      </c>
      <c r="P88" s="64">
        <v>1.56</v>
      </c>
      <c r="Q88" s="64">
        <v>19.04</v>
      </c>
      <c r="R88" s="198"/>
      <c r="S88" s="198"/>
      <c r="T88" s="198"/>
      <c r="U88" s="198"/>
    </row>
    <row r="89" spans="1:26" s="12" customFormat="1" x14ac:dyDescent="0.25">
      <c r="A89" s="214" t="s">
        <v>712</v>
      </c>
      <c r="B89" s="64">
        <v>10.79</v>
      </c>
      <c r="C89" s="64">
        <v>32.090000000000003</v>
      </c>
      <c r="D89" s="64">
        <v>42.88</v>
      </c>
      <c r="E89" s="64">
        <v>1.41</v>
      </c>
      <c r="F89" s="64">
        <v>4.83</v>
      </c>
      <c r="G89" s="64">
        <v>74.64</v>
      </c>
      <c r="H89" s="64">
        <v>22.45</v>
      </c>
      <c r="I89" s="64">
        <v>0.11</v>
      </c>
      <c r="J89" s="64">
        <v>0.05</v>
      </c>
      <c r="K89" s="64">
        <v>49.79</v>
      </c>
      <c r="L89" s="64">
        <v>24.74</v>
      </c>
      <c r="M89" s="64">
        <v>95.58</v>
      </c>
      <c r="N89" s="64">
        <v>7.5</v>
      </c>
      <c r="O89" s="64">
        <v>0</v>
      </c>
      <c r="P89" s="64">
        <v>1.28</v>
      </c>
      <c r="Q89" s="64">
        <v>18.75</v>
      </c>
      <c r="R89" s="198"/>
      <c r="S89" s="198"/>
      <c r="T89" s="198"/>
      <c r="U89" s="198"/>
    </row>
    <row r="90" spans="1:26" s="12" customFormat="1" x14ac:dyDescent="0.25">
      <c r="A90" s="214" t="s">
        <v>713</v>
      </c>
      <c r="B90" s="64">
        <v>19.73</v>
      </c>
      <c r="C90" s="64">
        <v>32.89</v>
      </c>
      <c r="D90" s="64">
        <v>52.6</v>
      </c>
      <c r="E90" s="64">
        <v>1.31</v>
      </c>
      <c r="F90" s="64">
        <v>6.44</v>
      </c>
      <c r="G90" s="64">
        <v>74.64</v>
      </c>
      <c r="H90" s="64">
        <v>22.45</v>
      </c>
      <c r="I90" s="64">
        <v>0.12</v>
      </c>
      <c r="J90" s="64">
        <v>0.1</v>
      </c>
      <c r="K90" s="64">
        <v>354.21</v>
      </c>
      <c r="L90" s="64">
        <v>24.76</v>
      </c>
      <c r="M90" s="64">
        <v>96.29</v>
      </c>
      <c r="N90" s="64">
        <v>7.3</v>
      </c>
      <c r="O90" s="64">
        <v>0</v>
      </c>
      <c r="P90" s="64">
        <v>1.43</v>
      </c>
      <c r="Q90" s="64">
        <v>18.57</v>
      </c>
      <c r="R90" s="198"/>
      <c r="S90" s="198"/>
      <c r="T90" s="198"/>
      <c r="U90" s="198"/>
    </row>
    <row r="91" spans="1:26" s="12" customFormat="1" x14ac:dyDescent="0.25">
      <c r="A91" s="214" t="s">
        <v>714</v>
      </c>
      <c r="B91" s="64">
        <v>19.45</v>
      </c>
      <c r="C91" s="64">
        <v>29.48</v>
      </c>
      <c r="D91" s="64">
        <v>48.93</v>
      </c>
      <c r="E91" s="64">
        <v>1.3</v>
      </c>
      <c r="F91" s="64">
        <v>6.14</v>
      </c>
      <c r="G91" s="64">
        <v>74.64</v>
      </c>
      <c r="H91" s="64">
        <v>22.45</v>
      </c>
      <c r="I91" s="64">
        <v>0.12</v>
      </c>
      <c r="J91" s="64">
        <v>0.31</v>
      </c>
      <c r="K91" s="64">
        <v>97.43</v>
      </c>
      <c r="L91" s="64">
        <v>24.66</v>
      </c>
      <c r="M91" s="64">
        <v>94.11</v>
      </c>
      <c r="N91" s="64">
        <v>7.5</v>
      </c>
      <c r="O91" s="64">
        <v>0</v>
      </c>
      <c r="P91" s="64">
        <v>1.22</v>
      </c>
      <c r="Q91" s="64">
        <v>16.55</v>
      </c>
      <c r="R91" s="198"/>
      <c r="S91" s="198"/>
      <c r="T91" s="198"/>
      <c r="U91" s="198"/>
    </row>
    <row r="92" spans="1:26" s="12" customFormat="1" x14ac:dyDescent="0.25">
      <c r="A92" s="214" t="s">
        <v>715</v>
      </c>
      <c r="B92" s="64">
        <v>14.06</v>
      </c>
      <c r="C92" s="64">
        <v>20.75</v>
      </c>
      <c r="D92" s="64">
        <v>34.81</v>
      </c>
      <c r="E92" s="64">
        <v>0.63</v>
      </c>
      <c r="F92" s="64">
        <v>7.31</v>
      </c>
      <c r="G92" s="64">
        <v>78.459999999999994</v>
      </c>
      <c r="H92" s="64">
        <v>26.31</v>
      </c>
      <c r="I92" s="64">
        <v>0.12</v>
      </c>
      <c r="J92" s="64">
        <v>0.4</v>
      </c>
      <c r="K92" s="64">
        <v>102.21</v>
      </c>
      <c r="L92" s="64">
        <v>24.63</v>
      </c>
      <c r="M92" s="64">
        <v>92.9</v>
      </c>
      <c r="N92" s="64">
        <v>7.5</v>
      </c>
      <c r="O92" s="64">
        <v>0</v>
      </c>
      <c r="P92" s="64">
        <v>1.02</v>
      </c>
      <c r="Q92" s="64">
        <v>18.12</v>
      </c>
      <c r="R92" s="198"/>
      <c r="S92" s="198"/>
      <c r="T92" s="198"/>
      <c r="U92" s="198"/>
    </row>
    <row r="93" spans="1:26" s="12" customFormat="1" x14ac:dyDescent="0.25">
      <c r="A93" s="214" t="s">
        <v>716</v>
      </c>
      <c r="B93" s="64">
        <v>28.84</v>
      </c>
      <c r="C93" s="64">
        <v>37.51</v>
      </c>
      <c r="D93" s="64">
        <v>66.349999999999994</v>
      </c>
      <c r="E93" s="64">
        <v>1.32</v>
      </c>
      <c r="F93" s="64">
        <v>6.06</v>
      </c>
      <c r="G93" s="64">
        <v>81.8</v>
      </c>
      <c r="H93" s="64">
        <v>27.84</v>
      </c>
      <c r="I93" s="64">
        <v>0.12</v>
      </c>
      <c r="J93" s="64">
        <v>0.27</v>
      </c>
      <c r="K93" s="64">
        <v>336.44</v>
      </c>
      <c r="L93" s="64">
        <v>24.62</v>
      </c>
      <c r="M93" s="64">
        <v>94.11</v>
      </c>
      <c r="N93" s="64">
        <v>7.6</v>
      </c>
      <c r="O93" s="64">
        <v>0</v>
      </c>
      <c r="P93" s="64">
        <v>1.46</v>
      </c>
      <c r="Q93" s="64">
        <v>17.2</v>
      </c>
      <c r="R93" s="198"/>
      <c r="S93" s="198"/>
      <c r="T93" s="198"/>
      <c r="U93" s="198"/>
    </row>
    <row r="94" spans="1:26" s="12" customFormat="1" x14ac:dyDescent="0.25">
      <c r="A94" s="214" t="s">
        <v>717</v>
      </c>
      <c r="B94" s="64">
        <v>17.649999999999999</v>
      </c>
      <c r="C94" s="64">
        <v>37.270000000000003</v>
      </c>
      <c r="D94" s="64">
        <v>54.92</v>
      </c>
      <c r="E94" s="64">
        <v>1.38</v>
      </c>
      <c r="F94" s="64">
        <v>7.1</v>
      </c>
      <c r="G94" s="64">
        <v>81.8</v>
      </c>
      <c r="H94" s="64">
        <v>27.84</v>
      </c>
      <c r="I94" s="64">
        <v>0.12</v>
      </c>
      <c r="J94" s="64">
        <v>0.11</v>
      </c>
      <c r="K94" s="64">
        <v>57.49</v>
      </c>
      <c r="L94" s="64">
        <v>24.56</v>
      </c>
      <c r="M94" s="64">
        <v>94.6</v>
      </c>
      <c r="N94" s="64">
        <v>7.6</v>
      </c>
      <c r="O94" s="64">
        <v>0</v>
      </c>
      <c r="P94" s="64">
        <v>1.65</v>
      </c>
      <c r="Q94" s="64">
        <v>16.399999999999999</v>
      </c>
      <c r="R94" s="198"/>
      <c r="S94" s="198"/>
      <c r="T94" s="198"/>
      <c r="U94" s="198"/>
    </row>
    <row r="95" spans="1:26" s="12" customFormat="1" x14ac:dyDescent="0.25">
      <c r="A95" s="214" t="s">
        <v>718</v>
      </c>
      <c r="B95" s="64">
        <v>18.920000000000002</v>
      </c>
      <c r="C95" s="64">
        <v>26.49</v>
      </c>
      <c r="D95" s="64">
        <v>45.41</v>
      </c>
      <c r="E95" s="64">
        <v>0.76</v>
      </c>
      <c r="F95" s="64">
        <v>4.59</v>
      </c>
      <c r="G95" s="64">
        <v>81.8</v>
      </c>
      <c r="H95" s="64">
        <v>27.84</v>
      </c>
      <c r="I95" s="64">
        <v>0.11</v>
      </c>
      <c r="J95" s="64">
        <v>0.06</v>
      </c>
      <c r="K95" s="64">
        <v>19.850000000000001</v>
      </c>
      <c r="L95" s="64">
        <v>24.42</v>
      </c>
      <c r="M95" s="64">
        <v>95.62</v>
      </c>
      <c r="N95" s="64">
        <v>7.6</v>
      </c>
      <c r="O95" s="64">
        <v>0</v>
      </c>
      <c r="P95" s="64">
        <v>1.28</v>
      </c>
      <c r="Q95" s="64">
        <v>17.93</v>
      </c>
      <c r="R95" s="198"/>
      <c r="S95" s="198"/>
      <c r="T95" s="198"/>
      <c r="U95" s="198"/>
    </row>
    <row r="96" spans="1:26" s="12" customFormat="1" x14ac:dyDescent="0.25">
      <c r="A96" s="214" t="s">
        <v>719</v>
      </c>
      <c r="B96" s="64">
        <v>27.32</v>
      </c>
      <c r="C96" s="64">
        <v>41.74</v>
      </c>
      <c r="D96" s="64">
        <v>69.06</v>
      </c>
      <c r="E96" s="64">
        <v>0.63</v>
      </c>
      <c r="F96" s="64">
        <v>6.07</v>
      </c>
      <c r="G96" s="64">
        <v>86.04</v>
      </c>
      <c r="H96" s="64">
        <v>23.48</v>
      </c>
      <c r="I96" s="64">
        <v>0.12</v>
      </c>
      <c r="J96" s="64">
        <v>0.28999999999999998</v>
      </c>
      <c r="K96" s="64">
        <v>334.29</v>
      </c>
      <c r="L96" s="64">
        <v>24.38</v>
      </c>
      <c r="M96" s="64">
        <v>97.06</v>
      </c>
      <c r="N96" s="64">
        <v>7.4</v>
      </c>
      <c r="O96" s="64">
        <v>0</v>
      </c>
      <c r="P96" s="64">
        <v>1.45</v>
      </c>
      <c r="Q96" s="64">
        <v>15.03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720</v>
      </c>
      <c r="B97" s="64">
        <v>14.37</v>
      </c>
      <c r="C97" s="64">
        <v>25.84</v>
      </c>
      <c r="D97" s="64">
        <v>40.21</v>
      </c>
      <c r="E97" s="64">
        <v>1.05</v>
      </c>
      <c r="F97" s="64">
        <v>7.82</v>
      </c>
      <c r="G97" s="64">
        <v>89.75</v>
      </c>
      <c r="H97" s="64">
        <v>21.71</v>
      </c>
      <c r="I97" s="64">
        <v>0.12</v>
      </c>
      <c r="J97" s="64">
        <v>0.66</v>
      </c>
      <c r="K97" s="64">
        <v>340.13</v>
      </c>
      <c r="L97" s="64">
        <v>24.41</v>
      </c>
      <c r="M97" s="64">
        <v>97.51</v>
      </c>
      <c r="N97" s="64">
        <v>7.6</v>
      </c>
      <c r="O97" s="64">
        <v>0</v>
      </c>
      <c r="P97" s="64">
        <v>1.17</v>
      </c>
      <c r="Q97" s="64">
        <v>18.36</v>
      </c>
      <c r="R97" s="198"/>
      <c r="S97" s="198"/>
      <c r="T97" s="198"/>
      <c r="U97" s="198"/>
    </row>
    <row r="98" spans="1:33" s="12" customFormat="1" x14ac:dyDescent="0.25">
      <c r="A98" s="214" t="s">
        <v>721</v>
      </c>
      <c r="B98" s="64">
        <v>17.11</v>
      </c>
      <c r="C98" s="64">
        <v>25.12</v>
      </c>
      <c r="D98" s="64">
        <v>42.23</v>
      </c>
      <c r="E98" s="64">
        <v>1.24</v>
      </c>
      <c r="F98" s="64">
        <v>9.74</v>
      </c>
      <c r="G98" s="64">
        <v>89.75</v>
      </c>
      <c r="H98" s="64">
        <v>21.71</v>
      </c>
      <c r="I98" s="64">
        <v>0.12</v>
      </c>
      <c r="J98" s="64">
        <v>0.35</v>
      </c>
      <c r="K98" s="64">
        <v>339.2</v>
      </c>
      <c r="L98" s="64">
        <v>24.44</v>
      </c>
      <c r="M98" s="64">
        <v>97.74</v>
      </c>
      <c r="N98" s="64">
        <v>7.6</v>
      </c>
      <c r="O98" s="64">
        <v>0</v>
      </c>
      <c r="P98" s="64">
        <v>1.1299999999999999</v>
      </c>
      <c r="Q98" s="64">
        <v>19.7</v>
      </c>
      <c r="R98" s="198"/>
      <c r="S98" s="198"/>
      <c r="T98" s="198"/>
      <c r="U98" s="198"/>
    </row>
    <row r="99" spans="1:33" s="12" customFormat="1" x14ac:dyDescent="0.25">
      <c r="A99" s="214" t="s">
        <v>722</v>
      </c>
      <c r="B99" s="64">
        <v>17.829999999999998</v>
      </c>
      <c r="C99" s="64">
        <v>26.83</v>
      </c>
      <c r="D99" s="64">
        <v>44.67</v>
      </c>
      <c r="E99" s="64">
        <v>1.44</v>
      </c>
      <c r="F99" s="64">
        <v>7.61</v>
      </c>
      <c r="G99" s="64">
        <v>89.75</v>
      </c>
      <c r="H99" s="64">
        <v>21.71</v>
      </c>
      <c r="I99" s="64">
        <v>0.12</v>
      </c>
      <c r="J99" s="64">
        <v>0.44</v>
      </c>
      <c r="K99" s="64">
        <v>340.55</v>
      </c>
      <c r="L99" s="64">
        <v>24.39</v>
      </c>
      <c r="M99" s="64">
        <v>98.25</v>
      </c>
      <c r="N99" s="64">
        <v>7.6</v>
      </c>
      <c r="O99" s="64">
        <v>0</v>
      </c>
      <c r="P99" s="64">
        <v>1.0900000000000001</v>
      </c>
      <c r="Q99" s="64">
        <v>19.41</v>
      </c>
      <c r="R99" s="198"/>
      <c r="S99" s="198"/>
      <c r="T99" s="198"/>
      <c r="U99" s="198"/>
    </row>
    <row r="100" spans="1:33" s="12" customFormat="1" x14ac:dyDescent="0.25">
      <c r="A100" s="214" t="s">
        <v>723</v>
      </c>
      <c r="B100" s="64">
        <v>14.18</v>
      </c>
      <c r="C100" s="64">
        <v>24.13</v>
      </c>
      <c r="D100" s="64">
        <v>38.32</v>
      </c>
      <c r="E100" s="64">
        <v>0.47</v>
      </c>
      <c r="F100" s="64">
        <v>9.7200000000000006</v>
      </c>
      <c r="G100" s="64">
        <v>89.66</v>
      </c>
      <c r="H100" s="64">
        <v>22.84</v>
      </c>
      <c r="I100" s="64">
        <v>0.11</v>
      </c>
      <c r="J100" s="64">
        <v>0.2</v>
      </c>
      <c r="K100" s="64">
        <v>349.91</v>
      </c>
      <c r="L100" s="64">
        <v>24.24</v>
      </c>
      <c r="M100" s="64">
        <v>98.35</v>
      </c>
      <c r="N100" s="64">
        <v>7.6</v>
      </c>
      <c r="O100" s="64">
        <v>0</v>
      </c>
      <c r="P100" s="64">
        <v>1</v>
      </c>
      <c r="Q100" s="64">
        <v>20.149999999999999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724</v>
      </c>
      <c r="B101" s="64">
        <v>15.58</v>
      </c>
      <c r="C101" s="64">
        <v>19.45</v>
      </c>
      <c r="D101" s="64">
        <v>35.03</v>
      </c>
      <c r="E101" s="64">
        <v>0.73</v>
      </c>
      <c r="F101" s="64">
        <v>6.16</v>
      </c>
      <c r="G101" s="64">
        <v>89.59</v>
      </c>
      <c r="H101" s="64">
        <v>23.29</v>
      </c>
      <c r="I101" s="64">
        <v>0.11</v>
      </c>
      <c r="J101" s="64">
        <v>0.41</v>
      </c>
      <c r="K101" s="64">
        <v>104.05</v>
      </c>
      <c r="L101" s="64">
        <v>24.07</v>
      </c>
      <c r="M101" s="64">
        <v>98.35</v>
      </c>
      <c r="N101" s="64">
        <v>7.5</v>
      </c>
      <c r="O101" s="64">
        <v>0</v>
      </c>
      <c r="P101" s="64">
        <v>1.01</v>
      </c>
      <c r="Q101" s="64">
        <v>20.399999999999999</v>
      </c>
      <c r="R101" s="198"/>
      <c r="S101" s="198"/>
      <c r="T101" s="198"/>
      <c r="U101" s="198"/>
    </row>
    <row r="102" spans="1:33" s="12" customFormat="1" x14ac:dyDescent="0.25">
      <c r="A102" s="214" t="s">
        <v>725</v>
      </c>
      <c r="B102" s="64">
        <v>14.65</v>
      </c>
      <c r="C102" s="64">
        <v>15.34</v>
      </c>
      <c r="D102" s="64">
        <v>29.99</v>
      </c>
      <c r="E102" s="64">
        <v>0.78</v>
      </c>
      <c r="F102" s="64">
        <v>4.8499999999999996</v>
      </c>
      <c r="G102" s="64">
        <v>89.59</v>
      </c>
      <c r="H102" s="64">
        <v>23.29</v>
      </c>
      <c r="I102" s="64">
        <v>0.12</v>
      </c>
      <c r="J102" s="64">
        <v>0.7</v>
      </c>
      <c r="K102" s="64">
        <v>100.79</v>
      </c>
      <c r="L102" s="64">
        <v>23.82</v>
      </c>
      <c r="M102" s="64">
        <v>98.36</v>
      </c>
      <c r="N102" s="64">
        <v>7.4</v>
      </c>
      <c r="O102" s="64">
        <v>0</v>
      </c>
      <c r="P102" s="64">
        <v>1.04</v>
      </c>
      <c r="Q102" s="64">
        <v>20.239999999999998</v>
      </c>
      <c r="R102" s="198"/>
      <c r="S102" s="198"/>
      <c r="T102" s="198"/>
      <c r="U102" s="198"/>
    </row>
    <row r="103" spans="1:33" s="12" customFormat="1" x14ac:dyDescent="0.25">
      <c r="A103" s="214" t="s">
        <v>726</v>
      </c>
      <c r="B103" s="64">
        <v>14.58</v>
      </c>
      <c r="C103" s="64">
        <v>12.51</v>
      </c>
      <c r="D103" s="64">
        <v>27.09</v>
      </c>
      <c r="E103" s="64">
        <v>0.65</v>
      </c>
      <c r="F103" s="64">
        <v>1.94</v>
      </c>
      <c r="G103" s="64">
        <v>89.59</v>
      </c>
      <c r="H103" s="64">
        <v>23.29</v>
      </c>
      <c r="I103" s="64">
        <v>0.12</v>
      </c>
      <c r="J103" s="64">
        <v>1.1000000000000001</v>
      </c>
      <c r="K103" s="64">
        <v>107.78</v>
      </c>
      <c r="L103" s="64">
        <v>23.38</v>
      </c>
      <c r="M103" s="64">
        <v>98</v>
      </c>
      <c r="N103" s="64">
        <v>7.7</v>
      </c>
      <c r="O103" s="64">
        <v>0</v>
      </c>
      <c r="P103" s="64">
        <v>1.07</v>
      </c>
      <c r="Q103" s="64">
        <v>20.34</v>
      </c>
      <c r="R103" s="198"/>
      <c r="S103" s="198"/>
      <c r="T103" s="198"/>
      <c r="U103" s="198"/>
    </row>
    <row r="104" spans="1:33" s="12" customFormat="1" x14ac:dyDescent="0.25">
      <c r="A104" s="214" t="s">
        <v>727</v>
      </c>
      <c r="B104" s="64">
        <v>12.6</v>
      </c>
      <c r="C104" s="64">
        <v>13.24</v>
      </c>
      <c r="D104" s="64">
        <v>25.84</v>
      </c>
      <c r="E104" s="64">
        <v>1.54</v>
      </c>
      <c r="F104" s="64">
        <v>5.04</v>
      </c>
      <c r="G104" s="64">
        <v>78.11</v>
      </c>
      <c r="H104" s="64">
        <v>21.05</v>
      </c>
      <c r="I104" s="64">
        <v>0.13</v>
      </c>
      <c r="J104" s="64">
        <v>1.02</v>
      </c>
      <c r="K104" s="64">
        <v>103.04</v>
      </c>
      <c r="L104" s="64">
        <v>23.02</v>
      </c>
      <c r="M104" s="64">
        <v>98.34</v>
      </c>
      <c r="N104" s="64">
        <v>7.2</v>
      </c>
      <c r="O104" s="64">
        <v>0</v>
      </c>
      <c r="P104" s="64">
        <v>0.91</v>
      </c>
      <c r="Q104" s="64">
        <v>21.31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3.34</v>
      </c>
      <c r="C106" s="67">
        <f>MIN(C9:C104)</f>
        <v>10.43</v>
      </c>
      <c r="D106" s="67">
        <f t="shared" ref="D106:Q106" si="0">MIN(D9:D104)</f>
        <v>14.11</v>
      </c>
      <c r="E106" s="67">
        <f t="shared" si="0"/>
        <v>0.43</v>
      </c>
      <c r="F106" s="67">
        <f t="shared" si="0"/>
        <v>0.78</v>
      </c>
      <c r="G106" s="67">
        <f t="shared" si="0"/>
        <v>18.649999999999999</v>
      </c>
      <c r="H106" s="67">
        <f t="shared" si="0"/>
        <v>9.1</v>
      </c>
      <c r="I106" s="67">
        <f t="shared" si="0"/>
        <v>0.11</v>
      </c>
      <c r="J106" s="67">
        <f t="shared" si="0"/>
        <v>0.04</v>
      </c>
      <c r="K106" s="67">
        <f t="shared" si="0"/>
        <v>2.2400000000000002</v>
      </c>
      <c r="L106" s="67">
        <f t="shared" si="0"/>
        <v>20.58</v>
      </c>
      <c r="M106" s="67">
        <f t="shared" si="0"/>
        <v>69.94</v>
      </c>
      <c r="N106" s="67">
        <f t="shared" si="0"/>
        <v>7.2</v>
      </c>
      <c r="O106" s="67">
        <f t="shared" si="0"/>
        <v>0</v>
      </c>
      <c r="P106" s="67">
        <f t="shared" si="0"/>
        <v>0.31</v>
      </c>
      <c r="Q106" s="67">
        <f t="shared" si="0"/>
        <v>14.15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28.84</v>
      </c>
      <c r="C107" s="66">
        <f t="shared" ref="C107:Q107" si="1">MAX(C9:C104)</f>
        <v>48.6</v>
      </c>
      <c r="D107" s="66">
        <f t="shared" si="1"/>
        <v>69.06</v>
      </c>
      <c r="E107" s="66">
        <f t="shared" si="1"/>
        <v>3.96</v>
      </c>
      <c r="F107" s="66">
        <f t="shared" si="1"/>
        <v>26.15</v>
      </c>
      <c r="G107" s="66">
        <f t="shared" si="1"/>
        <v>89.75</v>
      </c>
      <c r="H107" s="66">
        <f t="shared" si="1"/>
        <v>27.84</v>
      </c>
      <c r="I107" s="66">
        <f t="shared" si="1"/>
        <v>0.14000000000000001</v>
      </c>
      <c r="J107" s="66">
        <f t="shared" si="1"/>
        <v>1.47</v>
      </c>
      <c r="K107" s="66">
        <f t="shared" si="1"/>
        <v>355.21</v>
      </c>
      <c r="L107" s="66">
        <f t="shared" si="1"/>
        <v>27.72</v>
      </c>
      <c r="M107" s="66">
        <f t="shared" si="1"/>
        <v>98.4</v>
      </c>
      <c r="N107" s="66">
        <f t="shared" si="1"/>
        <v>887.5</v>
      </c>
      <c r="O107" s="66">
        <f t="shared" si="1"/>
        <v>0.2</v>
      </c>
      <c r="P107" s="66">
        <f t="shared" si="1"/>
        <v>1.65</v>
      </c>
      <c r="Q107" s="66">
        <f t="shared" si="1"/>
        <v>23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9.6558333333333337</v>
      </c>
      <c r="C108" s="67">
        <f t="shared" ref="C108:Q108" si="2">AVERAGE(C9:C104)</f>
        <v>19.888958333333335</v>
      </c>
      <c r="D108" s="67">
        <f t="shared" si="2"/>
        <v>29.544374999999999</v>
      </c>
      <c r="E108" s="67">
        <f t="shared" si="2"/>
        <v>2.1664583333333334</v>
      </c>
      <c r="F108" s="67">
        <f t="shared" si="2"/>
        <v>6.5113541666666679</v>
      </c>
      <c r="G108" s="67">
        <f t="shared" si="2"/>
        <v>47.938229166666638</v>
      </c>
      <c r="H108" s="67">
        <f t="shared" si="2"/>
        <v>18.0434375</v>
      </c>
      <c r="I108" s="67">
        <f t="shared" si="2"/>
        <v>0.12302083333333312</v>
      </c>
      <c r="J108" s="67">
        <f t="shared" si="2"/>
        <v>0.48635416666666681</v>
      </c>
      <c r="K108" s="67">
        <f t="shared" si="2"/>
        <v>162.40364583333334</v>
      </c>
      <c r="L108" s="67">
        <f t="shared" si="2"/>
        <v>24.022604166666667</v>
      </c>
      <c r="M108" s="67">
        <f t="shared" si="2"/>
        <v>89.711562499999999</v>
      </c>
      <c r="N108" s="67">
        <f t="shared" si="2"/>
        <v>150.8572916666667</v>
      </c>
      <c r="O108" s="67">
        <f t="shared" si="2"/>
        <v>2.0833333333333333E-3</v>
      </c>
      <c r="P108" s="67">
        <f t="shared" si="2"/>
        <v>0.70114583333333347</v>
      </c>
      <c r="Q108" s="67">
        <f t="shared" si="2"/>
        <v>18.608541666666664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5.6068966304508727</v>
      </c>
      <c r="C109" s="67">
        <f t="shared" ref="C109:Q109" si="3">STDEV(C9:C104)</f>
        <v>9.6258096560802358</v>
      </c>
      <c r="D109" s="67">
        <f t="shared" si="3"/>
        <v>14.178593636182677</v>
      </c>
      <c r="E109" s="67">
        <f t="shared" si="3"/>
        <v>0.93787214835854238</v>
      </c>
      <c r="F109" s="67">
        <f t="shared" si="3"/>
        <v>5.0242929054307099</v>
      </c>
      <c r="G109" s="67">
        <f t="shared" si="3"/>
        <v>19.106822313938167</v>
      </c>
      <c r="H109" s="67">
        <f t="shared" si="3"/>
        <v>4.7719376684783148</v>
      </c>
      <c r="I109" s="67">
        <f t="shared" si="3"/>
        <v>7.8297397505538817E-3</v>
      </c>
      <c r="J109" s="67">
        <f t="shared" si="3"/>
        <v>0.36966590831713131</v>
      </c>
      <c r="K109" s="67">
        <f t="shared" si="3"/>
        <v>108.75029306791519</v>
      </c>
      <c r="L109" s="67">
        <f t="shared" si="3"/>
        <v>2.4324967657431391</v>
      </c>
      <c r="M109" s="67">
        <f t="shared" si="3"/>
        <v>10.101525088413135</v>
      </c>
      <c r="N109" s="67">
        <f t="shared" si="3"/>
        <v>227.83818022299187</v>
      </c>
      <c r="O109" s="67">
        <f t="shared" si="3"/>
        <v>2.0412414523193152E-2</v>
      </c>
      <c r="P109" s="67">
        <f t="shared" si="3"/>
        <v>0.34482297454190775</v>
      </c>
      <c r="Q109" s="67">
        <f t="shared" si="3"/>
        <v>2.4849792879224544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28" sqref="H12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728</v>
      </c>
      <c r="B9" s="64">
        <v>12.45</v>
      </c>
      <c r="C9" s="64">
        <v>12.42</v>
      </c>
      <c r="D9" s="64">
        <v>24.87</v>
      </c>
      <c r="E9" s="64">
        <v>2.4500000000000002</v>
      </c>
      <c r="F9" s="64">
        <v>2.17</v>
      </c>
      <c r="G9" s="64">
        <v>68.069999999999993</v>
      </c>
      <c r="H9" s="64">
        <v>19.28</v>
      </c>
      <c r="I9" s="64">
        <v>0.13</v>
      </c>
      <c r="J9" s="64">
        <v>1.05</v>
      </c>
      <c r="K9" s="64">
        <v>118.66</v>
      </c>
      <c r="L9" s="64">
        <v>22.9</v>
      </c>
      <c r="M9" s="64">
        <v>98.35</v>
      </c>
      <c r="N9" s="64">
        <v>6.7</v>
      </c>
      <c r="O9" s="64">
        <v>0</v>
      </c>
      <c r="P9" s="64">
        <v>1.02</v>
      </c>
      <c r="Q9" s="64">
        <v>20.99</v>
      </c>
      <c r="R9" s="198"/>
      <c r="S9" s="198"/>
      <c r="T9" s="198"/>
      <c r="U9" s="198"/>
    </row>
    <row r="10" spans="1:21" s="12" customFormat="1" x14ac:dyDescent="0.25">
      <c r="A10" s="214" t="s">
        <v>729</v>
      </c>
      <c r="B10" s="64">
        <v>11.2</v>
      </c>
      <c r="C10" s="64">
        <v>12.81</v>
      </c>
      <c r="D10" s="64">
        <v>24.01</v>
      </c>
      <c r="E10" s="64">
        <v>1.96</v>
      </c>
      <c r="F10" s="64">
        <v>4.79</v>
      </c>
      <c r="G10" s="64">
        <v>68.069999999999993</v>
      </c>
      <c r="H10" s="64">
        <v>19.28</v>
      </c>
      <c r="I10" s="64">
        <v>0.13</v>
      </c>
      <c r="J10" s="64">
        <v>0.96</v>
      </c>
      <c r="K10" s="64">
        <v>112.52</v>
      </c>
      <c r="L10" s="64">
        <v>22.87</v>
      </c>
      <c r="M10" s="64">
        <v>98.35</v>
      </c>
      <c r="N10" s="64">
        <v>7.2</v>
      </c>
      <c r="O10" s="64">
        <v>0</v>
      </c>
      <c r="P10" s="64">
        <v>0.83</v>
      </c>
      <c r="Q10" s="64">
        <v>21.97</v>
      </c>
      <c r="R10" s="198"/>
      <c r="S10" s="198"/>
      <c r="T10" s="198"/>
      <c r="U10" s="198"/>
    </row>
    <row r="11" spans="1:21" s="12" customFormat="1" x14ac:dyDescent="0.25">
      <c r="A11" s="214" t="s">
        <v>730</v>
      </c>
      <c r="B11" s="64">
        <v>10.130000000000001</v>
      </c>
      <c r="C11" s="64">
        <v>12.07</v>
      </c>
      <c r="D11" s="64">
        <v>22.2</v>
      </c>
      <c r="E11" s="64">
        <v>2.29</v>
      </c>
      <c r="F11" s="64">
        <v>4.82</v>
      </c>
      <c r="G11" s="64">
        <v>68.069999999999993</v>
      </c>
      <c r="H11" s="64">
        <v>19.28</v>
      </c>
      <c r="I11" s="64">
        <v>0.13</v>
      </c>
      <c r="J11" s="64">
        <v>0.9</v>
      </c>
      <c r="K11" s="64">
        <v>110.22</v>
      </c>
      <c r="L11" s="64">
        <v>22.81</v>
      </c>
      <c r="M11" s="64">
        <v>98.35</v>
      </c>
      <c r="N11" s="64">
        <v>7.4</v>
      </c>
      <c r="O11" s="64">
        <v>0</v>
      </c>
      <c r="P11" s="64">
        <v>0.86</v>
      </c>
      <c r="Q11" s="64">
        <v>21.93</v>
      </c>
      <c r="R11" s="198"/>
      <c r="S11" s="198"/>
      <c r="T11" s="198"/>
      <c r="U11" s="198"/>
    </row>
    <row r="12" spans="1:21" s="12" customFormat="1" x14ac:dyDescent="0.25">
      <c r="A12" s="214" t="s">
        <v>731</v>
      </c>
      <c r="B12" s="64">
        <v>9.5299999999999994</v>
      </c>
      <c r="C12" s="64">
        <v>11.51</v>
      </c>
      <c r="D12" s="64">
        <v>21.03</v>
      </c>
      <c r="E12" s="64">
        <v>2.29</v>
      </c>
      <c r="F12" s="64">
        <v>5.66</v>
      </c>
      <c r="G12" s="64">
        <v>57.82</v>
      </c>
      <c r="H12" s="64">
        <v>16.829999999999998</v>
      </c>
      <c r="I12" s="64">
        <v>0.12</v>
      </c>
      <c r="J12" s="64">
        <v>0.73</v>
      </c>
      <c r="K12" s="64">
        <v>105.49</v>
      </c>
      <c r="L12" s="64">
        <v>22.68</v>
      </c>
      <c r="M12" s="64">
        <v>98.35</v>
      </c>
      <c r="N12" s="64">
        <v>7.6</v>
      </c>
      <c r="O12" s="64">
        <v>0</v>
      </c>
      <c r="P12" s="64">
        <v>0.79</v>
      </c>
      <c r="Q12" s="64">
        <v>22.43</v>
      </c>
      <c r="R12" s="198"/>
      <c r="S12" s="198"/>
      <c r="T12" s="198"/>
      <c r="U12" s="198"/>
    </row>
    <row r="13" spans="1:21" s="12" customFormat="1" x14ac:dyDescent="0.25">
      <c r="A13" s="214" t="s">
        <v>732</v>
      </c>
      <c r="B13" s="64">
        <v>8.8699999999999992</v>
      </c>
      <c r="C13" s="64">
        <v>11.64</v>
      </c>
      <c r="D13" s="64">
        <v>20.51</v>
      </c>
      <c r="E13" s="64">
        <v>2.1800000000000002</v>
      </c>
      <c r="F13" s="64">
        <v>4.96</v>
      </c>
      <c r="G13" s="64">
        <v>48.85</v>
      </c>
      <c r="H13" s="64">
        <v>15.87</v>
      </c>
      <c r="I13" s="64">
        <v>0.13</v>
      </c>
      <c r="J13" s="64">
        <v>0.4</v>
      </c>
      <c r="K13" s="64">
        <v>101.16</v>
      </c>
      <c r="L13" s="64">
        <v>22.59</v>
      </c>
      <c r="M13" s="64">
        <v>98.35</v>
      </c>
      <c r="N13" s="64">
        <v>7.6</v>
      </c>
      <c r="O13" s="64">
        <v>0</v>
      </c>
      <c r="P13" s="64">
        <v>0.67</v>
      </c>
      <c r="Q13" s="64">
        <v>23.53</v>
      </c>
      <c r="R13" s="198"/>
      <c r="S13" s="198"/>
      <c r="T13" s="198"/>
      <c r="U13" s="198"/>
    </row>
    <row r="14" spans="1:21" s="12" customFormat="1" x14ac:dyDescent="0.25">
      <c r="A14" s="214" t="s">
        <v>733</v>
      </c>
      <c r="B14" s="64">
        <v>8.34</v>
      </c>
      <c r="C14" s="64">
        <v>11.34</v>
      </c>
      <c r="D14" s="64">
        <v>19.670000000000002</v>
      </c>
      <c r="E14" s="64">
        <v>2.5499999999999998</v>
      </c>
      <c r="F14" s="64">
        <v>7.31</v>
      </c>
      <c r="G14" s="64">
        <v>48.85</v>
      </c>
      <c r="H14" s="64">
        <v>15.87</v>
      </c>
      <c r="I14" s="64">
        <v>0.13</v>
      </c>
      <c r="J14" s="64">
        <v>0.82</v>
      </c>
      <c r="K14" s="64">
        <v>111.83</v>
      </c>
      <c r="L14" s="64">
        <v>22.6</v>
      </c>
      <c r="M14" s="64">
        <v>98.35</v>
      </c>
      <c r="N14" s="64">
        <v>7.6</v>
      </c>
      <c r="O14" s="64">
        <v>0</v>
      </c>
      <c r="P14" s="64">
        <v>0.65</v>
      </c>
      <c r="Q14" s="64">
        <v>23.67</v>
      </c>
      <c r="R14" s="198"/>
      <c r="S14" s="198"/>
      <c r="T14" s="198"/>
      <c r="U14" s="198"/>
    </row>
    <row r="15" spans="1:21" s="12" customFormat="1" x14ac:dyDescent="0.25">
      <c r="A15" s="214" t="s">
        <v>734</v>
      </c>
      <c r="B15" s="64">
        <v>8.07</v>
      </c>
      <c r="C15" s="64">
        <v>10.72</v>
      </c>
      <c r="D15" s="64">
        <v>18.79</v>
      </c>
      <c r="E15" s="64">
        <v>2.13</v>
      </c>
      <c r="F15" s="64">
        <v>3.57</v>
      </c>
      <c r="G15" s="64">
        <v>48.85</v>
      </c>
      <c r="H15" s="64">
        <v>15.87</v>
      </c>
      <c r="I15" s="64">
        <v>0.12</v>
      </c>
      <c r="J15" s="64">
        <v>1.0900000000000001</v>
      </c>
      <c r="K15" s="64">
        <v>112.79</v>
      </c>
      <c r="L15" s="64">
        <v>22.61</v>
      </c>
      <c r="M15" s="64">
        <v>98.35</v>
      </c>
      <c r="N15" s="64">
        <v>7.5</v>
      </c>
      <c r="O15" s="64">
        <v>0</v>
      </c>
      <c r="P15" s="64">
        <v>0.67</v>
      </c>
      <c r="Q15" s="64">
        <v>23.75</v>
      </c>
      <c r="R15" s="198"/>
      <c r="S15" s="198"/>
      <c r="T15" s="198"/>
      <c r="U15" s="198"/>
    </row>
    <row r="16" spans="1:21" s="12" customFormat="1" x14ac:dyDescent="0.25">
      <c r="A16" s="214" t="s">
        <v>735</v>
      </c>
      <c r="B16" s="64">
        <v>8.3000000000000007</v>
      </c>
      <c r="C16" s="64">
        <v>10.68</v>
      </c>
      <c r="D16" s="64">
        <v>18.98</v>
      </c>
      <c r="E16" s="64">
        <v>1.43</v>
      </c>
      <c r="F16" s="64">
        <v>2.75</v>
      </c>
      <c r="G16" s="64">
        <v>39.340000000000003</v>
      </c>
      <c r="H16" s="64">
        <v>13.96</v>
      </c>
      <c r="I16" s="64">
        <v>0.12</v>
      </c>
      <c r="J16" s="64">
        <v>0.86</v>
      </c>
      <c r="K16" s="64">
        <v>125.68</v>
      </c>
      <c r="L16" s="64">
        <v>22.66</v>
      </c>
      <c r="M16" s="64">
        <v>98.35</v>
      </c>
      <c r="N16" s="64">
        <v>7.6</v>
      </c>
      <c r="O16" s="64">
        <v>0</v>
      </c>
      <c r="P16" s="64">
        <v>0.67</v>
      </c>
      <c r="Q16" s="64">
        <v>24.05</v>
      </c>
      <c r="R16" s="198"/>
      <c r="S16" s="198"/>
      <c r="T16" s="198"/>
      <c r="U16" s="198"/>
    </row>
    <row r="17" spans="1:21" s="12" customFormat="1" x14ac:dyDescent="0.25">
      <c r="A17" s="214" t="s">
        <v>736</v>
      </c>
      <c r="B17" s="64">
        <v>8.1</v>
      </c>
      <c r="C17" s="64">
        <v>10.91</v>
      </c>
      <c r="D17" s="64">
        <v>19</v>
      </c>
      <c r="E17" s="64">
        <v>2.5</v>
      </c>
      <c r="F17" s="64">
        <v>2.0099999999999998</v>
      </c>
      <c r="G17" s="64">
        <v>31.01</v>
      </c>
      <c r="H17" s="64">
        <v>13.19</v>
      </c>
      <c r="I17" s="64">
        <v>0.13</v>
      </c>
      <c r="J17" s="64">
        <v>0.44</v>
      </c>
      <c r="K17" s="64">
        <v>165.26</v>
      </c>
      <c r="L17" s="64">
        <v>22.62</v>
      </c>
      <c r="M17" s="64">
        <v>98.35</v>
      </c>
      <c r="N17" s="64">
        <v>7.9</v>
      </c>
      <c r="O17" s="64">
        <v>0</v>
      </c>
      <c r="P17" s="64">
        <v>0.65</v>
      </c>
      <c r="Q17" s="64">
        <v>23.82</v>
      </c>
      <c r="R17" s="198"/>
      <c r="S17" s="198"/>
      <c r="T17" s="198"/>
      <c r="U17" s="198"/>
    </row>
    <row r="18" spans="1:21" s="12" customFormat="1" x14ac:dyDescent="0.25">
      <c r="A18" s="214" t="s">
        <v>737</v>
      </c>
      <c r="B18" s="64">
        <v>7.5</v>
      </c>
      <c r="C18" s="64">
        <v>10.119999999999999</v>
      </c>
      <c r="D18" s="64">
        <v>17.62</v>
      </c>
      <c r="E18" s="64">
        <v>2.2200000000000002</v>
      </c>
      <c r="F18" s="64">
        <v>2.69</v>
      </c>
      <c r="G18" s="64">
        <v>31.01</v>
      </c>
      <c r="H18" s="64">
        <v>13.19</v>
      </c>
      <c r="I18" s="64">
        <v>0.14000000000000001</v>
      </c>
      <c r="J18" s="64">
        <v>0.56999999999999995</v>
      </c>
      <c r="K18" s="64">
        <v>154.72999999999999</v>
      </c>
      <c r="L18" s="64">
        <v>22.03</v>
      </c>
      <c r="M18" s="64">
        <v>98.32</v>
      </c>
      <c r="N18" s="64">
        <v>9</v>
      </c>
      <c r="O18" s="64">
        <v>0</v>
      </c>
      <c r="P18" s="64">
        <v>0.62</v>
      </c>
      <c r="Q18" s="64">
        <v>22.65</v>
      </c>
      <c r="R18" s="198"/>
      <c r="S18" s="198"/>
      <c r="T18" s="198"/>
      <c r="U18" s="198"/>
    </row>
    <row r="19" spans="1:21" s="12" customFormat="1" x14ac:dyDescent="0.25">
      <c r="A19" s="214" t="s">
        <v>738</v>
      </c>
      <c r="B19" s="64">
        <v>6.73</v>
      </c>
      <c r="C19" s="64">
        <v>10.42</v>
      </c>
      <c r="D19" s="64">
        <v>17.149999999999999</v>
      </c>
      <c r="E19" s="64">
        <v>1.76</v>
      </c>
      <c r="F19" s="64">
        <v>1.63</v>
      </c>
      <c r="G19" s="64">
        <v>31.01</v>
      </c>
      <c r="H19" s="64">
        <v>13.19</v>
      </c>
      <c r="I19" s="64">
        <v>0.13</v>
      </c>
      <c r="J19" s="64">
        <v>0.64</v>
      </c>
      <c r="K19" s="64">
        <v>159.08000000000001</v>
      </c>
      <c r="L19" s="64">
        <v>21.38</v>
      </c>
      <c r="M19" s="64">
        <v>98.35</v>
      </c>
      <c r="N19" s="64">
        <v>8.5</v>
      </c>
      <c r="O19" s="64">
        <v>0</v>
      </c>
      <c r="P19" s="64">
        <v>0.6</v>
      </c>
      <c r="Q19" s="64">
        <v>22.12</v>
      </c>
      <c r="R19" s="198"/>
      <c r="S19" s="198"/>
      <c r="T19" s="198"/>
      <c r="U19" s="198"/>
    </row>
    <row r="20" spans="1:21" s="12" customFormat="1" x14ac:dyDescent="0.25">
      <c r="A20" s="214" t="s">
        <v>739</v>
      </c>
      <c r="B20" s="64">
        <v>6.09</v>
      </c>
      <c r="C20" s="64">
        <v>10.09</v>
      </c>
      <c r="D20" s="64">
        <v>16.18</v>
      </c>
      <c r="E20" s="64">
        <v>2.1</v>
      </c>
      <c r="F20" s="64">
        <v>2.23</v>
      </c>
      <c r="G20" s="64">
        <v>30.82</v>
      </c>
      <c r="H20" s="64">
        <v>10.65</v>
      </c>
      <c r="I20" s="64">
        <v>0.13</v>
      </c>
      <c r="J20" s="64">
        <v>0.14000000000000001</v>
      </c>
      <c r="K20" s="64">
        <v>87.98</v>
      </c>
      <c r="L20" s="64">
        <v>21.19</v>
      </c>
      <c r="M20" s="64">
        <v>98.38</v>
      </c>
      <c r="N20" s="64">
        <v>7.4</v>
      </c>
      <c r="O20" s="64">
        <v>0</v>
      </c>
      <c r="P20" s="64">
        <v>0.57999999999999996</v>
      </c>
      <c r="Q20" s="64">
        <v>21.42</v>
      </c>
      <c r="R20" s="198"/>
      <c r="S20" s="198"/>
      <c r="T20" s="198"/>
      <c r="U20" s="198"/>
    </row>
    <row r="21" spans="1:21" s="12" customFormat="1" x14ac:dyDescent="0.25">
      <c r="A21" s="214" t="s">
        <v>740</v>
      </c>
      <c r="B21" s="64">
        <v>5.45</v>
      </c>
      <c r="C21" s="64">
        <v>10.27</v>
      </c>
      <c r="D21" s="64">
        <v>15.72</v>
      </c>
      <c r="E21" s="64">
        <v>2.29</v>
      </c>
      <c r="F21" s="64">
        <v>4.13</v>
      </c>
      <c r="G21" s="64">
        <v>30.65</v>
      </c>
      <c r="H21" s="64">
        <v>9.6199999999999992</v>
      </c>
      <c r="I21" s="64">
        <v>0.13</v>
      </c>
      <c r="J21" s="64">
        <v>0.22</v>
      </c>
      <c r="K21" s="64">
        <v>110.72</v>
      </c>
      <c r="L21" s="64">
        <v>21.3</v>
      </c>
      <c r="M21" s="64">
        <v>98.38</v>
      </c>
      <c r="N21" s="64">
        <v>7.5</v>
      </c>
      <c r="O21" s="64">
        <v>0</v>
      </c>
      <c r="P21" s="64">
        <v>0.5</v>
      </c>
      <c r="Q21" s="64">
        <v>21.25</v>
      </c>
      <c r="R21" s="198"/>
      <c r="S21" s="198"/>
      <c r="T21" s="198"/>
      <c r="U21" s="198"/>
    </row>
    <row r="22" spans="1:21" s="12" customFormat="1" x14ac:dyDescent="0.25">
      <c r="A22" s="214" t="s">
        <v>741</v>
      </c>
      <c r="B22" s="64">
        <v>5.14</v>
      </c>
      <c r="C22" s="64">
        <v>9.74</v>
      </c>
      <c r="D22" s="64">
        <v>14.88</v>
      </c>
      <c r="E22" s="64">
        <v>2.2000000000000002</v>
      </c>
      <c r="F22" s="64">
        <v>1.84</v>
      </c>
      <c r="G22" s="64">
        <v>30.65</v>
      </c>
      <c r="H22" s="64">
        <v>9.6199999999999992</v>
      </c>
      <c r="I22" s="64">
        <v>0.12</v>
      </c>
      <c r="J22" s="64">
        <v>0.04</v>
      </c>
      <c r="K22" s="64">
        <v>129.28</v>
      </c>
      <c r="L22" s="64">
        <v>21.38</v>
      </c>
      <c r="M22" s="64">
        <v>98.38</v>
      </c>
      <c r="N22" s="64">
        <v>7.4</v>
      </c>
      <c r="O22" s="64">
        <v>0.2</v>
      </c>
      <c r="P22" s="64">
        <v>0.51</v>
      </c>
      <c r="Q22" s="64">
        <v>20.8</v>
      </c>
      <c r="R22" s="198"/>
      <c r="S22" s="198"/>
      <c r="T22" s="198"/>
      <c r="U22" s="198"/>
    </row>
    <row r="23" spans="1:21" s="12" customFormat="1" x14ac:dyDescent="0.25">
      <c r="A23" s="214" t="s">
        <v>742</v>
      </c>
      <c r="B23" s="64">
        <v>4.9800000000000004</v>
      </c>
      <c r="C23" s="64">
        <v>10.15</v>
      </c>
      <c r="D23" s="64">
        <v>15.13</v>
      </c>
      <c r="E23" s="64">
        <v>1.67</v>
      </c>
      <c r="F23" s="64">
        <v>3.27</v>
      </c>
      <c r="G23" s="64">
        <v>30.65</v>
      </c>
      <c r="H23" s="64">
        <v>9.6199999999999992</v>
      </c>
      <c r="I23" s="64">
        <v>0.13</v>
      </c>
      <c r="J23" s="64">
        <v>0.23</v>
      </c>
      <c r="K23" s="64">
        <v>322.12</v>
      </c>
      <c r="L23" s="64">
        <v>21.37</v>
      </c>
      <c r="M23" s="64">
        <v>98.38</v>
      </c>
      <c r="N23" s="64">
        <v>7.6</v>
      </c>
      <c r="O23" s="64">
        <v>0</v>
      </c>
      <c r="P23" s="64">
        <v>0.48</v>
      </c>
      <c r="Q23" s="64">
        <v>20.45</v>
      </c>
      <c r="R23" s="198"/>
      <c r="S23" s="198"/>
      <c r="T23" s="198"/>
      <c r="U23" s="198"/>
    </row>
    <row r="24" spans="1:21" s="12" customFormat="1" x14ac:dyDescent="0.25">
      <c r="A24" s="214" t="s">
        <v>743</v>
      </c>
      <c r="B24" s="64">
        <v>4.54</v>
      </c>
      <c r="C24" s="64">
        <v>10.77</v>
      </c>
      <c r="D24" s="64">
        <v>15.31</v>
      </c>
      <c r="E24" s="64">
        <v>0.24</v>
      </c>
      <c r="F24" s="64">
        <v>8.17</v>
      </c>
      <c r="G24" s="64">
        <v>24.12</v>
      </c>
      <c r="H24" s="64">
        <v>7.71</v>
      </c>
      <c r="I24" s="64">
        <v>0.13</v>
      </c>
      <c r="J24" s="64">
        <v>0.28999999999999998</v>
      </c>
      <c r="K24" s="64">
        <v>151.88999999999999</v>
      </c>
      <c r="L24" s="64">
        <v>21.26</v>
      </c>
      <c r="M24" s="64">
        <v>98.38</v>
      </c>
      <c r="N24" s="64">
        <v>7.5</v>
      </c>
      <c r="O24" s="64">
        <v>0</v>
      </c>
      <c r="P24" s="64">
        <v>0.41</v>
      </c>
      <c r="Q24" s="64">
        <v>20.149999999999999</v>
      </c>
      <c r="R24" s="198"/>
      <c r="S24" s="198"/>
      <c r="T24" s="198"/>
      <c r="U24" s="198"/>
    </row>
    <row r="25" spans="1:21" s="12" customFormat="1" x14ac:dyDescent="0.25">
      <c r="A25" s="214" t="s">
        <v>744</v>
      </c>
      <c r="B25" s="64">
        <v>5.19</v>
      </c>
      <c r="C25" s="64">
        <v>15.39</v>
      </c>
      <c r="D25" s="64">
        <v>20.58</v>
      </c>
      <c r="E25" s="64">
        <v>0.93</v>
      </c>
      <c r="F25" s="64">
        <v>9.8800000000000008</v>
      </c>
      <c r="G25" s="64">
        <v>18.399999999999999</v>
      </c>
      <c r="H25" s="64">
        <v>6.93</v>
      </c>
      <c r="I25" s="64">
        <v>0.13</v>
      </c>
      <c r="J25" s="64">
        <v>0.11</v>
      </c>
      <c r="K25" s="64">
        <v>326.95999999999998</v>
      </c>
      <c r="L25" s="64">
        <v>21.42</v>
      </c>
      <c r="M25" s="64">
        <v>98.38</v>
      </c>
      <c r="N25" s="64">
        <v>7.4</v>
      </c>
      <c r="O25" s="64">
        <v>0</v>
      </c>
      <c r="P25" s="64">
        <v>0.36</v>
      </c>
      <c r="Q25" s="64">
        <v>20.440000000000001</v>
      </c>
      <c r="R25" s="198"/>
      <c r="S25" s="198"/>
      <c r="T25" s="198"/>
      <c r="U25" s="198"/>
    </row>
    <row r="26" spans="1:21" s="12" customFormat="1" x14ac:dyDescent="0.25">
      <c r="A26" s="214" t="s">
        <v>745</v>
      </c>
      <c r="B26" s="64">
        <v>7.48</v>
      </c>
      <c r="C26" s="64">
        <v>19.78</v>
      </c>
      <c r="D26" s="64">
        <v>27.27</v>
      </c>
      <c r="E26" s="64">
        <v>2.2200000000000002</v>
      </c>
      <c r="F26" s="64">
        <v>8.64</v>
      </c>
      <c r="G26" s="64">
        <v>18.399999999999999</v>
      </c>
      <c r="H26" s="64">
        <v>6.93</v>
      </c>
      <c r="I26" s="64">
        <v>0.12</v>
      </c>
      <c r="J26" s="64">
        <v>0.1</v>
      </c>
      <c r="K26" s="64">
        <v>39.18</v>
      </c>
      <c r="L26" s="64">
        <v>21.58</v>
      </c>
      <c r="M26" s="64">
        <v>98.38</v>
      </c>
      <c r="N26" s="64">
        <v>7.6</v>
      </c>
      <c r="O26" s="64">
        <v>0</v>
      </c>
      <c r="P26" s="64">
        <v>0.41</v>
      </c>
      <c r="Q26" s="64">
        <v>20.41</v>
      </c>
      <c r="R26" s="198"/>
      <c r="S26" s="198"/>
      <c r="T26" s="198"/>
      <c r="U26" s="198"/>
    </row>
    <row r="27" spans="1:21" s="12" customFormat="1" x14ac:dyDescent="0.25">
      <c r="A27" s="214" t="s">
        <v>746</v>
      </c>
      <c r="B27" s="64">
        <v>6.12</v>
      </c>
      <c r="C27" s="64">
        <v>17.07</v>
      </c>
      <c r="D27" s="64">
        <v>23.19</v>
      </c>
      <c r="E27" s="64">
        <v>1.6</v>
      </c>
      <c r="F27" s="64">
        <v>6.78</v>
      </c>
      <c r="G27" s="64">
        <v>18.399999999999999</v>
      </c>
      <c r="H27" s="64">
        <v>6.93</v>
      </c>
      <c r="I27" s="64">
        <v>0.12</v>
      </c>
      <c r="J27" s="64">
        <v>0.06</v>
      </c>
      <c r="K27" s="64">
        <v>311.25</v>
      </c>
      <c r="L27" s="64">
        <v>21.65</v>
      </c>
      <c r="M27" s="64">
        <v>98.38</v>
      </c>
      <c r="N27" s="64">
        <v>7.6</v>
      </c>
      <c r="O27" s="64">
        <v>0</v>
      </c>
      <c r="P27" s="64">
        <v>0.38</v>
      </c>
      <c r="Q27" s="64">
        <v>20.07</v>
      </c>
      <c r="R27" s="198"/>
      <c r="S27" s="198"/>
      <c r="T27" s="198"/>
      <c r="U27" s="198"/>
    </row>
    <row r="28" spans="1:21" s="12" customFormat="1" x14ac:dyDescent="0.25">
      <c r="A28" s="214" t="s">
        <v>747</v>
      </c>
      <c r="B28" s="64">
        <v>7.39</v>
      </c>
      <c r="C28" s="64">
        <v>22.88</v>
      </c>
      <c r="D28" s="64">
        <v>30.27</v>
      </c>
      <c r="E28" s="64">
        <v>1.87</v>
      </c>
      <c r="F28" s="64">
        <v>3.3</v>
      </c>
      <c r="G28" s="64">
        <v>15.88</v>
      </c>
      <c r="H28" s="64">
        <v>5.45</v>
      </c>
      <c r="I28" s="64">
        <v>0.12</v>
      </c>
      <c r="J28" s="64">
        <v>0.05</v>
      </c>
      <c r="K28" s="64">
        <v>322.64999999999998</v>
      </c>
      <c r="L28" s="64">
        <v>21.76</v>
      </c>
      <c r="M28" s="64">
        <v>98.38</v>
      </c>
      <c r="N28" s="64">
        <v>7.6</v>
      </c>
      <c r="O28" s="64">
        <v>0</v>
      </c>
      <c r="P28" s="64">
        <v>0.49</v>
      </c>
      <c r="Q28" s="64">
        <v>20.04</v>
      </c>
      <c r="R28" s="198"/>
      <c r="S28" s="198"/>
      <c r="T28" s="198"/>
      <c r="U28" s="198"/>
    </row>
    <row r="29" spans="1:21" s="12" customFormat="1" x14ac:dyDescent="0.25">
      <c r="A29" s="214" t="s">
        <v>748</v>
      </c>
      <c r="B29" s="64">
        <v>5.72</v>
      </c>
      <c r="C29" s="64">
        <v>15.52</v>
      </c>
      <c r="D29" s="64">
        <v>21.25</v>
      </c>
      <c r="E29" s="64">
        <v>2.4900000000000002</v>
      </c>
      <c r="F29" s="64">
        <v>4.8899999999999997</v>
      </c>
      <c r="G29" s="64">
        <v>13.66</v>
      </c>
      <c r="H29" s="64">
        <v>4.8499999999999996</v>
      </c>
      <c r="I29" s="64">
        <v>0.12</v>
      </c>
      <c r="J29" s="64">
        <v>0.54</v>
      </c>
      <c r="K29" s="64">
        <v>107.41</v>
      </c>
      <c r="L29" s="64">
        <v>21.97</v>
      </c>
      <c r="M29" s="64">
        <v>98.38</v>
      </c>
      <c r="N29" s="64">
        <v>7.4</v>
      </c>
      <c r="O29" s="64">
        <v>0</v>
      </c>
      <c r="P29" s="64">
        <v>0.42</v>
      </c>
      <c r="Q29" s="64">
        <v>19.809999999999999</v>
      </c>
      <c r="R29" s="198"/>
      <c r="S29" s="198"/>
      <c r="T29" s="198"/>
      <c r="U29" s="198"/>
    </row>
    <row r="30" spans="1:21" s="12" customFormat="1" x14ac:dyDescent="0.25">
      <c r="A30" s="214" t="s">
        <v>749</v>
      </c>
      <c r="B30" s="64">
        <v>5.31</v>
      </c>
      <c r="C30" s="64">
        <v>12.07</v>
      </c>
      <c r="D30" s="64">
        <v>17.38</v>
      </c>
      <c r="E30" s="64">
        <v>1.37</v>
      </c>
      <c r="F30" s="64">
        <v>3.93</v>
      </c>
      <c r="G30" s="64">
        <v>13.66</v>
      </c>
      <c r="H30" s="64">
        <v>4.8499999999999996</v>
      </c>
      <c r="I30" s="64">
        <v>0.12</v>
      </c>
      <c r="J30" s="64">
        <v>0.63</v>
      </c>
      <c r="K30" s="64">
        <v>115</v>
      </c>
      <c r="L30" s="64">
        <v>22.37</v>
      </c>
      <c r="M30" s="64">
        <v>98.38</v>
      </c>
      <c r="N30" s="64">
        <v>7.4</v>
      </c>
      <c r="O30" s="64">
        <v>0</v>
      </c>
      <c r="P30" s="64">
        <v>0.4</v>
      </c>
      <c r="Q30" s="64">
        <v>19.59</v>
      </c>
      <c r="R30" s="198"/>
      <c r="S30" s="198"/>
      <c r="T30" s="198"/>
      <c r="U30" s="198"/>
    </row>
    <row r="31" spans="1:21" s="12" customFormat="1" x14ac:dyDescent="0.25">
      <c r="A31" s="214" t="s">
        <v>750</v>
      </c>
      <c r="B31" s="64">
        <v>5.38</v>
      </c>
      <c r="C31" s="64">
        <v>10.63</v>
      </c>
      <c r="D31" s="64">
        <v>16.010000000000002</v>
      </c>
      <c r="E31" s="64">
        <v>1.08</v>
      </c>
      <c r="F31" s="64">
        <v>4.4800000000000004</v>
      </c>
      <c r="G31" s="64">
        <v>13.66</v>
      </c>
      <c r="H31" s="64">
        <v>4.8499999999999996</v>
      </c>
      <c r="I31" s="64">
        <v>0.12</v>
      </c>
      <c r="J31" s="64">
        <v>0.81</v>
      </c>
      <c r="K31" s="64">
        <v>110.12</v>
      </c>
      <c r="L31" s="64">
        <v>22.5</v>
      </c>
      <c r="M31" s="64">
        <v>98.38</v>
      </c>
      <c r="N31" s="64">
        <v>9.1999999999999993</v>
      </c>
      <c r="O31" s="64">
        <v>0</v>
      </c>
      <c r="P31" s="64">
        <v>0.39</v>
      </c>
      <c r="Q31" s="64">
        <v>20.46</v>
      </c>
      <c r="R31" s="198"/>
      <c r="S31" s="198"/>
      <c r="T31" s="198"/>
      <c r="U31" s="198"/>
    </row>
    <row r="32" spans="1:21" s="12" customFormat="1" x14ac:dyDescent="0.25">
      <c r="A32" s="214" t="s">
        <v>751</v>
      </c>
      <c r="B32" s="64">
        <v>5.1100000000000003</v>
      </c>
      <c r="C32" s="64">
        <v>9.7100000000000009</v>
      </c>
      <c r="D32" s="64">
        <v>14.82</v>
      </c>
      <c r="E32" s="64">
        <v>1.46</v>
      </c>
      <c r="F32" s="64">
        <v>3.65</v>
      </c>
      <c r="G32" s="64">
        <v>12.87</v>
      </c>
      <c r="H32" s="64">
        <v>5.29</v>
      </c>
      <c r="I32" s="64">
        <v>0.13</v>
      </c>
      <c r="J32" s="64">
        <v>0.75</v>
      </c>
      <c r="K32" s="64">
        <v>110.22</v>
      </c>
      <c r="L32" s="64">
        <v>22.57</v>
      </c>
      <c r="M32" s="64">
        <v>98.38</v>
      </c>
      <c r="N32" s="64">
        <v>15.2</v>
      </c>
      <c r="O32" s="64">
        <v>0</v>
      </c>
      <c r="P32" s="64">
        <v>0.38</v>
      </c>
      <c r="Q32" s="64">
        <v>20.75</v>
      </c>
      <c r="R32" s="198"/>
      <c r="S32" s="198"/>
      <c r="T32" s="198"/>
      <c r="U32" s="198"/>
    </row>
    <row r="33" spans="1:21" s="12" customFormat="1" x14ac:dyDescent="0.25">
      <c r="A33" s="214" t="s">
        <v>752</v>
      </c>
      <c r="B33" s="64">
        <v>5.51</v>
      </c>
      <c r="C33" s="64">
        <v>9.98</v>
      </c>
      <c r="D33" s="64">
        <v>15.48</v>
      </c>
      <c r="E33" s="64">
        <v>1.48</v>
      </c>
      <c r="F33" s="64">
        <v>1.95</v>
      </c>
      <c r="G33" s="64">
        <v>12.18</v>
      </c>
      <c r="H33" s="64">
        <v>5.61</v>
      </c>
      <c r="I33" s="64">
        <v>0.12</v>
      </c>
      <c r="J33" s="64">
        <v>0.91</v>
      </c>
      <c r="K33" s="64">
        <v>103.66</v>
      </c>
      <c r="L33" s="64">
        <v>22.57</v>
      </c>
      <c r="M33" s="64">
        <v>98.37</v>
      </c>
      <c r="N33" s="64">
        <v>22.1</v>
      </c>
      <c r="O33" s="64">
        <v>0.8</v>
      </c>
      <c r="P33" s="64">
        <v>0.4</v>
      </c>
      <c r="Q33" s="64">
        <v>21.36</v>
      </c>
      <c r="R33" s="198"/>
      <c r="S33" s="198"/>
      <c r="T33" s="198"/>
      <c r="U33" s="198"/>
    </row>
    <row r="34" spans="1:21" s="12" customFormat="1" x14ac:dyDescent="0.25">
      <c r="A34" s="214" t="s">
        <v>753</v>
      </c>
      <c r="B34" s="64">
        <v>5.86</v>
      </c>
      <c r="C34" s="64">
        <v>10.34</v>
      </c>
      <c r="D34" s="64">
        <v>16.190000000000001</v>
      </c>
      <c r="E34" s="64">
        <v>1.72</v>
      </c>
      <c r="F34" s="64">
        <v>1.33</v>
      </c>
      <c r="G34" s="64">
        <v>12.18</v>
      </c>
      <c r="H34" s="64">
        <v>5.61</v>
      </c>
      <c r="I34" s="64">
        <v>0.13</v>
      </c>
      <c r="J34" s="64">
        <v>0.9</v>
      </c>
      <c r="K34" s="64">
        <v>106.89</v>
      </c>
      <c r="L34" s="64">
        <v>22.13</v>
      </c>
      <c r="M34" s="64">
        <v>98.39</v>
      </c>
      <c r="N34" s="64">
        <v>24.3</v>
      </c>
      <c r="O34" s="64">
        <v>1.8</v>
      </c>
      <c r="P34" s="64">
        <v>0.39</v>
      </c>
      <c r="Q34" s="64">
        <v>21.79</v>
      </c>
      <c r="R34" s="198"/>
      <c r="S34" s="198"/>
      <c r="T34" s="198"/>
      <c r="U34" s="198"/>
    </row>
    <row r="35" spans="1:21" s="12" customFormat="1" x14ac:dyDescent="0.25">
      <c r="A35" s="214" t="s">
        <v>754</v>
      </c>
      <c r="B35" s="64">
        <v>5.15</v>
      </c>
      <c r="C35" s="64">
        <v>11.83</v>
      </c>
      <c r="D35" s="64">
        <v>16.98</v>
      </c>
      <c r="E35" s="64">
        <v>1.96</v>
      </c>
      <c r="F35" s="64">
        <v>3.53</v>
      </c>
      <c r="G35" s="64">
        <v>12.18</v>
      </c>
      <c r="H35" s="64">
        <v>5.61</v>
      </c>
      <c r="I35" s="64">
        <v>0.14000000000000001</v>
      </c>
      <c r="J35" s="64">
        <v>0.89</v>
      </c>
      <c r="K35" s="64">
        <v>115.26</v>
      </c>
      <c r="L35" s="64">
        <v>22.24</v>
      </c>
      <c r="M35" s="64">
        <v>98.4</v>
      </c>
      <c r="N35" s="64">
        <v>109.6</v>
      </c>
      <c r="O35" s="64">
        <v>0</v>
      </c>
      <c r="P35" s="64">
        <v>0.36</v>
      </c>
      <c r="Q35" s="64">
        <v>22.42</v>
      </c>
      <c r="R35" s="198"/>
      <c r="S35" s="198"/>
      <c r="T35" s="198"/>
      <c r="U35" s="198"/>
    </row>
    <row r="36" spans="1:21" s="12" customFormat="1" x14ac:dyDescent="0.25">
      <c r="A36" s="214" t="s">
        <v>755</v>
      </c>
      <c r="B36" s="64">
        <v>5.54</v>
      </c>
      <c r="C36" s="64">
        <v>11.68</v>
      </c>
      <c r="D36" s="64">
        <v>17.22</v>
      </c>
      <c r="E36" s="64">
        <v>1.48</v>
      </c>
      <c r="F36" s="64">
        <v>6.67</v>
      </c>
      <c r="G36" s="64">
        <v>13.22</v>
      </c>
      <c r="H36" s="64">
        <v>6.41</v>
      </c>
      <c r="I36" s="64">
        <v>0.13</v>
      </c>
      <c r="J36" s="64">
        <v>0.62</v>
      </c>
      <c r="K36" s="64">
        <v>109.29</v>
      </c>
      <c r="L36" s="64">
        <v>22.83</v>
      </c>
      <c r="M36" s="64">
        <v>98.39</v>
      </c>
      <c r="N36" s="64">
        <v>150</v>
      </c>
      <c r="O36" s="64">
        <v>0</v>
      </c>
      <c r="P36" s="64">
        <v>0.36</v>
      </c>
      <c r="Q36" s="64">
        <v>23.08</v>
      </c>
      <c r="R36" s="198"/>
      <c r="S36" s="198"/>
      <c r="T36" s="198"/>
      <c r="U36" s="198"/>
    </row>
    <row r="37" spans="1:21" s="12" customFormat="1" x14ac:dyDescent="0.25">
      <c r="A37" s="214" t="s">
        <v>756</v>
      </c>
      <c r="B37" s="64">
        <v>7.53</v>
      </c>
      <c r="C37" s="64">
        <v>16.05</v>
      </c>
      <c r="D37" s="64">
        <v>23.58</v>
      </c>
      <c r="E37" s="64">
        <v>2.08</v>
      </c>
      <c r="F37" s="64">
        <v>4.3099999999999996</v>
      </c>
      <c r="G37" s="64">
        <v>14.13</v>
      </c>
      <c r="H37" s="64">
        <v>6.73</v>
      </c>
      <c r="I37" s="64">
        <v>0.12</v>
      </c>
      <c r="J37" s="64">
        <v>0.78</v>
      </c>
      <c r="K37" s="64">
        <v>106.15</v>
      </c>
      <c r="L37" s="64">
        <v>22.96</v>
      </c>
      <c r="M37" s="64">
        <v>98.38</v>
      </c>
      <c r="N37" s="64">
        <v>100.4</v>
      </c>
      <c r="O37" s="64">
        <v>0</v>
      </c>
      <c r="P37" s="64">
        <v>0.41</v>
      </c>
      <c r="Q37" s="64">
        <v>23.21</v>
      </c>
      <c r="R37" s="198"/>
      <c r="S37" s="198"/>
      <c r="T37" s="198"/>
      <c r="U37" s="198"/>
    </row>
    <row r="38" spans="1:21" s="12" customFormat="1" x14ac:dyDescent="0.25">
      <c r="A38" s="214" t="s">
        <v>757</v>
      </c>
      <c r="B38" s="64">
        <v>7.63</v>
      </c>
      <c r="C38" s="64">
        <v>12.03</v>
      </c>
      <c r="D38" s="64">
        <v>19.66</v>
      </c>
      <c r="E38" s="64">
        <v>2</v>
      </c>
      <c r="F38" s="64">
        <v>3.9</v>
      </c>
      <c r="G38" s="64">
        <v>14.13</v>
      </c>
      <c r="H38" s="64">
        <v>6.73</v>
      </c>
      <c r="I38" s="64">
        <v>0.12</v>
      </c>
      <c r="J38" s="64">
        <v>0.81</v>
      </c>
      <c r="K38" s="64">
        <v>105.73</v>
      </c>
      <c r="L38" s="64">
        <v>23.19</v>
      </c>
      <c r="M38" s="64">
        <v>98.37</v>
      </c>
      <c r="N38" s="64">
        <v>219</v>
      </c>
      <c r="O38" s="64">
        <v>0</v>
      </c>
      <c r="P38" s="64">
        <v>0.45</v>
      </c>
      <c r="Q38" s="64">
        <v>23.54</v>
      </c>
      <c r="R38" s="198"/>
      <c r="S38" s="198"/>
      <c r="T38" s="198"/>
      <c r="U38" s="198"/>
    </row>
    <row r="39" spans="1:21" s="12" customFormat="1" x14ac:dyDescent="0.25">
      <c r="A39" s="214" t="s">
        <v>758</v>
      </c>
      <c r="B39" s="64">
        <v>6.89</v>
      </c>
      <c r="C39" s="64">
        <v>10.99</v>
      </c>
      <c r="D39" s="64">
        <v>17.88</v>
      </c>
      <c r="E39" s="64">
        <v>1.76</v>
      </c>
      <c r="F39" s="64">
        <v>2.21</v>
      </c>
      <c r="G39" s="64">
        <v>14.13</v>
      </c>
      <c r="H39" s="64">
        <v>6.73</v>
      </c>
      <c r="I39" s="64">
        <v>0.13</v>
      </c>
      <c r="J39" s="64">
        <v>1.55</v>
      </c>
      <c r="K39" s="64">
        <v>107.55</v>
      </c>
      <c r="L39" s="64">
        <v>23.72</v>
      </c>
      <c r="M39" s="64">
        <v>98.06</v>
      </c>
      <c r="N39" s="64">
        <v>300.3</v>
      </c>
      <c r="O39" s="64">
        <v>0</v>
      </c>
      <c r="P39" s="64">
        <v>0.44</v>
      </c>
      <c r="Q39" s="64">
        <v>24.08</v>
      </c>
      <c r="R39" s="198"/>
      <c r="S39" s="198"/>
      <c r="T39" s="198"/>
      <c r="U39" s="198"/>
    </row>
    <row r="40" spans="1:21" s="12" customFormat="1" x14ac:dyDescent="0.25">
      <c r="A40" s="214" t="s">
        <v>759</v>
      </c>
      <c r="B40" s="64">
        <v>6.72</v>
      </c>
      <c r="C40" s="64">
        <v>9.7100000000000009</v>
      </c>
      <c r="D40" s="64">
        <v>16.43</v>
      </c>
      <c r="E40" s="64">
        <v>0.57999999999999996</v>
      </c>
      <c r="F40" s="64">
        <v>1.84</v>
      </c>
      <c r="G40" s="64">
        <v>16.899999999999999</v>
      </c>
      <c r="H40" s="64">
        <v>8.41</v>
      </c>
      <c r="I40" s="64">
        <v>0.13</v>
      </c>
      <c r="J40" s="64">
        <v>1.7</v>
      </c>
      <c r="K40" s="64">
        <v>109.62</v>
      </c>
      <c r="L40" s="64">
        <v>23.75</v>
      </c>
      <c r="M40" s="64">
        <v>96.92</v>
      </c>
      <c r="N40" s="64">
        <v>291.89999999999998</v>
      </c>
      <c r="O40" s="64">
        <v>0</v>
      </c>
      <c r="P40" s="64">
        <v>0.44</v>
      </c>
      <c r="Q40" s="64">
        <v>24.68</v>
      </c>
      <c r="R40" s="198"/>
      <c r="S40" s="198"/>
      <c r="T40" s="198"/>
      <c r="U40" s="198"/>
    </row>
    <row r="41" spans="1:21" s="12" customFormat="1" x14ac:dyDescent="0.25">
      <c r="A41" s="214" t="s">
        <v>760</v>
      </c>
      <c r="B41" s="64">
        <v>6.78</v>
      </c>
      <c r="C41" s="64">
        <v>9.1199999999999992</v>
      </c>
      <c r="D41" s="64">
        <v>15.9</v>
      </c>
      <c r="E41" s="64">
        <v>1.7</v>
      </c>
      <c r="F41" s="64">
        <v>1.54</v>
      </c>
      <c r="G41" s="64">
        <v>19.329999999999998</v>
      </c>
      <c r="H41" s="64">
        <v>9.1</v>
      </c>
      <c r="I41" s="64">
        <v>0.13</v>
      </c>
      <c r="J41" s="64">
        <v>1.67</v>
      </c>
      <c r="K41" s="64">
        <v>112.33</v>
      </c>
      <c r="L41" s="64">
        <v>23.92</v>
      </c>
      <c r="M41" s="64">
        <v>95.92</v>
      </c>
      <c r="N41" s="64">
        <v>280.7</v>
      </c>
      <c r="O41" s="64">
        <v>0</v>
      </c>
      <c r="P41" s="64">
        <v>0.42</v>
      </c>
      <c r="Q41" s="64">
        <v>24.95</v>
      </c>
      <c r="R41" s="198"/>
      <c r="S41" s="198"/>
      <c r="T41" s="198"/>
      <c r="U41" s="198"/>
    </row>
    <row r="42" spans="1:21" s="12" customFormat="1" x14ac:dyDescent="0.25">
      <c r="A42" s="214" t="s">
        <v>761</v>
      </c>
      <c r="B42" s="64">
        <v>6.44</v>
      </c>
      <c r="C42" s="64">
        <v>8.36</v>
      </c>
      <c r="D42" s="64">
        <v>14.8</v>
      </c>
      <c r="E42" s="64">
        <v>1.08</v>
      </c>
      <c r="F42" s="64">
        <v>2.72</v>
      </c>
      <c r="G42" s="64">
        <v>19.329999999999998</v>
      </c>
      <c r="H42" s="64">
        <v>9.1</v>
      </c>
      <c r="I42" s="64">
        <v>0.13</v>
      </c>
      <c r="J42" s="64">
        <v>1.61</v>
      </c>
      <c r="K42" s="64">
        <v>110.81</v>
      </c>
      <c r="L42" s="64">
        <v>24.21</v>
      </c>
      <c r="M42" s="64">
        <v>94.08</v>
      </c>
      <c r="N42" s="64">
        <v>314.60000000000002</v>
      </c>
      <c r="O42" s="64">
        <v>0</v>
      </c>
      <c r="P42" s="64">
        <v>0.41</v>
      </c>
      <c r="Q42" s="64">
        <v>24.77</v>
      </c>
      <c r="R42" s="198"/>
      <c r="S42" s="198"/>
      <c r="T42" s="198"/>
      <c r="U42" s="198"/>
    </row>
    <row r="43" spans="1:21" s="12" customFormat="1" x14ac:dyDescent="0.25">
      <c r="A43" s="214" t="s">
        <v>762</v>
      </c>
      <c r="B43" s="64">
        <v>6.22</v>
      </c>
      <c r="C43" s="64">
        <v>8.83</v>
      </c>
      <c r="D43" s="64">
        <v>15.05</v>
      </c>
      <c r="E43" s="64">
        <v>1.29</v>
      </c>
      <c r="F43" s="64">
        <v>2.2200000000000002</v>
      </c>
      <c r="G43" s="64">
        <v>19.329999999999998</v>
      </c>
      <c r="H43" s="64">
        <v>9.1</v>
      </c>
      <c r="I43" s="64">
        <v>0.14000000000000001</v>
      </c>
      <c r="J43" s="64">
        <v>1.48</v>
      </c>
      <c r="K43" s="64">
        <v>106.11</v>
      </c>
      <c r="L43" s="64">
        <v>24.27</v>
      </c>
      <c r="M43" s="64">
        <v>94.01</v>
      </c>
      <c r="N43" s="64">
        <v>268.10000000000002</v>
      </c>
      <c r="O43" s="64">
        <v>0</v>
      </c>
      <c r="P43" s="64">
        <v>0.41</v>
      </c>
      <c r="Q43" s="64">
        <v>24.76</v>
      </c>
      <c r="R43" s="198"/>
      <c r="S43" s="198"/>
      <c r="T43" s="198"/>
      <c r="U43" s="198"/>
    </row>
    <row r="44" spans="1:21" s="12" customFormat="1" x14ac:dyDescent="0.25">
      <c r="A44" s="214" t="s">
        <v>763</v>
      </c>
      <c r="B44" s="64">
        <v>5.99</v>
      </c>
      <c r="C44" s="64">
        <v>8.93</v>
      </c>
      <c r="D44" s="64">
        <v>14.92</v>
      </c>
      <c r="E44" s="64">
        <v>1.18</v>
      </c>
      <c r="F44" s="64">
        <v>2.63</v>
      </c>
      <c r="G44" s="64">
        <v>17.57</v>
      </c>
      <c r="H44" s="64">
        <v>8.5</v>
      </c>
      <c r="I44" s="64">
        <v>0.14000000000000001</v>
      </c>
      <c r="J44" s="64">
        <v>1.53</v>
      </c>
      <c r="K44" s="64">
        <v>107.31</v>
      </c>
      <c r="L44" s="64">
        <v>24.67</v>
      </c>
      <c r="M44" s="64">
        <v>91.4</v>
      </c>
      <c r="N44" s="64">
        <v>483.7</v>
      </c>
      <c r="O44" s="64">
        <v>0</v>
      </c>
      <c r="P44" s="64">
        <v>0.39</v>
      </c>
      <c r="Q44" s="64">
        <v>25.29</v>
      </c>
      <c r="R44" s="198"/>
      <c r="S44" s="198"/>
      <c r="T44" s="198"/>
      <c r="U44" s="198"/>
    </row>
    <row r="45" spans="1:21" s="12" customFormat="1" x14ac:dyDescent="0.25">
      <c r="A45" s="214" t="s">
        <v>764</v>
      </c>
      <c r="B45" s="64">
        <v>6.03</v>
      </c>
      <c r="C45" s="64">
        <v>8.64</v>
      </c>
      <c r="D45" s="64">
        <v>14.67</v>
      </c>
      <c r="E45" s="64">
        <v>1.06</v>
      </c>
      <c r="F45" s="64">
        <v>1.49</v>
      </c>
      <c r="G45" s="64">
        <v>16.03</v>
      </c>
      <c r="H45" s="64">
        <v>8.26</v>
      </c>
      <c r="I45" s="64">
        <v>0.13</v>
      </c>
      <c r="J45" s="64">
        <v>1.75</v>
      </c>
      <c r="K45" s="64">
        <v>112.17</v>
      </c>
      <c r="L45" s="64">
        <v>25.18</v>
      </c>
      <c r="M45" s="64">
        <v>88.92</v>
      </c>
      <c r="N45" s="64">
        <v>484.5</v>
      </c>
      <c r="O45" s="64">
        <v>0</v>
      </c>
      <c r="P45" s="64">
        <v>0.4</v>
      </c>
      <c r="Q45" s="64">
        <v>24.78</v>
      </c>
      <c r="R45" s="198"/>
      <c r="S45" s="198"/>
      <c r="T45" s="198"/>
      <c r="U45" s="198"/>
    </row>
    <row r="46" spans="1:21" s="12" customFormat="1" x14ac:dyDescent="0.25">
      <c r="A46" s="214" t="s">
        <v>765</v>
      </c>
      <c r="B46" s="64">
        <v>5.94</v>
      </c>
      <c r="C46" s="64">
        <v>8.8699999999999992</v>
      </c>
      <c r="D46" s="64">
        <v>14.8</v>
      </c>
      <c r="E46" s="64">
        <v>0.67</v>
      </c>
      <c r="F46" s="64">
        <v>1.78</v>
      </c>
      <c r="G46" s="64">
        <v>16.03</v>
      </c>
      <c r="H46" s="64">
        <v>8.26</v>
      </c>
      <c r="I46" s="64">
        <v>0.13</v>
      </c>
      <c r="J46" s="64">
        <v>1.9</v>
      </c>
      <c r="K46" s="64">
        <v>108.76</v>
      </c>
      <c r="L46" s="64">
        <v>25.33</v>
      </c>
      <c r="M46" s="64">
        <v>87.25</v>
      </c>
      <c r="N46" s="64">
        <v>629.6</v>
      </c>
      <c r="O46" s="64">
        <v>0</v>
      </c>
      <c r="P46" s="64">
        <v>0.37</v>
      </c>
      <c r="Q46" s="64">
        <v>25.19</v>
      </c>
      <c r="R46" s="198"/>
      <c r="S46" s="198"/>
      <c r="T46" s="198"/>
      <c r="U46" s="198"/>
    </row>
    <row r="47" spans="1:21" s="12" customFormat="1" x14ac:dyDescent="0.25">
      <c r="A47" s="214" t="s">
        <v>766</v>
      </c>
      <c r="B47" s="64">
        <v>5.75</v>
      </c>
      <c r="C47" s="64">
        <v>8.4700000000000006</v>
      </c>
      <c r="D47" s="64">
        <v>14.22</v>
      </c>
      <c r="E47" s="64">
        <v>0.72</v>
      </c>
      <c r="F47" s="64">
        <v>1.84</v>
      </c>
      <c r="G47" s="64">
        <v>16.03</v>
      </c>
      <c r="H47" s="64">
        <v>8.26</v>
      </c>
      <c r="I47" s="64">
        <v>0.13</v>
      </c>
      <c r="J47" s="64">
        <v>2.29</v>
      </c>
      <c r="K47" s="64">
        <v>108.78</v>
      </c>
      <c r="L47" s="64">
        <v>25.43</v>
      </c>
      <c r="M47" s="64">
        <v>85.71</v>
      </c>
      <c r="N47" s="64">
        <v>675.8</v>
      </c>
      <c r="O47" s="64">
        <v>0</v>
      </c>
      <c r="P47" s="64">
        <v>0.36</v>
      </c>
      <c r="Q47" s="64">
        <v>25.06</v>
      </c>
      <c r="R47" s="198"/>
      <c r="S47" s="198"/>
      <c r="T47" s="198"/>
      <c r="U47" s="198"/>
    </row>
    <row r="48" spans="1:21" s="12" customFormat="1" x14ac:dyDescent="0.25">
      <c r="A48" s="214" t="s">
        <v>767</v>
      </c>
      <c r="B48" s="64">
        <v>5.59</v>
      </c>
      <c r="C48" s="64">
        <v>8.8800000000000008</v>
      </c>
      <c r="D48" s="64">
        <v>14.47</v>
      </c>
      <c r="E48" s="64">
        <v>1.06</v>
      </c>
      <c r="F48" s="64">
        <v>1.78</v>
      </c>
      <c r="G48" s="64">
        <v>15.72</v>
      </c>
      <c r="H48" s="64">
        <v>7.81</v>
      </c>
      <c r="I48" s="64">
        <v>0.13</v>
      </c>
      <c r="J48" s="64">
        <v>2.09</v>
      </c>
      <c r="K48" s="64">
        <v>109.06</v>
      </c>
      <c r="L48" s="64">
        <v>25.91</v>
      </c>
      <c r="M48" s="64">
        <v>83.72</v>
      </c>
      <c r="N48" s="64">
        <v>845.4</v>
      </c>
      <c r="O48" s="64">
        <v>0</v>
      </c>
      <c r="P48" s="64">
        <v>0.35</v>
      </c>
      <c r="Q48" s="64">
        <v>25.31</v>
      </c>
      <c r="R48" s="198"/>
      <c r="S48" s="198"/>
      <c r="T48" s="198"/>
      <c r="U48" s="198"/>
    </row>
    <row r="49" spans="1:21" s="12" customFormat="1" x14ac:dyDescent="0.25">
      <c r="A49" s="214" t="s">
        <v>768</v>
      </c>
      <c r="B49" s="64">
        <v>5.62</v>
      </c>
      <c r="C49" s="64">
        <v>9.15</v>
      </c>
      <c r="D49" s="64">
        <v>14.77</v>
      </c>
      <c r="E49" s="64">
        <v>1.7</v>
      </c>
      <c r="F49" s="64">
        <v>2.76</v>
      </c>
      <c r="G49" s="64">
        <v>15.44</v>
      </c>
      <c r="H49" s="64">
        <v>7.63</v>
      </c>
      <c r="I49" s="64">
        <v>0.13</v>
      </c>
      <c r="J49" s="64">
        <v>1.58</v>
      </c>
      <c r="K49" s="64">
        <v>109.16</v>
      </c>
      <c r="L49" s="64">
        <v>26.24</v>
      </c>
      <c r="M49" s="64">
        <v>82.22</v>
      </c>
      <c r="N49" s="64">
        <v>767.9</v>
      </c>
      <c r="O49" s="64">
        <v>0</v>
      </c>
      <c r="P49" s="64">
        <v>0.34</v>
      </c>
      <c r="Q49" s="64">
        <v>25.24</v>
      </c>
      <c r="R49" s="198"/>
      <c r="S49" s="198"/>
      <c r="T49" s="198"/>
      <c r="U49" s="198"/>
    </row>
    <row r="50" spans="1:21" s="12" customFormat="1" x14ac:dyDescent="0.25">
      <c r="A50" s="214" t="s">
        <v>769</v>
      </c>
      <c r="B50" s="64">
        <v>5.65</v>
      </c>
      <c r="C50" s="64">
        <v>8.9700000000000006</v>
      </c>
      <c r="D50" s="64">
        <v>14.62</v>
      </c>
      <c r="E50" s="64">
        <v>1.23</v>
      </c>
      <c r="F50" s="64">
        <v>1.99</v>
      </c>
      <c r="G50" s="64">
        <v>15.44</v>
      </c>
      <c r="H50" s="64">
        <v>7.63</v>
      </c>
      <c r="I50" s="64">
        <v>0.12</v>
      </c>
      <c r="J50" s="64">
        <v>1.71</v>
      </c>
      <c r="K50" s="64">
        <v>109.9</v>
      </c>
      <c r="L50" s="64">
        <v>26.18</v>
      </c>
      <c r="M50" s="64">
        <v>81.05</v>
      </c>
      <c r="N50" s="64">
        <v>588.79999999999995</v>
      </c>
      <c r="O50" s="64">
        <v>0</v>
      </c>
      <c r="P50" s="64">
        <v>0.34</v>
      </c>
      <c r="Q50" s="64">
        <v>25.1</v>
      </c>
      <c r="R50" s="198"/>
      <c r="S50" s="198"/>
      <c r="T50" s="198"/>
      <c r="U50" s="198"/>
    </row>
    <row r="51" spans="1:21" s="12" customFormat="1" x14ac:dyDescent="0.25">
      <c r="A51" s="214" t="s">
        <v>770</v>
      </c>
      <c r="B51" s="64">
        <v>5.37</v>
      </c>
      <c r="C51" s="64">
        <v>9.1300000000000008</v>
      </c>
      <c r="D51" s="64">
        <v>14.5</v>
      </c>
      <c r="E51" s="64">
        <v>1.46</v>
      </c>
      <c r="F51" s="64">
        <v>2.86</v>
      </c>
      <c r="G51" s="64">
        <v>15.44</v>
      </c>
      <c r="H51" s="64">
        <v>7.63</v>
      </c>
      <c r="I51" s="64">
        <v>0.12</v>
      </c>
      <c r="J51" s="64">
        <v>1.5</v>
      </c>
      <c r="K51" s="64">
        <v>106.89</v>
      </c>
      <c r="L51" s="64">
        <v>26.25</v>
      </c>
      <c r="M51" s="64">
        <v>80.790000000000006</v>
      </c>
      <c r="N51" s="64">
        <v>675.7</v>
      </c>
      <c r="O51" s="64">
        <v>0</v>
      </c>
      <c r="P51" s="64">
        <v>0.33</v>
      </c>
      <c r="Q51" s="64">
        <v>25.02</v>
      </c>
      <c r="R51" s="198"/>
      <c r="S51" s="198"/>
      <c r="T51" s="198"/>
      <c r="U51" s="198"/>
    </row>
    <row r="52" spans="1:21" s="12" customFormat="1" x14ac:dyDescent="0.25">
      <c r="A52" s="214" t="s">
        <v>771</v>
      </c>
      <c r="B52" s="64">
        <v>5.27</v>
      </c>
      <c r="C52" s="64">
        <v>9.06</v>
      </c>
      <c r="D52" s="64">
        <v>14.33</v>
      </c>
      <c r="E52" s="64">
        <v>0.93</v>
      </c>
      <c r="F52" s="64">
        <v>2.37</v>
      </c>
      <c r="G52" s="64">
        <v>13.92</v>
      </c>
      <c r="H52" s="64">
        <v>6.11</v>
      </c>
      <c r="I52" s="64">
        <v>0.13</v>
      </c>
      <c r="J52" s="64">
        <v>1.47</v>
      </c>
      <c r="K52" s="64">
        <v>107.25</v>
      </c>
      <c r="L52" s="64">
        <v>26.81</v>
      </c>
      <c r="M52" s="64">
        <v>79.19</v>
      </c>
      <c r="N52" s="64">
        <v>907.4</v>
      </c>
      <c r="O52" s="64">
        <v>0</v>
      </c>
      <c r="P52" s="64">
        <v>0.32</v>
      </c>
      <c r="Q52" s="64">
        <v>24.61</v>
      </c>
      <c r="R52" s="198"/>
      <c r="S52" s="198"/>
      <c r="T52" s="198"/>
      <c r="U52" s="198"/>
    </row>
    <row r="53" spans="1:21" s="12" customFormat="1" x14ac:dyDescent="0.25">
      <c r="A53" s="214" t="s">
        <v>772</v>
      </c>
      <c r="B53" s="64">
        <v>5.01</v>
      </c>
      <c r="C53" s="64">
        <v>8.5500000000000007</v>
      </c>
      <c r="D53" s="64">
        <v>13.56</v>
      </c>
      <c r="E53" s="64">
        <v>1.1499999999999999</v>
      </c>
      <c r="F53" s="64">
        <v>2.4900000000000002</v>
      </c>
      <c r="G53" s="64">
        <v>12.59</v>
      </c>
      <c r="H53" s="64">
        <v>5.51</v>
      </c>
      <c r="I53" s="64">
        <v>0.12</v>
      </c>
      <c r="J53" s="64">
        <v>1.37</v>
      </c>
      <c r="K53" s="64">
        <v>110.92</v>
      </c>
      <c r="L53" s="64">
        <v>26.93</v>
      </c>
      <c r="M53" s="64">
        <v>75.95</v>
      </c>
      <c r="N53" s="64">
        <v>528.20000000000005</v>
      </c>
      <c r="O53" s="64">
        <v>0</v>
      </c>
      <c r="P53" s="64">
        <v>0.32</v>
      </c>
      <c r="Q53" s="64">
        <v>23.99</v>
      </c>
      <c r="R53" s="198"/>
      <c r="S53" s="198"/>
      <c r="T53" s="198"/>
      <c r="U53" s="198"/>
    </row>
    <row r="54" spans="1:21" s="12" customFormat="1" x14ac:dyDescent="0.25">
      <c r="A54" s="214" t="s">
        <v>773</v>
      </c>
      <c r="B54" s="64">
        <v>5.89</v>
      </c>
      <c r="C54" s="64">
        <v>9.59</v>
      </c>
      <c r="D54" s="64">
        <v>15.48</v>
      </c>
      <c r="E54" s="64">
        <v>1.35</v>
      </c>
      <c r="F54" s="64">
        <v>3.76</v>
      </c>
      <c r="G54" s="64">
        <v>12.59</v>
      </c>
      <c r="H54" s="64">
        <v>5.51</v>
      </c>
      <c r="I54" s="64">
        <v>0.12</v>
      </c>
      <c r="J54" s="64">
        <v>0.73</v>
      </c>
      <c r="K54" s="64">
        <v>106.16</v>
      </c>
      <c r="L54" s="64">
        <v>26.96</v>
      </c>
      <c r="M54" s="64">
        <v>77.89</v>
      </c>
      <c r="N54" s="64">
        <v>402.9</v>
      </c>
      <c r="O54" s="64">
        <v>0</v>
      </c>
      <c r="P54" s="64">
        <v>0.33</v>
      </c>
      <c r="Q54" s="64">
        <v>23.48</v>
      </c>
      <c r="R54" s="198"/>
      <c r="S54" s="198"/>
      <c r="T54" s="198"/>
      <c r="U54" s="198"/>
    </row>
    <row r="55" spans="1:21" s="12" customFormat="1" x14ac:dyDescent="0.25">
      <c r="A55" s="214" t="s">
        <v>774</v>
      </c>
      <c r="B55" s="64">
        <v>8.5399999999999991</v>
      </c>
      <c r="C55" s="64">
        <v>12.57</v>
      </c>
      <c r="D55" s="64">
        <v>21.11</v>
      </c>
      <c r="E55" s="64">
        <v>1.58</v>
      </c>
      <c r="F55" s="64">
        <v>4.87</v>
      </c>
      <c r="G55" s="64">
        <v>12.59</v>
      </c>
      <c r="H55" s="64">
        <v>5.51</v>
      </c>
      <c r="I55" s="64">
        <v>0.12</v>
      </c>
      <c r="J55" s="64">
        <v>0.52</v>
      </c>
      <c r="K55" s="64">
        <v>89.5</v>
      </c>
      <c r="L55" s="64">
        <v>27.61</v>
      </c>
      <c r="M55" s="64">
        <v>75.45</v>
      </c>
      <c r="N55" s="64">
        <v>450.4</v>
      </c>
      <c r="O55" s="64">
        <v>0</v>
      </c>
      <c r="P55" s="64">
        <v>0.37</v>
      </c>
      <c r="Q55" s="64">
        <v>22.61</v>
      </c>
      <c r="R55" s="198"/>
      <c r="S55" s="198"/>
      <c r="T55" s="198"/>
      <c r="U55" s="198"/>
    </row>
    <row r="56" spans="1:21" s="12" customFormat="1" x14ac:dyDescent="0.25">
      <c r="A56" s="214" t="s">
        <v>775</v>
      </c>
      <c r="B56" s="64">
        <v>6.65</v>
      </c>
      <c r="C56" s="64">
        <v>11.92</v>
      </c>
      <c r="D56" s="64">
        <v>18.57</v>
      </c>
      <c r="E56" s="64">
        <v>1.07</v>
      </c>
      <c r="F56" s="64">
        <v>5.46</v>
      </c>
      <c r="G56" s="64">
        <v>15.21</v>
      </c>
      <c r="H56" s="64">
        <v>6.77</v>
      </c>
      <c r="I56" s="64">
        <v>0.12</v>
      </c>
      <c r="J56" s="64">
        <v>0.41</v>
      </c>
      <c r="K56" s="64">
        <v>90.21</v>
      </c>
      <c r="L56" s="64">
        <v>27.47</v>
      </c>
      <c r="M56" s="64">
        <v>77.66</v>
      </c>
      <c r="N56" s="64">
        <v>530.1</v>
      </c>
      <c r="O56" s="64">
        <v>0</v>
      </c>
      <c r="P56" s="64">
        <v>0.37</v>
      </c>
      <c r="Q56" s="64">
        <v>21.92</v>
      </c>
      <c r="R56" s="198"/>
      <c r="S56" s="198"/>
      <c r="T56" s="198"/>
      <c r="U56" s="198"/>
    </row>
    <row r="57" spans="1:21" s="12" customFormat="1" x14ac:dyDescent="0.25">
      <c r="A57" s="214" t="s">
        <v>776</v>
      </c>
      <c r="B57" s="64">
        <v>5.48</v>
      </c>
      <c r="C57" s="64">
        <v>11.65</v>
      </c>
      <c r="D57" s="64">
        <v>17.14</v>
      </c>
      <c r="E57" s="64">
        <v>1.88</v>
      </c>
      <c r="F57" s="64">
        <v>2.08</v>
      </c>
      <c r="G57" s="64">
        <v>17.510000000000002</v>
      </c>
      <c r="H57" s="64">
        <v>7.77</v>
      </c>
      <c r="I57" s="64">
        <v>0.12</v>
      </c>
      <c r="J57" s="64">
        <v>1.21</v>
      </c>
      <c r="K57" s="64">
        <v>108.29</v>
      </c>
      <c r="L57" s="64">
        <v>27.83</v>
      </c>
      <c r="M57" s="64">
        <v>75.66</v>
      </c>
      <c r="N57" s="64">
        <v>788.6</v>
      </c>
      <c r="O57" s="64">
        <v>0</v>
      </c>
      <c r="P57" s="64">
        <v>0.36</v>
      </c>
      <c r="Q57" s="64">
        <v>22.05</v>
      </c>
      <c r="R57" s="198"/>
      <c r="S57" s="198"/>
      <c r="T57" s="198"/>
      <c r="U57" s="198"/>
    </row>
    <row r="58" spans="1:21" s="12" customFormat="1" x14ac:dyDescent="0.25">
      <c r="A58" s="214" t="s">
        <v>777</v>
      </c>
      <c r="B58" s="64">
        <v>5.9</v>
      </c>
      <c r="C58" s="64">
        <v>11.5</v>
      </c>
      <c r="D58" s="64">
        <v>17.399999999999999</v>
      </c>
      <c r="E58" s="64">
        <v>1.75</v>
      </c>
      <c r="F58" s="64">
        <v>4.07</v>
      </c>
      <c r="G58" s="64">
        <v>17.510000000000002</v>
      </c>
      <c r="H58" s="64">
        <v>7.77</v>
      </c>
      <c r="I58" s="64">
        <v>0.12</v>
      </c>
      <c r="J58" s="64">
        <v>0.41</v>
      </c>
      <c r="K58" s="64">
        <v>77.900000000000006</v>
      </c>
      <c r="L58" s="64">
        <v>27.55</v>
      </c>
      <c r="M58" s="64">
        <v>76.87</v>
      </c>
      <c r="N58" s="64">
        <v>349</v>
      </c>
      <c r="O58" s="64">
        <v>0</v>
      </c>
      <c r="P58" s="64">
        <v>0.37</v>
      </c>
      <c r="Q58" s="64">
        <v>22.75</v>
      </c>
      <c r="R58" s="198"/>
      <c r="S58" s="198"/>
      <c r="T58" s="198"/>
      <c r="U58" s="198"/>
    </row>
    <row r="59" spans="1:21" s="12" customFormat="1" x14ac:dyDescent="0.25">
      <c r="A59" s="214" t="s">
        <v>778</v>
      </c>
      <c r="B59" s="64">
        <v>6.78</v>
      </c>
      <c r="C59" s="64">
        <v>15.1</v>
      </c>
      <c r="D59" s="64">
        <v>21.88</v>
      </c>
      <c r="E59" s="64">
        <v>1.75</v>
      </c>
      <c r="F59" s="64">
        <v>4.1100000000000003</v>
      </c>
      <c r="G59" s="64">
        <v>17.510000000000002</v>
      </c>
      <c r="H59" s="64">
        <v>7.77</v>
      </c>
      <c r="I59" s="64">
        <v>0.12</v>
      </c>
      <c r="J59" s="64">
        <v>0.22</v>
      </c>
      <c r="K59" s="64">
        <v>5.98</v>
      </c>
      <c r="L59" s="64">
        <v>28.01</v>
      </c>
      <c r="M59" s="64">
        <v>75.760000000000005</v>
      </c>
      <c r="N59" s="64">
        <v>602.1</v>
      </c>
      <c r="O59" s="64">
        <v>0</v>
      </c>
      <c r="P59" s="64">
        <v>0.42</v>
      </c>
      <c r="Q59" s="64">
        <v>22.63</v>
      </c>
      <c r="R59" s="198"/>
      <c r="S59" s="198"/>
      <c r="T59" s="198"/>
      <c r="U59" s="198"/>
    </row>
    <row r="60" spans="1:21" s="12" customFormat="1" x14ac:dyDescent="0.25">
      <c r="A60" s="214" t="s">
        <v>779</v>
      </c>
      <c r="B60" s="64">
        <v>7.28</v>
      </c>
      <c r="C60" s="64">
        <v>15.34</v>
      </c>
      <c r="D60" s="64">
        <v>22.62</v>
      </c>
      <c r="E60" s="64">
        <v>2.0299999999999998</v>
      </c>
      <c r="F60" s="64">
        <v>6.7</v>
      </c>
      <c r="G60" s="64">
        <v>20.079999999999998</v>
      </c>
      <c r="H60" s="64">
        <v>6.8</v>
      </c>
      <c r="I60" s="64">
        <v>0.12</v>
      </c>
      <c r="J60" s="64">
        <v>0.79</v>
      </c>
      <c r="K60" s="64">
        <v>94.68</v>
      </c>
      <c r="L60" s="64">
        <v>28.23</v>
      </c>
      <c r="M60" s="64">
        <v>75.27</v>
      </c>
      <c r="N60" s="64">
        <v>882.1</v>
      </c>
      <c r="O60" s="64">
        <v>0</v>
      </c>
      <c r="P60" s="64">
        <v>0.43</v>
      </c>
      <c r="Q60" s="64">
        <v>22.45</v>
      </c>
      <c r="R60" s="198"/>
      <c r="S60" s="198"/>
      <c r="T60" s="198"/>
      <c r="U60" s="198"/>
    </row>
    <row r="61" spans="1:21" s="12" customFormat="1" x14ac:dyDescent="0.25">
      <c r="A61" s="214" t="s">
        <v>780</v>
      </c>
      <c r="B61" s="64">
        <v>6.28</v>
      </c>
      <c r="C61" s="64">
        <v>12.89</v>
      </c>
      <c r="D61" s="64">
        <v>19.16</v>
      </c>
      <c r="E61" s="64">
        <v>2</v>
      </c>
      <c r="F61" s="64">
        <v>3.85</v>
      </c>
      <c r="G61" s="64">
        <v>22.33</v>
      </c>
      <c r="H61" s="64">
        <v>6.41</v>
      </c>
      <c r="I61" s="64">
        <v>0.12</v>
      </c>
      <c r="J61" s="64">
        <v>0.62</v>
      </c>
      <c r="K61" s="64">
        <v>89.14</v>
      </c>
      <c r="L61" s="64">
        <v>27.74</v>
      </c>
      <c r="M61" s="64">
        <v>74.099999999999994</v>
      </c>
      <c r="N61" s="64">
        <v>477.6</v>
      </c>
      <c r="O61" s="64">
        <v>0</v>
      </c>
      <c r="P61" s="64">
        <v>0.37</v>
      </c>
      <c r="Q61" s="64">
        <v>22.83</v>
      </c>
      <c r="R61" s="198"/>
      <c r="S61" s="198"/>
      <c r="T61" s="198"/>
      <c r="U61" s="198"/>
    </row>
    <row r="62" spans="1:21" s="12" customFormat="1" x14ac:dyDescent="0.25">
      <c r="A62" s="214" t="s">
        <v>781</v>
      </c>
      <c r="B62" s="64">
        <v>8.23</v>
      </c>
      <c r="C62" s="64">
        <v>15.38</v>
      </c>
      <c r="D62" s="64">
        <v>23.61</v>
      </c>
      <c r="E62" s="64">
        <v>2.39</v>
      </c>
      <c r="F62" s="64">
        <v>4.5199999999999996</v>
      </c>
      <c r="G62" s="64">
        <v>22.33</v>
      </c>
      <c r="H62" s="64">
        <v>6.41</v>
      </c>
      <c r="I62" s="64">
        <v>0.12</v>
      </c>
      <c r="J62" s="64">
        <v>0.28000000000000003</v>
      </c>
      <c r="K62" s="64">
        <v>48.74</v>
      </c>
      <c r="L62" s="64">
        <v>27.6</v>
      </c>
      <c r="M62" s="64">
        <v>75.95</v>
      </c>
      <c r="N62" s="64">
        <v>251.6</v>
      </c>
      <c r="O62" s="64">
        <v>0</v>
      </c>
      <c r="P62" s="64">
        <v>0.44</v>
      </c>
      <c r="Q62" s="64">
        <v>22.76</v>
      </c>
      <c r="R62" s="198"/>
      <c r="S62" s="198"/>
      <c r="T62" s="198"/>
      <c r="U62" s="198"/>
    </row>
    <row r="63" spans="1:21" s="12" customFormat="1" x14ac:dyDescent="0.25">
      <c r="A63" s="214" t="s">
        <v>782</v>
      </c>
      <c r="B63" s="64">
        <v>8.9499999999999993</v>
      </c>
      <c r="C63" s="64">
        <v>14.3</v>
      </c>
      <c r="D63" s="64">
        <v>23.25</v>
      </c>
      <c r="E63" s="64">
        <v>2.42</v>
      </c>
      <c r="F63" s="64">
        <v>4.21</v>
      </c>
      <c r="G63" s="64">
        <v>22.33</v>
      </c>
      <c r="H63" s="64">
        <v>6.41</v>
      </c>
      <c r="I63" s="64">
        <v>0.12</v>
      </c>
      <c r="J63" s="64">
        <v>0.36</v>
      </c>
      <c r="K63" s="64">
        <v>2.16</v>
      </c>
      <c r="L63" s="64">
        <v>27.83</v>
      </c>
      <c r="M63" s="64">
        <v>75.739999999999995</v>
      </c>
      <c r="N63" s="64">
        <v>426.4</v>
      </c>
      <c r="O63" s="64">
        <v>0</v>
      </c>
      <c r="P63" s="64">
        <v>0.45</v>
      </c>
      <c r="Q63" s="64">
        <v>22.67</v>
      </c>
      <c r="R63" s="198"/>
      <c r="S63" s="198"/>
      <c r="T63" s="198"/>
      <c r="U63" s="198"/>
    </row>
    <row r="64" spans="1:21" s="12" customFormat="1" x14ac:dyDescent="0.25">
      <c r="A64" s="214" t="s">
        <v>783</v>
      </c>
      <c r="B64" s="64">
        <v>8.75</v>
      </c>
      <c r="C64" s="64">
        <v>14.15</v>
      </c>
      <c r="D64" s="64">
        <v>22.9</v>
      </c>
      <c r="E64" s="64">
        <v>2.37</v>
      </c>
      <c r="F64" s="64">
        <v>2.2000000000000002</v>
      </c>
      <c r="G64" s="64">
        <v>25.59</v>
      </c>
      <c r="H64" s="64">
        <v>6.57</v>
      </c>
      <c r="I64" s="64">
        <v>0.12</v>
      </c>
      <c r="J64" s="64">
        <v>0.41</v>
      </c>
      <c r="K64" s="64">
        <v>80.849999999999994</v>
      </c>
      <c r="L64" s="64">
        <v>27.95</v>
      </c>
      <c r="M64" s="64">
        <v>74.22</v>
      </c>
      <c r="N64" s="64">
        <v>674.9</v>
      </c>
      <c r="O64" s="64">
        <v>0</v>
      </c>
      <c r="P64" s="64">
        <v>0.43</v>
      </c>
      <c r="Q64" s="64">
        <v>22.17</v>
      </c>
      <c r="R64" s="198"/>
      <c r="S64" s="198"/>
      <c r="T64" s="198"/>
      <c r="U64" s="198"/>
    </row>
    <row r="65" spans="1:21" s="12" customFormat="1" x14ac:dyDescent="0.25">
      <c r="A65" s="214" t="s">
        <v>784</v>
      </c>
      <c r="B65" s="64">
        <v>7.27</v>
      </c>
      <c r="C65" s="64">
        <v>11.82</v>
      </c>
      <c r="D65" s="64">
        <v>19.09</v>
      </c>
      <c r="E65" s="64">
        <v>1.76</v>
      </c>
      <c r="F65" s="64">
        <v>2.4700000000000002</v>
      </c>
      <c r="G65" s="64">
        <v>28.43</v>
      </c>
      <c r="H65" s="64">
        <v>6.63</v>
      </c>
      <c r="I65" s="64">
        <v>0.12</v>
      </c>
      <c r="J65" s="64">
        <v>0.79</v>
      </c>
      <c r="K65" s="64">
        <v>101.53</v>
      </c>
      <c r="L65" s="64">
        <v>27.82</v>
      </c>
      <c r="M65" s="64">
        <v>75.8</v>
      </c>
      <c r="N65" s="64">
        <v>566.29999999999995</v>
      </c>
      <c r="O65" s="64">
        <v>0</v>
      </c>
      <c r="P65" s="64">
        <v>0.43</v>
      </c>
      <c r="Q65" s="64">
        <v>21.87</v>
      </c>
      <c r="R65" s="198"/>
      <c r="S65" s="198"/>
      <c r="T65" s="198"/>
      <c r="U65" s="198"/>
    </row>
    <row r="66" spans="1:21" s="12" customFormat="1" x14ac:dyDescent="0.25">
      <c r="A66" s="214" t="s">
        <v>785</v>
      </c>
      <c r="B66" s="64">
        <v>7.01</v>
      </c>
      <c r="C66" s="64">
        <v>11.55</v>
      </c>
      <c r="D66" s="64">
        <v>18.55</v>
      </c>
      <c r="E66" s="64">
        <v>1.67</v>
      </c>
      <c r="F66" s="64">
        <v>3.22</v>
      </c>
      <c r="G66" s="64">
        <v>28.43</v>
      </c>
      <c r="H66" s="64">
        <v>6.63</v>
      </c>
      <c r="I66" s="64">
        <v>0.13</v>
      </c>
      <c r="J66" s="64">
        <v>0.64</v>
      </c>
      <c r="K66" s="64">
        <v>93.23</v>
      </c>
      <c r="L66" s="64">
        <v>27.57</v>
      </c>
      <c r="M66" s="64">
        <v>75.14</v>
      </c>
      <c r="N66" s="64">
        <v>453.7</v>
      </c>
      <c r="O66" s="64">
        <v>0</v>
      </c>
      <c r="P66" s="64">
        <v>0.43</v>
      </c>
      <c r="Q66" s="64">
        <v>21.66</v>
      </c>
      <c r="R66" s="198"/>
      <c r="S66" s="198"/>
      <c r="T66" s="198"/>
      <c r="U66" s="198"/>
    </row>
    <row r="67" spans="1:21" s="12" customFormat="1" x14ac:dyDescent="0.25">
      <c r="A67" s="214" t="s">
        <v>786</v>
      </c>
      <c r="B67" s="64">
        <v>6.76</v>
      </c>
      <c r="C67" s="64">
        <v>11.4</v>
      </c>
      <c r="D67" s="64">
        <v>18.170000000000002</v>
      </c>
      <c r="E67" s="64">
        <v>1.57</v>
      </c>
      <c r="F67" s="64">
        <v>3.45</v>
      </c>
      <c r="G67" s="64">
        <v>28.43</v>
      </c>
      <c r="H67" s="64">
        <v>6.63</v>
      </c>
      <c r="I67" s="64">
        <v>0.13</v>
      </c>
      <c r="J67" s="64">
        <v>0.72</v>
      </c>
      <c r="K67" s="64">
        <v>103.02</v>
      </c>
      <c r="L67" s="64">
        <v>27.28</v>
      </c>
      <c r="M67" s="64">
        <v>76.12</v>
      </c>
      <c r="N67" s="64">
        <v>485</v>
      </c>
      <c r="O67" s="64">
        <v>0</v>
      </c>
      <c r="P67" s="64">
        <v>0.42</v>
      </c>
      <c r="Q67" s="64">
        <v>21.37</v>
      </c>
      <c r="R67" s="198"/>
      <c r="S67" s="198"/>
      <c r="T67" s="198"/>
      <c r="U67" s="198"/>
    </row>
    <row r="68" spans="1:21" s="12" customFormat="1" x14ac:dyDescent="0.25">
      <c r="A68" s="214" t="s">
        <v>787</v>
      </c>
      <c r="B68" s="64">
        <v>6.36</v>
      </c>
      <c r="C68" s="64">
        <v>11.33</v>
      </c>
      <c r="D68" s="64">
        <v>17.690000000000001</v>
      </c>
      <c r="E68" s="64">
        <v>1.89</v>
      </c>
      <c r="F68" s="64">
        <v>3.74</v>
      </c>
      <c r="G68" s="64">
        <v>30.54</v>
      </c>
      <c r="H68" s="64">
        <v>6.12</v>
      </c>
      <c r="I68" s="64">
        <v>0.12</v>
      </c>
      <c r="J68" s="64">
        <v>0.91</v>
      </c>
      <c r="K68" s="64">
        <v>107.9</v>
      </c>
      <c r="L68" s="64">
        <v>27.36</v>
      </c>
      <c r="M68" s="64">
        <v>74.61</v>
      </c>
      <c r="N68" s="64">
        <v>358</v>
      </c>
      <c r="O68" s="64">
        <v>0</v>
      </c>
      <c r="P68" s="64">
        <v>0.43</v>
      </c>
      <c r="Q68" s="64">
        <v>21.2</v>
      </c>
      <c r="R68" s="198"/>
      <c r="S68" s="198"/>
      <c r="T68" s="198"/>
      <c r="U68" s="198"/>
    </row>
    <row r="69" spans="1:21" s="12" customFormat="1" x14ac:dyDescent="0.25">
      <c r="A69" s="214" t="s">
        <v>788</v>
      </c>
      <c r="B69" s="64">
        <v>6.19</v>
      </c>
      <c r="C69" s="64">
        <v>13.11</v>
      </c>
      <c r="D69" s="64">
        <v>19.309999999999999</v>
      </c>
      <c r="E69" s="64">
        <v>2.27</v>
      </c>
      <c r="F69" s="64">
        <v>4.24</v>
      </c>
      <c r="G69" s="64">
        <v>32.39</v>
      </c>
      <c r="H69" s="64">
        <v>5.91</v>
      </c>
      <c r="I69" s="64">
        <v>0.12</v>
      </c>
      <c r="J69" s="64">
        <v>0.68</v>
      </c>
      <c r="K69" s="64">
        <v>112.59</v>
      </c>
      <c r="L69" s="64">
        <v>27.66</v>
      </c>
      <c r="M69" s="64">
        <v>74.180000000000007</v>
      </c>
      <c r="N69" s="64">
        <v>259.3</v>
      </c>
      <c r="O69" s="64">
        <v>0</v>
      </c>
      <c r="P69" s="64">
        <v>0.44</v>
      </c>
      <c r="Q69" s="64">
        <v>22</v>
      </c>
      <c r="R69" s="198"/>
      <c r="S69" s="198"/>
      <c r="T69" s="198"/>
      <c r="U69" s="198"/>
    </row>
    <row r="70" spans="1:21" s="12" customFormat="1" x14ac:dyDescent="0.25">
      <c r="A70" s="214" t="s">
        <v>789</v>
      </c>
      <c r="B70" s="64">
        <v>6.86</v>
      </c>
      <c r="C70" s="64">
        <v>12.98</v>
      </c>
      <c r="D70" s="64">
        <v>19.84</v>
      </c>
      <c r="E70" s="64">
        <v>1.87</v>
      </c>
      <c r="F70" s="64">
        <v>4.25</v>
      </c>
      <c r="G70" s="64">
        <v>32.39</v>
      </c>
      <c r="H70" s="64">
        <v>5.91</v>
      </c>
      <c r="I70" s="64">
        <v>0.13</v>
      </c>
      <c r="J70" s="64">
        <v>1.43</v>
      </c>
      <c r="K70" s="64">
        <v>106.61</v>
      </c>
      <c r="L70" s="64">
        <v>26.74</v>
      </c>
      <c r="M70" s="64">
        <v>78.73</v>
      </c>
      <c r="N70" s="64">
        <v>266.10000000000002</v>
      </c>
      <c r="O70" s="64">
        <v>0</v>
      </c>
      <c r="P70" s="64">
        <v>0.43</v>
      </c>
      <c r="Q70" s="64">
        <v>22</v>
      </c>
      <c r="R70" s="198"/>
      <c r="S70" s="198"/>
      <c r="T70" s="198"/>
      <c r="U70" s="198"/>
    </row>
    <row r="71" spans="1:21" s="12" customFormat="1" x14ac:dyDescent="0.25">
      <c r="A71" s="214" t="s">
        <v>790</v>
      </c>
      <c r="B71" s="64">
        <v>9.24</v>
      </c>
      <c r="C71" s="64">
        <v>18.96</v>
      </c>
      <c r="D71" s="64">
        <v>28.2</v>
      </c>
      <c r="E71" s="64">
        <v>2.16</v>
      </c>
      <c r="F71" s="64">
        <v>8.73</v>
      </c>
      <c r="G71" s="64">
        <v>32.39</v>
      </c>
      <c r="H71" s="64">
        <v>5.91</v>
      </c>
      <c r="I71" s="64">
        <v>0.13</v>
      </c>
      <c r="J71" s="64">
        <v>0.23</v>
      </c>
      <c r="K71" s="64">
        <v>60.17</v>
      </c>
      <c r="L71" s="64">
        <v>27.54</v>
      </c>
      <c r="M71" s="64">
        <v>73.31</v>
      </c>
      <c r="N71" s="64">
        <v>237.5</v>
      </c>
      <c r="O71" s="64">
        <v>0</v>
      </c>
      <c r="P71" s="64">
        <v>0.48</v>
      </c>
      <c r="Q71" s="64">
        <v>22.17</v>
      </c>
      <c r="R71" s="198"/>
      <c r="S71" s="198"/>
      <c r="T71" s="198"/>
      <c r="U71" s="198"/>
    </row>
    <row r="72" spans="1:21" s="12" customFormat="1" x14ac:dyDescent="0.25">
      <c r="A72" s="214" t="s">
        <v>791</v>
      </c>
      <c r="B72" s="64">
        <v>9.2799999999999994</v>
      </c>
      <c r="C72" s="64">
        <v>20.77</v>
      </c>
      <c r="D72" s="64">
        <v>30.05</v>
      </c>
      <c r="E72" s="64">
        <v>1.7</v>
      </c>
      <c r="F72" s="64">
        <v>12.24</v>
      </c>
      <c r="G72" s="64">
        <v>32.47</v>
      </c>
      <c r="H72" s="64">
        <v>7.37</v>
      </c>
      <c r="I72" s="64">
        <v>0.12</v>
      </c>
      <c r="J72" s="64">
        <v>0.44</v>
      </c>
      <c r="K72" s="64">
        <v>104.68</v>
      </c>
      <c r="L72" s="64">
        <v>26.91</v>
      </c>
      <c r="M72" s="64">
        <v>75.489999999999995</v>
      </c>
      <c r="N72" s="64">
        <v>131.30000000000001</v>
      </c>
      <c r="O72" s="64">
        <v>0</v>
      </c>
      <c r="P72" s="64">
        <v>0.52</v>
      </c>
      <c r="Q72" s="64">
        <v>22.36</v>
      </c>
      <c r="R72" s="198"/>
      <c r="S72" s="198"/>
      <c r="T72" s="198"/>
      <c r="U72" s="198"/>
    </row>
    <row r="73" spans="1:21" s="12" customFormat="1" x14ac:dyDescent="0.25">
      <c r="A73" s="214" t="s">
        <v>792</v>
      </c>
      <c r="B73" s="64">
        <v>8.27</v>
      </c>
      <c r="C73" s="64">
        <v>21.42</v>
      </c>
      <c r="D73" s="64">
        <v>29.69</v>
      </c>
      <c r="E73" s="64">
        <v>1.96</v>
      </c>
      <c r="F73" s="64">
        <v>12.48</v>
      </c>
      <c r="G73" s="64">
        <v>32.54</v>
      </c>
      <c r="H73" s="64">
        <v>7.96</v>
      </c>
      <c r="I73" s="64">
        <v>0.12</v>
      </c>
      <c r="J73" s="64">
        <v>0.36</v>
      </c>
      <c r="K73" s="64">
        <v>93.85</v>
      </c>
      <c r="L73" s="64">
        <v>27.16</v>
      </c>
      <c r="M73" s="64">
        <v>77.180000000000007</v>
      </c>
      <c r="N73" s="64">
        <v>170.5</v>
      </c>
      <c r="O73" s="64">
        <v>0</v>
      </c>
      <c r="P73" s="64">
        <v>0.56000000000000005</v>
      </c>
      <c r="Q73" s="64">
        <v>20.190000000000001</v>
      </c>
      <c r="R73" s="198"/>
      <c r="S73" s="198"/>
      <c r="T73" s="198"/>
      <c r="U73" s="198"/>
    </row>
    <row r="74" spans="1:21" s="12" customFormat="1" x14ac:dyDescent="0.25">
      <c r="A74" s="214" t="s">
        <v>793</v>
      </c>
      <c r="B74" s="64">
        <v>7.69</v>
      </c>
      <c r="C74" s="64">
        <v>20.54</v>
      </c>
      <c r="D74" s="64">
        <v>28.24</v>
      </c>
      <c r="E74" s="64">
        <v>2.0099999999999998</v>
      </c>
      <c r="F74" s="64">
        <v>11.7</v>
      </c>
      <c r="G74" s="64">
        <v>32.54</v>
      </c>
      <c r="H74" s="64">
        <v>7.96</v>
      </c>
      <c r="I74" s="64">
        <v>0.12</v>
      </c>
      <c r="J74" s="64">
        <v>0.31</v>
      </c>
      <c r="K74" s="64">
        <v>73.88</v>
      </c>
      <c r="L74" s="64">
        <v>26.98</v>
      </c>
      <c r="M74" s="64">
        <v>75.25</v>
      </c>
      <c r="N74" s="64">
        <v>137.6</v>
      </c>
      <c r="O74" s="64">
        <v>0</v>
      </c>
      <c r="P74" s="64">
        <v>0.49</v>
      </c>
      <c r="Q74" s="64">
        <v>22.2</v>
      </c>
      <c r="R74" s="198"/>
      <c r="S74" s="198"/>
      <c r="T74" s="198"/>
      <c r="U74" s="198"/>
    </row>
    <row r="75" spans="1:21" s="12" customFormat="1" x14ac:dyDescent="0.25">
      <c r="A75" s="214" t="s">
        <v>794</v>
      </c>
      <c r="B75" s="64">
        <v>5.95</v>
      </c>
      <c r="C75" s="64">
        <v>16.18</v>
      </c>
      <c r="D75" s="64">
        <v>22.13</v>
      </c>
      <c r="E75" s="64">
        <v>2.35</v>
      </c>
      <c r="F75" s="64">
        <v>11.62</v>
      </c>
      <c r="G75" s="64">
        <v>32.54</v>
      </c>
      <c r="H75" s="64">
        <v>7.96</v>
      </c>
      <c r="I75" s="64">
        <v>0.12</v>
      </c>
      <c r="J75" s="64">
        <v>0.72</v>
      </c>
      <c r="K75" s="64">
        <v>113.52</v>
      </c>
      <c r="L75" s="64">
        <v>26.58</v>
      </c>
      <c r="M75" s="64">
        <v>79.69</v>
      </c>
      <c r="N75" s="64">
        <v>108.8</v>
      </c>
      <c r="O75" s="64">
        <v>0</v>
      </c>
      <c r="P75" s="64">
        <v>0.45</v>
      </c>
      <c r="Q75" s="64">
        <v>22.58</v>
      </c>
      <c r="R75" s="198"/>
      <c r="S75" s="198"/>
      <c r="T75" s="198"/>
      <c r="U75" s="198"/>
    </row>
    <row r="76" spans="1:21" s="12" customFormat="1" x14ac:dyDescent="0.25">
      <c r="A76" s="214" t="s">
        <v>795</v>
      </c>
      <c r="B76" s="64">
        <v>8.0299999999999994</v>
      </c>
      <c r="C76" s="64">
        <v>17.54</v>
      </c>
      <c r="D76" s="64">
        <v>25.57</v>
      </c>
      <c r="E76" s="64">
        <v>2.27</v>
      </c>
      <c r="F76" s="64">
        <v>9.77</v>
      </c>
      <c r="G76" s="64">
        <v>39.42</v>
      </c>
      <c r="H76" s="64">
        <v>9.86</v>
      </c>
      <c r="I76" s="64">
        <v>0.12</v>
      </c>
      <c r="J76" s="64">
        <v>0.98</v>
      </c>
      <c r="K76" s="64">
        <v>110.35</v>
      </c>
      <c r="L76" s="64">
        <v>26.4</v>
      </c>
      <c r="M76" s="64">
        <v>82.11</v>
      </c>
      <c r="N76" s="64">
        <v>91.2</v>
      </c>
      <c r="O76" s="64">
        <v>0</v>
      </c>
      <c r="P76" s="64">
        <v>0.48</v>
      </c>
      <c r="Q76" s="64">
        <v>22.13</v>
      </c>
      <c r="R76" s="198"/>
      <c r="S76" s="198"/>
      <c r="T76" s="198"/>
      <c r="U76" s="198"/>
    </row>
    <row r="77" spans="1:21" s="12" customFormat="1" x14ac:dyDescent="0.25">
      <c r="A77" s="214" t="s">
        <v>796</v>
      </c>
      <c r="B77" s="64">
        <v>6.05</v>
      </c>
      <c r="C77" s="64">
        <v>13.07</v>
      </c>
      <c r="D77" s="64">
        <v>19.12</v>
      </c>
      <c r="E77" s="64">
        <v>2.12</v>
      </c>
      <c r="F77" s="64">
        <v>12.98</v>
      </c>
      <c r="G77" s="64">
        <v>45.44</v>
      </c>
      <c r="H77" s="64">
        <v>10.63</v>
      </c>
      <c r="I77" s="64">
        <v>0.12</v>
      </c>
      <c r="J77" s="64">
        <v>0.63</v>
      </c>
      <c r="K77" s="64">
        <v>109.54</v>
      </c>
      <c r="L77" s="64">
        <v>26.18</v>
      </c>
      <c r="M77" s="64">
        <v>85.59</v>
      </c>
      <c r="N77" s="64">
        <v>70.400000000000006</v>
      </c>
      <c r="O77" s="64">
        <v>0</v>
      </c>
      <c r="P77" s="64">
        <v>0.48</v>
      </c>
      <c r="Q77" s="64">
        <v>22.03</v>
      </c>
      <c r="R77" s="198"/>
      <c r="S77" s="198"/>
      <c r="T77" s="198"/>
      <c r="U77" s="198"/>
    </row>
    <row r="78" spans="1:21" s="12" customFormat="1" x14ac:dyDescent="0.25">
      <c r="A78" s="214" t="s">
        <v>797</v>
      </c>
      <c r="B78" s="64">
        <v>8.74</v>
      </c>
      <c r="C78" s="64">
        <v>17.57</v>
      </c>
      <c r="D78" s="64">
        <v>26.31</v>
      </c>
      <c r="E78" s="64">
        <v>1.94</v>
      </c>
      <c r="F78" s="64">
        <v>10.46</v>
      </c>
      <c r="G78" s="64">
        <v>45.44</v>
      </c>
      <c r="H78" s="64">
        <v>10.63</v>
      </c>
      <c r="I78" s="64">
        <v>0.12</v>
      </c>
      <c r="J78" s="64">
        <v>0.69</v>
      </c>
      <c r="K78" s="64">
        <v>100.96</v>
      </c>
      <c r="L78" s="64">
        <v>26.09</v>
      </c>
      <c r="M78" s="64">
        <v>85.73</v>
      </c>
      <c r="N78" s="64">
        <v>43.2</v>
      </c>
      <c r="O78" s="64">
        <v>0</v>
      </c>
      <c r="P78" s="64">
        <v>0.48</v>
      </c>
      <c r="Q78" s="64">
        <v>21.78</v>
      </c>
      <c r="R78" s="198"/>
      <c r="S78" s="198"/>
      <c r="T78" s="198"/>
      <c r="U78" s="198"/>
    </row>
    <row r="79" spans="1:21" s="12" customFormat="1" x14ac:dyDescent="0.25">
      <c r="A79" s="214" t="s">
        <v>798</v>
      </c>
      <c r="B79" s="64">
        <v>6.55</v>
      </c>
      <c r="C79" s="64">
        <v>16.649999999999999</v>
      </c>
      <c r="D79" s="64">
        <v>23.2</v>
      </c>
      <c r="E79" s="64">
        <v>2.17</v>
      </c>
      <c r="F79" s="64">
        <v>13.83</v>
      </c>
      <c r="G79" s="64">
        <v>45.44</v>
      </c>
      <c r="H79" s="64">
        <v>10.63</v>
      </c>
      <c r="I79" s="64">
        <v>0.12</v>
      </c>
      <c r="J79" s="64">
        <v>0.69</v>
      </c>
      <c r="K79" s="64">
        <v>105.46</v>
      </c>
      <c r="L79" s="64">
        <v>25.88</v>
      </c>
      <c r="M79" s="64">
        <v>84.38</v>
      </c>
      <c r="N79" s="64">
        <v>28.8</v>
      </c>
      <c r="O79" s="64">
        <v>0</v>
      </c>
      <c r="P79" s="64">
        <v>0.52</v>
      </c>
      <c r="Q79" s="64">
        <v>21.39</v>
      </c>
      <c r="R79" s="198"/>
      <c r="S79" s="198"/>
      <c r="T79" s="198"/>
      <c r="U79" s="198"/>
    </row>
    <row r="80" spans="1:21" s="12" customFormat="1" x14ac:dyDescent="0.25">
      <c r="A80" s="214" t="s">
        <v>799</v>
      </c>
      <c r="B80" s="64">
        <v>5.83</v>
      </c>
      <c r="C80" s="64">
        <v>20.11</v>
      </c>
      <c r="D80" s="64">
        <v>25.94</v>
      </c>
      <c r="E80" s="64">
        <v>2.39</v>
      </c>
      <c r="F80" s="64">
        <v>15.52</v>
      </c>
      <c r="G80" s="64">
        <v>42.69</v>
      </c>
      <c r="H80" s="64">
        <v>9.76</v>
      </c>
      <c r="I80" s="64">
        <v>0.12</v>
      </c>
      <c r="J80" s="64">
        <v>0.39</v>
      </c>
      <c r="K80" s="64">
        <v>136.37</v>
      </c>
      <c r="L80" s="64">
        <v>25.75</v>
      </c>
      <c r="M80" s="64">
        <v>85.16</v>
      </c>
      <c r="N80" s="64">
        <v>17.8</v>
      </c>
      <c r="O80" s="64">
        <v>0</v>
      </c>
      <c r="P80" s="64">
        <v>0.43</v>
      </c>
      <c r="Q80" s="64">
        <v>21.26</v>
      </c>
      <c r="R80" s="198"/>
      <c r="S80" s="198"/>
      <c r="T80" s="198"/>
      <c r="U80" s="198"/>
    </row>
    <row r="81" spans="1:26" s="12" customFormat="1" x14ac:dyDescent="0.25">
      <c r="A81" s="214" t="s">
        <v>800</v>
      </c>
      <c r="B81" s="64">
        <v>5.84</v>
      </c>
      <c r="C81" s="64">
        <v>19.45</v>
      </c>
      <c r="D81" s="64">
        <v>25.29</v>
      </c>
      <c r="E81" s="64">
        <v>1.5</v>
      </c>
      <c r="F81" s="64">
        <v>7.86</v>
      </c>
      <c r="G81" s="64">
        <v>40.29</v>
      </c>
      <c r="H81" s="64">
        <v>9.1</v>
      </c>
      <c r="I81" s="64">
        <v>0.12</v>
      </c>
      <c r="J81" s="64">
        <v>0.38</v>
      </c>
      <c r="K81" s="64">
        <v>136.36000000000001</v>
      </c>
      <c r="L81" s="64">
        <v>25.69</v>
      </c>
      <c r="M81" s="64">
        <v>85.4</v>
      </c>
      <c r="N81" s="64">
        <v>9.9</v>
      </c>
      <c r="O81" s="64">
        <v>0</v>
      </c>
      <c r="P81" s="64">
        <v>0.45</v>
      </c>
      <c r="Q81" s="64">
        <v>20.29</v>
      </c>
      <c r="R81" s="198"/>
      <c r="S81" s="198"/>
      <c r="T81" s="198"/>
      <c r="U81" s="198"/>
    </row>
    <row r="82" spans="1:26" s="12" customFormat="1" x14ac:dyDescent="0.25">
      <c r="A82" s="214" t="s">
        <v>801</v>
      </c>
      <c r="B82" s="64">
        <v>4.28</v>
      </c>
      <c r="C82" s="64">
        <v>21.53</v>
      </c>
      <c r="D82" s="64">
        <v>25.81</v>
      </c>
      <c r="E82" s="64">
        <v>2.77</v>
      </c>
      <c r="F82" s="64">
        <v>14.92</v>
      </c>
      <c r="G82" s="64">
        <v>40.29</v>
      </c>
      <c r="H82" s="64">
        <v>9.1</v>
      </c>
      <c r="I82" s="64">
        <v>0.12</v>
      </c>
      <c r="J82" s="64">
        <v>0.28999999999999998</v>
      </c>
      <c r="K82" s="64">
        <v>117.13</v>
      </c>
      <c r="L82" s="64">
        <v>25.61</v>
      </c>
      <c r="M82" s="64">
        <v>85.2</v>
      </c>
      <c r="N82" s="64">
        <v>8.4</v>
      </c>
      <c r="O82" s="64">
        <v>0</v>
      </c>
      <c r="P82" s="64">
        <v>0.41</v>
      </c>
      <c r="Q82" s="64">
        <v>21.05</v>
      </c>
      <c r="R82" s="198"/>
      <c r="S82" s="198"/>
      <c r="T82" s="198"/>
      <c r="U82" s="198"/>
    </row>
    <row r="83" spans="1:26" s="12" customFormat="1" x14ac:dyDescent="0.25">
      <c r="A83" s="214" t="s">
        <v>802</v>
      </c>
      <c r="B83" s="64">
        <v>4.47</v>
      </c>
      <c r="C83" s="64">
        <v>25.35</v>
      </c>
      <c r="D83" s="64">
        <v>29.82</v>
      </c>
      <c r="E83" s="64">
        <v>2.29</v>
      </c>
      <c r="F83" s="64">
        <v>14.29</v>
      </c>
      <c r="G83" s="64">
        <v>40.29</v>
      </c>
      <c r="H83" s="64">
        <v>9.1</v>
      </c>
      <c r="I83" s="64">
        <v>0.12</v>
      </c>
      <c r="J83" s="64">
        <v>0.6</v>
      </c>
      <c r="K83" s="64">
        <v>98.55</v>
      </c>
      <c r="L83" s="64">
        <v>25.62</v>
      </c>
      <c r="M83" s="64">
        <v>85.23</v>
      </c>
      <c r="N83" s="64">
        <v>8.3000000000000007</v>
      </c>
      <c r="O83" s="64">
        <v>0</v>
      </c>
      <c r="P83" s="64">
        <v>0.42</v>
      </c>
      <c r="Q83" s="64">
        <v>21.3</v>
      </c>
      <c r="R83" s="198"/>
      <c r="S83" s="198"/>
      <c r="T83" s="198"/>
      <c r="U83" s="198"/>
    </row>
    <row r="84" spans="1:26" s="12" customFormat="1" x14ac:dyDescent="0.25">
      <c r="A84" s="214" t="s">
        <v>803</v>
      </c>
      <c r="B84" s="64">
        <v>4.46</v>
      </c>
      <c r="C84" s="64">
        <v>24.05</v>
      </c>
      <c r="D84" s="64">
        <v>28.51</v>
      </c>
      <c r="E84" s="64">
        <v>2.06</v>
      </c>
      <c r="F84" s="64">
        <v>13.9</v>
      </c>
      <c r="G84" s="64">
        <v>37.119999999999997</v>
      </c>
      <c r="H84" s="64">
        <v>7.45</v>
      </c>
      <c r="I84" s="64">
        <v>0.11</v>
      </c>
      <c r="J84" s="64">
        <v>0.81</v>
      </c>
      <c r="K84" s="64">
        <v>108.86</v>
      </c>
      <c r="L84" s="64">
        <v>25.56</v>
      </c>
      <c r="M84" s="64">
        <v>87.18</v>
      </c>
      <c r="N84" s="64">
        <v>8.6</v>
      </c>
      <c r="O84" s="64">
        <v>0</v>
      </c>
      <c r="P84" s="64">
        <v>0.46</v>
      </c>
      <c r="Q84" s="64">
        <v>21.54</v>
      </c>
      <c r="R84" s="198"/>
      <c r="S84" s="198"/>
      <c r="T84" s="198"/>
      <c r="U84" s="198"/>
    </row>
    <row r="85" spans="1:26" s="12" customFormat="1" x14ac:dyDescent="0.25">
      <c r="A85" s="214" t="s">
        <v>804</v>
      </c>
      <c r="B85" s="64">
        <v>5.27</v>
      </c>
      <c r="C85" s="64">
        <v>25.95</v>
      </c>
      <c r="D85" s="64">
        <v>31.22</v>
      </c>
      <c r="E85" s="64">
        <v>2.23</v>
      </c>
      <c r="F85" s="64">
        <v>14.37</v>
      </c>
      <c r="G85" s="64">
        <v>34.35</v>
      </c>
      <c r="H85" s="64">
        <v>6.78</v>
      </c>
      <c r="I85" s="64">
        <v>0.11</v>
      </c>
      <c r="J85" s="64">
        <v>0.4</v>
      </c>
      <c r="K85" s="64">
        <v>104.49</v>
      </c>
      <c r="L85" s="64">
        <v>25.4</v>
      </c>
      <c r="M85" s="64">
        <v>88.68</v>
      </c>
      <c r="N85" s="64">
        <v>9</v>
      </c>
      <c r="O85" s="64">
        <v>0</v>
      </c>
      <c r="P85" s="64">
        <v>0.59</v>
      </c>
      <c r="Q85" s="64">
        <v>21.7</v>
      </c>
      <c r="R85" s="198"/>
      <c r="S85" s="198"/>
      <c r="T85" s="198"/>
      <c r="U85" s="198"/>
    </row>
    <row r="86" spans="1:26" s="12" customFormat="1" x14ac:dyDescent="0.25">
      <c r="A86" s="214" t="s">
        <v>805</v>
      </c>
      <c r="B86" s="64">
        <v>5.33</v>
      </c>
      <c r="C86" s="64">
        <v>25.23</v>
      </c>
      <c r="D86" s="64">
        <v>30.57</v>
      </c>
      <c r="E86" s="64">
        <v>2.17</v>
      </c>
      <c r="F86" s="64">
        <v>12.78</v>
      </c>
      <c r="G86" s="64">
        <v>34.35</v>
      </c>
      <c r="H86" s="64">
        <v>6.78</v>
      </c>
      <c r="I86" s="64">
        <v>0.11</v>
      </c>
      <c r="J86" s="64">
        <v>0.43</v>
      </c>
      <c r="K86" s="64">
        <v>135.94</v>
      </c>
      <c r="L86" s="64">
        <v>25.3</v>
      </c>
      <c r="M86" s="64">
        <v>90.37</v>
      </c>
      <c r="N86" s="64">
        <v>8.9</v>
      </c>
      <c r="O86" s="64">
        <v>0</v>
      </c>
      <c r="P86" s="64">
        <v>0.5</v>
      </c>
      <c r="Q86" s="64">
        <v>21.9</v>
      </c>
      <c r="R86" s="198"/>
      <c r="S86" s="198"/>
      <c r="T86" s="198"/>
      <c r="U86" s="198"/>
    </row>
    <row r="87" spans="1:26" s="12" customFormat="1" x14ac:dyDescent="0.25">
      <c r="A87" s="214" t="s">
        <v>806</v>
      </c>
      <c r="B87" s="64">
        <v>4.8600000000000003</v>
      </c>
      <c r="C87" s="64">
        <v>19.79</v>
      </c>
      <c r="D87" s="64">
        <v>24.65</v>
      </c>
      <c r="E87" s="64">
        <v>1.67</v>
      </c>
      <c r="F87" s="64">
        <v>9.4499999999999993</v>
      </c>
      <c r="G87" s="64">
        <v>34.35</v>
      </c>
      <c r="H87" s="64">
        <v>6.78</v>
      </c>
      <c r="I87" s="64">
        <v>0.11</v>
      </c>
      <c r="J87" s="64">
        <v>0.24</v>
      </c>
      <c r="K87" s="64">
        <v>183.44</v>
      </c>
      <c r="L87" s="64">
        <v>25.09</v>
      </c>
      <c r="M87" s="64">
        <v>94.2</v>
      </c>
      <c r="N87" s="64">
        <v>9.1</v>
      </c>
      <c r="O87" s="64">
        <v>0</v>
      </c>
      <c r="P87" s="64">
        <v>0.53</v>
      </c>
      <c r="Q87" s="64">
        <v>21.85</v>
      </c>
      <c r="R87" s="198"/>
      <c r="S87" s="198"/>
      <c r="T87" s="198"/>
      <c r="U87" s="198"/>
    </row>
    <row r="88" spans="1:26" s="12" customFormat="1" x14ac:dyDescent="0.25">
      <c r="A88" s="214" t="s">
        <v>807</v>
      </c>
      <c r="B88" s="64">
        <v>8.74</v>
      </c>
      <c r="C88" s="64">
        <v>30.77</v>
      </c>
      <c r="D88" s="64">
        <v>39.51</v>
      </c>
      <c r="E88" s="64">
        <v>0.57999999999999996</v>
      </c>
      <c r="F88" s="64">
        <v>7.87</v>
      </c>
      <c r="G88" s="64">
        <v>33.81</v>
      </c>
      <c r="H88" s="64">
        <v>9.67</v>
      </c>
      <c r="I88" s="64">
        <v>0.12</v>
      </c>
      <c r="J88" s="64">
        <v>0.12</v>
      </c>
      <c r="K88" s="64">
        <v>84.06</v>
      </c>
      <c r="L88" s="64">
        <v>25</v>
      </c>
      <c r="M88" s="64">
        <v>94.83</v>
      </c>
      <c r="N88" s="64">
        <v>9</v>
      </c>
      <c r="O88" s="64">
        <v>0</v>
      </c>
      <c r="P88" s="64">
        <v>0.69</v>
      </c>
      <c r="Q88" s="64">
        <v>20.58</v>
      </c>
      <c r="R88" s="198"/>
      <c r="S88" s="198"/>
      <c r="T88" s="198"/>
      <c r="U88" s="198"/>
    </row>
    <row r="89" spans="1:26" s="12" customFormat="1" x14ac:dyDescent="0.25">
      <c r="A89" s="214" t="s">
        <v>808</v>
      </c>
      <c r="B89" s="64">
        <v>6.47</v>
      </c>
      <c r="C89" s="64">
        <v>29.42</v>
      </c>
      <c r="D89" s="64">
        <v>35.880000000000003</v>
      </c>
      <c r="E89" s="64">
        <v>1.08</v>
      </c>
      <c r="F89" s="64">
        <v>6.73</v>
      </c>
      <c r="G89" s="64">
        <v>33.33</v>
      </c>
      <c r="H89" s="64">
        <v>10.82</v>
      </c>
      <c r="I89" s="64">
        <v>0.12</v>
      </c>
      <c r="J89" s="64">
        <v>0.06</v>
      </c>
      <c r="K89" s="64">
        <v>90.29</v>
      </c>
      <c r="L89" s="64">
        <v>24.95</v>
      </c>
      <c r="M89" s="64">
        <v>94.51</v>
      </c>
      <c r="N89" s="64">
        <v>8.8000000000000007</v>
      </c>
      <c r="O89" s="64">
        <v>0</v>
      </c>
      <c r="P89" s="64">
        <v>0.63</v>
      </c>
      <c r="Q89" s="64">
        <v>19.649999999999999</v>
      </c>
      <c r="R89" s="198"/>
      <c r="S89" s="198"/>
      <c r="T89" s="198"/>
      <c r="U89" s="198"/>
    </row>
    <row r="90" spans="1:26" s="12" customFormat="1" x14ac:dyDescent="0.25">
      <c r="A90" s="214" t="s">
        <v>809</v>
      </c>
      <c r="B90" s="64">
        <v>7.29</v>
      </c>
      <c r="C90" s="64">
        <v>23.93</v>
      </c>
      <c r="D90" s="64">
        <v>31.22</v>
      </c>
      <c r="E90" s="64">
        <v>0.52</v>
      </c>
      <c r="F90" s="64">
        <v>7.51</v>
      </c>
      <c r="G90" s="64">
        <v>33.33</v>
      </c>
      <c r="H90" s="64">
        <v>10.82</v>
      </c>
      <c r="I90" s="64">
        <v>0.11</v>
      </c>
      <c r="J90" s="64">
        <v>0.53</v>
      </c>
      <c r="K90" s="64">
        <v>120.85</v>
      </c>
      <c r="L90" s="64">
        <v>25.01</v>
      </c>
      <c r="M90" s="64">
        <v>92.91</v>
      </c>
      <c r="N90" s="64">
        <v>8.5</v>
      </c>
      <c r="O90" s="64">
        <v>0</v>
      </c>
      <c r="P90" s="64">
        <v>0.61</v>
      </c>
      <c r="Q90" s="64">
        <v>20.16</v>
      </c>
      <c r="R90" s="198"/>
      <c r="S90" s="198"/>
      <c r="T90" s="198"/>
      <c r="U90" s="198"/>
    </row>
    <row r="91" spans="1:26" s="12" customFormat="1" x14ac:dyDescent="0.25">
      <c r="A91" s="214" t="s">
        <v>810</v>
      </c>
      <c r="B91" s="64">
        <v>8.86</v>
      </c>
      <c r="C91" s="64">
        <v>29.88</v>
      </c>
      <c r="D91" s="64">
        <v>38.729999999999997</v>
      </c>
      <c r="E91" s="64">
        <v>1.24</v>
      </c>
      <c r="F91" s="64">
        <v>6.98</v>
      </c>
      <c r="G91" s="64">
        <v>33.33</v>
      </c>
      <c r="H91" s="64">
        <v>10.82</v>
      </c>
      <c r="I91" s="64">
        <v>0.11</v>
      </c>
      <c r="J91" s="64">
        <v>0.28000000000000003</v>
      </c>
      <c r="K91" s="64">
        <v>181.68</v>
      </c>
      <c r="L91" s="64">
        <v>25.05</v>
      </c>
      <c r="M91" s="64">
        <v>94.17</v>
      </c>
      <c r="N91" s="64">
        <v>8.9</v>
      </c>
      <c r="O91" s="64">
        <v>0</v>
      </c>
      <c r="P91" s="64">
        <v>0.56999999999999995</v>
      </c>
      <c r="Q91" s="64">
        <v>19.86</v>
      </c>
      <c r="R91" s="198"/>
      <c r="S91" s="198"/>
      <c r="T91" s="198"/>
      <c r="U91" s="198"/>
    </row>
    <row r="92" spans="1:26" s="12" customFormat="1" x14ac:dyDescent="0.25">
      <c r="A92" s="214" t="s">
        <v>811</v>
      </c>
      <c r="B92" s="64">
        <v>6.04</v>
      </c>
      <c r="C92" s="64">
        <v>19.48</v>
      </c>
      <c r="D92" s="64">
        <v>25.52</v>
      </c>
      <c r="E92" s="64">
        <v>0.62</v>
      </c>
      <c r="F92" s="64">
        <v>6.47</v>
      </c>
      <c r="G92" s="64">
        <v>34.06</v>
      </c>
      <c r="H92" s="64">
        <v>12.01</v>
      </c>
      <c r="I92" s="64">
        <v>0.11</v>
      </c>
      <c r="J92" s="64">
        <v>0.19</v>
      </c>
      <c r="K92" s="64">
        <v>162.84</v>
      </c>
      <c r="L92" s="64">
        <v>24.71</v>
      </c>
      <c r="M92" s="64">
        <v>98.37</v>
      </c>
      <c r="N92" s="64">
        <v>9.1</v>
      </c>
      <c r="O92" s="64">
        <v>0</v>
      </c>
      <c r="P92" s="64">
        <v>0.54</v>
      </c>
      <c r="Q92" s="64">
        <v>19.62</v>
      </c>
      <c r="R92" s="198"/>
      <c r="S92" s="198"/>
      <c r="T92" s="198"/>
      <c r="U92" s="198"/>
    </row>
    <row r="93" spans="1:26" s="12" customFormat="1" x14ac:dyDescent="0.25">
      <c r="A93" s="214" t="s">
        <v>812</v>
      </c>
      <c r="B93" s="64">
        <v>9.68</v>
      </c>
      <c r="C93" s="64">
        <v>20.88</v>
      </c>
      <c r="D93" s="64">
        <v>30.56</v>
      </c>
      <c r="E93" s="64">
        <v>1.65</v>
      </c>
      <c r="F93" s="64">
        <v>5.41</v>
      </c>
      <c r="G93" s="64">
        <v>34.700000000000003</v>
      </c>
      <c r="H93" s="64">
        <v>12.49</v>
      </c>
      <c r="I93" s="64">
        <v>0.12</v>
      </c>
      <c r="J93" s="64">
        <v>0.37</v>
      </c>
      <c r="K93" s="64">
        <v>159.25</v>
      </c>
      <c r="L93" s="64">
        <v>24.64</v>
      </c>
      <c r="M93" s="64">
        <v>98.4</v>
      </c>
      <c r="N93" s="64">
        <v>8.8000000000000007</v>
      </c>
      <c r="O93" s="64">
        <v>0</v>
      </c>
      <c r="P93" s="64">
        <v>0.54</v>
      </c>
      <c r="Q93" s="64">
        <v>19.440000000000001</v>
      </c>
      <c r="R93" s="198"/>
      <c r="S93" s="198"/>
      <c r="T93" s="198"/>
      <c r="U93" s="198"/>
    </row>
    <row r="94" spans="1:26" s="12" customFormat="1" x14ac:dyDescent="0.25">
      <c r="A94" s="214" t="s">
        <v>813</v>
      </c>
      <c r="B94" s="64">
        <v>6.7</v>
      </c>
      <c r="C94" s="64">
        <v>21.19</v>
      </c>
      <c r="D94" s="64">
        <v>27.89</v>
      </c>
      <c r="E94" s="64">
        <v>1.6</v>
      </c>
      <c r="F94" s="64">
        <v>10.36</v>
      </c>
      <c r="G94" s="64">
        <v>34.700000000000003</v>
      </c>
      <c r="H94" s="64">
        <v>12.49</v>
      </c>
      <c r="I94" s="64">
        <v>0.12</v>
      </c>
      <c r="J94" s="64">
        <v>0.09</v>
      </c>
      <c r="K94" s="64">
        <v>191.28</v>
      </c>
      <c r="L94" s="64">
        <v>24.73</v>
      </c>
      <c r="M94" s="64">
        <v>98.4</v>
      </c>
      <c r="N94" s="64">
        <v>9</v>
      </c>
      <c r="O94" s="64">
        <v>0</v>
      </c>
      <c r="P94" s="64">
        <v>0.64</v>
      </c>
      <c r="Q94" s="64">
        <v>19.670000000000002</v>
      </c>
      <c r="R94" s="198"/>
      <c r="S94" s="198"/>
      <c r="T94" s="198"/>
      <c r="U94" s="198"/>
    </row>
    <row r="95" spans="1:26" s="12" customFormat="1" x14ac:dyDescent="0.25">
      <c r="A95" s="214" t="s">
        <v>814</v>
      </c>
      <c r="B95" s="64">
        <v>5.36</v>
      </c>
      <c r="C95" s="64">
        <v>20.170000000000002</v>
      </c>
      <c r="D95" s="64">
        <v>25.53</v>
      </c>
      <c r="E95" s="64">
        <v>0.77</v>
      </c>
      <c r="F95" s="64">
        <v>9.3699999999999992</v>
      </c>
      <c r="G95" s="64">
        <v>34.700000000000003</v>
      </c>
      <c r="H95" s="64">
        <v>12.49</v>
      </c>
      <c r="I95" s="64">
        <v>0.12</v>
      </c>
      <c r="J95" s="64">
        <v>0.12</v>
      </c>
      <c r="K95" s="64">
        <v>192.94</v>
      </c>
      <c r="L95" s="64">
        <v>24.59</v>
      </c>
      <c r="M95" s="64">
        <v>98.4</v>
      </c>
      <c r="N95" s="64">
        <v>9</v>
      </c>
      <c r="O95" s="64">
        <v>0</v>
      </c>
      <c r="P95" s="64">
        <v>0.52</v>
      </c>
      <c r="Q95" s="64">
        <v>20.14</v>
      </c>
      <c r="R95" s="198"/>
      <c r="S95" s="198"/>
      <c r="T95" s="198"/>
      <c r="U95" s="198"/>
    </row>
    <row r="96" spans="1:26" s="12" customFormat="1" x14ac:dyDescent="0.25">
      <c r="A96" s="214" t="s">
        <v>815</v>
      </c>
      <c r="B96" s="64">
        <v>4.6100000000000003</v>
      </c>
      <c r="C96" s="64">
        <v>16.3</v>
      </c>
      <c r="D96" s="64">
        <v>20.91</v>
      </c>
      <c r="E96" s="64">
        <v>1.1399999999999999</v>
      </c>
      <c r="F96" s="64">
        <v>11.57</v>
      </c>
      <c r="G96" s="64">
        <v>35.590000000000003</v>
      </c>
      <c r="H96" s="64">
        <v>11.88</v>
      </c>
      <c r="I96" s="64">
        <v>0.11</v>
      </c>
      <c r="J96" s="64">
        <v>0.04</v>
      </c>
      <c r="K96" s="64">
        <v>165.72</v>
      </c>
      <c r="L96" s="64">
        <v>24.43</v>
      </c>
      <c r="M96" s="64">
        <v>98.42</v>
      </c>
      <c r="N96" s="64">
        <v>8.9</v>
      </c>
      <c r="O96" s="64">
        <v>0</v>
      </c>
      <c r="P96" s="64">
        <v>0.49</v>
      </c>
      <c r="Q96" s="64">
        <v>20.440000000000001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816</v>
      </c>
      <c r="B97" s="64">
        <v>4.05</v>
      </c>
      <c r="C97" s="64">
        <v>15.39</v>
      </c>
      <c r="D97" s="64">
        <v>19.45</v>
      </c>
      <c r="E97" s="64">
        <v>1.64</v>
      </c>
      <c r="F97" s="64">
        <v>9.35</v>
      </c>
      <c r="G97" s="64">
        <v>36.36</v>
      </c>
      <c r="H97" s="64">
        <v>11.65</v>
      </c>
      <c r="I97" s="64">
        <v>0.11</v>
      </c>
      <c r="J97" s="64">
        <v>0.08</v>
      </c>
      <c r="K97" s="64">
        <v>210.05</v>
      </c>
      <c r="L97" s="64">
        <v>24.41</v>
      </c>
      <c r="M97" s="64">
        <v>98.39</v>
      </c>
      <c r="N97" s="64">
        <v>8.9</v>
      </c>
      <c r="O97" s="64">
        <v>0</v>
      </c>
      <c r="P97" s="64">
        <v>0.52</v>
      </c>
      <c r="Q97" s="64">
        <v>20.79</v>
      </c>
      <c r="R97" s="198"/>
      <c r="S97" s="198"/>
      <c r="T97" s="198"/>
      <c r="U97" s="198"/>
    </row>
    <row r="98" spans="1:33" s="12" customFormat="1" x14ac:dyDescent="0.25">
      <c r="A98" s="214" t="s">
        <v>817</v>
      </c>
      <c r="B98" s="64">
        <v>4.66</v>
      </c>
      <c r="C98" s="64">
        <v>17.02</v>
      </c>
      <c r="D98" s="64">
        <v>21.68</v>
      </c>
      <c r="E98" s="64">
        <v>0.83</v>
      </c>
      <c r="F98" s="64">
        <v>6.49</v>
      </c>
      <c r="G98" s="64">
        <v>36.36</v>
      </c>
      <c r="H98" s="64">
        <v>11.65</v>
      </c>
      <c r="I98" s="64">
        <v>0.12</v>
      </c>
      <c r="J98" s="64">
        <v>0.05</v>
      </c>
      <c r="K98" s="64">
        <v>176.08</v>
      </c>
      <c r="L98" s="64">
        <v>24.38</v>
      </c>
      <c r="M98" s="64">
        <v>98.37</v>
      </c>
      <c r="N98" s="64">
        <v>8.9</v>
      </c>
      <c r="O98" s="64">
        <v>0</v>
      </c>
      <c r="P98" s="64">
        <v>0.56000000000000005</v>
      </c>
      <c r="Q98" s="64">
        <v>20.78</v>
      </c>
      <c r="R98" s="198"/>
      <c r="S98" s="198"/>
      <c r="T98" s="198"/>
      <c r="U98" s="198"/>
    </row>
    <row r="99" spans="1:33" s="12" customFormat="1" x14ac:dyDescent="0.25">
      <c r="A99" s="214" t="s">
        <v>818</v>
      </c>
      <c r="B99" s="64">
        <v>5.26</v>
      </c>
      <c r="C99" s="64">
        <v>16.22</v>
      </c>
      <c r="D99" s="64">
        <v>21.47</v>
      </c>
      <c r="E99" s="64">
        <v>1.59</v>
      </c>
      <c r="F99" s="64">
        <v>5.92</v>
      </c>
      <c r="G99" s="64">
        <v>36.36</v>
      </c>
      <c r="H99" s="64">
        <v>11.65</v>
      </c>
      <c r="I99" s="64">
        <v>0.12</v>
      </c>
      <c r="J99" s="64">
        <v>0.32</v>
      </c>
      <c r="K99" s="64">
        <v>153.57</v>
      </c>
      <c r="L99" s="64">
        <v>24.33</v>
      </c>
      <c r="M99" s="64">
        <v>98.39</v>
      </c>
      <c r="N99" s="64">
        <v>8.8000000000000007</v>
      </c>
      <c r="O99" s="64">
        <v>0</v>
      </c>
      <c r="P99" s="64">
        <v>0.49</v>
      </c>
      <c r="Q99" s="64">
        <v>20.29</v>
      </c>
      <c r="R99" s="198"/>
      <c r="S99" s="198"/>
      <c r="T99" s="198"/>
      <c r="U99" s="198"/>
    </row>
    <row r="100" spans="1:33" s="12" customFormat="1" x14ac:dyDescent="0.25">
      <c r="A100" s="214" t="s">
        <v>819</v>
      </c>
      <c r="B100" s="64">
        <v>6.12</v>
      </c>
      <c r="C100" s="64">
        <v>11.79</v>
      </c>
      <c r="D100" s="64">
        <v>17.899999999999999</v>
      </c>
      <c r="E100" s="64">
        <v>1.58</v>
      </c>
      <c r="F100" s="64">
        <v>2.34</v>
      </c>
      <c r="G100" s="64">
        <v>31.12</v>
      </c>
      <c r="H100" s="64">
        <v>10</v>
      </c>
      <c r="I100" s="64">
        <v>0.11</v>
      </c>
      <c r="J100" s="64">
        <v>1.33</v>
      </c>
      <c r="K100" s="64">
        <v>154.94999999999999</v>
      </c>
      <c r="L100" s="64">
        <v>23.62</v>
      </c>
      <c r="M100" s="64">
        <v>98.39</v>
      </c>
      <c r="N100" s="64">
        <v>12.1</v>
      </c>
      <c r="O100" s="64">
        <v>3.8</v>
      </c>
      <c r="P100" s="64">
        <v>0.52</v>
      </c>
      <c r="Q100" s="64">
        <v>19.66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820</v>
      </c>
      <c r="B101" s="64">
        <v>6.33</v>
      </c>
      <c r="C101" s="64">
        <v>9.5</v>
      </c>
      <c r="D101" s="64">
        <v>15.83</v>
      </c>
      <c r="E101" s="64">
        <v>0.99</v>
      </c>
      <c r="F101" s="64">
        <v>2.38</v>
      </c>
      <c r="G101" s="64">
        <v>26.53</v>
      </c>
      <c r="H101" s="64">
        <v>9.35</v>
      </c>
      <c r="I101" s="64">
        <v>0.12</v>
      </c>
      <c r="J101" s="64">
        <v>0.86</v>
      </c>
      <c r="K101" s="64">
        <v>137.80000000000001</v>
      </c>
      <c r="L101" s="64">
        <v>22.37</v>
      </c>
      <c r="M101" s="64">
        <v>98.45</v>
      </c>
      <c r="N101" s="64">
        <v>10</v>
      </c>
      <c r="O101" s="64">
        <v>5.6</v>
      </c>
      <c r="P101" s="64">
        <v>0.51</v>
      </c>
      <c r="Q101" s="64">
        <v>19.489999999999998</v>
      </c>
      <c r="R101" s="198"/>
      <c r="S101" s="198"/>
      <c r="T101" s="198"/>
      <c r="U101" s="198"/>
    </row>
    <row r="102" spans="1:33" s="12" customFormat="1" x14ac:dyDescent="0.25">
      <c r="A102" s="214" t="s">
        <v>821</v>
      </c>
      <c r="B102" s="64">
        <v>6.12</v>
      </c>
      <c r="C102" s="64">
        <v>9.9700000000000006</v>
      </c>
      <c r="D102" s="64">
        <v>16.09</v>
      </c>
      <c r="E102" s="64">
        <v>1.1399999999999999</v>
      </c>
      <c r="F102" s="64">
        <v>4.4800000000000004</v>
      </c>
      <c r="G102" s="64">
        <v>26.53</v>
      </c>
      <c r="H102" s="64">
        <v>9.35</v>
      </c>
      <c r="I102" s="64">
        <v>0.13</v>
      </c>
      <c r="J102" s="64">
        <v>0.43</v>
      </c>
      <c r="K102" s="64">
        <v>98.13</v>
      </c>
      <c r="L102" s="64">
        <v>21.94</v>
      </c>
      <c r="M102" s="64">
        <v>98.35</v>
      </c>
      <c r="N102" s="64">
        <v>9.9</v>
      </c>
      <c r="O102" s="64">
        <v>4.4000000000000004</v>
      </c>
      <c r="P102" s="64">
        <v>0.45</v>
      </c>
      <c r="Q102" s="64">
        <v>19.850000000000001</v>
      </c>
      <c r="R102" s="198"/>
      <c r="S102" s="198"/>
      <c r="T102" s="198"/>
      <c r="U102" s="198"/>
    </row>
    <row r="103" spans="1:33" s="12" customFormat="1" x14ac:dyDescent="0.25">
      <c r="A103" s="214" t="s">
        <v>822</v>
      </c>
      <c r="B103" s="64">
        <v>6.26</v>
      </c>
      <c r="C103" s="64">
        <v>9.5</v>
      </c>
      <c r="D103" s="64">
        <v>15.76</v>
      </c>
      <c r="E103" s="64">
        <v>1.02</v>
      </c>
      <c r="F103" s="64">
        <v>3.13</v>
      </c>
      <c r="G103" s="64">
        <v>26.53</v>
      </c>
      <c r="H103" s="64">
        <v>9.35</v>
      </c>
      <c r="I103" s="64">
        <v>0.13</v>
      </c>
      <c r="J103" s="64">
        <v>0.36</v>
      </c>
      <c r="K103" s="64">
        <v>117.9</v>
      </c>
      <c r="L103" s="64">
        <v>21.53</v>
      </c>
      <c r="M103" s="64">
        <v>97.95</v>
      </c>
      <c r="N103" s="64">
        <v>9.8000000000000007</v>
      </c>
      <c r="O103" s="64">
        <v>2.6</v>
      </c>
      <c r="P103" s="64">
        <v>0.49</v>
      </c>
      <c r="Q103" s="64">
        <v>19.64</v>
      </c>
      <c r="R103" s="198"/>
      <c r="S103" s="198"/>
      <c r="T103" s="198"/>
      <c r="U103" s="198"/>
    </row>
    <row r="104" spans="1:33" s="12" customFormat="1" x14ac:dyDescent="0.25">
      <c r="A104" s="214" t="s">
        <v>823</v>
      </c>
      <c r="B104" s="64">
        <v>5.19</v>
      </c>
      <c r="C104" s="64">
        <v>10.65</v>
      </c>
      <c r="D104" s="64">
        <v>15.84</v>
      </c>
      <c r="E104" s="64">
        <v>1.02</v>
      </c>
      <c r="F104" s="64">
        <v>8.86</v>
      </c>
      <c r="G104" s="64">
        <v>21.86</v>
      </c>
      <c r="H104" s="64">
        <v>9.59</v>
      </c>
      <c r="I104" s="64">
        <v>0.13</v>
      </c>
      <c r="J104" s="64">
        <v>0.02</v>
      </c>
      <c r="K104" s="64">
        <v>9.67</v>
      </c>
      <c r="L104" s="64">
        <v>21.6</v>
      </c>
      <c r="M104" s="64">
        <v>97.96</v>
      </c>
      <c r="N104" s="64">
        <v>9</v>
      </c>
      <c r="O104" s="64">
        <v>1.8</v>
      </c>
      <c r="P104" s="64">
        <v>0.4</v>
      </c>
      <c r="Q104" s="64">
        <v>20.32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4.05</v>
      </c>
      <c r="C106" s="67">
        <f>MIN(C9:C104)</f>
        <v>8.36</v>
      </c>
      <c r="D106" s="67">
        <f t="shared" ref="D106:Q106" si="0">MIN(D9:D104)</f>
        <v>13.56</v>
      </c>
      <c r="E106" s="67">
        <f t="shared" si="0"/>
        <v>0.24</v>
      </c>
      <c r="F106" s="67">
        <f t="shared" si="0"/>
        <v>1.33</v>
      </c>
      <c r="G106" s="67">
        <f t="shared" si="0"/>
        <v>12.18</v>
      </c>
      <c r="H106" s="67">
        <f t="shared" si="0"/>
        <v>4.8499999999999996</v>
      </c>
      <c r="I106" s="67">
        <f t="shared" si="0"/>
        <v>0.11</v>
      </c>
      <c r="J106" s="67">
        <f t="shared" si="0"/>
        <v>0.02</v>
      </c>
      <c r="K106" s="67">
        <f t="shared" si="0"/>
        <v>2.16</v>
      </c>
      <c r="L106" s="67">
        <f t="shared" si="0"/>
        <v>21.19</v>
      </c>
      <c r="M106" s="67">
        <f t="shared" si="0"/>
        <v>73.31</v>
      </c>
      <c r="N106" s="67">
        <f t="shared" si="0"/>
        <v>6.7</v>
      </c>
      <c r="O106" s="67">
        <f t="shared" si="0"/>
        <v>0</v>
      </c>
      <c r="P106" s="67">
        <f t="shared" si="0"/>
        <v>0.32</v>
      </c>
      <c r="Q106" s="67">
        <f t="shared" si="0"/>
        <v>19.440000000000001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12.45</v>
      </c>
      <c r="C107" s="66">
        <f t="shared" ref="C107:Q107" si="1">MAX(C9:C104)</f>
        <v>30.77</v>
      </c>
      <c r="D107" s="66">
        <f t="shared" si="1"/>
        <v>39.51</v>
      </c>
      <c r="E107" s="66">
        <f t="shared" si="1"/>
        <v>2.77</v>
      </c>
      <c r="F107" s="66">
        <f t="shared" si="1"/>
        <v>15.52</v>
      </c>
      <c r="G107" s="66">
        <f t="shared" si="1"/>
        <v>68.069999999999993</v>
      </c>
      <c r="H107" s="66">
        <f t="shared" si="1"/>
        <v>19.28</v>
      </c>
      <c r="I107" s="66">
        <f t="shared" si="1"/>
        <v>0.14000000000000001</v>
      </c>
      <c r="J107" s="66">
        <f t="shared" si="1"/>
        <v>2.29</v>
      </c>
      <c r="K107" s="66">
        <f t="shared" si="1"/>
        <v>326.95999999999998</v>
      </c>
      <c r="L107" s="66">
        <f t="shared" si="1"/>
        <v>28.23</v>
      </c>
      <c r="M107" s="66">
        <f t="shared" si="1"/>
        <v>98.45</v>
      </c>
      <c r="N107" s="66">
        <f t="shared" si="1"/>
        <v>907.4</v>
      </c>
      <c r="O107" s="66">
        <f t="shared" si="1"/>
        <v>5.6</v>
      </c>
      <c r="P107" s="66">
        <f t="shared" si="1"/>
        <v>1.02</v>
      </c>
      <c r="Q107" s="66">
        <f t="shared" si="1"/>
        <v>25.31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6.6319791666666648</v>
      </c>
      <c r="C108" s="67">
        <f t="shared" ref="C108:Q108" si="2">AVERAGE(C9:C104)</f>
        <v>14.365416666666674</v>
      </c>
      <c r="D108" s="67">
        <f t="shared" si="2"/>
        <v>20.996979166666666</v>
      </c>
      <c r="E108" s="67">
        <f t="shared" si="2"/>
        <v>1.66625</v>
      </c>
      <c r="F108" s="67">
        <f t="shared" si="2"/>
        <v>5.7404166666666683</v>
      </c>
      <c r="G108" s="67">
        <f t="shared" si="2"/>
        <v>28.243333333333336</v>
      </c>
      <c r="H108" s="67">
        <f t="shared" si="2"/>
        <v>9.0127083333333378</v>
      </c>
      <c r="I108" s="67">
        <f t="shared" si="2"/>
        <v>0.12312499999999982</v>
      </c>
      <c r="J108" s="67">
        <f t="shared" si="2"/>
        <v>0.70322916666666646</v>
      </c>
      <c r="K108" s="67">
        <f t="shared" si="2"/>
        <v>121.09270833333333</v>
      </c>
      <c r="L108" s="67">
        <f t="shared" si="2"/>
        <v>24.63572916666666</v>
      </c>
      <c r="M108" s="67">
        <f t="shared" si="2"/>
        <v>89.898020833333348</v>
      </c>
      <c r="N108" s="67">
        <f t="shared" si="2"/>
        <v>191.04374999999996</v>
      </c>
      <c r="O108" s="67">
        <f t="shared" si="2"/>
        <v>0.21875000000000003</v>
      </c>
      <c r="P108" s="67">
        <f t="shared" si="2"/>
        <v>0.480104166666667</v>
      </c>
      <c r="Q108" s="67">
        <f t="shared" si="2"/>
        <v>21.992708333333329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1.5855184241268323</v>
      </c>
      <c r="C109" s="67">
        <f t="shared" ref="C109:Q109" si="3">STDEV(C9:C104)</f>
        <v>5.4194221709206651</v>
      </c>
      <c r="D109" s="67">
        <f t="shared" si="3"/>
        <v>5.8099348886272235</v>
      </c>
      <c r="E109" s="67">
        <f t="shared" si="3"/>
        <v>0.55986323517914838</v>
      </c>
      <c r="F109" s="67">
        <f t="shared" si="3"/>
        <v>3.8243526914723613</v>
      </c>
      <c r="G109" s="67">
        <f t="shared" si="3"/>
        <v>12.88608818734104</v>
      </c>
      <c r="H109" s="67">
        <f t="shared" si="3"/>
        <v>3.2736789152803025</v>
      </c>
      <c r="I109" s="67">
        <f t="shared" si="3"/>
        <v>7.1543141199080611E-3</v>
      </c>
      <c r="J109" s="67">
        <f t="shared" si="3"/>
        <v>0.52846848193956586</v>
      </c>
      <c r="K109" s="67">
        <f t="shared" si="3"/>
        <v>54.390283487502415</v>
      </c>
      <c r="L109" s="67">
        <f t="shared" si="3"/>
        <v>2.1561714338597895</v>
      </c>
      <c r="M109" s="67">
        <f t="shared" si="3"/>
        <v>9.4740121684522904</v>
      </c>
      <c r="N109" s="67">
        <f t="shared" si="3"/>
        <v>255.20405986396983</v>
      </c>
      <c r="O109" s="67">
        <f t="shared" si="3"/>
        <v>0.88547489488617592</v>
      </c>
      <c r="P109" s="67">
        <f t="shared" si="3"/>
        <v>0.12390569241981914</v>
      </c>
      <c r="Q109" s="67">
        <f t="shared" si="3"/>
        <v>1.6813788071051856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824</v>
      </c>
      <c r="B9" s="64">
        <v>5.64</v>
      </c>
      <c r="C9" s="64">
        <v>9.69</v>
      </c>
      <c r="D9" s="64">
        <v>15.33</v>
      </c>
      <c r="E9" s="64">
        <v>1.86</v>
      </c>
      <c r="F9" s="64">
        <v>3.51</v>
      </c>
      <c r="G9" s="64">
        <v>17.78</v>
      </c>
      <c r="H9" s="64">
        <v>9.7799999999999994</v>
      </c>
      <c r="I9" s="64">
        <v>0.12</v>
      </c>
      <c r="J9" s="64">
        <v>0.17</v>
      </c>
      <c r="K9" s="64">
        <v>145.75</v>
      </c>
      <c r="L9" s="64">
        <v>21.71</v>
      </c>
      <c r="M9" s="64">
        <v>98.45</v>
      </c>
      <c r="N9" s="64">
        <v>9</v>
      </c>
      <c r="O9" s="64">
        <v>0.8</v>
      </c>
      <c r="P9" s="64">
        <v>0.47</v>
      </c>
      <c r="Q9" s="64">
        <v>19.21</v>
      </c>
      <c r="R9" s="198"/>
      <c r="S9" s="198"/>
      <c r="T9" s="198"/>
      <c r="U9" s="198"/>
    </row>
    <row r="10" spans="1:21" s="12" customFormat="1" x14ac:dyDescent="0.25">
      <c r="A10" s="214" t="s">
        <v>825</v>
      </c>
      <c r="B10" s="64">
        <v>4.7300000000000004</v>
      </c>
      <c r="C10" s="64">
        <v>11.56</v>
      </c>
      <c r="D10" s="64">
        <v>16.28</v>
      </c>
      <c r="E10" s="64">
        <v>1.96</v>
      </c>
      <c r="F10" s="64">
        <v>8.31</v>
      </c>
      <c r="G10" s="64">
        <v>17.78</v>
      </c>
      <c r="H10" s="64">
        <v>9.7799999999999994</v>
      </c>
      <c r="I10" s="64">
        <v>0.12</v>
      </c>
      <c r="J10" s="64">
        <v>0.3</v>
      </c>
      <c r="K10" s="64">
        <v>95.13</v>
      </c>
      <c r="L10" s="64">
        <v>21.8</v>
      </c>
      <c r="M10" s="64">
        <v>97.98</v>
      </c>
      <c r="N10" s="64">
        <v>8.9</v>
      </c>
      <c r="O10" s="64">
        <v>1</v>
      </c>
      <c r="P10" s="64">
        <v>0.38</v>
      </c>
      <c r="Q10" s="64">
        <v>20.28</v>
      </c>
      <c r="R10" s="198"/>
      <c r="S10" s="198"/>
      <c r="T10" s="198"/>
      <c r="U10" s="198"/>
    </row>
    <row r="11" spans="1:21" s="12" customFormat="1" x14ac:dyDescent="0.25">
      <c r="A11" s="214" t="s">
        <v>826</v>
      </c>
      <c r="B11" s="64">
        <v>5.23</v>
      </c>
      <c r="C11" s="64">
        <v>10.94</v>
      </c>
      <c r="D11" s="64">
        <v>16.170000000000002</v>
      </c>
      <c r="E11" s="64">
        <v>2.4</v>
      </c>
      <c r="F11" s="64">
        <v>2.36</v>
      </c>
      <c r="G11" s="64">
        <v>17.78</v>
      </c>
      <c r="H11" s="64">
        <v>9.7799999999999994</v>
      </c>
      <c r="I11" s="64">
        <v>0.11</v>
      </c>
      <c r="J11" s="64">
        <v>0.74</v>
      </c>
      <c r="K11" s="64">
        <v>156.78</v>
      </c>
      <c r="L11" s="64">
        <v>21.91</v>
      </c>
      <c r="M11" s="64">
        <v>97.97</v>
      </c>
      <c r="N11" s="64">
        <v>9.1999999999999993</v>
      </c>
      <c r="O11" s="64">
        <v>0.2</v>
      </c>
      <c r="P11" s="64">
        <v>0.43</v>
      </c>
      <c r="Q11" s="64">
        <v>20.75</v>
      </c>
      <c r="R11" s="198"/>
      <c r="S11" s="198"/>
      <c r="T11" s="198"/>
      <c r="U11" s="198"/>
    </row>
    <row r="12" spans="1:21" s="12" customFormat="1" x14ac:dyDescent="0.25">
      <c r="A12" s="214" t="s">
        <v>827</v>
      </c>
      <c r="B12" s="64">
        <v>5.73</v>
      </c>
      <c r="C12" s="64">
        <v>9.48</v>
      </c>
      <c r="D12" s="64">
        <v>15.21</v>
      </c>
      <c r="E12" s="64">
        <v>2.46</v>
      </c>
      <c r="F12" s="64">
        <v>2.62</v>
      </c>
      <c r="G12" s="64">
        <v>15.18</v>
      </c>
      <c r="H12" s="64">
        <v>8.57</v>
      </c>
      <c r="I12" s="64">
        <v>0.12</v>
      </c>
      <c r="J12" s="64">
        <v>0.69</v>
      </c>
      <c r="K12" s="64">
        <v>155.76</v>
      </c>
      <c r="L12" s="64">
        <v>21.93</v>
      </c>
      <c r="M12" s="64">
        <v>97.96</v>
      </c>
      <c r="N12" s="64">
        <v>9.6</v>
      </c>
      <c r="O12" s="64">
        <v>0.4</v>
      </c>
      <c r="P12" s="64">
        <v>0.43</v>
      </c>
      <c r="Q12" s="64">
        <v>21</v>
      </c>
      <c r="R12" s="198"/>
      <c r="S12" s="198"/>
      <c r="T12" s="198"/>
      <c r="U12" s="198"/>
    </row>
    <row r="13" spans="1:21" s="12" customFormat="1" x14ac:dyDescent="0.25">
      <c r="A13" s="214" t="s">
        <v>828</v>
      </c>
      <c r="B13" s="64">
        <v>5.45</v>
      </c>
      <c r="C13" s="64">
        <v>9.2899999999999991</v>
      </c>
      <c r="D13" s="64">
        <v>14.75</v>
      </c>
      <c r="E13" s="64">
        <v>2.13</v>
      </c>
      <c r="F13" s="64">
        <v>5.4</v>
      </c>
      <c r="G13" s="64">
        <v>12.91</v>
      </c>
      <c r="H13" s="64">
        <v>8.09</v>
      </c>
      <c r="I13" s="64">
        <v>0.13</v>
      </c>
      <c r="J13" s="64">
        <v>0.2</v>
      </c>
      <c r="K13" s="64">
        <v>131.22999999999999</v>
      </c>
      <c r="L13" s="64">
        <v>21.71</v>
      </c>
      <c r="M13" s="64">
        <v>98.46</v>
      </c>
      <c r="N13" s="64">
        <v>9.3000000000000007</v>
      </c>
      <c r="O13" s="64">
        <v>0.6</v>
      </c>
      <c r="P13" s="64">
        <v>0.35</v>
      </c>
      <c r="Q13" s="64">
        <v>21.13</v>
      </c>
      <c r="R13" s="198"/>
      <c r="S13" s="198"/>
      <c r="T13" s="198"/>
      <c r="U13" s="198"/>
    </row>
    <row r="14" spans="1:21" s="12" customFormat="1" x14ac:dyDescent="0.25">
      <c r="A14" s="214" t="s">
        <v>829</v>
      </c>
      <c r="B14" s="64">
        <v>5.6</v>
      </c>
      <c r="C14" s="64">
        <v>8.98</v>
      </c>
      <c r="D14" s="64">
        <v>14.58</v>
      </c>
      <c r="E14" s="64">
        <v>2.25</v>
      </c>
      <c r="F14" s="64">
        <v>1.93</v>
      </c>
      <c r="G14" s="64">
        <v>12.91</v>
      </c>
      <c r="H14" s="64">
        <v>8.09</v>
      </c>
      <c r="I14" s="64">
        <v>0.13</v>
      </c>
      <c r="J14" s="64">
        <v>0.3</v>
      </c>
      <c r="K14" s="64">
        <v>159.83000000000001</v>
      </c>
      <c r="L14" s="64">
        <v>21.59</v>
      </c>
      <c r="M14" s="64">
        <v>98.1</v>
      </c>
      <c r="N14" s="64">
        <v>9.6</v>
      </c>
      <c r="O14" s="64">
        <v>0.2</v>
      </c>
      <c r="P14" s="64">
        <v>0.42</v>
      </c>
      <c r="Q14" s="64">
        <v>21.13</v>
      </c>
      <c r="R14" s="198"/>
      <c r="S14" s="198"/>
      <c r="T14" s="198"/>
      <c r="U14" s="198"/>
    </row>
    <row r="15" spans="1:21" s="12" customFormat="1" x14ac:dyDescent="0.25">
      <c r="A15" s="214" t="s">
        <v>830</v>
      </c>
      <c r="B15" s="64">
        <v>5.56</v>
      </c>
      <c r="C15" s="64">
        <v>8.99</v>
      </c>
      <c r="D15" s="64">
        <v>14.54</v>
      </c>
      <c r="E15" s="64">
        <v>2.11</v>
      </c>
      <c r="F15" s="64">
        <v>2.94</v>
      </c>
      <c r="G15" s="64">
        <v>12.91</v>
      </c>
      <c r="H15" s="64">
        <v>8.09</v>
      </c>
      <c r="I15" s="64">
        <v>0.13</v>
      </c>
      <c r="J15" s="64">
        <v>0.02</v>
      </c>
      <c r="K15" s="64">
        <v>181.01</v>
      </c>
      <c r="L15" s="64">
        <v>21.51</v>
      </c>
      <c r="M15" s="64">
        <v>98.11</v>
      </c>
      <c r="N15" s="64">
        <v>9.1</v>
      </c>
      <c r="O15" s="64">
        <v>0.4</v>
      </c>
      <c r="P15" s="64">
        <v>0.39</v>
      </c>
      <c r="Q15" s="64">
        <v>20.72</v>
      </c>
      <c r="R15" s="198"/>
      <c r="S15" s="198"/>
      <c r="T15" s="198"/>
      <c r="U15" s="198"/>
    </row>
    <row r="16" spans="1:21" s="12" customFormat="1" x14ac:dyDescent="0.25">
      <c r="A16" s="214" t="s">
        <v>831</v>
      </c>
      <c r="B16" s="64">
        <v>4.9000000000000004</v>
      </c>
      <c r="C16" s="64">
        <v>8.2799999999999994</v>
      </c>
      <c r="D16" s="64">
        <v>13.19</v>
      </c>
      <c r="E16" s="64">
        <v>1.91</v>
      </c>
      <c r="F16" s="64">
        <v>6.93</v>
      </c>
      <c r="G16" s="64">
        <v>10.94</v>
      </c>
      <c r="H16" s="64">
        <v>6.45</v>
      </c>
      <c r="I16" s="64">
        <v>0.13</v>
      </c>
      <c r="J16" s="64">
        <v>0.38</v>
      </c>
      <c r="K16" s="64">
        <v>154.32</v>
      </c>
      <c r="L16" s="64">
        <v>21.7</v>
      </c>
      <c r="M16" s="64">
        <v>98.12</v>
      </c>
      <c r="N16" s="64">
        <v>9</v>
      </c>
      <c r="O16" s="64">
        <v>0.6</v>
      </c>
      <c r="P16" s="64">
        <v>0.35</v>
      </c>
      <c r="Q16" s="64">
        <v>19.670000000000002</v>
      </c>
      <c r="R16" s="198"/>
      <c r="S16" s="198"/>
      <c r="T16" s="198"/>
      <c r="U16" s="198"/>
    </row>
    <row r="17" spans="1:21" s="12" customFormat="1" x14ac:dyDescent="0.25">
      <c r="A17" s="214" t="s">
        <v>832</v>
      </c>
      <c r="B17" s="64">
        <v>5.0999999999999996</v>
      </c>
      <c r="C17" s="64">
        <v>8.01</v>
      </c>
      <c r="D17" s="64">
        <v>13.12</v>
      </c>
      <c r="E17" s="64">
        <v>2.29</v>
      </c>
      <c r="F17" s="64">
        <v>2.0699999999999998</v>
      </c>
      <c r="G17" s="64">
        <v>9.2100000000000009</v>
      </c>
      <c r="H17" s="64">
        <v>5.78</v>
      </c>
      <c r="I17" s="64">
        <v>0.12</v>
      </c>
      <c r="J17" s="64">
        <v>0.01</v>
      </c>
      <c r="K17" s="64">
        <v>319.43</v>
      </c>
      <c r="L17" s="64">
        <v>21.62</v>
      </c>
      <c r="M17" s="64">
        <v>98.58</v>
      </c>
      <c r="N17" s="64">
        <v>9.1</v>
      </c>
      <c r="O17" s="64">
        <v>0</v>
      </c>
      <c r="P17" s="64">
        <v>0.4</v>
      </c>
      <c r="Q17" s="64">
        <v>18.829999999999998</v>
      </c>
      <c r="R17" s="198"/>
      <c r="S17" s="198"/>
      <c r="T17" s="198"/>
      <c r="U17" s="198"/>
    </row>
    <row r="18" spans="1:21" s="12" customFormat="1" x14ac:dyDescent="0.25">
      <c r="A18" s="214" t="s">
        <v>833</v>
      </c>
      <c r="B18" s="64">
        <v>4.79</v>
      </c>
      <c r="C18" s="64">
        <v>8.6</v>
      </c>
      <c r="D18" s="64">
        <v>13.39</v>
      </c>
      <c r="E18" s="64">
        <v>2.11</v>
      </c>
      <c r="F18" s="64">
        <v>3.31</v>
      </c>
      <c r="G18" s="64">
        <v>9.2100000000000009</v>
      </c>
      <c r="H18" s="64">
        <v>5.78</v>
      </c>
      <c r="I18" s="64">
        <v>0.13</v>
      </c>
      <c r="J18" s="64">
        <v>0.05</v>
      </c>
      <c r="K18" s="64">
        <v>176.88</v>
      </c>
      <c r="L18" s="64">
        <v>21.64</v>
      </c>
      <c r="M18" s="64">
        <v>98.14</v>
      </c>
      <c r="N18" s="64">
        <v>9</v>
      </c>
      <c r="O18" s="64">
        <v>0</v>
      </c>
      <c r="P18" s="64">
        <v>0.35</v>
      </c>
      <c r="Q18" s="64">
        <v>19.29</v>
      </c>
      <c r="R18" s="198"/>
      <c r="S18" s="198"/>
      <c r="T18" s="198"/>
      <c r="U18" s="198"/>
    </row>
    <row r="19" spans="1:21" s="12" customFormat="1" x14ac:dyDescent="0.25">
      <c r="A19" s="214" t="s">
        <v>834</v>
      </c>
      <c r="B19" s="64">
        <v>4.8099999999999996</v>
      </c>
      <c r="C19" s="64">
        <v>8.73</v>
      </c>
      <c r="D19" s="64">
        <v>13.54</v>
      </c>
      <c r="E19" s="64">
        <v>2.09</v>
      </c>
      <c r="F19" s="64">
        <v>2.52</v>
      </c>
      <c r="G19" s="64">
        <v>9.2100000000000009</v>
      </c>
      <c r="H19" s="64">
        <v>5.78</v>
      </c>
      <c r="I19" s="64">
        <v>0.13</v>
      </c>
      <c r="J19" s="64">
        <v>0</v>
      </c>
      <c r="K19" s="64">
        <v>157.44</v>
      </c>
      <c r="L19" s="64">
        <v>21.66</v>
      </c>
      <c r="M19" s="64">
        <v>98.11</v>
      </c>
      <c r="N19" s="64">
        <v>9</v>
      </c>
      <c r="O19" s="64">
        <v>0.2</v>
      </c>
      <c r="P19" s="64">
        <v>0.4</v>
      </c>
      <c r="Q19" s="64">
        <v>18.7</v>
      </c>
      <c r="R19" s="198"/>
      <c r="S19" s="198"/>
      <c r="T19" s="198"/>
      <c r="U19" s="198"/>
    </row>
    <row r="20" spans="1:21" s="12" customFormat="1" x14ac:dyDescent="0.25">
      <c r="A20" s="214" t="s">
        <v>835</v>
      </c>
      <c r="B20" s="64">
        <v>4.28</v>
      </c>
      <c r="C20" s="64">
        <v>10.66</v>
      </c>
      <c r="D20" s="64">
        <v>14.93</v>
      </c>
      <c r="E20" s="64">
        <v>2.11</v>
      </c>
      <c r="F20" s="64">
        <v>5.86</v>
      </c>
      <c r="G20" s="64">
        <v>8.0500000000000007</v>
      </c>
      <c r="H20" s="64">
        <v>4.75</v>
      </c>
      <c r="I20" s="64">
        <v>0.14000000000000001</v>
      </c>
      <c r="J20" s="64">
        <v>0.24</v>
      </c>
      <c r="K20" s="64">
        <v>151.94999999999999</v>
      </c>
      <c r="L20" s="64">
        <v>21.66</v>
      </c>
      <c r="M20" s="64">
        <v>98.1</v>
      </c>
      <c r="N20" s="64">
        <v>9.1999999999999993</v>
      </c>
      <c r="O20" s="64">
        <v>0</v>
      </c>
      <c r="P20" s="64">
        <v>0.41</v>
      </c>
      <c r="Q20" s="64">
        <v>18.46</v>
      </c>
      <c r="R20" s="198"/>
      <c r="S20" s="198"/>
      <c r="T20" s="198"/>
      <c r="U20" s="198"/>
    </row>
    <row r="21" spans="1:21" s="12" customFormat="1" x14ac:dyDescent="0.25">
      <c r="A21" s="214" t="s">
        <v>836</v>
      </c>
      <c r="B21" s="64">
        <v>4.66</v>
      </c>
      <c r="C21" s="64">
        <v>8.89</v>
      </c>
      <c r="D21" s="64">
        <v>13.55</v>
      </c>
      <c r="E21" s="64">
        <v>2.23</v>
      </c>
      <c r="F21" s="64">
        <v>2.85</v>
      </c>
      <c r="G21" s="64">
        <v>7.04</v>
      </c>
      <c r="H21" s="64">
        <v>4.34</v>
      </c>
      <c r="I21" s="64">
        <v>0.12</v>
      </c>
      <c r="J21" s="64">
        <v>0.09</v>
      </c>
      <c r="K21" s="64">
        <v>12.61</v>
      </c>
      <c r="L21" s="64">
        <v>21.54</v>
      </c>
      <c r="M21" s="64">
        <v>98.53</v>
      </c>
      <c r="N21" s="64">
        <v>9.1</v>
      </c>
      <c r="O21" s="64">
        <v>0</v>
      </c>
      <c r="P21" s="64">
        <v>0.39</v>
      </c>
      <c r="Q21" s="64">
        <v>18.420000000000002</v>
      </c>
      <c r="R21" s="198"/>
      <c r="S21" s="198"/>
      <c r="T21" s="198"/>
      <c r="U21" s="198"/>
    </row>
    <row r="22" spans="1:21" s="12" customFormat="1" x14ac:dyDescent="0.25">
      <c r="A22" s="214" t="s">
        <v>837</v>
      </c>
      <c r="B22" s="64">
        <v>4.55</v>
      </c>
      <c r="C22" s="64">
        <v>8.5299999999999994</v>
      </c>
      <c r="D22" s="64">
        <v>13.08</v>
      </c>
      <c r="E22" s="64">
        <v>2.33</v>
      </c>
      <c r="F22" s="64">
        <v>4.46</v>
      </c>
      <c r="G22" s="64">
        <v>7.04</v>
      </c>
      <c r="H22" s="64">
        <v>4.34</v>
      </c>
      <c r="I22" s="64">
        <v>0.12</v>
      </c>
      <c r="J22" s="64">
        <v>0.1</v>
      </c>
      <c r="K22" s="64">
        <v>161.4</v>
      </c>
      <c r="L22" s="64">
        <v>21.5</v>
      </c>
      <c r="M22" s="64">
        <v>98.21</v>
      </c>
      <c r="N22" s="64">
        <v>9.1</v>
      </c>
      <c r="O22" s="64">
        <v>0</v>
      </c>
      <c r="P22" s="64">
        <v>0.36</v>
      </c>
      <c r="Q22" s="64">
        <v>19.37</v>
      </c>
      <c r="R22" s="198"/>
      <c r="S22" s="198"/>
      <c r="T22" s="198"/>
      <c r="U22" s="198"/>
    </row>
    <row r="23" spans="1:21" s="12" customFormat="1" x14ac:dyDescent="0.25">
      <c r="A23" s="214" t="s">
        <v>838</v>
      </c>
      <c r="B23" s="64">
        <v>4.3499999999999996</v>
      </c>
      <c r="C23" s="64">
        <v>8.2200000000000006</v>
      </c>
      <c r="D23" s="64">
        <v>12.57</v>
      </c>
      <c r="E23" s="64">
        <v>2.46</v>
      </c>
      <c r="F23" s="64">
        <v>7.88</v>
      </c>
      <c r="G23" s="64">
        <v>7.04</v>
      </c>
      <c r="H23" s="64">
        <v>4.34</v>
      </c>
      <c r="I23" s="64">
        <v>0.13</v>
      </c>
      <c r="J23" s="64">
        <v>0.21</v>
      </c>
      <c r="K23" s="64">
        <v>153.34</v>
      </c>
      <c r="L23" s="64">
        <v>21.45</v>
      </c>
      <c r="M23" s="64">
        <v>98.63</v>
      </c>
      <c r="N23" s="64">
        <v>9.1</v>
      </c>
      <c r="O23" s="64">
        <v>0</v>
      </c>
      <c r="P23" s="64">
        <v>0.33</v>
      </c>
      <c r="Q23" s="64">
        <v>19.63</v>
      </c>
      <c r="R23" s="198"/>
      <c r="S23" s="198"/>
      <c r="T23" s="198"/>
      <c r="U23" s="198"/>
    </row>
    <row r="24" spans="1:21" s="12" customFormat="1" x14ac:dyDescent="0.25">
      <c r="A24" s="214" t="s">
        <v>839</v>
      </c>
      <c r="B24" s="64">
        <v>4.18</v>
      </c>
      <c r="C24" s="64">
        <v>8.6199999999999992</v>
      </c>
      <c r="D24" s="64">
        <v>12.81</v>
      </c>
      <c r="E24" s="64">
        <v>0.66</v>
      </c>
      <c r="F24" s="64">
        <v>9.84</v>
      </c>
      <c r="G24" s="64">
        <v>6.05</v>
      </c>
      <c r="H24" s="64">
        <v>3.64</v>
      </c>
      <c r="I24" s="64">
        <v>0.12</v>
      </c>
      <c r="J24" s="64">
        <v>0.11</v>
      </c>
      <c r="K24" s="64">
        <v>164.81</v>
      </c>
      <c r="L24" s="64">
        <v>21.46</v>
      </c>
      <c r="M24" s="64">
        <v>98.63</v>
      </c>
      <c r="N24" s="64">
        <v>9</v>
      </c>
      <c r="O24" s="64">
        <v>0</v>
      </c>
      <c r="P24" s="64">
        <v>0.31</v>
      </c>
      <c r="Q24" s="64">
        <v>19.940000000000001</v>
      </c>
      <c r="R24" s="198"/>
      <c r="S24" s="198"/>
      <c r="T24" s="198"/>
      <c r="U24" s="198"/>
    </row>
    <row r="25" spans="1:21" s="12" customFormat="1" x14ac:dyDescent="0.25">
      <c r="A25" s="214" t="s">
        <v>840</v>
      </c>
      <c r="B25" s="64">
        <v>4.3</v>
      </c>
      <c r="C25" s="64">
        <v>8.65</v>
      </c>
      <c r="D25" s="64">
        <v>12.95</v>
      </c>
      <c r="E25" s="64">
        <v>2</v>
      </c>
      <c r="F25" s="64">
        <v>6.59</v>
      </c>
      <c r="G25" s="64">
        <v>5.18</v>
      </c>
      <c r="H25" s="64">
        <v>3.34</v>
      </c>
      <c r="I25" s="64">
        <v>0.11</v>
      </c>
      <c r="J25" s="64">
        <v>0.1</v>
      </c>
      <c r="K25" s="64">
        <v>187.21</v>
      </c>
      <c r="L25" s="64">
        <v>21.61</v>
      </c>
      <c r="M25" s="64">
        <v>98.63</v>
      </c>
      <c r="N25" s="64">
        <v>9.1</v>
      </c>
      <c r="O25" s="64">
        <v>0</v>
      </c>
      <c r="P25" s="64">
        <v>0.32</v>
      </c>
      <c r="Q25" s="64">
        <v>20.170000000000002</v>
      </c>
      <c r="R25" s="198"/>
      <c r="S25" s="198"/>
      <c r="T25" s="198"/>
      <c r="U25" s="198"/>
    </row>
    <row r="26" spans="1:21" s="12" customFormat="1" x14ac:dyDescent="0.25">
      <c r="A26" s="214" t="s">
        <v>841</v>
      </c>
      <c r="B26" s="64">
        <v>4.79</v>
      </c>
      <c r="C26" s="64">
        <v>9.16</v>
      </c>
      <c r="D26" s="64">
        <v>13.96</v>
      </c>
      <c r="E26" s="64">
        <v>2.1800000000000002</v>
      </c>
      <c r="F26" s="64">
        <v>3.34</v>
      </c>
      <c r="G26" s="64">
        <v>5.18</v>
      </c>
      <c r="H26" s="64">
        <v>3.34</v>
      </c>
      <c r="I26" s="64">
        <v>0.11</v>
      </c>
      <c r="J26" s="64">
        <v>0.1</v>
      </c>
      <c r="K26" s="64">
        <v>153.75</v>
      </c>
      <c r="L26" s="64">
        <v>21.67</v>
      </c>
      <c r="M26" s="64">
        <v>98.63</v>
      </c>
      <c r="N26" s="64">
        <v>9.4</v>
      </c>
      <c r="O26" s="64">
        <v>0</v>
      </c>
      <c r="P26" s="64">
        <v>0.34</v>
      </c>
      <c r="Q26" s="64">
        <v>19.91</v>
      </c>
      <c r="R26" s="198"/>
      <c r="S26" s="198"/>
      <c r="T26" s="198"/>
      <c r="U26" s="198"/>
    </row>
    <row r="27" spans="1:21" s="12" customFormat="1" x14ac:dyDescent="0.25">
      <c r="A27" s="214" t="s">
        <v>842</v>
      </c>
      <c r="B27" s="64">
        <v>4.76</v>
      </c>
      <c r="C27" s="64">
        <v>9.39</v>
      </c>
      <c r="D27" s="64">
        <v>14.15</v>
      </c>
      <c r="E27" s="64">
        <v>2.19</v>
      </c>
      <c r="F27" s="64">
        <v>4.38</v>
      </c>
      <c r="G27" s="64">
        <v>5.18</v>
      </c>
      <c r="H27" s="64">
        <v>3.34</v>
      </c>
      <c r="I27" s="64">
        <v>0.12</v>
      </c>
      <c r="J27" s="64">
        <v>0.03</v>
      </c>
      <c r="K27" s="64">
        <v>180.17</v>
      </c>
      <c r="L27" s="64">
        <v>21.69</v>
      </c>
      <c r="M27" s="64">
        <v>98.63</v>
      </c>
      <c r="N27" s="64">
        <v>9.6</v>
      </c>
      <c r="O27" s="64">
        <v>0</v>
      </c>
      <c r="P27" s="64">
        <v>0.34</v>
      </c>
      <c r="Q27" s="64">
        <v>19.03</v>
      </c>
      <c r="R27" s="198"/>
      <c r="S27" s="198"/>
      <c r="T27" s="198"/>
      <c r="U27" s="198"/>
    </row>
    <row r="28" spans="1:21" s="12" customFormat="1" x14ac:dyDescent="0.25">
      <c r="A28" s="214" t="s">
        <v>843</v>
      </c>
      <c r="B28" s="64">
        <v>5.01</v>
      </c>
      <c r="C28" s="64">
        <v>8.69</v>
      </c>
      <c r="D28" s="64">
        <v>13.7</v>
      </c>
      <c r="E28" s="64">
        <v>1.93</v>
      </c>
      <c r="F28" s="64">
        <v>2.57</v>
      </c>
      <c r="G28" s="64">
        <v>4.43</v>
      </c>
      <c r="H28" s="64">
        <v>2.73</v>
      </c>
      <c r="I28" s="64">
        <v>0.12</v>
      </c>
      <c r="J28" s="64">
        <v>0.03</v>
      </c>
      <c r="K28" s="64">
        <v>31.84</v>
      </c>
      <c r="L28" s="64">
        <v>21.75</v>
      </c>
      <c r="M28" s="64">
        <v>98.63</v>
      </c>
      <c r="N28" s="64">
        <v>9.5</v>
      </c>
      <c r="O28" s="64">
        <v>0</v>
      </c>
      <c r="P28" s="64">
        <v>0.35</v>
      </c>
      <c r="Q28" s="64">
        <v>18.47</v>
      </c>
      <c r="R28" s="198"/>
      <c r="S28" s="198"/>
      <c r="T28" s="198"/>
      <c r="U28" s="198"/>
    </row>
    <row r="29" spans="1:21" s="12" customFormat="1" x14ac:dyDescent="0.25">
      <c r="A29" s="214" t="s">
        <v>844</v>
      </c>
      <c r="B29" s="64">
        <v>4.6100000000000003</v>
      </c>
      <c r="C29" s="64">
        <v>9.34</v>
      </c>
      <c r="D29" s="64">
        <v>13.95</v>
      </c>
      <c r="E29" s="64">
        <v>2.38</v>
      </c>
      <c r="F29" s="64">
        <v>3.7</v>
      </c>
      <c r="G29" s="64">
        <v>3.77</v>
      </c>
      <c r="H29" s="64">
        <v>2.4900000000000002</v>
      </c>
      <c r="I29" s="64">
        <v>0.13</v>
      </c>
      <c r="J29" s="64">
        <v>0.05</v>
      </c>
      <c r="K29" s="64">
        <v>151.06</v>
      </c>
      <c r="L29" s="64">
        <v>21.77</v>
      </c>
      <c r="M29" s="64">
        <v>98.63</v>
      </c>
      <c r="N29" s="64">
        <v>9.6</v>
      </c>
      <c r="O29" s="64">
        <v>0</v>
      </c>
      <c r="P29" s="64">
        <v>0.33</v>
      </c>
      <c r="Q29" s="64">
        <v>18.45</v>
      </c>
      <c r="R29" s="198"/>
      <c r="S29" s="198"/>
      <c r="T29" s="198"/>
      <c r="U29" s="198"/>
    </row>
    <row r="30" spans="1:21" s="12" customFormat="1" x14ac:dyDescent="0.25">
      <c r="A30" s="214" t="s">
        <v>845</v>
      </c>
      <c r="B30" s="64">
        <v>4.76</v>
      </c>
      <c r="C30" s="64">
        <v>8.7100000000000009</v>
      </c>
      <c r="D30" s="64">
        <v>13.47</v>
      </c>
      <c r="E30" s="64">
        <v>1.79</v>
      </c>
      <c r="F30" s="64">
        <v>2.21</v>
      </c>
      <c r="G30" s="64">
        <v>3.77</v>
      </c>
      <c r="H30" s="64">
        <v>2.4900000000000002</v>
      </c>
      <c r="I30" s="64">
        <v>0.12</v>
      </c>
      <c r="J30" s="64">
        <v>7.0000000000000007E-2</v>
      </c>
      <c r="K30" s="64">
        <v>168.96</v>
      </c>
      <c r="L30" s="64">
        <v>21.78</v>
      </c>
      <c r="M30" s="64">
        <v>98.63</v>
      </c>
      <c r="N30" s="64">
        <v>9.6999999999999993</v>
      </c>
      <c r="O30" s="64">
        <v>0</v>
      </c>
      <c r="P30" s="64">
        <v>0.33</v>
      </c>
      <c r="Q30" s="64">
        <v>18.48</v>
      </c>
      <c r="R30" s="198"/>
      <c r="S30" s="198"/>
      <c r="T30" s="198"/>
      <c r="U30" s="198"/>
    </row>
    <row r="31" spans="1:21" s="12" customFormat="1" x14ac:dyDescent="0.25">
      <c r="A31" s="214" t="s">
        <v>846</v>
      </c>
      <c r="B31" s="64">
        <v>4.5999999999999996</v>
      </c>
      <c r="C31" s="64">
        <v>8.4700000000000006</v>
      </c>
      <c r="D31" s="64">
        <v>13.06</v>
      </c>
      <c r="E31" s="64">
        <v>2.2599999999999998</v>
      </c>
      <c r="F31" s="64">
        <v>2.42</v>
      </c>
      <c r="G31" s="64">
        <v>3.77</v>
      </c>
      <c r="H31" s="64">
        <v>2.4900000000000002</v>
      </c>
      <c r="I31" s="64">
        <v>0.13</v>
      </c>
      <c r="J31" s="64">
        <v>7.0000000000000007E-2</v>
      </c>
      <c r="K31" s="64">
        <v>157.09</v>
      </c>
      <c r="L31" s="64">
        <v>21.81</v>
      </c>
      <c r="M31" s="64">
        <v>98.63</v>
      </c>
      <c r="N31" s="64">
        <v>10.7</v>
      </c>
      <c r="O31" s="64">
        <v>0</v>
      </c>
      <c r="P31" s="64">
        <v>0.33</v>
      </c>
      <c r="Q31" s="64">
        <v>18.190000000000001</v>
      </c>
      <c r="R31" s="198"/>
      <c r="S31" s="198"/>
      <c r="T31" s="198"/>
      <c r="U31" s="198"/>
    </row>
    <row r="32" spans="1:21" s="12" customFormat="1" x14ac:dyDescent="0.25">
      <c r="A32" s="214" t="s">
        <v>847</v>
      </c>
      <c r="B32" s="64">
        <v>4.5</v>
      </c>
      <c r="C32" s="64">
        <v>10.1</v>
      </c>
      <c r="D32" s="64">
        <v>14.6</v>
      </c>
      <c r="E32" s="64">
        <v>1.94</v>
      </c>
      <c r="F32" s="64">
        <v>4.05</v>
      </c>
      <c r="G32" s="64">
        <v>4.17</v>
      </c>
      <c r="H32" s="64">
        <v>2.23</v>
      </c>
      <c r="I32" s="64">
        <v>0.12</v>
      </c>
      <c r="J32" s="64">
        <v>0.04</v>
      </c>
      <c r="K32" s="64">
        <v>225.63</v>
      </c>
      <c r="L32" s="64">
        <v>21.86</v>
      </c>
      <c r="M32" s="64">
        <v>98.63</v>
      </c>
      <c r="N32" s="64">
        <v>18.2</v>
      </c>
      <c r="O32" s="64">
        <v>0</v>
      </c>
      <c r="P32" s="64">
        <v>0.33</v>
      </c>
      <c r="Q32" s="64">
        <v>17.850000000000001</v>
      </c>
      <c r="R32" s="198"/>
      <c r="S32" s="198"/>
      <c r="T32" s="198"/>
      <c r="U32" s="198"/>
    </row>
    <row r="33" spans="1:21" s="12" customFormat="1" x14ac:dyDescent="0.25">
      <c r="A33" s="214" t="s">
        <v>848</v>
      </c>
      <c r="B33" s="64">
        <v>5.07</v>
      </c>
      <c r="C33" s="64">
        <v>12.51</v>
      </c>
      <c r="D33" s="64">
        <v>17.579999999999998</v>
      </c>
      <c r="E33" s="64">
        <v>2.08</v>
      </c>
      <c r="F33" s="64">
        <v>3.69</v>
      </c>
      <c r="G33" s="64">
        <v>4.51</v>
      </c>
      <c r="H33" s="64">
        <v>2.02</v>
      </c>
      <c r="I33" s="64">
        <v>0.12</v>
      </c>
      <c r="J33" s="64">
        <v>0.33</v>
      </c>
      <c r="K33" s="64">
        <v>131.69999999999999</v>
      </c>
      <c r="L33" s="64">
        <v>21.94</v>
      </c>
      <c r="M33" s="64">
        <v>98.63</v>
      </c>
      <c r="N33" s="64">
        <v>29.9</v>
      </c>
      <c r="O33" s="64">
        <v>0</v>
      </c>
      <c r="P33" s="64">
        <v>0.34</v>
      </c>
      <c r="Q33" s="64">
        <v>17.62</v>
      </c>
      <c r="R33" s="198"/>
      <c r="S33" s="198"/>
      <c r="T33" s="198"/>
      <c r="U33" s="198"/>
    </row>
    <row r="34" spans="1:21" s="12" customFormat="1" x14ac:dyDescent="0.25">
      <c r="A34" s="214" t="s">
        <v>849</v>
      </c>
      <c r="B34" s="64">
        <v>6.24</v>
      </c>
      <c r="C34" s="64">
        <v>15.01</v>
      </c>
      <c r="D34" s="64">
        <v>21.25</v>
      </c>
      <c r="E34" s="64">
        <v>2.02</v>
      </c>
      <c r="F34" s="64">
        <v>3.84</v>
      </c>
      <c r="G34" s="64">
        <v>4.51</v>
      </c>
      <c r="H34" s="64">
        <v>2.02</v>
      </c>
      <c r="I34" s="64">
        <v>0.12</v>
      </c>
      <c r="J34" s="64">
        <v>0.25</v>
      </c>
      <c r="K34" s="64">
        <v>155.35</v>
      </c>
      <c r="L34" s="64">
        <v>22.06</v>
      </c>
      <c r="M34" s="64">
        <v>98.63</v>
      </c>
      <c r="N34" s="64">
        <v>47.2</v>
      </c>
      <c r="O34" s="64">
        <v>0</v>
      </c>
      <c r="P34" s="64">
        <v>0.34</v>
      </c>
      <c r="Q34" s="64">
        <v>18.66</v>
      </c>
      <c r="R34" s="198"/>
      <c r="S34" s="198"/>
      <c r="T34" s="198"/>
      <c r="U34" s="198"/>
    </row>
    <row r="35" spans="1:21" s="12" customFormat="1" x14ac:dyDescent="0.25">
      <c r="A35" s="214" t="s">
        <v>850</v>
      </c>
      <c r="B35" s="64">
        <v>6.55</v>
      </c>
      <c r="C35" s="64">
        <v>15.72</v>
      </c>
      <c r="D35" s="64">
        <v>22.27</v>
      </c>
      <c r="E35" s="64">
        <v>2.38</v>
      </c>
      <c r="F35" s="64">
        <v>4.95</v>
      </c>
      <c r="G35" s="64">
        <v>4.51</v>
      </c>
      <c r="H35" s="64">
        <v>2.02</v>
      </c>
      <c r="I35" s="64">
        <v>0.12</v>
      </c>
      <c r="J35" s="64">
        <v>0.18</v>
      </c>
      <c r="K35" s="64">
        <v>181.92</v>
      </c>
      <c r="L35" s="64">
        <v>22.25</v>
      </c>
      <c r="M35" s="64">
        <v>98.62</v>
      </c>
      <c r="N35" s="64">
        <v>84.9</v>
      </c>
      <c r="O35" s="64">
        <v>0</v>
      </c>
      <c r="P35" s="64">
        <v>0.35</v>
      </c>
      <c r="Q35" s="64">
        <v>19.12</v>
      </c>
      <c r="R35" s="198"/>
      <c r="S35" s="198"/>
      <c r="T35" s="198"/>
      <c r="U35" s="198"/>
    </row>
    <row r="36" spans="1:21" s="12" customFormat="1" x14ac:dyDescent="0.25">
      <c r="A36" s="214" t="s">
        <v>851</v>
      </c>
      <c r="B36" s="64">
        <v>6.17</v>
      </c>
      <c r="C36" s="64">
        <v>13.78</v>
      </c>
      <c r="D36" s="64">
        <v>19.95</v>
      </c>
      <c r="E36" s="64">
        <v>2.08</v>
      </c>
      <c r="F36" s="64">
        <v>5.4</v>
      </c>
      <c r="G36" s="64">
        <v>4.43</v>
      </c>
      <c r="H36" s="64">
        <v>1.97</v>
      </c>
      <c r="I36" s="64">
        <v>0.13</v>
      </c>
      <c r="J36" s="64">
        <v>0.47</v>
      </c>
      <c r="K36" s="64">
        <v>139.06</v>
      </c>
      <c r="L36" s="64">
        <v>22.59</v>
      </c>
      <c r="M36" s="64">
        <v>98.6</v>
      </c>
      <c r="N36" s="64">
        <v>134.6</v>
      </c>
      <c r="O36" s="64">
        <v>0</v>
      </c>
      <c r="P36" s="64">
        <v>0.35</v>
      </c>
      <c r="Q36" s="64">
        <v>19.61</v>
      </c>
      <c r="R36" s="198"/>
      <c r="S36" s="198"/>
      <c r="T36" s="198"/>
      <c r="U36" s="198"/>
    </row>
    <row r="37" spans="1:21" s="12" customFormat="1" x14ac:dyDescent="0.25">
      <c r="A37" s="214" t="s">
        <v>852</v>
      </c>
      <c r="B37" s="64">
        <v>5.9</v>
      </c>
      <c r="C37" s="64">
        <v>11.92</v>
      </c>
      <c r="D37" s="64">
        <v>17.809999999999999</v>
      </c>
      <c r="E37" s="64">
        <v>2.06</v>
      </c>
      <c r="F37" s="64">
        <v>4.4800000000000004</v>
      </c>
      <c r="G37" s="64">
        <v>4.3499999999999996</v>
      </c>
      <c r="H37" s="64">
        <v>1.94</v>
      </c>
      <c r="I37" s="64">
        <v>0.12</v>
      </c>
      <c r="J37" s="64">
        <v>0.02</v>
      </c>
      <c r="K37" s="64">
        <v>232.95</v>
      </c>
      <c r="L37" s="64">
        <v>23.23</v>
      </c>
      <c r="M37" s="64">
        <v>98.58</v>
      </c>
      <c r="N37" s="64">
        <v>143</v>
      </c>
      <c r="O37" s="64">
        <v>0</v>
      </c>
      <c r="P37" s="64">
        <v>0.34</v>
      </c>
      <c r="Q37" s="64">
        <v>20.2</v>
      </c>
      <c r="R37" s="198"/>
      <c r="S37" s="198"/>
      <c r="T37" s="198"/>
      <c r="U37" s="198"/>
    </row>
    <row r="38" spans="1:21" s="12" customFormat="1" x14ac:dyDescent="0.25">
      <c r="A38" s="214" t="s">
        <v>853</v>
      </c>
      <c r="B38" s="64">
        <v>6.1</v>
      </c>
      <c r="C38" s="64">
        <v>11.07</v>
      </c>
      <c r="D38" s="64">
        <v>17.18</v>
      </c>
      <c r="E38" s="64">
        <v>1.99</v>
      </c>
      <c r="F38" s="64">
        <v>3.07</v>
      </c>
      <c r="G38" s="64">
        <v>4.3499999999999996</v>
      </c>
      <c r="H38" s="64">
        <v>1.94</v>
      </c>
      <c r="I38" s="64">
        <v>0.12</v>
      </c>
      <c r="J38" s="64">
        <v>0.35</v>
      </c>
      <c r="K38" s="64">
        <v>156.63999999999999</v>
      </c>
      <c r="L38" s="64">
        <v>23.1</v>
      </c>
      <c r="M38" s="64">
        <v>98.56</v>
      </c>
      <c r="N38" s="64">
        <v>125.5</v>
      </c>
      <c r="O38" s="64">
        <v>0</v>
      </c>
      <c r="P38" s="64">
        <v>0.36</v>
      </c>
      <c r="Q38" s="64">
        <v>19.68</v>
      </c>
      <c r="R38" s="198"/>
      <c r="S38" s="198"/>
      <c r="T38" s="198"/>
      <c r="U38" s="198"/>
    </row>
    <row r="39" spans="1:21" s="12" customFormat="1" x14ac:dyDescent="0.25">
      <c r="A39" s="214" t="s">
        <v>854</v>
      </c>
      <c r="B39" s="64">
        <v>6.04</v>
      </c>
      <c r="C39" s="64">
        <v>10.1</v>
      </c>
      <c r="D39" s="64">
        <v>16.14</v>
      </c>
      <c r="E39" s="64">
        <v>2.2999999999999998</v>
      </c>
      <c r="F39" s="64">
        <v>3.02</v>
      </c>
      <c r="G39" s="64">
        <v>4.3499999999999996</v>
      </c>
      <c r="H39" s="64">
        <v>1.94</v>
      </c>
      <c r="I39" s="64">
        <v>0.13</v>
      </c>
      <c r="J39" s="64">
        <v>0.46</v>
      </c>
      <c r="K39" s="64">
        <v>139.44999999999999</v>
      </c>
      <c r="L39" s="64">
        <v>23.11</v>
      </c>
      <c r="M39" s="64">
        <v>98.55</v>
      </c>
      <c r="N39" s="64">
        <v>119.5</v>
      </c>
      <c r="O39" s="64">
        <v>0</v>
      </c>
      <c r="P39" s="64">
        <v>0.35</v>
      </c>
      <c r="Q39" s="64">
        <v>19.02</v>
      </c>
      <c r="R39" s="198"/>
      <c r="S39" s="198"/>
      <c r="T39" s="198"/>
      <c r="U39" s="198"/>
    </row>
    <row r="40" spans="1:21" s="12" customFormat="1" x14ac:dyDescent="0.25">
      <c r="A40" s="214" t="s">
        <v>855</v>
      </c>
      <c r="B40" s="64">
        <v>6.17</v>
      </c>
      <c r="C40" s="64">
        <v>10.029999999999999</v>
      </c>
      <c r="D40" s="64">
        <v>16.2</v>
      </c>
      <c r="E40" s="64">
        <v>0.63</v>
      </c>
      <c r="F40" s="64">
        <v>2.35</v>
      </c>
      <c r="G40" s="64">
        <v>7.7</v>
      </c>
      <c r="H40" s="64">
        <v>2.09</v>
      </c>
      <c r="I40" s="64">
        <v>0.12</v>
      </c>
      <c r="J40" s="64">
        <v>0.27</v>
      </c>
      <c r="K40" s="64">
        <v>114.76</v>
      </c>
      <c r="L40" s="64">
        <v>23.18</v>
      </c>
      <c r="M40" s="64">
        <v>98.56</v>
      </c>
      <c r="N40" s="64">
        <v>119.3</v>
      </c>
      <c r="O40" s="64">
        <v>0</v>
      </c>
      <c r="P40" s="64">
        <v>0.37</v>
      </c>
      <c r="Q40" s="64">
        <v>19.04</v>
      </c>
      <c r="R40" s="198"/>
      <c r="S40" s="198"/>
      <c r="T40" s="198"/>
      <c r="U40" s="198"/>
    </row>
    <row r="41" spans="1:21" s="12" customFormat="1" x14ac:dyDescent="0.25">
      <c r="A41" s="214" t="s">
        <v>856</v>
      </c>
      <c r="B41" s="64">
        <v>6.35</v>
      </c>
      <c r="C41" s="64">
        <v>10.039999999999999</v>
      </c>
      <c r="D41" s="64">
        <v>16.39</v>
      </c>
      <c r="E41" s="64">
        <v>0.8</v>
      </c>
      <c r="F41" s="64">
        <v>1.1000000000000001</v>
      </c>
      <c r="G41" s="64">
        <v>10.63</v>
      </c>
      <c r="H41" s="64">
        <v>2.15</v>
      </c>
      <c r="I41" s="64">
        <v>0.13</v>
      </c>
      <c r="J41" s="64">
        <v>0.55000000000000004</v>
      </c>
      <c r="K41" s="64">
        <v>105.96</v>
      </c>
      <c r="L41" s="64">
        <v>23.24</v>
      </c>
      <c r="M41" s="64">
        <v>98.55</v>
      </c>
      <c r="N41" s="64">
        <v>146</v>
      </c>
      <c r="O41" s="64">
        <v>0</v>
      </c>
      <c r="P41" s="64">
        <v>0.36</v>
      </c>
      <c r="Q41" s="64">
        <v>19.48</v>
      </c>
      <c r="R41" s="198"/>
      <c r="S41" s="198"/>
      <c r="T41" s="198"/>
      <c r="U41" s="198"/>
    </row>
    <row r="42" spans="1:21" s="12" customFormat="1" x14ac:dyDescent="0.25">
      <c r="A42" s="214" t="s">
        <v>857</v>
      </c>
      <c r="B42" s="64">
        <v>6.17</v>
      </c>
      <c r="C42" s="64">
        <v>10</v>
      </c>
      <c r="D42" s="64">
        <v>16.170000000000002</v>
      </c>
      <c r="E42" s="64">
        <v>1.58</v>
      </c>
      <c r="F42" s="64">
        <v>3.84</v>
      </c>
      <c r="G42" s="64">
        <v>10.63</v>
      </c>
      <c r="H42" s="64">
        <v>2.15</v>
      </c>
      <c r="I42" s="64">
        <v>0.13</v>
      </c>
      <c r="J42" s="64">
        <v>0.52</v>
      </c>
      <c r="K42" s="64">
        <v>99.29</v>
      </c>
      <c r="L42" s="64">
        <v>23.21</v>
      </c>
      <c r="M42" s="64">
        <v>98.55</v>
      </c>
      <c r="N42" s="64">
        <v>141.9</v>
      </c>
      <c r="O42" s="64">
        <v>0</v>
      </c>
      <c r="P42" s="64">
        <v>0.36</v>
      </c>
      <c r="Q42" s="64">
        <v>20.059999999999999</v>
      </c>
      <c r="R42" s="198"/>
      <c r="S42" s="198"/>
      <c r="T42" s="198"/>
      <c r="U42" s="198"/>
    </row>
    <row r="43" spans="1:21" s="12" customFormat="1" x14ac:dyDescent="0.25">
      <c r="A43" s="214" t="s">
        <v>858</v>
      </c>
      <c r="B43" s="64">
        <v>6.13</v>
      </c>
      <c r="C43" s="64">
        <v>9.74</v>
      </c>
      <c r="D43" s="64">
        <v>15.87</v>
      </c>
      <c r="E43" s="64">
        <v>0.59</v>
      </c>
      <c r="F43" s="64">
        <v>2.5299999999999998</v>
      </c>
      <c r="G43" s="64">
        <v>10.63</v>
      </c>
      <c r="H43" s="64">
        <v>2.15</v>
      </c>
      <c r="I43" s="64">
        <v>0.13</v>
      </c>
      <c r="J43" s="64">
        <v>0.27</v>
      </c>
      <c r="K43" s="64">
        <v>130.46</v>
      </c>
      <c r="L43" s="64">
        <v>23.4</v>
      </c>
      <c r="M43" s="64">
        <v>98.51</v>
      </c>
      <c r="N43" s="64">
        <v>124.7</v>
      </c>
      <c r="O43" s="64">
        <v>0</v>
      </c>
      <c r="P43" s="64">
        <v>0.38</v>
      </c>
      <c r="Q43" s="64">
        <v>20.21</v>
      </c>
      <c r="R43" s="198"/>
      <c r="S43" s="198"/>
      <c r="T43" s="198"/>
      <c r="U43" s="198"/>
    </row>
    <row r="44" spans="1:21" s="12" customFormat="1" x14ac:dyDescent="0.25">
      <c r="A44" s="214" t="s">
        <v>859</v>
      </c>
      <c r="B44" s="64">
        <v>7.53</v>
      </c>
      <c r="C44" s="64">
        <v>13.65</v>
      </c>
      <c r="D44" s="64">
        <v>21.18</v>
      </c>
      <c r="E44" s="64">
        <v>1.1499999999999999</v>
      </c>
      <c r="F44" s="64">
        <v>2.5099999999999998</v>
      </c>
      <c r="G44" s="64">
        <v>11.29</v>
      </c>
      <c r="H44" s="64">
        <v>2.17</v>
      </c>
      <c r="I44" s="64">
        <v>0.13</v>
      </c>
      <c r="J44" s="64">
        <v>0.81</v>
      </c>
      <c r="K44" s="64">
        <v>154.07</v>
      </c>
      <c r="L44" s="64">
        <v>23.51</v>
      </c>
      <c r="M44" s="64">
        <v>98.55</v>
      </c>
      <c r="N44" s="64">
        <v>127.4</v>
      </c>
      <c r="O44" s="64">
        <v>0</v>
      </c>
      <c r="P44" s="64">
        <v>0.39</v>
      </c>
      <c r="Q44" s="64">
        <v>20.46</v>
      </c>
      <c r="R44" s="198"/>
      <c r="S44" s="198"/>
      <c r="T44" s="198"/>
      <c r="U44" s="198"/>
    </row>
    <row r="45" spans="1:21" s="12" customFormat="1" x14ac:dyDescent="0.25">
      <c r="A45" s="214" t="s">
        <v>860</v>
      </c>
      <c r="B45" s="64">
        <v>6.9</v>
      </c>
      <c r="C45" s="64">
        <v>12.54</v>
      </c>
      <c r="D45" s="64">
        <v>19.440000000000001</v>
      </c>
      <c r="E45" s="64">
        <v>1.19</v>
      </c>
      <c r="F45" s="64">
        <v>3.55</v>
      </c>
      <c r="G45" s="64">
        <v>11.87</v>
      </c>
      <c r="H45" s="64">
        <v>2.17</v>
      </c>
      <c r="I45" s="64">
        <v>0.12</v>
      </c>
      <c r="J45" s="64">
        <v>0.59</v>
      </c>
      <c r="K45" s="64">
        <v>153.93</v>
      </c>
      <c r="L45" s="64">
        <v>23.64</v>
      </c>
      <c r="M45" s="64">
        <v>98.55</v>
      </c>
      <c r="N45" s="64">
        <v>202.8</v>
      </c>
      <c r="O45" s="64">
        <v>0</v>
      </c>
      <c r="P45" s="64">
        <v>0.41</v>
      </c>
      <c r="Q45" s="64">
        <v>20.52</v>
      </c>
      <c r="R45" s="198"/>
      <c r="S45" s="198"/>
      <c r="T45" s="198"/>
      <c r="U45" s="198"/>
    </row>
    <row r="46" spans="1:21" s="12" customFormat="1" x14ac:dyDescent="0.25">
      <c r="A46" s="214" t="s">
        <v>861</v>
      </c>
      <c r="B46" s="64">
        <v>6.5</v>
      </c>
      <c r="C46" s="64">
        <v>11.58</v>
      </c>
      <c r="D46" s="64">
        <v>18.079999999999998</v>
      </c>
      <c r="E46" s="64">
        <v>1.39</v>
      </c>
      <c r="F46" s="64">
        <v>2.76</v>
      </c>
      <c r="G46" s="64">
        <v>11.87</v>
      </c>
      <c r="H46" s="64">
        <v>2.17</v>
      </c>
      <c r="I46" s="64">
        <v>0.13</v>
      </c>
      <c r="J46" s="64">
        <v>0.75</v>
      </c>
      <c r="K46" s="64">
        <v>154.80000000000001</v>
      </c>
      <c r="L46" s="64">
        <v>23.97</v>
      </c>
      <c r="M46" s="64">
        <v>97.54</v>
      </c>
      <c r="N46" s="64">
        <v>246.8</v>
      </c>
      <c r="O46" s="64">
        <v>0</v>
      </c>
      <c r="P46" s="64">
        <v>0.41</v>
      </c>
      <c r="Q46" s="64">
        <v>21.09</v>
      </c>
      <c r="R46" s="198"/>
      <c r="S46" s="198"/>
      <c r="T46" s="198"/>
      <c r="U46" s="198"/>
    </row>
    <row r="47" spans="1:21" s="12" customFormat="1" x14ac:dyDescent="0.25">
      <c r="A47" s="214" t="s">
        <v>862</v>
      </c>
      <c r="B47" s="64">
        <v>6.62</v>
      </c>
      <c r="C47" s="64">
        <v>10.79</v>
      </c>
      <c r="D47" s="64">
        <v>17.399999999999999</v>
      </c>
      <c r="E47" s="64">
        <v>1.86</v>
      </c>
      <c r="F47" s="64">
        <v>2.95</v>
      </c>
      <c r="G47" s="64">
        <v>11.87</v>
      </c>
      <c r="H47" s="64">
        <v>2.17</v>
      </c>
      <c r="I47" s="64">
        <v>0.12</v>
      </c>
      <c r="J47" s="64">
        <v>0.65</v>
      </c>
      <c r="K47" s="64">
        <v>155.13999999999999</v>
      </c>
      <c r="L47" s="64">
        <v>24.59</v>
      </c>
      <c r="M47" s="64">
        <v>94.46</v>
      </c>
      <c r="N47" s="64">
        <v>529.9</v>
      </c>
      <c r="O47" s="64">
        <v>0</v>
      </c>
      <c r="P47" s="64">
        <v>0.41</v>
      </c>
      <c r="Q47" s="64">
        <v>21.24</v>
      </c>
      <c r="R47" s="198"/>
      <c r="S47" s="198"/>
      <c r="T47" s="198"/>
      <c r="U47" s="198"/>
    </row>
    <row r="48" spans="1:21" s="12" customFormat="1" x14ac:dyDescent="0.25">
      <c r="A48" s="214" t="s">
        <v>863</v>
      </c>
      <c r="B48" s="64">
        <v>6.67</v>
      </c>
      <c r="C48" s="64">
        <v>10.34</v>
      </c>
      <c r="D48" s="64">
        <v>17.010000000000002</v>
      </c>
      <c r="E48" s="64">
        <v>2.29</v>
      </c>
      <c r="F48" s="64">
        <v>1.29</v>
      </c>
      <c r="G48" s="64">
        <v>11.31</v>
      </c>
      <c r="H48" s="64">
        <v>3.27</v>
      </c>
      <c r="I48" s="64">
        <v>0.13</v>
      </c>
      <c r="J48" s="64">
        <v>1.18</v>
      </c>
      <c r="K48" s="64">
        <v>153.52000000000001</v>
      </c>
      <c r="L48" s="64">
        <v>24.57</v>
      </c>
      <c r="M48" s="64">
        <v>93.84</v>
      </c>
      <c r="N48" s="64">
        <v>390.8</v>
      </c>
      <c r="O48" s="64">
        <v>0</v>
      </c>
      <c r="P48" s="64">
        <v>0.42</v>
      </c>
      <c r="Q48" s="64">
        <v>21.41</v>
      </c>
      <c r="R48" s="198"/>
      <c r="S48" s="198"/>
      <c r="T48" s="198"/>
      <c r="U48" s="198"/>
    </row>
    <row r="49" spans="1:21" s="12" customFormat="1" x14ac:dyDescent="0.25">
      <c r="A49" s="214" t="s">
        <v>864</v>
      </c>
      <c r="B49" s="64">
        <v>6.63</v>
      </c>
      <c r="C49" s="64">
        <v>10.31</v>
      </c>
      <c r="D49" s="64">
        <v>16.95</v>
      </c>
      <c r="E49" s="64">
        <v>1.83</v>
      </c>
      <c r="F49" s="64">
        <v>1.9</v>
      </c>
      <c r="G49" s="64">
        <v>10.82</v>
      </c>
      <c r="H49" s="64">
        <v>3.71</v>
      </c>
      <c r="I49" s="64">
        <v>0.14000000000000001</v>
      </c>
      <c r="J49" s="64">
        <v>1.1000000000000001</v>
      </c>
      <c r="K49" s="64">
        <v>150.44999999999999</v>
      </c>
      <c r="L49" s="64">
        <v>24.86</v>
      </c>
      <c r="M49" s="64">
        <v>93.09</v>
      </c>
      <c r="N49" s="64">
        <v>358.9</v>
      </c>
      <c r="O49" s="64">
        <v>0</v>
      </c>
      <c r="P49" s="64">
        <v>0.45</v>
      </c>
      <c r="Q49" s="64">
        <v>21.26</v>
      </c>
      <c r="R49" s="198"/>
      <c r="S49" s="198"/>
      <c r="T49" s="198"/>
      <c r="U49" s="198"/>
    </row>
    <row r="50" spans="1:21" s="12" customFormat="1" x14ac:dyDescent="0.25">
      <c r="A50" s="214" t="s">
        <v>865</v>
      </c>
      <c r="B50" s="64">
        <v>6.54</v>
      </c>
      <c r="C50" s="64">
        <v>10.58</v>
      </c>
      <c r="D50" s="64">
        <v>17.13</v>
      </c>
      <c r="E50" s="64">
        <v>1.94</v>
      </c>
      <c r="F50" s="64">
        <v>2.99</v>
      </c>
      <c r="G50" s="64">
        <v>10.82</v>
      </c>
      <c r="H50" s="64">
        <v>3.71</v>
      </c>
      <c r="I50" s="64">
        <v>0.13</v>
      </c>
      <c r="J50" s="64">
        <v>0.82</v>
      </c>
      <c r="K50" s="64">
        <v>142.27000000000001</v>
      </c>
      <c r="L50" s="64">
        <v>25.2</v>
      </c>
      <c r="M50" s="64">
        <v>90.5</v>
      </c>
      <c r="N50" s="64">
        <v>706.2</v>
      </c>
      <c r="O50" s="64">
        <v>0</v>
      </c>
      <c r="P50" s="64">
        <v>0.45</v>
      </c>
      <c r="Q50" s="64">
        <v>21.05</v>
      </c>
      <c r="R50" s="198"/>
      <c r="S50" s="198"/>
      <c r="T50" s="198"/>
      <c r="U50" s="198"/>
    </row>
    <row r="51" spans="1:21" s="12" customFormat="1" x14ac:dyDescent="0.25">
      <c r="A51" s="214" t="s">
        <v>866</v>
      </c>
      <c r="B51" s="64">
        <v>6.27</v>
      </c>
      <c r="C51" s="64">
        <v>10.36</v>
      </c>
      <c r="D51" s="64">
        <v>16.62</v>
      </c>
      <c r="E51" s="64">
        <v>1.04</v>
      </c>
      <c r="F51" s="64">
        <v>4.16</v>
      </c>
      <c r="G51" s="64">
        <v>10.82</v>
      </c>
      <c r="H51" s="64">
        <v>3.71</v>
      </c>
      <c r="I51" s="64">
        <v>0.13</v>
      </c>
      <c r="J51" s="64">
        <v>0.91</v>
      </c>
      <c r="K51" s="64">
        <v>99.15</v>
      </c>
      <c r="L51" s="64">
        <v>25.63</v>
      </c>
      <c r="M51" s="64">
        <v>87.11</v>
      </c>
      <c r="N51" s="64">
        <v>357.3</v>
      </c>
      <c r="O51" s="64">
        <v>0</v>
      </c>
      <c r="P51" s="64">
        <v>0.46</v>
      </c>
      <c r="Q51" s="64">
        <v>20.66</v>
      </c>
      <c r="R51" s="198"/>
      <c r="S51" s="198"/>
      <c r="T51" s="198"/>
      <c r="U51" s="198"/>
    </row>
    <row r="52" spans="1:21" s="12" customFormat="1" x14ac:dyDescent="0.25">
      <c r="A52" s="214" t="s">
        <v>867</v>
      </c>
      <c r="B52" s="64">
        <v>5.99</v>
      </c>
      <c r="C52" s="64">
        <v>10.02</v>
      </c>
      <c r="D52" s="64">
        <v>16.010000000000002</v>
      </c>
      <c r="E52" s="64">
        <v>1.35</v>
      </c>
      <c r="F52" s="64">
        <v>1.39</v>
      </c>
      <c r="G52" s="64">
        <v>13.06</v>
      </c>
      <c r="H52" s="64">
        <v>5.61</v>
      </c>
      <c r="I52" s="64">
        <v>0.14000000000000001</v>
      </c>
      <c r="J52" s="64">
        <v>1.03</v>
      </c>
      <c r="K52" s="64">
        <v>150.82</v>
      </c>
      <c r="L52" s="64">
        <v>25.69</v>
      </c>
      <c r="M52" s="64">
        <v>88.81</v>
      </c>
      <c r="N52" s="64">
        <v>738</v>
      </c>
      <c r="O52" s="64">
        <v>0</v>
      </c>
      <c r="P52" s="64">
        <v>0.46</v>
      </c>
      <c r="Q52" s="64">
        <v>20.59</v>
      </c>
      <c r="R52" s="198"/>
      <c r="S52" s="198"/>
      <c r="T52" s="198"/>
      <c r="U52" s="198"/>
    </row>
    <row r="53" spans="1:21" s="12" customFormat="1" x14ac:dyDescent="0.25">
      <c r="A53" s="214" t="s">
        <v>868</v>
      </c>
      <c r="B53" s="64">
        <v>5.64</v>
      </c>
      <c r="C53" s="64">
        <v>9.98</v>
      </c>
      <c r="D53" s="64">
        <v>15.62</v>
      </c>
      <c r="E53" s="64">
        <v>1.1200000000000001</v>
      </c>
      <c r="F53" s="64">
        <v>1.93</v>
      </c>
      <c r="G53" s="64">
        <v>15.02</v>
      </c>
      <c r="H53" s="64">
        <v>6.36</v>
      </c>
      <c r="I53" s="64">
        <v>0.14000000000000001</v>
      </c>
      <c r="J53" s="64">
        <v>1.06</v>
      </c>
      <c r="K53" s="64">
        <v>146.41999999999999</v>
      </c>
      <c r="L53" s="64">
        <v>26.28</v>
      </c>
      <c r="M53" s="64">
        <v>86.65</v>
      </c>
      <c r="N53" s="64">
        <v>619.70000000000005</v>
      </c>
      <c r="O53" s="64">
        <v>0</v>
      </c>
      <c r="P53" s="64">
        <v>0.44</v>
      </c>
      <c r="Q53" s="64">
        <v>20.99</v>
      </c>
      <c r="R53" s="198"/>
      <c r="S53" s="198"/>
      <c r="T53" s="198"/>
      <c r="U53" s="198"/>
    </row>
    <row r="54" spans="1:21" s="12" customFormat="1" x14ac:dyDescent="0.25">
      <c r="A54" s="214" t="s">
        <v>869</v>
      </c>
      <c r="B54" s="64">
        <v>5.2</v>
      </c>
      <c r="C54" s="64">
        <v>9.48</v>
      </c>
      <c r="D54" s="64">
        <v>14.68</v>
      </c>
      <c r="E54" s="64">
        <v>1.73</v>
      </c>
      <c r="F54" s="64">
        <v>2.98</v>
      </c>
      <c r="G54" s="64">
        <v>15.02</v>
      </c>
      <c r="H54" s="64">
        <v>6.36</v>
      </c>
      <c r="I54" s="64">
        <v>0.13</v>
      </c>
      <c r="J54" s="64">
        <v>0.56000000000000005</v>
      </c>
      <c r="K54" s="64">
        <v>152.19999999999999</v>
      </c>
      <c r="L54" s="64">
        <v>26.49</v>
      </c>
      <c r="M54" s="64">
        <v>85.48</v>
      </c>
      <c r="N54" s="64">
        <v>843.1</v>
      </c>
      <c r="O54" s="64">
        <v>0</v>
      </c>
      <c r="P54" s="64">
        <v>0.43</v>
      </c>
      <c r="Q54" s="64">
        <v>20.21</v>
      </c>
      <c r="R54" s="198"/>
      <c r="S54" s="198"/>
      <c r="T54" s="198"/>
      <c r="U54" s="198"/>
    </row>
    <row r="55" spans="1:21" s="12" customFormat="1" x14ac:dyDescent="0.25">
      <c r="A55" s="214" t="s">
        <v>870</v>
      </c>
      <c r="B55" s="64">
        <v>4.93</v>
      </c>
      <c r="C55" s="64">
        <v>9.5299999999999994</v>
      </c>
      <c r="D55" s="64">
        <v>14.46</v>
      </c>
      <c r="E55" s="64">
        <v>1.4</v>
      </c>
      <c r="F55" s="64">
        <v>1.99</v>
      </c>
      <c r="G55" s="64">
        <v>15.02</v>
      </c>
      <c r="H55" s="64">
        <v>6.36</v>
      </c>
      <c r="I55" s="64">
        <v>0.13</v>
      </c>
      <c r="J55" s="64">
        <v>0.42</v>
      </c>
      <c r="K55" s="64">
        <v>133.66</v>
      </c>
      <c r="L55" s="64">
        <v>27.65</v>
      </c>
      <c r="M55" s="64">
        <v>77.89</v>
      </c>
      <c r="N55" s="64">
        <v>950.4</v>
      </c>
      <c r="O55" s="64">
        <v>0</v>
      </c>
      <c r="P55" s="64">
        <v>0.43</v>
      </c>
      <c r="Q55" s="64">
        <v>19.84</v>
      </c>
      <c r="R55" s="198"/>
      <c r="S55" s="198"/>
      <c r="T55" s="198"/>
      <c r="U55" s="198"/>
    </row>
    <row r="56" spans="1:21" s="12" customFormat="1" x14ac:dyDescent="0.25">
      <c r="A56" s="214" t="s">
        <v>871</v>
      </c>
      <c r="B56" s="64">
        <v>5.21</v>
      </c>
      <c r="C56" s="64">
        <v>10.66</v>
      </c>
      <c r="D56" s="64">
        <v>15.87</v>
      </c>
      <c r="E56" s="64">
        <v>0.63</v>
      </c>
      <c r="F56" s="64">
        <v>3.88</v>
      </c>
      <c r="G56" s="64">
        <v>15.01</v>
      </c>
      <c r="H56" s="64">
        <v>5.93</v>
      </c>
      <c r="I56" s="64">
        <v>0.13</v>
      </c>
      <c r="J56" s="64">
        <v>0.54</v>
      </c>
      <c r="K56" s="64">
        <v>146.5</v>
      </c>
      <c r="L56" s="64">
        <v>27.87</v>
      </c>
      <c r="M56" s="64">
        <v>74.47</v>
      </c>
      <c r="N56" s="64">
        <v>641.20000000000005</v>
      </c>
      <c r="O56" s="64">
        <v>0</v>
      </c>
      <c r="P56" s="64">
        <v>0.41</v>
      </c>
      <c r="Q56" s="64">
        <v>19.8</v>
      </c>
      <c r="R56" s="198"/>
      <c r="S56" s="198"/>
      <c r="T56" s="198"/>
      <c r="U56" s="198"/>
    </row>
    <row r="57" spans="1:21" s="12" customFormat="1" x14ac:dyDescent="0.25">
      <c r="A57" s="214" t="s">
        <v>872</v>
      </c>
      <c r="B57" s="64">
        <v>5.79</v>
      </c>
      <c r="C57" s="64">
        <v>12.1</v>
      </c>
      <c r="D57" s="64">
        <v>17.88</v>
      </c>
      <c r="E57" s="64">
        <v>1.2</v>
      </c>
      <c r="F57" s="64">
        <v>6.15</v>
      </c>
      <c r="G57" s="64">
        <v>14.99</v>
      </c>
      <c r="H57" s="64">
        <v>5.6</v>
      </c>
      <c r="I57" s="64">
        <v>0.13</v>
      </c>
      <c r="J57" s="64">
        <v>0.11</v>
      </c>
      <c r="K57" s="64">
        <v>141</v>
      </c>
      <c r="L57" s="64">
        <v>28.25</v>
      </c>
      <c r="M57" s="64">
        <v>74.319999999999993</v>
      </c>
      <c r="N57" s="64">
        <v>1072.0999999999999</v>
      </c>
      <c r="O57" s="64">
        <v>0</v>
      </c>
      <c r="P57" s="64">
        <v>0.41</v>
      </c>
      <c r="Q57" s="64">
        <v>19.8</v>
      </c>
      <c r="R57" s="198"/>
      <c r="S57" s="198"/>
      <c r="T57" s="198"/>
      <c r="U57" s="198"/>
    </row>
    <row r="58" spans="1:21" s="12" customFormat="1" x14ac:dyDescent="0.25">
      <c r="A58" s="214" t="s">
        <v>873</v>
      </c>
      <c r="B58" s="64">
        <v>4.92</v>
      </c>
      <c r="C58" s="64">
        <v>9.81</v>
      </c>
      <c r="D58" s="64">
        <v>14.73</v>
      </c>
      <c r="E58" s="64">
        <v>1.1100000000000001</v>
      </c>
      <c r="F58" s="64">
        <v>4.5</v>
      </c>
      <c r="G58" s="64">
        <v>14.99</v>
      </c>
      <c r="H58" s="64">
        <v>5.6</v>
      </c>
      <c r="I58" s="64">
        <v>0.13</v>
      </c>
      <c r="J58" s="64">
        <v>0.44</v>
      </c>
      <c r="K58" s="64">
        <v>141.32</v>
      </c>
      <c r="L58" s="64">
        <v>28.57</v>
      </c>
      <c r="M58" s="64">
        <v>71.02</v>
      </c>
      <c r="N58" s="64">
        <v>1016.4</v>
      </c>
      <c r="O58" s="64">
        <v>0</v>
      </c>
      <c r="P58" s="64">
        <v>0.4</v>
      </c>
      <c r="Q58" s="64">
        <v>19.899999999999999</v>
      </c>
      <c r="R58" s="198"/>
      <c r="S58" s="198"/>
      <c r="T58" s="198"/>
      <c r="U58" s="198"/>
    </row>
    <row r="59" spans="1:21" s="12" customFormat="1" x14ac:dyDescent="0.25">
      <c r="A59" s="214" t="s">
        <v>874</v>
      </c>
      <c r="B59" s="64">
        <v>7.25</v>
      </c>
      <c r="C59" s="64">
        <v>8.52</v>
      </c>
      <c r="D59" s="64">
        <v>15.77</v>
      </c>
      <c r="E59" s="64">
        <v>0.76</v>
      </c>
      <c r="F59" s="64">
        <v>3.98</v>
      </c>
      <c r="G59" s="64">
        <v>14.99</v>
      </c>
      <c r="H59" s="64">
        <v>5.6</v>
      </c>
      <c r="I59" s="64">
        <v>0.12</v>
      </c>
      <c r="J59" s="64">
        <v>0.22</v>
      </c>
      <c r="K59" s="64">
        <v>89.31</v>
      </c>
      <c r="L59" s="64">
        <v>29.41</v>
      </c>
      <c r="M59" s="64">
        <v>69.88</v>
      </c>
      <c r="N59" s="64">
        <v>972.9</v>
      </c>
      <c r="O59" s="64">
        <v>0</v>
      </c>
      <c r="P59" s="64">
        <v>0.42</v>
      </c>
      <c r="Q59" s="64">
        <v>19.91</v>
      </c>
      <c r="R59" s="198"/>
      <c r="S59" s="198"/>
      <c r="T59" s="198"/>
      <c r="U59" s="198"/>
    </row>
    <row r="60" spans="1:21" s="12" customFormat="1" x14ac:dyDescent="0.25">
      <c r="A60" s="214" t="s">
        <v>875</v>
      </c>
      <c r="B60" s="64">
        <v>6.06</v>
      </c>
      <c r="C60" s="64">
        <v>8.9600000000000009</v>
      </c>
      <c r="D60" s="64">
        <v>15.02</v>
      </c>
      <c r="E60" s="64">
        <v>1.41</v>
      </c>
      <c r="F60" s="64">
        <v>4.9000000000000004</v>
      </c>
      <c r="G60" s="64">
        <v>14.41</v>
      </c>
      <c r="H60" s="64">
        <v>4.41</v>
      </c>
      <c r="I60" s="64">
        <v>0.12</v>
      </c>
      <c r="J60" s="64">
        <v>0.01</v>
      </c>
      <c r="K60" s="64">
        <v>119.13</v>
      </c>
      <c r="L60" s="64">
        <v>30.29</v>
      </c>
      <c r="M60" s="64">
        <v>66.13</v>
      </c>
      <c r="N60" s="64">
        <v>466.7</v>
      </c>
      <c r="O60" s="64">
        <v>0</v>
      </c>
      <c r="P60" s="64">
        <v>0.42</v>
      </c>
      <c r="Q60" s="64">
        <v>19.98</v>
      </c>
      <c r="R60" s="198"/>
      <c r="S60" s="198"/>
      <c r="T60" s="198"/>
      <c r="U60" s="198"/>
    </row>
    <row r="61" spans="1:21" s="12" customFormat="1" x14ac:dyDescent="0.25">
      <c r="A61" s="214" t="s">
        <v>876</v>
      </c>
      <c r="B61" s="64">
        <v>5.09</v>
      </c>
      <c r="C61" s="64">
        <v>9.64</v>
      </c>
      <c r="D61" s="64">
        <v>14.73</v>
      </c>
      <c r="E61" s="64">
        <v>0.84</v>
      </c>
      <c r="F61" s="64">
        <v>3.49</v>
      </c>
      <c r="G61" s="64">
        <v>13.91</v>
      </c>
      <c r="H61" s="64">
        <v>3.92</v>
      </c>
      <c r="I61" s="64">
        <v>0.12</v>
      </c>
      <c r="J61" s="64">
        <v>0.48</v>
      </c>
      <c r="K61" s="64">
        <v>143.68</v>
      </c>
      <c r="L61" s="64">
        <v>28.76</v>
      </c>
      <c r="M61" s="64">
        <v>68.91</v>
      </c>
      <c r="N61" s="64">
        <v>642.4</v>
      </c>
      <c r="O61" s="64">
        <v>0</v>
      </c>
      <c r="P61" s="64">
        <v>0.41</v>
      </c>
      <c r="Q61" s="64">
        <v>19.73</v>
      </c>
      <c r="R61" s="198"/>
      <c r="S61" s="198"/>
      <c r="T61" s="198"/>
      <c r="U61" s="198"/>
    </row>
    <row r="62" spans="1:21" s="12" customFormat="1" x14ac:dyDescent="0.25">
      <c r="A62" s="214" t="s">
        <v>877</v>
      </c>
      <c r="B62" s="64">
        <v>4.7300000000000004</v>
      </c>
      <c r="C62" s="64">
        <v>9.01</v>
      </c>
      <c r="D62" s="64">
        <v>13.74</v>
      </c>
      <c r="E62" s="64">
        <v>1.21</v>
      </c>
      <c r="F62" s="64">
        <v>2.95</v>
      </c>
      <c r="G62" s="64">
        <v>13.91</v>
      </c>
      <c r="H62" s="64">
        <v>3.92</v>
      </c>
      <c r="I62" s="64">
        <v>0.13</v>
      </c>
      <c r="J62" s="64">
        <v>0.34</v>
      </c>
      <c r="K62" s="64">
        <v>108.77</v>
      </c>
      <c r="L62" s="64">
        <v>28.83</v>
      </c>
      <c r="M62" s="64">
        <v>68.599999999999994</v>
      </c>
      <c r="N62" s="64">
        <v>879.4</v>
      </c>
      <c r="O62" s="64">
        <v>0</v>
      </c>
      <c r="P62" s="64">
        <v>0.4</v>
      </c>
      <c r="Q62" s="64">
        <v>19.53</v>
      </c>
      <c r="R62" s="198"/>
      <c r="S62" s="198"/>
      <c r="T62" s="198"/>
      <c r="U62" s="198"/>
    </row>
    <row r="63" spans="1:21" s="12" customFormat="1" x14ac:dyDescent="0.25">
      <c r="A63" s="214" t="s">
        <v>878</v>
      </c>
      <c r="B63" s="64">
        <v>5.84</v>
      </c>
      <c r="C63" s="64">
        <v>8.1300000000000008</v>
      </c>
      <c r="D63" s="64">
        <v>13.97</v>
      </c>
      <c r="E63" s="64">
        <v>0.76</v>
      </c>
      <c r="F63" s="64">
        <v>3.8</v>
      </c>
      <c r="G63" s="64">
        <v>13.91</v>
      </c>
      <c r="H63" s="64">
        <v>3.92</v>
      </c>
      <c r="I63" s="64">
        <v>0.14000000000000001</v>
      </c>
      <c r="J63" s="64">
        <v>0.46</v>
      </c>
      <c r="K63" s="64">
        <v>338.25</v>
      </c>
      <c r="L63" s="64">
        <v>31.94</v>
      </c>
      <c r="M63" s="64">
        <v>59.87</v>
      </c>
      <c r="N63" s="64">
        <v>588.1</v>
      </c>
      <c r="O63" s="64">
        <v>0</v>
      </c>
      <c r="P63" s="64">
        <v>0.43</v>
      </c>
      <c r="Q63" s="64">
        <v>19.309999999999999</v>
      </c>
      <c r="R63" s="198"/>
      <c r="S63" s="198"/>
      <c r="T63" s="198"/>
      <c r="U63" s="198"/>
    </row>
    <row r="64" spans="1:21" s="12" customFormat="1" x14ac:dyDescent="0.25">
      <c r="A64" s="214" t="s">
        <v>879</v>
      </c>
      <c r="B64" s="64">
        <v>6.91</v>
      </c>
      <c r="C64" s="64">
        <v>10.3</v>
      </c>
      <c r="D64" s="64">
        <v>17.21</v>
      </c>
      <c r="E64" s="64">
        <v>1.37</v>
      </c>
      <c r="F64" s="64">
        <v>6.81</v>
      </c>
      <c r="G64" s="64">
        <v>15.11</v>
      </c>
      <c r="H64" s="64">
        <v>7.15</v>
      </c>
      <c r="I64" s="64">
        <v>0.13</v>
      </c>
      <c r="J64" s="64">
        <v>0.4</v>
      </c>
      <c r="K64" s="64">
        <v>351.7</v>
      </c>
      <c r="L64" s="64">
        <v>31.88</v>
      </c>
      <c r="M64" s="64">
        <v>58.42</v>
      </c>
      <c r="N64" s="64">
        <v>315.3</v>
      </c>
      <c r="O64" s="64">
        <v>0</v>
      </c>
      <c r="P64" s="64">
        <v>0.45</v>
      </c>
      <c r="Q64" s="64">
        <v>18.77</v>
      </c>
      <c r="R64" s="198"/>
      <c r="S64" s="198"/>
      <c r="T64" s="198"/>
      <c r="U64" s="198"/>
    </row>
    <row r="65" spans="1:21" s="12" customFormat="1" x14ac:dyDescent="0.25">
      <c r="A65" s="214" t="s">
        <v>880</v>
      </c>
      <c r="B65" s="64">
        <v>5.51</v>
      </c>
      <c r="C65" s="64">
        <v>10.69</v>
      </c>
      <c r="D65" s="64">
        <v>16.2</v>
      </c>
      <c r="E65" s="64">
        <v>0.78</v>
      </c>
      <c r="F65" s="64">
        <v>2.73</v>
      </c>
      <c r="G65" s="64">
        <v>16.170000000000002</v>
      </c>
      <c r="H65" s="64">
        <v>8.4499999999999993</v>
      </c>
      <c r="I65" s="64">
        <v>0.12</v>
      </c>
      <c r="J65" s="64">
        <v>1.82</v>
      </c>
      <c r="K65" s="64">
        <v>109.24</v>
      </c>
      <c r="L65" s="64">
        <v>27.15</v>
      </c>
      <c r="M65" s="64">
        <v>84.82</v>
      </c>
      <c r="N65" s="64">
        <v>82.5</v>
      </c>
      <c r="O65" s="64">
        <v>0</v>
      </c>
      <c r="P65" s="64">
        <v>0.44</v>
      </c>
      <c r="Q65" s="64">
        <v>18.489999999999998</v>
      </c>
      <c r="R65" s="198"/>
      <c r="S65" s="198"/>
      <c r="T65" s="198"/>
      <c r="U65" s="198"/>
    </row>
    <row r="66" spans="1:21" s="12" customFormat="1" x14ac:dyDescent="0.25">
      <c r="A66" s="214" t="s">
        <v>881</v>
      </c>
      <c r="B66" s="64">
        <v>5.16</v>
      </c>
      <c r="C66" s="64">
        <v>10.25</v>
      </c>
      <c r="D66" s="64">
        <v>15.41</v>
      </c>
      <c r="E66" s="64">
        <v>0.83</v>
      </c>
      <c r="F66" s="64">
        <v>1.55</v>
      </c>
      <c r="G66" s="64">
        <v>16.170000000000002</v>
      </c>
      <c r="H66" s="64">
        <v>8.4499999999999993</v>
      </c>
      <c r="I66" s="64">
        <v>0.13</v>
      </c>
      <c r="J66" s="64">
        <v>2.31</v>
      </c>
      <c r="K66" s="64">
        <v>106.98</v>
      </c>
      <c r="L66" s="64">
        <v>24.97</v>
      </c>
      <c r="M66" s="64">
        <v>94.78</v>
      </c>
      <c r="N66" s="64">
        <v>64.8</v>
      </c>
      <c r="O66" s="64">
        <v>2.4</v>
      </c>
      <c r="P66" s="64">
        <v>0.44</v>
      </c>
      <c r="Q66" s="64">
        <v>19.71</v>
      </c>
      <c r="R66" s="198"/>
      <c r="S66" s="198"/>
      <c r="T66" s="198"/>
      <c r="U66" s="198"/>
    </row>
    <row r="67" spans="1:21" s="12" customFormat="1" x14ac:dyDescent="0.25">
      <c r="A67" s="214" t="s">
        <v>882</v>
      </c>
      <c r="B67" s="64">
        <v>4.93</v>
      </c>
      <c r="C67" s="64">
        <v>10.3</v>
      </c>
      <c r="D67" s="64">
        <v>15.23</v>
      </c>
      <c r="E67" s="64">
        <v>1.05</v>
      </c>
      <c r="F67" s="64">
        <v>2.83</v>
      </c>
      <c r="G67" s="64">
        <v>16.170000000000002</v>
      </c>
      <c r="H67" s="64">
        <v>8.4499999999999993</v>
      </c>
      <c r="I67" s="64">
        <v>0.12</v>
      </c>
      <c r="J67" s="64">
        <v>1.89</v>
      </c>
      <c r="K67" s="64">
        <v>107.27</v>
      </c>
      <c r="L67" s="64">
        <v>23.45</v>
      </c>
      <c r="M67" s="64">
        <v>98.61</v>
      </c>
      <c r="N67" s="64">
        <v>79.400000000000006</v>
      </c>
      <c r="O67" s="64">
        <v>3.6</v>
      </c>
      <c r="P67" s="64">
        <v>0.41</v>
      </c>
      <c r="Q67" s="64">
        <v>21.26</v>
      </c>
      <c r="R67" s="198"/>
      <c r="S67" s="198"/>
      <c r="T67" s="198"/>
      <c r="U67" s="198"/>
    </row>
    <row r="68" spans="1:21" s="12" customFormat="1" x14ac:dyDescent="0.25">
      <c r="A68" s="214" t="s">
        <v>883</v>
      </c>
      <c r="B68" s="64">
        <v>5.87</v>
      </c>
      <c r="C68" s="64">
        <v>15.98</v>
      </c>
      <c r="D68" s="64">
        <v>21.85</v>
      </c>
      <c r="E68" s="64">
        <v>0.9</v>
      </c>
      <c r="F68" s="64">
        <v>10.88</v>
      </c>
      <c r="G68" s="64">
        <v>16.29</v>
      </c>
      <c r="H68" s="64">
        <v>9.23</v>
      </c>
      <c r="I68" s="64">
        <v>0.13</v>
      </c>
      <c r="J68" s="64">
        <v>0.18</v>
      </c>
      <c r="K68" s="64">
        <v>120.34</v>
      </c>
      <c r="L68" s="64">
        <v>23.62</v>
      </c>
      <c r="M68" s="64">
        <v>98.63</v>
      </c>
      <c r="N68" s="64">
        <v>74.3</v>
      </c>
      <c r="O68" s="64">
        <v>0.2</v>
      </c>
      <c r="P68" s="64">
        <v>0.45</v>
      </c>
      <c r="Q68" s="64">
        <v>21.39</v>
      </c>
      <c r="R68" s="198"/>
      <c r="S68" s="198"/>
      <c r="T68" s="198"/>
      <c r="U68" s="198"/>
    </row>
    <row r="69" spans="1:21" s="12" customFormat="1" x14ac:dyDescent="0.25">
      <c r="A69" s="214" t="s">
        <v>884</v>
      </c>
      <c r="B69" s="64">
        <v>4.8499999999999996</v>
      </c>
      <c r="C69" s="64">
        <v>15.86</v>
      </c>
      <c r="D69" s="64">
        <v>20.71</v>
      </c>
      <c r="E69" s="64">
        <v>1.64</v>
      </c>
      <c r="F69" s="64">
        <v>7.55</v>
      </c>
      <c r="G69" s="64">
        <v>16.399999999999999</v>
      </c>
      <c r="H69" s="64">
        <v>9.5399999999999991</v>
      </c>
      <c r="I69" s="64">
        <v>0.12</v>
      </c>
      <c r="J69" s="64">
        <v>0.64</v>
      </c>
      <c r="K69" s="64">
        <v>98.3</v>
      </c>
      <c r="L69" s="64">
        <v>23.8</v>
      </c>
      <c r="M69" s="64">
        <v>98.61</v>
      </c>
      <c r="N69" s="64">
        <v>35.9</v>
      </c>
      <c r="O69" s="64">
        <v>0</v>
      </c>
      <c r="P69" s="64">
        <v>0.39</v>
      </c>
      <c r="Q69" s="64">
        <v>21.9</v>
      </c>
      <c r="R69" s="198"/>
      <c r="S69" s="198"/>
      <c r="T69" s="198"/>
      <c r="U69" s="198"/>
    </row>
    <row r="70" spans="1:21" s="12" customFormat="1" x14ac:dyDescent="0.25">
      <c r="A70" s="214" t="s">
        <v>885</v>
      </c>
      <c r="B70" s="64">
        <v>5.03</v>
      </c>
      <c r="C70" s="64">
        <v>11.83</v>
      </c>
      <c r="D70" s="64">
        <v>16.86</v>
      </c>
      <c r="E70" s="64">
        <v>1.52</v>
      </c>
      <c r="F70" s="64">
        <v>1.7</v>
      </c>
      <c r="G70" s="64">
        <v>16.399999999999999</v>
      </c>
      <c r="H70" s="64">
        <v>9.5399999999999991</v>
      </c>
      <c r="I70" s="64">
        <v>0.12</v>
      </c>
      <c r="J70" s="64">
        <v>1.77</v>
      </c>
      <c r="K70" s="64">
        <v>159.69999999999999</v>
      </c>
      <c r="L70" s="64">
        <v>23.33</v>
      </c>
      <c r="M70" s="64">
        <v>98.6</v>
      </c>
      <c r="N70" s="64">
        <v>23.4</v>
      </c>
      <c r="O70" s="64">
        <v>0</v>
      </c>
      <c r="P70" s="64">
        <v>0.41</v>
      </c>
      <c r="Q70" s="64">
        <v>22.1</v>
      </c>
      <c r="R70" s="198"/>
      <c r="S70" s="198"/>
      <c r="T70" s="198"/>
      <c r="U70" s="198"/>
    </row>
    <row r="71" spans="1:21" s="12" customFormat="1" x14ac:dyDescent="0.25">
      <c r="A71" s="214" t="s">
        <v>886</v>
      </c>
      <c r="B71" s="64">
        <v>5.09</v>
      </c>
      <c r="C71" s="64">
        <v>10.74</v>
      </c>
      <c r="D71" s="64">
        <v>15.84</v>
      </c>
      <c r="E71" s="64">
        <v>1.49</v>
      </c>
      <c r="F71" s="64">
        <v>3.85</v>
      </c>
      <c r="G71" s="64">
        <v>16.399999999999999</v>
      </c>
      <c r="H71" s="64">
        <v>9.5399999999999991</v>
      </c>
      <c r="I71" s="64">
        <v>0.12</v>
      </c>
      <c r="J71" s="64">
        <v>0.28999999999999998</v>
      </c>
      <c r="K71" s="64">
        <v>152.77000000000001</v>
      </c>
      <c r="L71" s="64">
        <v>22.83</v>
      </c>
      <c r="M71" s="64">
        <v>98.6</v>
      </c>
      <c r="N71" s="64">
        <v>20.2</v>
      </c>
      <c r="O71" s="64">
        <v>0</v>
      </c>
      <c r="P71" s="64">
        <v>0.39</v>
      </c>
      <c r="Q71" s="64">
        <v>21.92</v>
      </c>
      <c r="R71" s="198"/>
      <c r="S71" s="198"/>
      <c r="T71" s="198"/>
      <c r="U71" s="198"/>
    </row>
    <row r="72" spans="1:21" s="12" customFormat="1" x14ac:dyDescent="0.25">
      <c r="A72" s="214" t="s">
        <v>887</v>
      </c>
      <c r="B72" s="64">
        <v>5.35</v>
      </c>
      <c r="C72" s="64">
        <v>10.18</v>
      </c>
      <c r="D72" s="64">
        <v>15.54</v>
      </c>
      <c r="E72" s="64">
        <v>1.42</v>
      </c>
      <c r="F72" s="64">
        <v>3.66</v>
      </c>
      <c r="G72" s="64">
        <v>17.170000000000002</v>
      </c>
      <c r="H72" s="64">
        <v>7.5</v>
      </c>
      <c r="I72" s="64">
        <v>0.12</v>
      </c>
      <c r="J72" s="64">
        <v>0.15</v>
      </c>
      <c r="K72" s="64">
        <v>30.05</v>
      </c>
      <c r="L72" s="64">
        <v>22.51</v>
      </c>
      <c r="M72" s="64">
        <v>98.6</v>
      </c>
      <c r="N72" s="64">
        <v>22</v>
      </c>
      <c r="O72" s="64">
        <v>0</v>
      </c>
      <c r="P72" s="64">
        <v>0.39</v>
      </c>
      <c r="Q72" s="64">
        <v>21.47</v>
      </c>
      <c r="R72" s="198"/>
      <c r="S72" s="198"/>
      <c r="T72" s="198"/>
      <c r="U72" s="198"/>
    </row>
    <row r="73" spans="1:21" s="12" customFormat="1" x14ac:dyDescent="0.25">
      <c r="A73" s="214" t="s">
        <v>888</v>
      </c>
      <c r="B73" s="64">
        <v>5.2</v>
      </c>
      <c r="C73" s="64">
        <v>10.16</v>
      </c>
      <c r="D73" s="64">
        <v>15.36</v>
      </c>
      <c r="E73" s="64">
        <v>0.98</v>
      </c>
      <c r="F73" s="64">
        <v>1.75</v>
      </c>
      <c r="G73" s="64">
        <v>17.850000000000001</v>
      </c>
      <c r="H73" s="64">
        <v>6.68</v>
      </c>
      <c r="I73" s="64">
        <v>0.12</v>
      </c>
      <c r="J73" s="64">
        <v>0.24</v>
      </c>
      <c r="K73" s="64">
        <v>23.61</v>
      </c>
      <c r="L73" s="64">
        <v>22.39</v>
      </c>
      <c r="M73" s="64">
        <v>98.61</v>
      </c>
      <c r="N73" s="64">
        <v>40.4</v>
      </c>
      <c r="O73" s="64">
        <v>0</v>
      </c>
      <c r="P73" s="64">
        <v>0.4</v>
      </c>
      <c r="Q73" s="64">
        <v>20.309999999999999</v>
      </c>
      <c r="R73" s="198"/>
      <c r="S73" s="198"/>
      <c r="T73" s="198"/>
      <c r="U73" s="198"/>
    </row>
    <row r="74" spans="1:21" s="12" customFormat="1" x14ac:dyDescent="0.25">
      <c r="A74" s="214" t="s">
        <v>889</v>
      </c>
      <c r="B74" s="64">
        <v>4.8600000000000003</v>
      </c>
      <c r="C74" s="64">
        <v>11.63</v>
      </c>
      <c r="D74" s="64">
        <v>16.489999999999998</v>
      </c>
      <c r="E74" s="64">
        <v>0.45</v>
      </c>
      <c r="F74" s="64">
        <v>1.93</v>
      </c>
      <c r="G74" s="64">
        <v>17.850000000000001</v>
      </c>
      <c r="H74" s="64">
        <v>6.68</v>
      </c>
      <c r="I74" s="64">
        <v>0.12</v>
      </c>
      <c r="J74" s="64">
        <v>0.19</v>
      </c>
      <c r="K74" s="64">
        <v>29.55</v>
      </c>
      <c r="L74" s="64">
        <v>22.44</v>
      </c>
      <c r="M74" s="64">
        <v>98.6</v>
      </c>
      <c r="N74" s="64">
        <v>86.3</v>
      </c>
      <c r="O74" s="64">
        <v>0</v>
      </c>
      <c r="P74" s="64">
        <v>0.4</v>
      </c>
      <c r="Q74" s="64">
        <v>18.97</v>
      </c>
      <c r="R74" s="198"/>
      <c r="S74" s="198"/>
      <c r="T74" s="198"/>
      <c r="U74" s="198"/>
    </row>
    <row r="75" spans="1:21" s="12" customFormat="1" x14ac:dyDescent="0.25">
      <c r="A75" s="214" t="s">
        <v>890</v>
      </c>
      <c r="B75" s="64">
        <v>5.65</v>
      </c>
      <c r="C75" s="64">
        <v>11.26</v>
      </c>
      <c r="D75" s="64">
        <v>16.899999999999999</v>
      </c>
      <c r="E75" s="64">
        <v>0.64</v>
      </c>
      <c r="F75" s="64">
        <v>1.96</v>
      </c>
      <c r="G75" s="64">
        <v>17.850000000000001</v>
      </c>
      <c r="H75" s="64">
        <v>6.68</v>
      </c>
      <c r="I75" s="64">
        <v>0.13</v>
      </c>
      <c r="J75" s="64">
        <v>0.18</v>
      </c>
      <c r="K75" s="64">
        <v>14.21</v>
      </c>
      <c r="L75" s="64">
        <v>22.74</v>
      </c>
      <c r="M75" s="64">
        <v>98.6</v>
      </c>
      <c r="N75" s="64">
        <v>104.4</v>
      </c>
      <c r="O75" s="64">
        <v>0</v>
      </c>
      <c r="P75" s="64">
        <v>0.44</v>
      </c>
      <c r="Q75" s="64">
        <v>17.760000000000002</v>
      </c>
      <c r="R75" s="198"/>
      <c r="S75" s="198"/>
      <c r="T75" s="198"/>
      <c r="U75" s="198"/>
    </row>
    <row r="76" spans="1:21" s="12" customFormat="1" x14ac:dyDescent="0.25">
      <c r="A76" s="214" t="s">
        <v>891</v>
      </c>
      <c r="B76" s="64">
        <v>5.5</v>
      </c>
      <c r="C76" s="64">
        <v>11.88</v>
      </c>
      <c r="D76" s="64">
        <v>17.37</v>
      </c>
      <c r="E76" s="64">
        <v>0.81</v>
      </c>
      <c r="F76" s="64">
        <v>1.5</v>
      </c>
      <c r="G76" s="64">
        <v>17.04</v>
      </c>
      <c r="H76" s="64">
        <v>5.98</v>
      </c>
      <c r="I76" s="64">
        <v>0.12</v>
      </c>
      <c r="J76" s="64">
        <v>0.11</v>
      </c>
      <c r="K76" s="64">
        <v>13.34</v>
      </c>
      <c r="L76" s="64">
        <v>22.82</v>
      </c>
      <c r="M76" s="64">
        <v>98.59</v>
      </c>
      <c r="N76" s="64">
        <v>53.9</v>
      </c>
      <c r="O76" s="64">
        <v>0</v>
      </c>
      <c r="P76" s="64">
        <v>0.44</v>
      </c>
      <c r="Q76" s="64">
        <v>18.100000000000001</v>
      </c>
      <c r="R76" s="198"/>
      <c r="S76" s="198"/>
      <c r="T76" s="198"/>
      <c r="U76" s="198"/>
    </row>
    <row r="77" spans="1:21" s="12" customFormat="1" x14ac:dyDescent="0.25">
      <c r="A77" s="214" t="s">
        <v>892</v>
      </c>
      <c r="B77" s="64">
        <v>5.43</v>
      </c>
      <c r="C77" s="64">
        <v>11.63</v>
      </c>
      <c r="D77" s="64">
        <v>17.059999999999999</v>
      </c>
      <c r="E77" s="64">
        <v>1.05</v>
      </c>
      <c r="F77" s="64">
        <v>1.79</v>
      </c>
      <c r="G77" s="64">
        <v>16.329999999999998</v>
      </c>
      <c r="H77" s="64">
        <v>5.7</v>
      </c>
      <c r="I77" s="64">
        <v>0.12</v>
      </c>
      <c r="J77" s="64">
        <v>0.04</v>
      </c>
      <c r="K77" s="64">
        <v>18.170000000000002</v>
      </c>
      <c r="L77" s="64">
        <v>22.6</v>
      </c>
      <c r="M77" s="64">
        <v>98.6</v>
      </c>
      <c r="N77" s="64">
        <v>30.9</v>
      </c>
      <c r="O77" s="64">
        <v>0</v>
      </c>
      <c r="P77" s="64">
        <v>0.45</v>
      </c>
      <c r="Q77" s="64">
        <v>17.579999999999998</v>
      </c>
      <c r="R77" s="198"/>
      <c r="S77" s="198"/>
      <c r="T77" s="198"/>
      <c r="U77" s="198"/>
    </row>
    <row r="78" spans="1:21" s="12" customFormat="1" x14ac:dyDescent="0.25">
      <c r="A78" s="214" t="s">
        <v>893</v>
      </c>
      <c r="B78" s="64">
        <v>5.54</v>
      </c>
      <c r="C78" s="64">
        <v>12.7</v>
      </c>
      <c r="D78" s="64">
        <v>18.239999999999998</v>
      </c>
      <c r="E78" s="64">
        <v>0.82</v>
      </c>
      <c r="F78" s="64">
        <v>4.75</v>
      </c>
      <c r="G78" s="64">
        <v>16.329999999999998</v>
      </c>
      <c r="H78" s="64">
        <v>5.7</v>
      </c>
      <c r="I78" s="64">
        <v>0.13</v>
      </c>
      <c r="J78" s="64">
        <v>0.11</v>
      </c>
      <c r="K78" s="64">
        <v>213.1</v>
      </c>
      <c r="L78" s="64">
        <v>22.51</v>
      </c>
      <c r="M78" s="64">
        <v>98.6</v>
      </c>
      <c r="N78" s="64">
        <v>28.7</v>
      </c>
      <c r="O78" s="64">
        <v>0</v>
      </c>
      <c r="P78" s="64">
        <v>0.43</v>
      </c>
      <c r="Q78" s="64">
        <v>17.75</v>
      </c>
      <c r="R78" s="198"/>
      <c r="S78" s="198"/>
      <c r="T78" s="198"/>
      <c r="U78" s="198"/>
    </row>
    <row r="79" spans="1:21" s="12" customFormat="1" x14ac:dyDescent="0.25">
      <c r="A79" s="214" t="s">
        <v>894</v>
      </c>
      <c r="B79" s="64">
        <v>4.95</v>
      </c>
      <c r="C79" s="64">
        <v>10.93</v>
      </c>
      <c r="D79" s="64">
        <v>15.88</v>
      </c>
      <c r="E79" s="64">
        <v>1.25</v>
      </c>
      <c r="F79" s="64">
        <v>2.0499999999999998</v>
      </c>
      <c r="G79" s="64">
        <v>16.329999999999998</v>
      </c>
      <c r="H79" s="64">
        <v>5.7</v>
      </c>
      <c r="I79" s="64">
        <v>0.13</v>
      </c>
      <c r="J79" s="64">
        <v>0.06</v>
      </c>
      <c r="K79" s="64">
        <v>183.22</v>
      </c>
      <c r="L79" s="64">
        <v>22.56</v>
      </c>
      <c r="M79" s="64">
        <v>98.6</v>
      </c>
      <c r="N79" s="64">
        <v>19.8</v>
      </c>
      <c r="O79" s="64">
        <v>0</v>
      </c>
      <c r="P79" s="64">
        <v>0.45</v>
      </c>
      <c r="Q79" s="64">
        <v>17.32</v>
      </c>
      <c r="R79" s="198"/>
      <c r="S79" s="198"/>
      <c r="T79" s="198"/>
      <c r="U79" s="198"/>
    </row>
    <row r="80" spans="1:21" s="12" customFormat="1" x14ac:dyDescent="0.25">
      <c r="A80" s="214" t="s">
        <v>895</v>
      </c>
      <c r="B80" s="64">
        <v>4.84</v>
      </c>
      <c r="C80" s="64">
        <v>14.54</v>
      </c>
      <c r="D80" s="64">
        <v>19.38</v>
      </c>
      <c r="E80" s="64">
        <v>0.99</v>
      </c>
      <c r="F80" s="64">
        <v>9.48</v>
      </c>
      <c r="G80" s="64">
        <v>16.46</v>
      </c>
      <c r="H80" s="64">
        <v>5.58</v>
      </c>
      <c r="I80" s="64">
        <v>0.13</v>
      </c>
      <c r="J80" s="64">
        <v>0.11</v>
      </c>
      <c r="K80" s="64">
        <v>158.32</v>
      </c>
      <c r="L80" s="64">
        <v>22.58</v>
      </c>
      <c r="M80" s="64">
        <v>98.6</v>
      </c>
      <c r="N80" s="64">
        <v>13.8</v>
      </c>
      <c r="O80" s="64">
        <v>0</v>
      </c>
      <c r="P80" s="64">
        <v>0.44</v>
      </c>
      <c r="Q80" s="64">
        <v>17.829999999999998</v>
      </c>
      <c r="R80" s="198"/>
      <c r="S80" s="198"/>
      <c r="T80" s="198"/>
      <c r="U80" s="198"/>
    </row>
    <row r="81" spans="1:26" s="12" customFormat="1" x14ac:dyDescent="0.25">
      <c r="A81" s="214" t="s">
        <v>896</v>
      </c>
      <c r="B81" s="64">
        <v>6.58</v>
      </c>
      <c r="C81" s="64">
        <v>18.43</v>
      </c>
      <c r="D81" s="64">
        <v>25.01</v>
      </c>
      <c r="E81" s="64">
        <v>1.26</v>
      </c>
      <c r="F81" s="64">
        <v>10.24</v>
      </c>
      <c r="G81" s="64">
        <v>16.57</v>
      </c>
      <c r="H81" s="64">
        <v>5.52</v>
      </c>
      <c r="I81" s="64">
        <v>0.12</v>
      </c>
      <c r="J81" s="64">
        <v>0.05</v>
      </c>
      <c r="K81" s="64">
        <v>168.37</v>
      </c>
      <c r="L81" s="64">
        <v>22.52</v>
      </c>
      <c r="M81" s="64">
        <v>98.6</v>
      </c>
      <c r="N81" s="64">
        <v>10</v>
      </c>
      <c r="O81" s="64">
        <v>0</v>
      </c>
      <c r="P81" s="64">
        <v>0.45</v>
      </c>
      <c r="Q81" s="64">
        <v>17.89</v>
      </c>
      <c r="R81" s="198"/>
      <c r="S81" s="198"/>
      <c r="T81" s="198"/>
      <c r="U81" s="198"/>
    </row>
    <row r="82" spans="1:26" s="12" customFormat="1" x14ac:dyDescent="0.25">
      <c r="A82" s="214" t="s">
        <v>897</v>
      </c>
      <c r="B82" s="64">
        <v>5.1100000000000003</v>
      </c>
      <c r="C82" s="64">
        <v>16.72</v>
      </c>
      <c r="D82" s="64">
        <v>21.84</v>
      </c>
      <c r="E82" s="64">
        <v>0.82</v>
      </c>
      <c r="F82" s="64">
        <v>6.85</v>
      </c>
      <c r="G82" s="64">
        <v>16.57</v>
      </c>
      <c r="H82" s="64">
        <v>5.52</v>
      </c>
      <c r="I82" s="64">
        <v>0.12</v>
      </c>
      <c r="J82" s="64">
        <v>0.28999999999999998</v>
      </c>
      <c r="K82" s="64">
        <v>178.35</v>
      </c>
      <c r="L82" s="64">
        <v>22.56</v>
      </c>
      <c r="M82" s="64">
        <v>98.6</v>
      </c>
      <c r="N82" s="64">
        <v>9.4</v>
      </c>
      <c r="O82" s="64">
        <v>0</v>
      </c>
      <c r="P82" s="64">
        <v>0.45</v>
      </c>
      <c r="Q82" s="64">
        <v>17.96</v>
      </c>
      <c r="R82" s="198"/>
      <c r="S82" s="198"/>
      <c r="T82" s="198"/>
      <c r="U82" s="198"/>
    </row>
    <row r="83" spans="1:26" s="12" customFormat="1" x14ac:dyDescent="0.25">
      <c r="A83" s="214" t="s">
        <v>898</v>
      </c>
      <c r="B83" s="64">
        <v>4.95</v>
      </c>
      <c r="C83" s="64">
        <v>14.77</v>
      </c>
      <c r="D83" s="64">
        <v>19.72</v>
      </c>
      <c r="E83" s="64">
        <v>1.74</v>
      </c>
      <c r="F83" s="64">
        <v>8.4499999999999993</v>
      </c>
      <c r="G83" s="64">
        <v>16.57</v>
      </c>
      <c r="H83" s="64">
        <v>5.52</v>
      </c>
      <c r="I83" s="64">
        <v>0.11</v>
      </c>
      <c r="J83" s="64">
        <v>0.33</v>
      </c>
      <c r="K83" s="64">
        <v>184.76</v>
      </c>
      <c r="L83" s="64">
        <v>22.6</v>
      </c>
      <c r="M83" s="64">
        <v>98.61</v>
      </c>
      <c r="N83" s="64">
        <v>9.5</v>
      </c>
      <c r="O83" s="64">
        <v>0</v>
      </c>
      <c r="P83" s="64">
        <v>0.44</v>
      </c>
      <c r="Q83" s="64">
        <v>18.38</v>
      </c>
      <c r="R83" s="198"/>
      <c r="S83" s="198"/>
      <c r="T83" s="198"/>
      <c r="U83" s="198"/>
    </row>
    <row r="84" spans="1:26" s="12" customFormat="1" x14ac:dyDescent="0.25">
      <c r="A84" s="214" t="s">
        <v>899</v>
      </c>
      <c r="B84" s="64">
        <v>5.33</v>
      </c>
      <c r="C84" s="64">
        <v>14.21</v>
      </c>
      <c r="D84" s="64">
        <v>19.54</v>
      </c>
      <c r="E84" s="64">
        <v>1.35</v>
      </c>
      <c r="F84" s="64">
        <v>6.66</v>
      </c>
      <c r="G84" s="64">
        <v>17.32</v>
      </c>
      <c r="H84" s="64">
        <v>6.64</v>
      </c>
      <c r="I84" s="64">
        <v>0.11</v>
      </c>
      <c r="J84" s="64">
        <v>0.03</v>
      </c>
      <c r="K84" s="64">
        <v>137.74</v>
      </c>
      <c r="L84" s="64">
        <v>22.65</v>
      </c>
      <c r="M84" s="64">
        <v>98.61</v>
      </c>
      <c r="N84" s="64">
        <v>9.1999999999999993</v>
      </c>
      <c r="O84" s="64">
        <v>0</v>
      </c>
      <c r="P84" s="64">
        <v>0.47</v>
      </c>
      <c r="Q84" s="64">
        <v>18.46</v>
      </c>
      <c r="R84" s="198"/>
      <c r="S84" s="198"/>
      <c r="T84" s="198"/>
      <c r="U84" s="198"/>
    </row>
    <row r="85" spans="1:26" s="12" customFormat="1" x14ac:dyDescent="0.25">
      <c r="A85" s="214" t="s">
        <v>900</v>
      </c>
      <c r="B85" s="64">
        <v>5.35</v>
      </c>
      <c r="C85" s="64">
        <v>13.49</v>
      </c>
      <c r="D85" s="64">
        <v>18.84</v>
      </c>
      <c r="E85" s="64">
        <v>0.66</v>
      </c>
      <c r="F85" s="64">
        <v>6.32</v>
      </c>
      <c r="G85" s="64">
        <v>17.98</v>
      </c>
      <c r="H85" s="64">
        <v>7.08</v>
      </c>
      <c r="I85" s="64">
        <v>0.12</v>
      </c>
      <c r="J85" s="64">
        <v>0.23</v>
      </c>
      <c r="K85" s="64">
        <v>178.58</v>
      </c>
      <c r="L85" s="64">
        <v>22.53</v>
      </c>
      <c r="M85" s="64">
        <v>98.6</v>
      </c>
      <c r="N85" s="64">
        <v>9</v>
      </c>
      <c r="O85" s="64">
        <v>0.2</v>
      </c>
      <c r="P85" s="64">
        <v>0.44</v>
      </c>
      <c r="Q85" s="64">
        <v>18.149999999999999</v>
      </c>
      <c r="R85" s="198"/>
      <c r="S85" s="198"/>
      <c r="T85" s="198"/>
      <c r="U85" s="198"/>
    </row>
    <row r="86" spans="1:26" s="12" customFormat="1" x14ac:dyDescent="0.25">
      <c r="A86" s="214" t="s">
        <v>901</v>
      </c>
      <c r="B86" s="64">
        <v>5.21</v>
      </c>
      <c r="C86" s="64">
        <v>11.77</v>
      </c>
      <c r="D86" s="64">
        <v>16.98</v>
      </c>
      <c r="E86" s="64">
        <v>1.63</v>
      </c>
      <c r="F86" s="64">
        <v>2.81</v>
      </c>
      <c r="G86" s="64">
        <v>17.98</v>
      </c>
      <c r="H86" s="64">
        <v>7.08</v>
      </c>
      <c r="I86" s="64">
        <v>0.12</v>
      </c>
      <c r="J86" s="64">
        <v>0.01</v>
      </c>
      <c r="K86" s="64">
        <v>153.19999999999999</v>
      </c>
      <c r="L86" s="64">
        <v>22.56</v>
      </c>
      <c r="M86" s="64">
        <v>98.6</v>
      </c>
      <c r="N86" s="64">
        <v>8.8000000000000007</v>
      </c>
      <c r="O86" s="64">
        <v>0</v>
      </c>
      <c r="P86" s="64">
        <v>0.46</v>
      </c>
      <c r="Q86" s="64">
        <v>17.510000000000002</v>
      </c>
      <c r="R86" s="198"/>
      <c r="S86" s="198"/>
      <c r="T86" s="198"/>
      <c r="U86" s="198"/>
    </row>
    <row r="87" spans="1:26" s="12" customFormat="1" x14ac:dyDescent="0.25">
      <c r="A87" s="214" t="s">
        <v>902</v>
      </c>
      <c r="B87" s="64">
        <v>4.9800000000000004</v>
      </c>
      <c r="C87" s="64">
        <v>11.68</v>
      </c>
      <c r="D87" s="64">
        <v>16.66</v>
      </c>
      <c r="E87" s="64">
        <v>1.24</v>
      </c>
      <c r="F87" s="64">
        <v>4.4000000000000004</v>
      </c>
      <c r="G87" s="64">
        <v>17.98</v>
      </c>
      <c r="H87" s="64">
        <v>7.08</v>
      </c>
      <c r="I87" s="64">
        <v>0.12</v>
      </c>
      <c r="J87" s="64">
        <v>0.46</v>
      </c>
      <c r="K87" s="64">
        <v>160.19</v>
      </c>
      <c r="L87" s="64">
        <v>22.6</v>
      </c>
      <c r="M87" s="64">
        <v>98.6</v>
      </c>
      <c r="N87" s="64">
        <v>8.8000000000000007</v>
      </c>
      <c r="O87" s="64">
        <v>0</v>
      </c>
      <c r="P87" s="64">
        <v>0.45</v>
      </c>
      <c r="Q87" s="64">
        <v>17.559999999999999</v>
      </c>
      <c r="R87" s="198"/>
      <c r="S87" s="198"/>
      <c r="T87" s="198"/>
      <c r="U87" s="198"/>
    </row>
    <row r="88" spans="1:26" s="12" customFormat="1" x14ac:dyDescent="0.25">
      <c r="A88" s="214" t="s">
        <v>903</v>
      </c>
      <c r="B88" s="64">
        <v>5.1100000000000003</v>
      </c>
      <c r="C88" s="64">
        <v>10.73</v>
      </c>
      <c r="D88" s="64">
        <v>15.84</v>
      </c>
      <c r="E88" s="64">
        <v>0.08</v>
      </c>
      <c r="F88" s="64">
        <v>2.19</v>
      </c>
      <c r="G88" s="64">
        <v>15.15</v>
      </c>
      <c r="H88" s="64">
        <v>6.2</v>
      </c>
      <c r="I88" s="64">
        <v>0.12</v>
      </c>
      <c r="J88" s="64">
        <v>0.99</v>
      </c>
      <c r="K88" s="64">
        <v>153.63</v>
      </c>
      <c r="L88" s="64">
        <v>22.71</v>
      </c>
      <c r="M88" s="64">
        <v>98.6</v>
      </c>
      <c r="N88" s="64">
        <v>9.1999999999999993</v>
      </c>
      <c r="O88" s="64">
        <v>0</v>
      </c>
      <c r="P88" s="64">
        <v>0.45</v>
      </c>
      <c r="Q88" s="64">
        <v>16.739999999999998</v>
      </c>
      <c r="R88" s="198"/>
      <c r="S88" s="198"/>
      <c r="T88" s="198"/>
      <c r="U88" s="198"/>
    </row>
    <row r="89" spans="1:26" s="12" customFormat="1" x14ac:dyDescent="0.25">
      <c r="A89" s="214" t="s">
        <v>904</v>
      </c>
      <c r="B89" s="64">
        <v>5.18</v>
      </c>
      <c r="C89" s="64">
        <v>9.89</v>
      </c>
      <c r="D89" s="64">
        <v>15.07</v>
      </c>
      <c r="E89" s="64">
        <v>1.5</v>
      </c>
      <c r="F89" s="64">
        <v>1.78</v>
      </c>
      <c r="G89" s="64">
        <v>12.67</v>
      </c>
      <c r="H89" s="64">
        <v>5.85</v>
      </c>
      <c r="I89" s="64">
        <v>0.12</v>
      </c>
      <c r="J89" s="64">
        <v>0.94</v>
      </c>
      <c r="K89" s="64">
        <v>146.69999999999999</v>
      </c>
      <c r="L89" s="64">
        <v>22.79</v>
      </c>
      <c r="M89" s="64">
        <v>98.6</v>
      </c>
      <c r="N89" s="64">
        <v>9.1</v>
      </c>
      <c r="O89" s="64">
        <v>0</v>
      </c>
      <c r="P89" s="64">
        <v>0.47</v>
      </c>
      <c r="Q89" s="64">
        <v>16.739999999999998</v>
      </c>
      <c r="R89" s="198"/>
      <c r="S89" s="198"/>
      <c r="T89" s="198"/>
      <c r="U89" s="198"/>
    </row>
    <row r="90" spans="1:26" s="12" customFormat="1" x14ac:dyDescent="0.25">
      <c r="A90" s="214" t="s">
        <v>905</v>
      </c>
      <c r="B90" s="64">
        <v>5.26</v>
      </c>
      <c r="C90" s="64">
        <v>11.87</v>
      </c>
      <c r="D90" s="64">
        <v>17.13</v>
      </c>
      <c r="E90" s="64">
        <v>1.72</v>
      </c>
      <c r="F90" s="64">
        <v>3.26</v>
      </c>
      <c r="G90" s="64">
        <v>12.67</v>
      </c>
      <c r="H90" s="64">
        <v>5.85</v>
      </c>
      <c r="I90" s="64">
        <v>0.13</v>
      </c>
      <c r="J90" s="64">
        <v>0.65</v>
      </c>
      <c r="K90" s="64">
        <v>146.01</v>
      </c>
      <c r="L90" s="64">
        <v>22.86</v>
      </c>
      <c r="M90" s="64">
        <v>98.6</v>
      </c>
      <c r="N90" s="64">
        <v>9</v>
      </c>
      <c r="O90" s="64">
        <v>0</v>
      </c>
      <c r="P90" s="64">
        <v>0.46</v>
      </c>
      <c r="Q90" s="64">
        <v>17.38</v>
      </c>
      <c r="R90" s="198"/>
      <c r="S90" s="198"/>
      <c r="T90" s="198"/>
      <c r="U90" s="198"/>
    </row>
    <row r="91" spans="1:26" s="12" customFormat="1" x14ac:dyDescent="0.25">
      <c r="A91" s="214" t="s">
        <v>906</v>
      </c>
      <c r="B91" s="64">
        <v>5.2</v>
      </c>
      <c r="C91" s="64">
        <v>10.81</v>
      </c>
      <c r="D91" s="64">
        <v>16.02</v>
      </c>
      <c r="E91" s="64">
        <v>1.45</v>
      </c>
      <c r="F91" s="64">
        <v>3.06</v>
      </c>
      <c r="G91" s="64">
        <v>12.67</v>
      </c>
      <c r="H91" s="64">
        <v>5.85</v>
      </c>
      <c r="I91" s="64">
        <v>0.14000000000000001</v>
      </c>
      <c r="J91" s="64">
        <v>0.06</v>
      </c>
      <c r="K91" s="64">
        <v>156.22</v>
      </c>
      <c r="L91" s="64">
        <v>22.85</v>
      </c>
      <c r="M91" s="64">
        <v>98.6</v>
      </c>
      <c r="N91" s="64">
        <v>9</v>
      </c>
      <c r="O91" s="64">
        <v>0</v>
      </c>
      <c r="P91" s="64">
        <v>0.48</v>
      </c>
      <c r="Q91" s="64">
        <v>17.29</v>
      </c>
      <c r="R91" s="198"/>
      <c r="S91" s="198"/>
      <c r="T91" s="198"/>
      <c r="U91" s="198"/>
    </row>
    <row r="92" spans="1:26" s="12" customFormat="1" x14ac:dyDescent="0.25">
      <c r="A92" s="214" t="s">
        <v>907</v>
      </c>
      <c r="B92" s="64">
        <v>4.97</v>
      </c>
      <c r="C92" s="64">
        <v>13.74</v>
      </c>
      <c r="D92" s="64">
        <v>18.71</v>
      </c>
      <c r="E92" s="64">
        <v>1.73</v>
      </c>
      <c r="F92" s="64">
        <v>6.99</v>
      </c>
      <c r="G92" s="64">
        <v>13.53</v>
      </c>
      <c r="H92" s="64">
        <v>5.53</v>
      </c>
      <c r="I92" s="64">
        <v>0.12</v>
      </c>
      <c r="J92" s="64">
        <v>0.01</v>
      </c>
      <c r="K92" s="64">
        <v>328.98</v>
      </c>
      <c r="L92" s="64">
        <v>22.88</v>
      </c>
      <c r="M92" s="64">
        <v>98.62</v>
      </c>
      <c r="N92" s="64">
        <v>9.1999999999999993</v>
      </c>
      <c r="O92" s="64">
        <v>0</v>
      </c>
      <c r="P92" s="64">
        <v>0.48</v>
      </c>
      <c r="Q92" s="64">
        <v>18.32</v>
      </c>
      <c r="R92" s="198"/>
      <c r="S92" s="198"/>
      <c r="T92" s="198"/>
      <c r="U92" s="198"/>
    </row>
    <row r="93" spans="1:26" s="12" customFormat="1" x14ac:dyDescent="0.25">
      <c r="A93" s="214" t="s">
        <v>908</v>
      </c>
      <c r="B93" s="64">
        <v>6.22</v>
      </c>
      <c r="C93" s="64">
        <v>16.059999999999999</v>
      </c>
      <c r="D93" s="64">
        <v>22.28</v>
      </c>
      <c r="E93" s="64">
        <v>2.11</v>
      </c>
      <c r="F93" s="64">
        <v>6.38</v>
      </c>
      <c r="G93" s="64">
        <v>14.29</v>
      </c>
      <c r="H93" s="64">
        <v>5.41</v>
      </c>
      <c r="I93" s="64">
        <v>0.12</v>
      </c>
      <c r="J93" s="64">
        <v>0.34</v>
      </c>
      <c r="K93" s="64">
        <v>152.35</v>
      </c>
      <c r="L93" s="64">
        <v>22.89</v>
      </c>
      <c r="M93" s="64">
        <v>98.63</v>
      </c>
      <c r="N93" s="64">
        <v>9.1999999999999993</v>
      </c>
      <c r="O93" s="64">
        <v>0</v>
      </c>
      <c r="P93" s="64">
        <v>0.5</v>
      </c>
      <c r="Q93" s="64">
        <v>18.38</v>
      </c>
      <c r="R93" s="198"/>
      <c r="S93" s="198"/>
      <c r="T93" s="198"/>
      <c r="U93" s="198"/>
    </row>
    <row r="94" spans="1:26" s="12" customFormat="1" x14ac:dyDescent="0.25">
      <c r="A94" s="214" t="s">
        <v>909</v>
      </c>
      <c r="B94" s="64">
        <v>6.44</v>
      </c>
      <c r="C94" s="64">
        <v>16.43</v>
      </c>
      <c r="D94" s="64">
        <v>22.86</v>
      </c>
      <c r="E94" s="64">
        <v>2.64</v>
      </c>
      <c r="F94" s="64">
        <v>5.08</v>
      </c>
      <c r="G94" s="64">
        <v>14.29</v>
      </c>
      <c r="H94" s="64">
        <v>5.41</v>
      </c>
      <c r="I94" s="64">
        <v>0.12</v>
      </c>
      <c r="J94" s="64">
        <v>0.52</v>
      </c>
      <c r="K94" s="64">
        <v>149.43</v>
      </c>
      <c r="L94" s="64">
        <v>22.98</v>
      </c>
      <c r="M94" s="64">
        <v>98.63</v>
      </c>
      <c r="N94" s="64">
        <v>9.1999999999999993</v>
      </c>
      <c r="O94" s="64">
        <v>0</v>
      </c>
      <c r="P94" s="64">
        <v>0.47</v>
      </c>
      <c r="Q94" s="64">
        <v>18.38</v>
      </c>
      <c r="R94" s="198"/>
      <c r="S94" s="198"/>
      <c r="T94" s="198"/>
      <c r="U94" s="198"/>
    </row>
    <row r="95" spans="1:26" s="12" customFormat="1" x14ac:dyDescent="0.25">
      <c r="A95" s="214" t="s">
        <v>910</v>
      </c>
      <c r="B95" s="64">
        <v>6.27</v>
      </c>
      <c r="C95" s="64">
        <v>13.45</v>
      </c>
      <c r="D95" s="64">
        <v>19.72</v>
      </c>
      <c r="E95" s="64">
        <v>2.0499999999999998</v>
      </c>
      <c r="F95" s="64">
        <v>2.79</v>
      </c>
      <c r="G95" s="64">
        <v>14.29</v>
      </c>
      <c r="H95" s="64">
        <v>5.41</v>
      </c>
      <c r="I95" s="64">
        <v>0.12</v>
      </c>
      <c r="J95" s="64">
        <v>0.3</v>
      </c>
      <c r="K95" s="64">
        <v>174.05</v>
      </c>
      <c r="L95" s="64">
        <v>22.99</v>
      </c>
      <c r="M95" s="64">
        <v>98.63</v>
      </c>
      <c r="N95" s="64">
        <v>9.4</v>
      </c>
      <c r="O95" s="64">
        <v>0</v>
      </c>
      <c r="P95" s="64">
        <v>0.48</v>
      </c>
      <c r="Q95" s="64">
        <v>18.73</v>
      </c>
      <c r="R95" s="198"/>
      <c r="S95" s="198"/>
      <c r="T95" s="198"/>
      <c r="U95" s="198"/>
    </row>
    <row r="96" spans="1:26" s="12" customFormat="1" x14ac:dyDescent="0.25">
      <c r="A96" s="214" t="s">
        <v>911</v>
      </c>
      <c r="B96" s="64">
        <v>5.99</v>
      </c>
      <c r="C96" s="64">
        <v>10.87</v>
      </c>
      <c r="D96" s="64">
        <v>16.86</v>
      </c>
      <c r="E96" s="64">
        <v>1.91</v>
      </c>
      <c r="F96" s="64">
        <v>2.75</v>
      </c>
      <c r="G96" s="64">
        <v>16.64</v>
      </c>
      <c r="H96" s="64">
        <v>7.89</v>
      </c>
      <c r="I96" s="64">
        <v>0.12</v>
      </c>
      <c r="J96" s="64">
        <v>0.17</v>
      </c>
      <c r="K96" s="64">
        <v>163.05000000000001</v>
      </c>
      <c r="L96" s="64">
        <v>22.84</v>
      </c>
      <c r="M96" s="64">
        <v>98.63</v>
      </c>
      <c r="N96" s="64">
        <v>9.5</v>
      </c>
      <c r="O96" s="64">
        <v>0</v>
      </c>
      <c r="P96" s="64">
        <v>0.46</v>
      </c>
      <c r="Q96" s="64">
        <v>18.77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912</v>
      </c>
      <c r="B97" s="64">
        <v>5.45</v>
      </c>
      <c r="C97" s="64">
        <v>10.74</v>
      </c>
      <c r="D97" s="64">
        <v>16.190000000000001</v>
      </c>
      <c r="E97" s="64">
        <v>2.17</v>
      </c>
      <c r="F97" s="64">
        <v>5.14</v>
      </c>
      <c r="G97" s="64">
        <v>18.71</v>
      </c>
      <c r="H97" s="64">
        <v>8.8699999999999992</v>
      </c>
      <c r="I97" s="64">
        <v>0.12</v>
      </c>
      <c r="J97" s="64">
        <v>0.06</v>
      </c>
      <c r="K97" s="64">
        <v>163.18</v>
      </c>
      <c r="L97" s="64">
        <v>22.62</v>
      </c>
      <c r="M97" s="64">
        <v>98.62</v>
      </c>
      <c r="N97" s="64">
        <v>8.8000000000000007</v>
      </c>
      <c r="O97" s="64">
        <v>0</v>
      </c>
      <c r="P97" s="64">
        <v>0.43</v>
      </c>
      <c r="Q97" s="64">
        <v>18.21</v>
      </c>
      <c r="R97" s="198"/>
      <c r="S97" s="198"/>
      <c r="T97" s="198"/>
      <c r="U97" s="198"/>
    </row>
    <row r="98" spans="1:33" s="12" customFormat="1" x14ac:dyDescent="0.25">
      <c r="A98" s="214" t="s">
        <v>913</v>
      </c>
      <c r="B98" s="64">
        <v>4.97</v>
      </c>
      <c r="C98" s="64">
        <v>10.38</v>
      </c>
      <c r="D98" s="64">
        <v>15.35</v>
      </c>
      <c r="E98" s="64">
        <v>1.87</v>
      </c>
      <c r="F98" s="64">
        <v>6.3</v>
      </c>
      <c r="G98" s="64">
        <v>18.71</v>
      </c>
      <c r="H98" s="64">
        <v>8.8699999999999992</v>
      </c>
      <c r="I98" s="64">
        <v>0.12</v>
      </c>
      <c r="J98" s="64">
        <v>0.15</v>
      </c>
      <c r="K98" s="64">
        <v>200.79</v>
      </c>
      <c r="L98" s="64">
        <v>22.59</v>
      </c>
      <c r="M98" s="64">
        <v>98.61</v>
      </c>
      <c r="N98" s="64">
        <v>8.6999999999999993</v>
      </c>
      <c r="O98" s="64">
        <v>0</v>
      </c>
      <c r="P98" s="64">
        <v>0.43</v>
      </c>
      <c r="Q98" s="64">
        <v>17.22</v>
      </c>
      <c r="R98" s="198"/>
      <c r="S98" s="198"/>
      <c r="T98" s="198"/>
      <c r="U98" s="198"/>
    </row>
    <row r="99" spans="1:33" s="12" customFormat="1" x14ac:dyDescent="0.25">
      <c r="A99" s="214" t="s">
        <v>914</v>
      </c>
      <c r="B99" s="64">
        <v>4.83</v>
      </c>
      <c r="C99" s="64">
        <v>10.5</v>
      </c>
      <c r="D99" s="64">
        <v>15.33</v>
      </c>
      <c r="E99" s="64">
        <v>1.62</v>
      </c>
      <c r="F99" s="64">
        <v>5.97</v>
      </c>
      <c r="G99" s="64">
        <v>18.71</v>
      </c>
      <c r="H99" s="64">
        <v>8.8699999999999992</v>
      </c>
      <c r="I99" s="64">
        <v>0.12</v>
      </c>
      <c r="J99" s="64">
        <v>0.15</v>
      </c>
      <c r="K99" s="64">
        <v>164.21</v>
      </c>
      <c r="L99" s="64">
        <v>22.66</v>
      </c>
      <c r="M99" s="64">
        <v>98.62</v>
      </c>
      <c r="N99" s="64">
        <v>8.6999999999999993</v>
      </c>
      <c r="O99" s="64">
        <v>0</v>
      </c>
      <c r="P99" s="64">
        <v>0.43</v>
      </c>
      <c r="Q99" s="64">
        <v>16.829999999999998</v>
      </c>
      <c r="R99" s="198"/>
      <c r="S99" s="198"/>
      <c r="T99" s="198"/>
      <c r="U99" s="198"/>
    </row>
    <row r="100" spans="1:33" s="12" customFormat="1" x14ac:dyDescent="0.25">
      <c r="A100" s="214" t="s">
        <v>915</v>
      </c>
      <c r="B100" s="64">
        <v>4.46</v>
      </c>
      <c r="C100" s="64">
        <v>11.82</v>
      </c>
      <c r="D100" s="64">
        <v>16.28</v>
      </c>
      <c r="E100" s="64">
        <v>1.56</v>
      </c>
      <c r="F100" s="64">
        <v>4.1399999999999997</v>
      </c>
      <c r="G100" s="64">
        <v>16.04</v>
      </c>
      <c r="H100" s="64">
        <v>8</v>
      </c>
      <c r="I100" s="64">
        <v>0.12</v>
      </c>
      <c r="J100" s="64">
        <v>0.17</v>
      </c>
      <c r="K100" s="64">
        <v>213.99</v>
      </c>
      <c r="L100" s="64">
        <v>22.77</v>
      </c>
      <c r="M100" s="64">
        <v>98.6</v>
      </c>
      <c r="N100" s="64">
        <v>8.8000000000000007</v>
      </c>
      <c r="O100" s="64">
        <v>0</v>
      </c>
      <c r="P100" s="64">
        <v>0.41</v>
      </c>
      <c r="Q100" s="64">
        <v>16.8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916</v>
      </c>
      <c r="B101" s="64">
        <v>4.8</v>
      </c>
      <c r="C101" s="64">
        <v>10</v>
      </c>
      <c r="D101" s="64">
        <v>14.8</v>
      </c>
      <c r="E101" s="64">
        <v>2.13</v>
      </c>
      <c r="F101" s="64">
        <v>1.94</v>
      </c>
      <c r="G101" s="64">
        <v>13.7</v>
      </c>
      <c r="H101" s="64">
        <v>7.65</v>
      </c>
      <c r="I101" s="64">
        <v>0.12</v>
      </c>
      <c r="J101" s="64">
        <v>0.21</v>
      </c>
      <c r="K101" s="64">
        <v>195.56</v>
      </c>
      <c r="L101" s="64">
        <v>22.83</v>
      </c>
      <c r="M101" s="64">
        <v>98.6</v>
      </c>
      <c r="N101" s="64">
        <v>8.8000000000000007</v>
      </c>
      <c r="O101" s="64">
        <v>0</v>
      </c>
      <c r="P101" s="64">
        <v>0.44</v>
      </c>
      <c r="Q101" s="64">
        <v>16.41</v>
      </c>
      <c r="R101" s="198"/>
      <c r="S101" s="198"/>
      <c r="T101" s="198"/>
      <c r="U101" s="198"/>
    </row>
    <row r="102" spans="1:33" s="12" customFormat="1" x14ac:dyDescent="0.25">
      <c r="A102" s="214" t="s">
        <v>917</v>
      </c>
      <c r="B102" s="64">
        <v>4.59</v>
      </c>
      <c r="C102" s="64">
        <v>9.75</v>
      </c>
      <c r="D102" s="64">
        <v>14.34</v>
      </c>
      <c r="E102" s="64">
        <v>1.59</v>
      </c>
      <c r="F102" s="64">
        <v>3.05</v>
      </c>
      <c r="G102" s="64">
        <v>13.7</v>
      </c>
      <c r="H102" s="64">
        <v>7.65</v>
      </c>
      <c r="I102" s="64">
        <v>0.13</v>
      </c>
      <c r="J102" s="64">
        <v>0.17</v>
      </c>
      <c r="K102" s="64">
        <v>211.89</v>
      </c>
      <c r="L102" s="64">
        <v>22.83</v>
      </c>
      <c r="M102" s="64">
        <v>98.6</v>
      </c>
      <c r="N102" s="64">
        <v>8.8000000000000007</v>
      </c>
      <c r="O102" s="64">
        <v>0</v>
      </c>
      <c r="P102" s="64">
        <v>0.4</v>
      </c>
      <c r="Q102" s="64">
        <v>16.66</v>
      </c>
      <c r="R102" s="198"/>
      <c r="S102" s="198"/>
      <c r="T102" s="198"/>
      <c r="U102" s="198"/>
    </row>
    <row r="103" spans="1:33" s="12" customFormat="1" x14ac:dyDescent="0.25">
      <c r="A103" s="214" t="s">
        <v>918</v>
      </c>
      <c r="B103" s="64">
        <v>4.43</v>
      </c>
      <c r="C103" s="64">
        <v>8.93</v>
      </c>
      <c r="D103" s="64">
        <v>13.36</v>
      </c>
      <c r="E103" s="64">
        <v>1.4</v>
      </c>
      <c r="F103" s="64">
        <v>4.13</v>
      </c>
      <c r="G103" s="64">
        <v>13.7</v>
      </c>
      <c r="H103" s="64">
        <v>7.65</v>
      </c>
      <c r="I103" s="64">
        <v>0.13</v>
      </c>
      <c r="J103" s="64">
        <v>0.12</v>
      </c>
      <c r="K103" s="64">
        <v>176.82</v>
      </c>
      <c r="L103" s="64">
        <v>22.73</v>
      </c>
      <c r="M103" s="64">
        <v>98.61</v>
      </c>
      <c r="N103" s="64">
        <v>8.8000000000000007</v>
      </c>
      <c r="O103" s="64">
        <v>0</v>
      </c>
      <c r="P103" s="64">
        <v>0.41</v>
      </c>
      <c r="Q103" s="64">
        <v>16.16</v>
      </c>
      <c r="R103" s="198"/>
      <c r="S103" s="198"/>
      <c r="T103" s="198"/>
      <c r="U103" s="198"/>
    </row>
    <row r="104" spans="1:33" s="12" customFormat="1" x14ac:dyDescent="0.25">
      <c r="A104" s="214" t="s">
        <v>919</v>
      </c>
      <c r="B104" s="64">
        <v>4.25</v>
      </c>
      <c r="C104" s="64">
        <v>9.31</v>
      </c>
      <c r="D104" s="64">
        <v>13.57</v>
      </c>
      <c r="E104" s="64">
        <v>0.67</v>
      </c>
      <c r="F104" s="64">
        <v>6.58</v>
      </c>
      <c r="G104" s="64">
        <v>12.69</v>
      </c>
      <c r="H104" s="64">
        <v>6.41</v>
      </c>
      <c r="I104" s="64">
        <v>0.12</v>
      </c>
      <c r="J104" s="64">
        <v>0.27</v>
      </c>
      <c r="K104" s="64">
        <v>156.33000000000001</v>
      </c>
      <c r="L104" s="64">
        <v>22.64</v>
      </c>
      <c r="M104" s="64">
        <v>98.63</v>
      </c>
      <c r="N104" s="64">
        <v>9</v>
      </c>
      <c r="O104" s="64">
        <v>0</v>
      </c>
      <c r="P104" s="64">
        <v>0.37</v>
      </c>
      <c r="Q104" s="64">
        <v>17.329999999999998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4.18</v>
      </c>
      <c r="C106" s="67">
        <f>MIN(C9:C104)</f>
        <v>8.01</v>
      </c>
      <c r="D106" s="67">
        <f t="shared" ref="D106:Q106" si="0">MIN(D9:D104)</f>
        <v>12.57</v>
      </c>
      <c r="E106" s="67">
        <f t="shared" si="0"/>
        <v>0.08</v>
      </c>
      <c r="F106" s="67">
        <f t="shared" si="0"/>
        <v>1.1000000000000001</v>
      </c>
      <c r="G106" s="67">
        <f t="shared" si="0"/>
        <v>3.77</v>
      </c>
      <c r="H106" s="67">
        <f t="shared" si="0"/>
        <v>1.94</v>
      </c>
      <c r="I106" s="67">
        <f t="shared" si="0"/>
        <v>0.11</v>
      </c>
      <c r="J106" s="67">
        <f t="shared" si="0"/>
        <v>0</v>
      </c>
      <c r="K106" s="67">
        <f t="shared" si="0"/>
        <v>12.61</v>
      </c>
      <c r="L106" s="67">
        <f t="shared" si="0"/>
        <v>21.45</v>
      </c>
      <c r="M106" s="67">
        <f t="shared" si="0"/>
        <v>58.42</v>
      </c>
      <c r="N106" s="67">
        <f t="shared" si="0"/>
        <v>8.6999999999999993</v>
      </c>
      <c r="O106" s="67">
        <f t="shared" si="0"/>
        <v>0</v>
      </c>
      <c r="P106" s="67">
        <f t="shared" si="0"/>
        <v>0.31</v>
      </c>
      <c r="Q106" s="67">
        <f t="shared" si="0"/>
        <v>16.16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7.53</v>
      </c>
      <c r="C107" s="66">
        <f t="shared" ref="C107:Q107" si="1">MAX(C9:C104)</f>
        <v>18.43</v>
      </c>
      <c r="D107" s="66">
        <f t="shared" si="1"/>
        <v>25.01</v>
      </c>
      <c r="E107" s="66">
        <f t="shared" si="1"/>
        <v>2.64</v>
      </c>
      <c r="F107" s="66">
        <f t="shared" si="1"/>
        <v>10.88</v>
      </c>
      <c r="G107" s="66">
        <f t="shared" si="1"/>
        <v>18.71</v>
      </c>
      <c r="H107" s="66">
        <f t="shared" si="1"/>
        <v>9.7799999999999994</v>
      </c>
      <c r="I107" s="66">
        <f t="shared" si="1"/>
        <v>0.14000000000000001</v>
      </c>
      <c r="J107" s="66">
        <f t="shared" si="1"/>
        <v>2.31</v>
      </c>
      <c r="K107" s="66">
        <f t="shared" si="1"/>
        <v>351.7</v>
      </c>
      <c r="L107" s="66">
        <f t="shared" si="1"/>
        <v>31.94</v>
      </c>
      <c r="M107" s="66">
        <f t="shared" si="1"/>
        <v>98.63</v>
      </c>
      <c r="N107" s="66">
        <f t="shared" si="1"/>
        <v>1072.0999999999999</v>
      </c>
      <c r="O107" s="66">
        <f t="shared" si="1"/>
        <v>3.6</v>
      </c>
      <c r="P107" s="66">
        <f t="shared" si="1"/>
        <v>0.5</v>
      </c>
      <c r="Q107" s="66">
        <f t="shared" si="1"/>
        <v>22.1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5.4238541666666658</v>
      </c>
      <c r="C108" s="67">
        <f t="shared" ref="C108:Q108" si="2">AVERAGE(C9:C104)</f>
        <v>10.969791666666666</v>
      </c>
      <c r="D108" s="67">
        <f t="shared" si="2"/>
        <v>16.39385416666666</v>
      </c>
      <c r="E108" s="67">
        <f t="shared" si="2"/>
        <v>1.5587499999999999</v>
      </c>
      <c r="F108" s="67">
        <f t="shared" si="2"/>
        <v>4.0458333333333334</v>
      </c>
      <c r="G108" s="67">
        <f t="shared" si="2"/>
        <v>12.577604166666669</v>
      </c>
      <c r="H108" s="67">
        <f t="shared" si="2"/>
        <v>5.4921875</v>
      </c>
      <c r="I108" s="67">
        <f t="shared" si="2"/>
        <v>0.12437499999999985</v>
      </c>
      <c r="J108" s="67">
        <f t="shared" si="2"/>
        <v>0.3897916666666667</v>
      </c>
      <c r="K108" s="67">
        <f t="shared" si="2"/>
        <v>149.99541666666667</v>
      </c>
      <c r="L108" s="67">
        <f t="shared" si="2"/>
        <v>23.513541666666658</v>
      </c>
      <c r="M108" s="67">
        <f t="shared" si="2"/>
        <v>94.544270833333428</v>
      </c>
      <c r="N108" s="67">
        <f t="shared" si="2"/>
        <v>157.42708333333329</v>
      </c>
      <c r="O108" s="67">
        <f t="shared" si="2"/>
        <v>0.11249999999999999</v>
      </c>
      <c r="P108" s="67">
        <f t="shared" si="2"/>
        <v>0.40781249999999974</v>
      </c>
      <c r="Q108" s="67">
        <f t="shared" si="2"/>
        <v>19.186979166666671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0.74262460558788124</v>
      </c>
      <c r="C109" s="67">
        <f t="shared" ref="C109:Q109" si="3">STDEV(C9:C104)</f>
        <v>2.2212514155037026</v>
      </c>
      <c r="D109" s="67">
        <f t="shared" si="3"/>
        <v>2.5593421727968422</v>
      </c>
      <c r="E109" s="67">
        <f t="shared" si="3"/>
        <v>0.58635582873775227</v>
      </c>
      <c r="F109" s="67">
        <f t="shared" si="3"/>
        <v>2.1697808119553978</v>
      </c>
      <c r="G109" s="67">
        <f t="shared" si="3"/>
        <v>4.5675719093331928</v>
      </c>
      <c r="H109" s="67">
        <f t="shared" si="3"/>
        <v>2.3531686154831144</v>
      </c>
      <c r="I109" s="67">
        <f t="shared" si="3"/>
        <v>6.9301021485598437E-3</v>
      </c>
      <c r="J109" s="67">
        <f t="shared" si="3"/>
        <v>0.43616505607436151</v>
      </c>
      <c r="K109" s="67">
        <f t="shared" si="3"/>
        <v>59.784803947010225</v>
      </c>
      <c r="L109" s="67">
        <f t="shared" si="3"/>
        <v>2.3454179199661294</v>
      </c>
      <c r="M109" s="67">
        <f t="shared" si="3"/>
        <v>9.4280357662711349</v>
      </c>
      <c r="N109" s="67">
        <f t="shared" si="3"/>
        <v>272.70666657713741</v>
      </c>
      <c r="O109" s="67">
        <f t="shared" si="3"/>
        <v>0.46322666953492764</v>
      </c>
      <c r="P109" s="67">
        <f t="shared" si="3"/>
        <v>4.5333921887308275E-2</v>
      </c>
      <c r="Q109" s="67">
        <f t="shared" si="3"/>
        <v>1.4328860238888999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25" sqref="J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921</v>
      </c>
      <c r="B9" s="64">
        <v>4.45</v>
      </c>
      <c r="C9" s="64">
        <v>9.1199999999999992</v>
      </c>
      <c r="D9" s="64">
        <v>13.57</v>
      </c>
      <c r="E9" s="64">
        <v>0.99</v>
      </c>
      <c r="F9" s="64">
        <v>5.08</v>
      </c>
      <c r="G9" s="64">
        <v>11.81</v>
      </c>
      <c r="H9" s="64">
        <v>5.47</v>
      </c>
      <c r="I9" s="64">
        <v>0.13</v>
      </c>
      <c r="J9" s="64">
        <v>7.0000000000000007E-2</v>
      </c>
      <c r="K9" s="64">
        <v>194.28</v>
      </c>
      <c r="L9" s="64">
        <v>22.57</v>
      </c>
      <c r="M9" s="64">
        <v>98.63</v>
      </c>
      <c r="N9" s="64">
        <v>9.1999999999999993</v>
      </c>
      <c r="O9" s="64">
        <v>0</v>
      </c>
      <c r="P9" s="64">
        <v>0.38</v>
      </c>
      <c r="Q9" s="64">
        <v>17.77</v>
      </c>
      <c r="R9" s="198"/>
      <c r="S9" s="198"/>
      <c r="T9" s="198"/>
      <c r="U9" s="198"/>
    </row>
    <row r="10" spans="1:21" s="12" customFormat="1" x14ac:dyDescent="0.25">
      <c r="A10" s="214" t="s">
        <v>922</v>
      </c>
      <c r="B10" s="64">
        <v>4.4800000000000004</v>
      </c>
      <c r="C10" s="64">
        <v>8.3800000000000008</v>
      </c>
      <c r="D10" s="64">
        <v>12.85</v>
      </c>
      <c r="E10" s="64">
        <v>1.28</v>
      </c>
      <c r="F10" s="64">
        <v>5.79</v>
      </c>
      <c r="G10" s="64">
        <v>11.81</v>
      </c>
      <c r="H10" s="64">
        <v>5.47</v>
      </c>
      <c r="I10" s="64">
        <v>0.12</v>
      </c>
      <c r="J10" s="64">
        <v>0.03</v>
      </c>
      <c r="K10" s="64">
        <v>162.66999999999999</v>
      </c>
      <c r="L10" s="64">
        <v>22.51</v>
      </c>
      <c r="M10" s="64">
        <v>98.63</v>
      </c>
      <c r="N10" s="64">
        <v>9.1</v>
      </c>
      <c r="O10" s="64">
        <v>0</v>
      </c>
      <c r="P10" s="64">
        <v>0.36</v>
      </c>
      <c r="Q10" s="64">
        <v>18.079999999999998</v>
      </c>
      <c r="R10" s="198"/>
      <c r="S10" s="198"/>
      <c r="T10" s="198"/>
      <c r="U10" s="198"/>
    </row>
    <row r="11" spans="1:21" s="12" customFormat="1" x14ac:dyDescent="0.25">
      <c r="A11" s="214" t="s">
        <v>923</v>
      </c>
      <c r="B11" s="64">
        <v>4.38</v>
      </c>
      <c r="C11" s="64">
        <v>8.07</v>
      </c>
      <c r="D11" s="64">
        <v>12.44</v>
      </c>
      <c r="E11" s="64">
        <v>1.62</v>
      </c>
      <c r="F11" s="64">
        <v>5.85</v>
      </c>
      <c r="G11" s="64">
        <v>11.81</v>
      </c>
      <c r="H11" s="64">
        <v>5.47</v>
      </c>
      <c r="I11" s="64">
        <v>0.12</v>
      </c>
      <c r="J11" s="64">
        <v>0.21</v>
      </c>
      <c r="K11" s="64">
        <v>166.7</v>
      </c>
      <c r="L11" s="64">
        <v>22.48</v>
      </c>
      <c r="M11" s="64">
        <v>98.63</v>
      </c>
      <c r="N11" s="64">
        <v>8.9</v>
      </c>
      <c r="O11" s="64">
        <v>0</v>
      </c>
      <c r="P11" s="64">
        <v>0.34</v>
      </c>
      <c r="Q11" s="64">
        <v>18.34</v>
      </c>
      <c r="R11" s="198"/>
      <c r="S11" s="198"/>
      <c r="T11" s="198"/>
      <c r="U11" s="198"/>
    </row>
    <row r="12" spans="1:21" s="12" customFormat="1" x14ac:dyDescent="0.25">
      <c r="A12" s="214" t="s">
        <v>924</v>
      </c>
      <c r="B12" s="64">
        <v>4.54</v>
      </c>
      <c r="C12" s="64">
        <v>8.16</v>
      </c>
      <c r="D12" s="64">
        <v>12.7</v>
      </c>
      <c r="E12" s="64">
        <v>1.1000000000000001</v>
      </c>
      <c r="F12" s="64">
        <v>4.42</v>
      </c>
      <c r="G12" s="64">
        <v>10.54</v>
      </c>
      <c r="H12" s="64">
        <v>5.17</v>
      </c>
      <c r="I12" s="64">
        <v>0.12</v>
      </c>
      <c r="J12" s="64">
        <v>0.24</v>
      </c>
      <c r="K12" s="64">
        <v>150.85</v>
      </c>
      <c r="L12" s="64">
        <v>22.48</v>
      </c>
      <c r="M12" s="64">
        <v>98.62</v>
      </c>
      <c r="N12" s="64">
        <v>8.8000000000000007</v>
      </c>
      <c r="O12" s="64">
        <v>0</v>
      </c>
      <c r="P12" s="64">
        <v>0.35</v>
      </c>
      <c r="Q12" s="64">
        <v>17.89</v>
      </c>
      <c r="R12" s="198"/>
      <c r="S12" s="198"/>
      <c r="T12" s="198"/>
      <c r="U12" s="198"/>
    </row>
    <row r="13" spans="1:21" s="12" customFormat="1" x14ac:dyDescent="0.25">
      <c r="A13" s="214" t="s">
        <v>925</v>
      </c>
      <c r="B13" s="64">
        <v>4.4400000000000004</v>
      </c>
      <c r="C13" s="64">
        <v>7.68</v>
      </c>
      <c r="D13" s="64">
        <v>12.12</v>
      </c>
      <c r="E13" s="64">
        <v>0.82</v>
      </c>
      <c r="F13" s="64">
        <v>4.1399999999999997</v>
      </c>
      <c r="G13" s="64">
        <v>9.43</v>
      </c>
      <c r="H13" s="64">
        <v>5.05</v>
      </c>
      <c r="I13" s="64">
        <v>0.12</v>
      </c>
      <c r="J13" s="64">
        <v>0.18</v>
      </c>
      <c r="K13" s="64">
        <v>185.94</v>
      </c>
      <c r="L13" s="64">
        <v>22.43</v>
      </c>
      <c r="M13" s="64">
        <v>98.6</v>
      </c>
      <c r="N13" s="64">
        <v>8.8000000000000007</v>
      </c>
      <c r="O13" s="64">
        <v>0</v>
      </c>
      <c r="P13" s="64">
        <v>0.28000000000000003</v>
      </c>
      <c r="Q13" s="64">
        <v>17.079999999999998</v>
      </c>
      <c r="R13" s="198"/>
      <c r="S13" s="198"/>
      <c r="T13" s="198"/>
      <c r="U13" s="198"/>
    </row>
    <row r="14" spans="1:21" s="12" customFormat="1" x14ac:dyDescent="0.25">
      <c r="A14" s="214" t="s">
        <v>926</v>
      </c>
      <c r="B14" s="64">
        <v>4.71</v>
      </c>
      <c r="C14" s="64">
        <v>7.87</v>
      </c>
      <c r="D14" s="64">
        <v>12.59</v>
      </c>
      <c r="E14" s="64">
        <v>1.63</v>
      </c>
      <c r="F14" s="64">
        <v>2.62</v>
      </c>
      <c r="G14" s="64">
        <v>9.43</v>
      </c>
      <c r="H14" s="64">
        <v>5.05</v>
      </c>
      <c r="I14" s="64">
        <v>0.12</v>
      </c>
      <c r="J14" s="64">
        <v>0.06</v>
      </c>
      <c r="K14" s="64">
        <v>189.44</v>
      </c>
      <c r="L14" s="64">
        <v>22.38</v>
      </c>
      <c r="M14" s="64">
        <v>98.62</v>
      </c>
      <c r="N14" s="64">
        <v>8.8000000000000007</v>
      </c>
      <c r="O14" s="64">
        <v>0</v>
      </c>
      <c r="P14" s="64">
        <v>0.32</v>
      </c>
      <c r="Q14" s="64">
        <v>17.170000000000002</v>
      </c>
      <c r="R14" s="198"/>
      <c r="S14" s="198"/>
      <c r="T14" s="198"/>
      <c r="U14" s="198"/>
    </row>
    <row r="15" spans="1:21" s="12" customFormat="1" x14ac:dyDescent="0.25">
      <c r="A15" s="214" t="s">
        <v>927</v>
      </c>
      <c r="B15" s="64">
        <v>4.5</v>
      </c>
      <c r="C15" s="64">
        <v>7.69</v>
      </c>
      <c r="D15" s="64">
        <v>12.19</v>
      </c>
      <c r="E15" s="64">
        <v>0.69</v>
      </c>
      <c r="F15" s="64">
        <v>2.9</v>
      </c>
      <c r="G15" s="64">
        <v>9.43</v>
      </c>
      <c r="H15" s="64">
        <v>5.05</v>
      </c>
      <c r="I15" s="64">
        <v>0.13</v>
      </c>
      <c r="J15" s="64">
        <v>0.03</v>
      </c>
      <c r="K15" s="64">
        <v>247.4</v>
      </c>
      <c r="L15" s="64">
        <v>22.34</v>
      </c>
      <c r="M15" s="64">
        <v>98.62</v>
      </c>
      <c r="N15" s="64">
        <v>8.8000000000000007</v>
      </c>
      <c r="O15" s="64">
        <v>0</v>
      </c>
      <c r="P15" s="64">
        <v>0.3</v>
      </c>
      <c r="Q15" s="64">
        <v>17.149999999999999</v>
      </c>
      <c r="R15" s="198"/>
      <c r="S15" s="198"/>
      <c r="T15" s="198"/>
      <c r="U15" s="198"/>
    </row>
    <row r="16" spans="1:21" s="12" customFormat="1" x14ac:dyDescent="0.25">
      <c r="A16" s="214" t="s">
        <v>928</v>
      </c>
      <c r="B16" s="64">
        <v>4.42</v>
      </c>
      <c r="C16" s="64">
        <v>7.75</v>
      </c>
      <c r="D16" s="64">
        <v>12.17</v>
      </c>
      <c r="E16" s="64">
        <v>1.04</v>
      </c>
      <c r="F16" s="64">
        <v>3.75</v>
      </c>
      <c r="G16" s="64">
        <v>8.58</v>
      </c>
      <c r="H16" s="64">
        <v>6.89</v>
      </c>
      <c r="I16" s="64">
        <v>0.13</v>
      </c>
      <c r="J16" s="64">
        <v>0.13</v>
      </c>
      <c r="K16" s="64">
        <v>177.97</v>
      </c>
      <c r="L16" s="64">
        <v>22.34</v>
      </c>
      <c r="M16" s="64">
        <v>98.63</v>
      </c>
      <c r="N16" s="64">
        <v>8.8000000000000007</v>
      </c>
      <c r="O16" s="64">
        <v>0</v>
      </c>
      <c r="P16" s="64">
        <v>0.28999999999999998</v>
      </c>
      <c r="Q16" s="64">
        <v>16.989999999999998</v>
      </c>
      <c r="R16" s="198"/>
      <c r="S16" s="198"/>
      <c r="T16" s="198"/>
      <c r="U16" s="198"/>
    </row>
    <row r="17" spans="1:21" s="12" customFormat="1" x14ac:dyDescent="0.25">
      <c r="A17" s="214" t="s">
        <v>929</v>
      </c>
      <c r="B17" s="64">
        <v>4.3499999999999996</v>
      </c>
      <c r="C17" s="64">
        <v>7.69</v>
      </c>
      <c r="D17" s="64">
        <v>12.04</v>
      </c>
      <c r="E17" s="64">
        <v>0.99</v>
      </c>
      <c r="F17" s="64">
        <v>2.82</v>
      </c>
      <c r="G17" s="64">
        <v>7.84</v>
      </c>
      <c r="H17" s="64">
        <v>7.63</v>
      </c>
      <c r="I17" s="64">
        <v>0.13</v>
      </c>
      <c r="J17" s="64">
        <v>7.0000000000000007E-2</v>
      </c>
      <c r="K17" s="64">
        <v>220.16</v>
      </c>
      <c r="L17" s="64">
        <v>22.32</v>
      </c>
      <c r="M17" s="64">
        <v>98.63</v>
      </c>
      <c r="N17" s="64">
        <v>8.8000000000000007</v>
      </c>
      <c r="O17" s="64">
        <v>0</v>
      </c>
      <c r="P17" s="64">
        <v>0.3</v>
      </c>
      <c r="Q17" s="64">
        <v>16.28</v>
      </c>
      <c r="R17" s="198"/>
      <c r="S17" s="198"/>
      <c r="T17" s="198"/>
      <c r="U17" s="198"/>
    </row>
    <row r="18" spans="1:21" s="12" customFormat="1" x14ac:dyDescent="0.25">
      <c r="A18" s="214" t="s">
        <v>930</v>
      </c>
      <c r="B18" s="64">
        <v>4.54</v>
      </c>
      <c r="C18" s="64">
        <v>7.7</v>
      </c>
      <c r="D18" s="64">
        <v>12.23</v>
      </c>
      <c r="E18" s="64">
        <v>1.36</v>
      </c>
      <c r="F18" s="64">
        <v>2.0499999999999998</v>
      </c>
      <c r="G18" s="64">
        <v>7.84</v>
      </c>
      <c r="H18" s="64">
        <v>7.63</v>
      </c>
      <c r="I18" s="64">
        <v>0.12</v>
      </c>
      <c r="J18" s="64">
        <v>0.04</v>
      </c>
      <c r="K18" s="64">
        <v>192.55</v>
      </c>
      <c r="L18" s="64">
        <v>22.3</v>
      </c>
      <c r="M18" s="64">
        <v>98.63</v>
      </c>
      <c r="N18" s="64">
        <v>8.8000000000000007</v>
      </c>
      <c r="O18" s="64">
        <v>0</v>
      </c>
      <c r="P18" s="64">
        <v>0.28999999999999998</v>
      </c>
      <c r="Q18" s="64">
        <v>16.73</v>
      </c>
      <c r="R18" s="198"/>
      <c r="S18" s="198"/>
      <c r="T18" s="198"/>
      <c r="U18" s="198"/>
    </row>
    <row r="19" spans="1:21" s="12" customFormat="1" x14ac:dyDescent="0.25">
      <c r="A19" s="214" t="s">
        <v>931</v>
      </c>
      <c r="B19" s="64">
        <v>4.12</v>
      </c>
      <c r="C19" s="64">
        <v>8.19</v>
      </c>
      <c r="D19" s="64">
        <v>12.31</v>
      </c>
      <c r="E19" s="64">
        <v>0.66</v>
      </c>
      <c r="F19" s="64">
        <v>5.4</v>
      </c>
      <c r="G19" s="64">
        <v>7.84</v>
      </c>
      <c r="H19" s="64">
        <v>7.63</v>
      </c>
      <c r="I19" s="64">
        <v>0.13</v>
      </c>
      <c r="J19" s="64">
        <v>0.26</v>
      </c>
      <c r="K19" s="64">
        <v>148.79</v>
      </c>
      <c r="L19" s="64">
        <v>22.27</v>
      </c>
      <c r="M19" s="64">
        <v>98.63</v>
      </c>
      <c r="N19" s="64">
        <v>8.8000000000000007</v>
      </c>
      <c r="O19" s="64">
        <v>0</v>
      </c>
      <c r="P19" s="64">
        <v>0.25</v>
      </c>
      <c r="Q19" s="64">
        <v>17.12</v>
      </c>
      <c r="R19" s="198"/>
      <c r="S19" s="198"/>
      <c r="T19" s="198"/>
      <c r="U19" s="198"/>
    </row>
    <row r="20" spans="1:21" s="12" customFormat="1" x14ac:dyDescent="0.25">
      <c r="A20" s="214" t="s">
        <v>932</v>
      </c>
      <c r="B20" s="64">
        <v>4.13</v>
      </c>
      <c r="C20" s="64">
        <v>8.33</v>
      </c>
      <c r="D20" s="64">
        <v>12.45</v>
      </c>
      <c r="E20" s="64">
        <v>1.34</v>
      </c>
      <c r="F20" s="64">
        <v>4.54</v>
      </c>
      <c r="G20" s="64">
        <v>8.66</v>
      </c>
      <c r="H20" s="64">
        <v>6.33</v>
      </c>
      <c r="I20" s="64">
        <v>0.12</v>
      </c>
      <c r="J20" s="64">
        <v>0.14000000000000001</v>
      </c>
      <c r="K20" s="64">
        <v>195.1</v>
      </c>
      <c r="L20" s="64">
        <v>22.27</v>
      </c>
      <c r="M20" s="64">
        <v>98.63</v>
      </c>
      <c r="N20" s="64">
        <v>8.8000000000000007</v>
      </c>
      <c r="O20" s="64">
        <v>0</v>
      </c>
      <c r="P20" s="64">
        <v>0.26</v>
      </c>
      <c r="Q20" s="64">
        <v>17.63</v>
      </c>
      <c r="R20" s="198"/>
      <c r="S20" s="198"/>
      <c r="T20" s="198"/>
      <c r="U20" s="198"/>
    </row>
    <row r="21" spans="1:21" s="12" customFormat="1" x14ac:dyDescent="0.25">
      <c r="A21" s="214" t="s">
        <v>933</v>
      </c>
      <c r="B21" s="64">
        <v>4.4800000000000004</v>
      </c>
      <c r="C21" s="64">
        <v>8.0399999999999991</v>
      </c>
      <c r="D21" s="64">
        <v>12.52</v>
      </c>
      <c r="E21" s="64">
        <v>1.1200000000000001</v>
      </c>
      <c r="F21" s="64">
        <v>3.35</v>
      </c>
      <c r="G21" s="64">
        <v>9.39</v>
      </c>
      <c r="H21" s="64">
        <v>5.8</v>
      </c>
      <c r="I21" s="64">
        <v>0.11</v>
      </c>
      <c r="J21" s="64">
        <v>0.33</v>
      </c>
      <c r="K21" s="64">
        <v>185.19</v>
      </c>
      <c r="L21" s="64">
        <v>22.24</v>
      </c>
      <c r="M21" s="64">
        <v>98.63</v>
      </c>
      <c r="N21" s="64">
        <v>8.8000000000000007</v>
      </c>
      <c r="O21" s="64">
        <v>0</v>
      </c>
      <c r="P21" s="64">
        <v>0.27</v>
      </c>
      <c r="Q21" s="64">
        <v>17.989999999999998</v>
      </c>
      <c r="R21" s="198"/>
      <c r="S21" s="198"/>
      <c r="T21" s="198"/>
      <c r="U21" s="198"/>
    </row>
    <row r="22" spans="1:21" s="12" customFormat="1" x14ac:dyDescent="0.25">
      <c r="A22" s="214" t="s">
        <v>934</v>
      </c>
      <c r="B22" s="64">
        <v>4.76</v>
      </c>
      <c r="C22" s="64">
        <v>7.74</v>
      </c>
      <c r="D22" s="64">
        <v>12.5</v>
      </c>
      <c r="E22" s="64">
        <v>1.0900000000000001</v>
      </c>
      <c r="F22" s="64">
        <v>3.55</v>
      </c>
      <c r="G22" s="64">
        <v>9.39</v>
      </c>
      <c r="H22" s="64">
        <v>5.8</v>
      </c>
      <c r="I22" s="64">
        <v>0.12</v>
      </c>
      <c r="J22" s="64">
        <v>0.28000000000000003</v>
      </c>
      <c r="K22" s="64">
        <v>184.17</v>
      </c>
      <c r="L22" s="64">
        <v>22.26</v>
      </c>
      <c r="M22" s="64">
        <v>98.63</v>
      </c>
      <c r="N22" s="64">
        <v>8.9</v>
      </c>
      <c r="O22" s="64">
        <v>0</v>
      </c>
      <c r="P22" s="64">
        <v>0.27</v>
      </c>
      <c r="Q22" s="64">
        <v>18.190000000000001</v>
      </c>
      <c r="R22" s="198"/>
      <c r="S22" s="198"/>
      <c r="T22" s="198"/>
      <c r="U22" s="198"/>
    </row>
    <row r="23" spans="1:21" s="12" customFormat="1" x14ac:dyDescent="0.25">
      <c r="A23" s="214" t="s">
        <v>935</v>
      </c>
      <c r="B23" s="64">
        <v>4.8600000000000003</v>
      </c>
      <c r="C23" s="64">
        <v>7.69</v>
      </c>
      <c r="D23" s="64">
        <v>12.54</v>
      </c>
      <c r="E23" s="64">
        <v>1.35</v>
      </c>
      <c r="F23" s="64">
        <v>3.39</v>
      </c>
      <c r="G23" s="64">
        <v>9.39</v>
      </c>
      <c r="H23" s="64">
        <v>5.8</v>
      </c>
      <c r="I23" s="64">
        <v>0.12</v>
      </c>
      <c r="J23" s="64">
        <v>0.5</v>
      </c>
      <c r="K23" s="64">
        <v>162.66</v>
      </c>
      <c r="L23" s="64">
        <v>22.32</v>
      </c>
      <c r="M23" s="64">
        <v>98.63</v>
      </c>
      <c r="N23" s="64">
        <v>9.1</v>
      </c>
      <c r="O23" s="64">
        <v>0</v>
      </c>
      <c r="P23" s="64">
        <v>0.27</v>
      </c>
      <c r="Q23" s="64">
        <v>18.34</v>
      </c>
      <c r="R23" s="198"/>
      <c r="S23" s="198"/>
      <c r="T23" s="198"/>
      <c r="U23" s="198"/>
    </row>
    <row r="24" spans="1:21" s="12" customFormat="1" x14ac:dyDescent="0.25">
      <c r="A24" s="214" t="s">
        <v>936</v>
      </c>
      <c r="B24" s="64">
        <v>5.0999999999999996</v>
      </c>
      <c r="C24" s="64">
        <v>8.1</v>
      </c>
      <c r="D24" s="64">
        <v>13.2</v>
      </c>
      <c r="E24" s="64">
        <v>1.01</v>
      </c>
      <c r="F24" s="64">
        <v>2.44</v>
      </c>
      <c r="G24" s="64">
        <v>9.6999999999999993</v>
      </c>
      <c r="H24" s="64">
        <v>4.8899999999999997</v>
      </c>
      <c r="I24" s="64">
        <v>0.12</v>
      </c>
      <c r="J24" s="64">
        <v>0.46</v>
      </c>
      <c r="K24" s="64">
        <v>153.57</v>
      </c>
      <c r="L24" s="64">
        <v>22.33</v>
      </c>
      <c r="M24" s="64">
        <v>98.63</v>
      </c>
      <c r="N24" s="64">
        <v>9.1</v>
      </c>
      <c r="O24" s="64">
        <v>0</v>
      </c>
      <c r="P24" s="64">
        <v>0.26</v>
      </c>
      <c r="Q24" s="64">
        <v>18.2</v>
      </c>
      <c r="R24" s="198"/>
      <c r="S24" s="198"/>
      <c r="T24" s="198"/>
      <c r="U24" s="198"/>
    </row>
    <row r="25" spans="1:21" s="12" customFormat="1" x14ac:dyDescent="0.25">
      <c r="A25" s="214" t="s">
        <v>937</v>
      </c>
      <c r="B25" s="64">
        <v>4.99</v>
      </c>
      <c r="C25" s="64">
        <v>7.67</v>
      </c>
      <c r="D25" s="64">
        <v>12.66</v>
      </c>
      <c r="E25" s="64">
        <v>2.04</v>
      </c>
      <c r="F25" s="64">
        <v>2.9</v>
      </c>
      <c r="G25" s="64">
        <v>9.9700000000000006</v>
      </c>
      <c r="H25" s="64">
        <v>4.5199999999999996</v>
      </c>
      <c r="I25" s="64">
        <v>0.13</v>
      </c>
      <c r="J25" s="64">
        <v>0.02</v>
      </c>
      <c r="K25" s="64">
        <v>283.33</v>
      </c>
      <c r="L25" s="64">
        <v>22.33</v>
      </c>
      <c r="M25" s="64">
        <v>98.63</v>
      </c>
      <c r="N25" s="64">
        <v>9.1</v>
      </c>
      <c r="O25" s="64">
        <v>0</v>
      </c>
      <c r="P25" s="64">
        <v>0.25</v>
      </c>
      <c r="Q25" s="64">
        <v>17.329999999999998</v>
      </c>
      <c r="R25" s="198"/>
      <c r="S25" s="198"/>
      <c r="T25" s="198"/>
      <c r="U25" s="198"/>
    </row>
    <row r="26" spans="1:21" s="12" customFormat="1" x14ac:dyDescent="0.25">
      <c r="A26" s="214" t="s">
        <v>938</v>
      </c>
      <c r="B26" s="64">
        <v>5.13</v>
      </c>
      <c r="C26" s="64">
        <v>7.28</v>
      </c>
      <c r="D26" s="64">
        <v>12.4</v>
      </c>
      <c r="E26" s="64">
        <v>2.11</v>
      </c>
      <c r="F26" s="64">
        <v>1.59</v>
      </c>
      <c r="G26" s="64">
        <v>9.9700000000000006</v>
      </c>
      <c r="H26" s="64">
        <v>4.5199999999999996</v>
      </c>
      <c r="I26" s="64">
        <v>0.12</v>
      </c>
      <c r="J26" s="64">
        <v>0.23</v>
      </c>
      <c r="K26" s="64">
        <v>195.2</v>
      </c>
      <c r="L26" s="64">
        <v>22.33</v>
      </c>
      <c r="M26" s="64">
        <v>98.63</v>
      </c>
      <c r="N26" s="64">
        <v>9.1</v>
      </c>
      <c r="O26" s="64">
        <v>0</v>
      </c>
      <c r="P26" s="64">
        <v>0.26</v>
      </c>
      <c r="Q26" s="64">
        <v>16.88</v>
      </c>
      <c r="R26" s="198"/>
      <c r="S26" s="198"/>
      <c r="T26" s="198"/>
      <c r="U26" s="198"/>
    </row>
    <row r="27" spans="1:21" s="12" customFormat="1" x14ac:dyDescent="0.25">
      <c r="A27" s="214" t="s">
        <v>939</v>
      </c>
      <c r="B27" s="64">
        <v>5.01</v>
      </c>
      <c r="C27" s="64">
        <v>7.4</v>
      </c>
      <c r="D27" s="64">
        <v>12.41</v>
      </c>
      <c r="E27" s="64">
        <v>1.84</v>
      </c>
      <c r="F27" s="64">
        <v>1.49</v>
      </c>
      <c r="G27" s="64">
        <v>9.9700000000000006</v>
      </c>
      <c r="H27" s="64">
        <v>4.5199999999999996</v>
      </c>
      <c r="I27" s="64">
        <v>0.12</v>
      </c>
      <c r="J27" s="64">
        <v>0.09</v>
      </c>
      <c r="K27" s="64">
        <v>205.06</v>
      </c>
      <c r="L27" s="64">
        <v>22.3</v>
      </c>
      <c r="M27" s="64">
        <v>98.63</v>
      </c>
      <c r="N27" s="64">
        <v>9.1</v>
      </c>
      <c r="O27" s="64">
        <v>0</v>
      </c>
      <c r="P27" s="64">
        <v>0.25</v>
      </c>
      <c r="Q27" s="64">
        <v>16.899999999999999</v>
      </c>
      <c r="R27" s="198"/>
      <c r="S27" s="198"/>
      <c r="T27" s="198"/>
      <c r="U27" s="198"/>
    </row>
    <row r="28" spans="1:21" s="12" customFormat="1" x14ac:dyDescent="0.25">
      <c r="A28" s="214" t="s">
        <v>940</v>
      </c>
      <c r="B28" s="64">
        <v>4.96</v>
      </c>
      <c r="C28" s="64">
        <v>7.9</v>
      </c>
      <c r="D28" s="64">
        <v>12.86</v>
      </c>
      <c r="E28" s="64">
        <v>1.41</v>
      </c>
      <c r="F28" s="64">
        <v>1.49</v>
      </c>
      <c r="G28" s="64">
        <v>8.84</v>
      </c>
      <c r="H28" s="64">
        <v>3.63</v>
      </c>
      <c r="I28" s="64">
        <v>0.12</v>
      </c>
      <c r="J28" s="64">
        <v>0.08</v>
      </c>
      <c r="K28" s="64">
        <v>208.34</v>
      </c>
      <c r="L28" s="64">
        <v>22.28</v>
      </c>
      <c r="M28" s="64">
        <v>98.63</v>
      </c>
      <c r="N28" s="64">
        <v>9.1</v>
      </c>
      <c r="O28" s="64">
        <v>0</v>
      </c>
      <c r="P28" s="64">
        <v>0.25</v>
      </c>
      <c r="Q28" s="64">
        <v>16.809999999999999</v>
      </c>
      <c r="R28" s="198"/>
      <c r="S28" s="198"/>
      <c r="T28" s="198"/>
      <c r="U28" s="198"/>
    </row>
    <row r="29" spans="1:21" s="12" customFormat="1" x14ac:dyDescent="0.25">
      <c r="A29" s="214" t="s">
        <v>941</v>
      </c>
      <c r="B29" s="64">
        <v>5.21</v>
      </c>
      <c r="C29" s="64">
        <v>9.1300000000000008</v>
      </c>
      <c r="D29" s="64">
        <v>14.34</v>
      </c>
      <c r="E29" s="64">
        <v>1.47</v>
      </c>
      <c r="F29" s="64">
        <v>1.64</v>
      </c>
      <c r="G29" s="64">
        <v>7.86</v>
      </c>
      <c r="H29" s="64">
        <v>3.27</v>
      </c>
      <c r="I29" s="64">
        <v>0.12</v>
      </c>
      <c r="J29" s="64">
        <v>0.14000000000000001</v>
      </c>
      <c r="K29" s="64">
        <v>157.63</v>
      </c>
      <c r="L29" s="64">
        <v>22.27</v>
      </c>
      <c r="M29" s="64">
        <v>98.63</v>
      </c>
      <c r="N29" s="64">
        <v>9.1</v>
      </c>
      <c r="O29" s="64">
        <v>0</v>
      </c>
      <c r="P29" s="64">
        <v>0.24</v>
      </c>
      <c r="Q29" s="64">
        <v>16.09</v>
      </c>
      <c r="R29" s="198"/>
      <c r="S29" s="198"/>
      <c r="T29" s="198"/>
      <c r="U29" s="198"/>
    </row>
    <row r="30" spans="1:21" s="12" customFormat="1" x14ac:dyDescent="0.25">
      <c r="A30" s="214" t="s">
        <v>942</v>
      </c>
      <c r="B30" s="64">
        <v>5.15</v>
      </c>
      <c r="C30" s="64">
        <v>8.35</v>
      </c>
      <c r="D30" s="64">
        <v>13.5</v>
      </c>
      <c r="E30" s="64">
        <v>1.48</v>
      </c>
      <c r="F30" s="64">
        <v>2.35</v>
      </c>
      <c r="G30" s="64">
        <v>7.86</v>
      </c>
      <c r="H30" s="64">
        <v>3.27</v>
      </c>
      <c r="I30" s="64">
        <v>0.12</v>
      </c>
      <c r="J30" s="64">
        <v>0.2</v>
      </c>
      <c r="K30" s="64">
        <v>160.83000000000001</v>
      </c>
      <c r="L30" s="64">
        <v>22.29</v>
      </c>
      <c r="M30" s="64">
        <v>98.63</v>
      </c>
      <c r="N30" s="64">
        <v>9.1</v>
      </c>
      <c r="O30" s="64">
        <v>0</v>
      </c>
      <c r="P30" s="64">
        <v>0.25</v>
      </c>
      <c r="Q30" s="64">
        <v>16.45</v>
      </c>
      <c r="R30" s="198"/>
      <c r="S30" s="198"/>
      <c r="T30" s="198"/>
      <c r="U30" s="198"/>
    </row>
    <row r="31" spans="1:21" s="12" customFormat="1" x14ac:dyDescent="0.25">
      <c r="A31" s="214" t="s">
        <v>943</v>
      </c>
      <c r="B31" s="64">
        <v>4.9800000000000004</v>
      </c>
      <c r="C31" s="64">
        <v>10.01</v>
      </c>
      <c r="D31" s="64">
        <v>14.99</v>
      </c>
      <c r="E31" s="64">
        <v>1.86</v>
      </c>
      <c r="F31" s="64">
        <v>3.12</v>
      </c>
      <c r="G31" s="64">
        <v>7.86</v>
      </c>
      <c r="H31" s="64">
        <v>3.27</v>
      </c>
      <c r="I31" s="64">
        <v>0.12</v>
      </c>
      <c r="J31" s="64">
        <v>0.06</v>
      </c>
      <c r="K31" s="64">
        <v>228</v>
      </c>
      <c r="L31" s="64">
        <v>22.31</v>
      </c>
      <c r="M31" s="64">
        <v>98.63</v>
      </c>
      <c r="N31" s="64">
        <v>10.1</v>
      </c>
      <c r="O31" s="64">
        <v>0</v>
      </c>
      <c r="P31" s="64">
        <v>0.23</v>
      </c>
      <c r="Q31" s="64">
        <v>17.079999999999998</v>
      </c>
      <c r="R31" s="198"/>
      <c r="S31" s="198"/>
      <c r="T31" s="198"/>
      <c r="U31" s="198"/>
    </row>
    <row r="32" spans="1:21" s="12" customFormat="1" x14ac:dyDescent="0.25">
      <c r="A32" s="214" t="s">
        <v>944</v>
      </c>
      <c r="B32" s="64">
        <v>5.09</v>
      </c>
      <c r="C32" s="64">
        <v>10.74</v>
      </c>
      <c r="D32" s="64">
        <v>15.83</v>
      </c>
      <c r="E32" s="64">
        <v>1.93</v>
      </c>
      <c r="F32" s="64">
        <v>3.64</v>
      </c>
      <c r="G32" s="64">
        <v>9.19</v>
      </c>
      <c r="H32" s="64">
        <v>2.9</v>
      </c>
      <c r="I32" s="64">
        <v>0.12</v>
      </c>
      <c r="J32" s="64">
        <v>0.04</v>
      </c>
      <c r="K32" s="64">
        <v>140.68</v>
      </c>
      <c r="L32" s="64">
        <v>22.27</v>
      </c>
      <c r="M32" s="64">
        <v>98.63</v>
      </c>
      <c r="N32" s="64">
        <v>19.399999999999999</v>
      </c>
      <c r="O32" s="64">
        <v>0</v>
      </c>
      <c r="P32" s="64">
        <v>0.23</v>
      </c>
      <c r="Q32" s="64">
        <v>17.309999999999999</v>
      </c>
      <c r="R32" s="198"/>
      <c r="S32" s="198"/>
      <c r="T32" s="198"/>
      <c r="U32" s="198"/>
    </row>
    <row r="33" spans="1:21" s="12" customFormat="1" x14ac:dyDescent="0.25">
      <c r="A33" s="214" t="s">
        <v>945</v>
      </c>
      <c r="B33" s="64">
        <v>5.39</v>
      </c>
      <c r="C33" s="64">
        <v>10.95</v>
      </c>
      <c r="D33" s="64">
        <v>16.34</v>
      </c>
      <c r="E33" s="64">
        <v>2.41</v>
      </c>
      <c r="F33" s="64">
        <v>3.19</v>
      </c>
      <c r="G33" s="64">
        <v>10.35</v>
      </c>
      <c r="H33" s="64">
        <v>2.6</v>
      </c>
      <c r="I33" s="64">
        <v>0.12</v>
      </c>
      <c r="J33" s="64">
        <v>0.11</v>
      </c>
      <c r="K33" s="64">
        <v>164</v>
      </c>
      <c r="L33" s="64">
        <v>22.26</v>
      </c>
      <c r="M33" s="64">
        <v>98.6</v>
      </c>
      <c r="N33" s="64">
        <v>26.8</v>
      </c>
      <c r="O33" s="64">
        <v>0</v>
      </c>
      <c r="P33" s="64">
        <v>0.23</v>
      </c>
      <c r="Q33" s="64">
        <v>17.63</v>
      </c>
      <c r="R33" s="198"/>
      <c r="S33" s="198"/>
      <c r="T33" s="198"/>
      <c r="U33" s="198"/>
    </row>
    <row r="34" spans="1:21" s="12" customFormat="1" x14ac:dyDescent="0.25">
      <c r="A34" s="214" t="s">
        <v>946</v>
      </c>
      <c r="B34" s="64">
        <v>5.51</v>
      </c>
      <c r="C34" s="64">
        <v>10.67</v>
      </c>
      <c r="D34" s="64">
        <v>16.18</v>
      </c>
      <c r="E34" s="64">
        <v>2.04</v>
      </c>
      <c r="F34" s="64">
        <v>3.83</v>
      </c>
      <c r="G34" s="64">
        <v>10.35</v>
      </c>
      <c r="H34" s="64">
        <v>2.6</v>
      </c>
      <c r="I34" s="64">
        <v>0.12</v>
      </c>
      <c r="J34" s="64">
        <v>0.26</v>
      </c>
      <c r="K34" s="64">
        <v>152.87</v>
      </c>
      <c r="L34" s="64">
        <v>22.35</v>
      </c>
      <c r="M34" s="64">
        <v>98.59</v>
      </c>
      <c r="N34" s="64">
        <v>49.3</v>
      </c>
      <c r="O34" s="64">
        <v>0</v>
      </c>
      <c r="P34" s="64">
        <v>0.24</v>
      </c>
      <c r="Q34" s="64">
        <v>18.03</v>
      </c>
      <c r="R34" s="198"/>
      <c r="S34" s="198"/>
      <c r="T34" s="198"/>
      <c r="U34" s="198"/>
    </row>
    <row r="35" spans="1:21" s="12" customFormat="1" x14ac:dyDescent="0.25">
      <c r="A35" s="214" t="s">
        <v>947</v>
      </c>
      <c r="B35" s="64">
        <v>5.95</v>
      </c>
      <c r="C35" s="64">
        <v>10.98</v>
      </c>
      <c r="D35" s="64">
        <v>16.93</v>
      </c>
      <c r="E35" s="64">
        <v>2.44</v>
      </c>
      <c r="F35" s="64">
        <v>3.03</v>
      </c>
      <c r="G35" s="64">
        <v>10.35</v>
      </c>
      <c r="H35" s="64">
        <v>2.6</v>
      </c>
      <c r="I35" s="64">
        <v>0.12</v>
      </c>
      <c r="J35" s="64">
        <v>0.21</v>
      </c>
      <c r="K35" s="64">
        <v>154.05000000000001</v>
      </c>
      <c r="L35" s="64">
        <v>22.57</v>
      </c>
      <c r="M35" s="64">
        <v>98.6</v>
      </c>
      <c r="N35" s="64">
        <v>73.900000000000006</v>
      </c>
      <c r="O35" s="64">
        <v>0</v>
      </c>
      <c r="P35" s="64">
        <v>0.24</v>
      </c>
      <c r="Q35" s="64">
        <v>18.13</v>
      </c>
      <c r="R35" s="198"/>
      <c r="S35" s="198"/>
      <c r="T35" s="198"/>
      <c r="U35" s="198"/>
    </row>
    <row r="36" spans="1:21" s="12" customFormat="1" x14ac:dyDescent="0.25">
      <c r="A36" s="214" t="s">
        <v>948</v>
      </c>
      <c r="B36" s="64">
        <v>6.54</v>
      </c>
      <c r="C36" s="64">
        <v>10.56</v>
      </c>
      <c r="D36" s="64">
        <v>17.100000000000001</v>
      </c>
      <c r="E36" s="64">
        <v>1.36</v>
      </c>
      <c r="F36" s="64">
        <v>2.69</v>
      </c>
      <c r="G36" s="64">
        <v>10.64</v>
      </c>
      <c r="H36" s="64">
        <v>2.74</v>
      </c>
      <c r="I36" s="64">
        <v>0.12</v>
      </c>
      <c r="J36" s="64">
        <v>0.24</v>
      </c>
      <c r="K36" s="64">
        <v>155.86000000000001</v>
      </c>
      <c r="L36" s="64">
        <v>22.87</v>
      </c>
      <c r="M36" s="64">
        <v>98.57</v>
      </c>
      <c r="N36" s="64">
        <v>104.3</v>
      </c>
      <c r="O36" s="64">
        <v>0</v>
      </c>
      <c r="P36" s="64">
        <v>0.25</v>
      </c>
      <c r="Q36" s="64">
        <v>17.59</v>
      </c>
      <c r="R36" s="198"/>
      <c r="S36" s="198"/>
      <c r="T36" s="198"/>
      <c r="U36" s="198"/>
    </row>
    <row r="37" spans="1:21" s="12" customFormat="1" x14ac:dyDescent="0.25">
      <c r="A37" s="214" t="s">
        <v>949</v>
      </c>
      <c r="B37" s="64">
        <v>6.36</v>
      </c>
      <c r="C37" s="64">
        <v>8.9700000000000006</v>
      </c>
      <c r="D37" s="64">
        <v>15.33</v>
      </c>
      <c r="E37" s="64">
        <v>2.1800000000000002</v>
      </c>
      <c r="F37" s="64">
        <v>1.65</v>
      </c>
      <c r="G37" s="64">
        <v>10.9</v>
      </c>
      <c r="H37" s="64">
        <v>2.8</v>
      </c>
      <c r="I37" s="64">
        <v>0.12</v>
      </c>
      <c r="J37" s="64">
        <v>0.2</v>
      </c>
      <c r="K37" s="64">
        <v>184.04</v>
      </c>
      <c r="L37" s="64">
        <v>23.08</v>
      </c>
      <c r="M37" s="64">
        <v>98.57</v>
      </c>
      <c r="N37" s="64">
        <v>119</v>
      </c>
      <c r="O37" s="64">
        <v>0</v>
      </c>
      <c r="P37" s="64">
        <v>0.24</v>
      </c>
      <c r="Q37" s="64">
        <v>17.41</v>
      </c>
      <c r="R37" s="198"/>
      <c r="S37" s="198"/>
      <c r="T37" s="198"/>
      <c r="U37" s="198"/>
    </row>
    <row r="38" spans="1:21" s="12" customFormat="1" x14ac:dyDescent="0.25">
      <c r="A38" s="214" t="s">
        <v>950</v>
      </c>
      <c r="B38" s="64">
        <v>6.33</v>
      </c>
      <c r="C38" s="64">
        <v>8.6</v>
      </c>
      <c r="D38" s="64">
        <v>14.93</v>
      </c>
      <c r="E38" s="64">
        <v>2.2000000000000002</v>
      </c>
      <c r="F38" s="64">
        <v>1.64</v>
      </c>
      <c r="G38" s="64">
        <v>10.9</v>
      </c>
      <c r="H38" s="64">
        <v>2.8</v>
      </c>
      <c r="I38" s="64">
        <v>0.13</v>
      </c>
      <c r="J38" s="64">
        <v>0.45</v>
      </c>
      <c r="K38" s="64">
        <v>161.65</v>
      </c>
      <c r="L38" s="64">
        <v>23.08</v>
      </c>
      <c r="M38" s="64">
        <v>98.58</v>
      </c>
      <c r="N38" s="64">
        <v>84.2</v>
      </c>
      <c r="O38" s="64">
        <v>0</v>
      </c>
      <c r="P38" s="64">
        <v>0.25</v>
      </c>
      <c r="Q38" s="64">
        <v>17.440000000000001</v>
      </c>
      <c r="R38" s="198"/>
      <c r="S38" s="198"/>
      <c r="T38" s="198"/>
      <c r="U38" s="198"/>
    </row>
    <row r="39" spans="1:21" s="12" customFormat="1" x14ac:dyDescent="0.25">
      <c r="A39" s="214" t="s">
        <v>951</v>
      </c>
      <c r="B39" s="64">
        <v>6.39</v>
      </c>
      <c r="C39" s="64">
        <v>8.7799999999999994</v>
      </c>
      <c r="D39" s="64">
        <v>15.18</v>
      </c>
      <c r="E39" s="64">
        <v>1.66</v>
      </c>
      <c r="F39" s="64">
        <v>1.26</v>
      </c>
      <c r="G39" s="64">
        <v>10.9</v>
      </c>
      <c r="H39" s="64">
        <v>2.8</v>
      </c>
      <c r="I39" s="64">
        <v>0.12</v>
      </c>
      <c r="J39" s="64">
        <v>0.57999999999999996</v>
      </c>
      <c r="K39" s="64">
        <v>156.05000000000001</v>
      </c>
      <c r="L39" s="64">
        <v>22.95</v>
      </c>
      <c r="M39" s="64">
        <v>98.58</v>
      </c>
      <c r="N39" s="64">
        <v>47.5</v>
      </c>
      <c r="O39" s="64">
        <v>0</v>
      </c>
      <c r="P39" s="64">
        <v>0.26</v>
      </c>
      <c r="Q39" s="64">
        <v>17.170000000000002</v>
      </c>
      <c r="R39" s="198"/>
      <c r="S39" s="198"/>
      <c r="T39" s="198"/>
      <c r="U39" s="198"/>
    </row>
    <row r="40" spans="1:21" s="12" customFormat="1" x14ac:dyDescent="0.25">
      <c r="A40" s="214" t="s">
        <v>952</v>
      </c>
      <c r="B40" s="64">
        <v>6.65</v>
      </c>
      <c r="C40" s="64">
        <v>9.39</v>
      </c>
      <c r="D40" s="64">
        <v>16.04</v>
      </c>
      <c r="E40" s="64">
        <v>1.7</v>
      </c>
      <c r="F40" s="64">
        <v>2.5099999999999998</v>
      </c>
      <c r="G40" s="64">
        <v>10.17</v>
      </c>
      <c r="H40" s="64">
        <v>4.24</v>
      </c>
      <c r="I40" s="64">
        <v>0.12</v>
      </c>
      <c r="J40" s="64">
        <v>0.56000000000000005</v>
      </c>
      <c r="K40" s="64">
        <v>152.61000000000001</v>
      </c>
      <c r="L40" s="64">
        <v>22.94</v>
      </c>
      <c r="M40" s="64">
        <v>98.58</v>
      </c>
      <c r="N40" s="64">
        <v>56.1</v>
      </c>
      <c r="O40" s="64">
        <v>0</v>
      </c>
      <c r="P40" s="64">
        <v>0.25</v>
      </c>
      <c r="Q40" s="64">
        <v>17.010000000000002</v>
      </c>
      <c r="R40" s="198"/>
      <c r="S40" s="198"/>
      <c r="T40" s="198"/>
      <c r="U40" s="198"/>
    </row>
    <row r="41" spans="1:21" s="12" customFormat="1" x14ac:dyDescent="0.25">
      <c r="A41" s="214" t="s">
        <v>953</v>
      </c>
      <c r="B41" s="64">
        <v>6.66</v>
      </c>
      <c r="C41" s="64">
        <v>9.33</v>
      </c>
      <c r="D41" s="64">
        <v>16</v>
      </c>
      <c r="E41" s="64">
        <v>1.9</v>
      </c>
      <c r="F41" s="64">
        <v>1.45</v>
      </c>
      <c r="G41" s="64">
        <v>9.52</v>
      </c>
      <c r="H41" s="64">
        <v>4.82</v>
      </c>
      <c r="I41" s="64">
        <v>0.12</v>
      </c>
      <c r="J41" s="64">
        <v>0.12</v>
      </c>
      <c r="K41" s="64">
        <v>184.5</v>
      </c>
      <c r="L41" s="64">
        <v>23.03</v>
      </c>
      <c r="M41" s="64">
        <v>98.58</v>
      </c>
      <c r="N41" s="64">
        <v>75.3</v>
      </c>
      <c r="O41" s="64">
        <v>0</v>
      </c>
      <c r="P41" s="64">
        <v>0.27</v>
      </c>
      <c r="Q41" s="64">
        <v>16.98</v>
      </c>
      <c r="R41" s="198"/>
      <c r="S41" s="198"/>
      <c r="T41" s="198"/>
      <c r="U41" s="198"/>
    </row>
    <row r="42" spans="1:21" s="12" customFormat="1" x14ac:dyDescent="0.25">
      <c r="A42" s="214" t="s">
        <v>954</v>
      </c>
      <c r="B42" s="64">
        <v>8.89</v>
      </c>
      <c r="C42" s="64">
        <v>13.42</v>
      </c>
      <c r="D42" s="64">
        <v>22.32</v>
      </c>
      <c r="E42" s="64">
        <v>1.83</v>
      </c>
      <c r="F42" s="64">
        <v>3.14</v>
      </c>
      <c r="G42" s="64">
        <v>9.52</v>
      </c>
      <c r="H42" s="64">
        <v>4.82</v>
      </c>
      <c r="I42" s="64">
        <v>0.12</v>
      </c>
      <c r="J42" s="64">
        <v>0.28000000000000003</v>
      </c>
      <c r="K42" s="64">
        <v>136.13</v>
      </c>
      <c r="L42" s="64">
        <v>23.22</v>
      </c>
      <c r="M42" s="64">
        <v>98.57</v>
      </c>
      <c r="N42" s="64">
        <v>74.3</v>
      </c>
      <c r="O42" s="64">
        <v>0</v>
      </c>
      <c r="P42" s="64">
        <v>0.27</v>
      </c>
      <c r="Q42" s="64">
        <v>17.03</v>
      </c>
      <c r="R42" s="198"/>
      <c r="S42" s="198"/>
      <c r="T42" s="198"/>
      <c r="U42" s="198"/>
    </row>
    <row r="43" spans="1:21" s="12" customFormat="1" x14ac:dyDescent="0.25">
      <c r="A43" s="214" t="s">
        <v>955</v>
      </c>
      <c r="B43" s="64">
        <v>9.19</v>
      </c>
      <c r="C43" s="64">
        <v>15.24</v>
      </c>
      <c r="D43" s="64">
        <v>24.43</v>
      </c>
      <c r="E43" s="64">
        <v>2.0299999999999998</v>
      </c>
      <c r="F43" s="64">
        <v>3.15</v>
      </c>
      <c r="G43" s="64">
        <v>9.52</v>
      </c>
      <c r="H43" s="64">
        <v>4.82</v>
      </c>
      <c r="I43" s="64">
        <v>0.13</v>
      </c>
      <c r="J43" s="64">
        <v>0.72</v>
      </c>
      <c r="K43" s="64">
        <v>148.5</v>
      </c>
      <c r="L43" s="64">
        <v>23.09</v>
      </c>
      <c r="M43" s="64">
        <v>98.59</v>
      </c>
      <c r="N43" s="64">
        <v>81.5</v>
      </c>
      <c r="O43" s="64">
        <v>0</v>
      </c>
      <c r="P43" s="64">
        <v>0.28999999999999998</v>
      </c>
      <c r="Q43" s="64">
        <v>17.34</v>
      </c>
      <c r="R43" s="198"/>
      <c r="S43" s="198"/>
      <c r="T43" s="198"/>
      <c r="U43" s="198"/>
    </row>
    <row r="44" spans="1:21" s="12" customFormat="1" x14ac:dyDescent="0.25">
      <c r="A44" s="214" t="s">
        <v>956</v>
      </c>
      <c r="B44" s="64">
        <v>7.74</v>
      </c>
      <c r="C44" s="64">
        <v>12.51</v>
      </c>
      <c r="D44" s="64">
        <v>20.25</v>
      </c>
      <c r="E44" s="64">
        <v>1.96</v>
      </c>
      <c r="F44" s="64">
        <v>3.14</v>
      </c>
      <c r="G44" s="64">
        <v>11.26</v>
      </c>
      <c r="H44" s="64">
        <v>3.84</v>
      </c>
      <c r="I44" s="64">
        <v>0.12</v>
      </c>
      <c r="J44" s="64">
        <v>0.69</v>
      </c>
      <c r="K44" s="64">
        <v>153.19</v>
      </c>
      <c r="L44" s="64">
        <v>23.33</v>
      </c>
      <c r="M44" s="64">
        <v>98.42</v>
      </c>
      <c r="N44" s="64">
        <v>167.3</v>
      </c>
      <c r="O44" s="64">
        <v>0</v>
      </c>
      <c r="P44" s="64">
        <v>0.28000000000000003</v>
      </c>
      <c r="Q44" s="64">
        <v>18</v>
      </c>
      <c r="R44" s="198"/>
      <c r="S44" s="198"/>
      <c r="T44" s="198"/>
      <c r="U44" s="198"/>
    </row>
    <row r="45" spans="1:21" s="12" customFormat="1" x14ac:dyDescent="0.25">
      <c r="A45" s="214" t="s">
        <v>957</v>
      </c>
      <c r="B45" s="64">
        <v>7.31</v>
      </c>
      <c r="C45" s="64">
        <v>10.31</v>
      </c>
      <c r="D45" s="64">
        <v>17.63</v>
      </c>
      <c r="E45" s="64">
        <v>2.17</v>
      </c>
      <c r="F45" s="64">
        <v>2.59</v>
      </c>
      <c r="G45" s="64">
        <v>12.78</v>
      </c>
      <c r="H45" s="64">
        <v>3.43</v>
      </c>
      <c r="I45" s="64">
        <v>0.12</v>
      </c>
      <c r="J45" s="64">
        <v>0.87</v>
      </c>
      <c r="K45" s="64">
        <v>148.69999999999999</v>
      </c>
      <c r="L45" s="64">
        <v>24.07</v>
      </c>
      <c r="M45" s="64">
        <v>95.44</v>
      </c>
      <c r="N45" s="64">
        <v>347.5</v>
      </c>
      <c r="O45" s="64">
        <v>0</v>
      </c>
      <c r="P45" s="64">
        <v>0.27</v>
      </c>
      <c r="Q45" s="64">
        <v>18.690000000000001</v>
      </c>
      <c r="R45" s="198"/>
      <c r="S45" s="198"/>
      <c r="T45" s="198"/>
      <c r="U45" s="198"/>
    </row>
    <row r="46" spans="1:21" s="12" customFormat="1" x14ac:dyDescent="0.25">
      <c r="A46" s="214" t="s">
        <v>958</v>
      </c>
      <c r="B46" s="64">
        <v>7.29</v>
      </c>
      <c r="C46" s="64">
        <v>9.2899999999999991</v>
      </c>
      <c r="D46" s="64">
        <v>16.579999999999998</v>
      </c>
      <c r="E46" s="64">
        <v>1.76</v>
      </c>
      <c r="F46" s="64">
        <v>1.92</v>
      </c>
      <c r="G46" s="64">
        <v>12.78</v>
      </c>
      <c r="H46" s="64">
        <v>3.43</v>
      </c>
      <c r="I46" s="64">
        <v>0.12</v>
      </c>
      <c r="J46" s="64">
        <v>0.22</v>
      </c>
      <c r="K46" s="64">
        <v>145.22</v>
      </c>
      <c r="L46" s="64">
        <v>24.67</v>
      </c>
      <c r="M46" s="64">
        <v>91.45</v>
      </c>
      <c r="N46" s="64">
        <v>529.9</v>
      </c>
      <c r="O46" s="64">
        <v>0</v>
      </c>
      <c r="P46" s="64">
        <v>0.27</v>
      </c>
      <c r="Q46" s="64">
        <v>19.02</v>
      </c>
      <c r="R46" s="198"/>
      <c r="S46" s="198"/>
      <c r="T46" s="198"/>
      <c r="U46" s="198"/>
    </row>
    <row r="47" spans="1:21" s="12" customFormat="1" x14ac:dyDescent="0.25">
      <c r="A47" s="214" t="s">
        <v>959</v>
      </c>
      <c r="B47" s="64">
        <v>7.03</v>
      </c>
      <c r="C47" s="64">
        <v>9.3000000000000007</v>
      </c>
      <c r="D47" s="64">
        <v>16.32</v>
      </c>
      <c r="E47" s="64">
        <v>2.15</v>
      </c>
      <c r="F47" s="64">
        <v>1.26</v>
      </c>
      <c r="G47" s="64">
        <v>12.78</v>
      </c>
      <c r="H47" s="64">
        <v>3.43</v>
      </c>
      <c r="I47" s="64">
        <v>0.12</v>
      </c>
      <c r="J47" s="64">
        <v>0.56999999999999995</v>
      </c>
      <c r="K47" s="64">
        <v>152.5</v>
      </c>
      <c r="L47" s="64">
        <v>25.7</v>
      </c>
      <c r="M47" s="64">
        <v>87.24</v>
      </c>
      <c r="N47" s="64">
        <v>524.4</v>
      </c>
      <c r="O47" s="64">
        <v>0</v>
      </c>
      <c r="P47" s="64">
        <v>0.27</v>
      </c>
      <c r="Q47" s="64">
        <v>18.600000000000001</v>
      </c>
      <c r="R47" s="198"/>
      <c r="S47" s="198"/>
      <c r="T47" s="198"/>
      <c r="U47" s="198"/>
    </row>
    <row r="48" spans="1:21" s="12" customFormat="1" x14ac:dyDescent="0.25">
      <c r="A48" s="214" t="s">
        <v>960</v>
      </c>
      <c r="B48" s="64">
        <v>6.74</v>
      </c>
      <c r="C48" s="64">
        <v>9.24</v>
      </c>
      <c r="D48" s="64">
        <v>15.98</v>
      </c>
      <c r="E48" s="64">
        <v>1.38</v>
      </c>
      <c r="F48" s="64">
        <v>1.98</v>
      </c>
      <c r="G48" s="64">
        <v>12.67</v>
      </c>
      <c r="H48" s="64">
        <v>3.67</v>
      </c>
      <c r="I48" s="64">
        <v>0.13</v>
      </c>
      <c r="J48" s="64">
        <v>0.81</v>
      </c>
      <c r="K48" s="64">
        <v>143.26</v>
      </c>
      <c r="L48" s="64">
        <v>25.29</v>
      </c>
      <c r="M48" s="64">
        <v>89.8</v>
      </c>
      <c r="N48" s="64">
        <v>280.39999999999998</v>
      </c>
      <c r="O48" s="64">
        <v>0</v>
      </c>
      <c r="P48" s="64">
        <v>0.27</v>
      </c>
      <c r="Q48" s="64">
        <v>17.79</v>
      </c>
      <c r="R48" s="198"/>
      <c r="S48" s="198"/>
      <c r="T48" s="198"/>
      <c r="U48" s="198"/>
    </row>
    <row r="49" spans="1:21" s="12" customFormat="1" x14ac:dyDescent="0.25">
      <c r="A49" s="214" t="s">
        <v>961</v>
      </c>
      <c r="B49" s="64">
        <v>6.5</v>
      </c>
      <c r="C49" s="64">
        <v>9.16</v>
      </c>
      <c r="D49" s="64">
        <v>15.67</v>
      </c>
      <c r="E49" s="64">
        <v>1.1100000000000001</v>
      </c>
      <c r="F49" s="64">
        <v>1.18</v>
      </c>
      <c r="G49" s="64">
        <v>12.57</v>
      </c>
      <c r="H49" s="64">
        <v>3.76</v>
      </c>
      <c r="I49" s="64">
        <v>0.13</v>
      </c>
      <c r="J49" s="64">
        <v>0.97</v>
      </c>
      <c r="K49" s="64">
        <v>156.4</v>
      </c>
      <c r="L49" s="64">
        <v>24.71</v>
      </c>
      <c r="M49" s="64">
        <v>93.24</v>
      </c>
      <c r="N49" s="64">
        <v>771</v>
      </c>
      <c r="O49" s="64">
        <v>0</v>
      </c>
      <c r="P49" s="64">
        <v>0.27</v>
      </c>
      <c r="Q49" s="64">
        <v>17.03</v>
      </c>
      <c r="R49" s="198"/>
      <c r="S49" s="198"/>
      <c r="T49" s="198"/>
      <c r="U49" s="198"/>
    </row>
    <row r="50" spans="1:21" s="12" customFormat="1" x14ac:dyDescent="0.25">
      <c r="A50" s="214" t="s">
        <v>962</v>
      </c>
      <c r="B50" s="64">
        <v>6.33</v>
      </c>
      <c r="C50" s="64">
        <v>9.25</v>
      </c>
      <c r="D50" s="64">
        <v>15.58</v>
      </c>
      <c r="E50" s="64">
        <v>1.72</v>
      </c>
      <c r="F50" s="64">
        <v>0.82</v>
      </c>
      <c r="G50" s="64">
        <v>12.57</v>
      </c>
      <c r="H50" s="64">
        <v>3.76</v>
      </c>
      <c r="I50" s="64">
        <v>0.13</v>
      </c>
      <c r="J50" s="64">
        <v>1.43</v>
      </c>
      <c r="K50" s="64">
        <v>150.63</v>
      </c>
      <c r="L50" s="64">
        <v>24.72</v>
      </c>
      <c r="M50" s="64">
        <v>94.18</v>
      </c>
      <c r="N50" s="64">
        <v>392.3</v>
      </c>
      <c r="O50" s="64">
        <v>0</v>
      </c>
      <c r="P50" s="64">
        <v>0.28000000000000003</v>
      </c>
      <c r="Q50" s="64">
        <v>17.77</v>
      </c>
      <c r="R50" s="198"/>
      <c r="S50" s="198"/>
      <c r="T50" s="198"/>
      <c r="U50" s="198"/>
    </row>
    <row r="51" spans="1:21" s="12" customFormat="1" x14ac:dyDescent="0.25">
      <c r="A51" s="214" t="s">
        <v>963</v>
      </c>
      <c r="B51" s="64">
        <v>6.11</v>
      </c>
      <c r="C51" s="64">
        <v>9.5500000000000007</v>
      </c>
      <c r="D51" s="64">
        <v>15.67</v>
      </c>
      <c r="E51" s="64">
        <v>1.68</v>
      </c>
      <c r="F51" s="64">
        <v>1.69</v>
      </c>
      <c r="G51" s="64">
        <v>12.57</v>
      </c>
      <c r="H51" s="64">
        <v>3.76</v>
      </c>
      <c r="I51" s="64">
        <v>0.13</v>
      </c>
      <c r="J51" s="64">
        <v>1.4</v>
      </c>
      <c r="K51" s="64">
        <v>147.57</v>
      </c>
      <c r="L51" s="64">
        <v>24.49</v>
      </c>
      <c r="M51" s="64">
        <v>95.82</v>
      </c>
      <c r="N51" s="64">
        <v>292.39999999999998</v>
      </c>
      <c r="O51" s="64">
        <v>0</v>
      </c>
      <c r="P51" s="64">
        <v>0.28000000000000003</v>
      </c>
      <c r="Q51" s="64">
        <v>17.96</v>
      </c>
      <c r="R51" s="198"/>
      <c r="S51" s="198"/>
      <c r="T51" s="198"/>
      <c r="U51" s="198"/>
    </row>
    <row r="52" spans="1:21" s="12" customFormat="1" x14ac:dyDescent="0.25">
      <c r="A52" s="214" t="s">
        <v>964</v>
      </c>
      <c r="B52" s="64">
        <v>5.66</v>
      </c>
      <c r="C52" s="64">
        <v>11.02</v>
      </c>
      <c r="D52" s="64">
        <v>16.670000000000002</v>
      </c>
      <c r="E52" s="64">
        <v>1.68</v>
      </c>
      <c r="F52" s="64">
        <v>1.97</v>
      </c>
      <c r="G52" s="64">
        <v>10.56</v>
      </c>
      <c r="H52" s="64">
        <v>3.17</v>
      </c>
      <c r="I52" s="64">
        <v>0.13</v>
      </c>
      <c r="J52" s="64">
        <v>1.32</v>
      </c>
      <c r="K52" s="64">
        <v>150.58000000000001</v>
      </c>
      <c r="L52" s="64">
        <v>24.31</v>
      </c>
      <c r="M52" s="64">
        <v>96.74</v>
      </c>
      <c r="N52" s="64">
        <v>258.7</v>
      </c>
      <c r="O52" s="64">
        <v>0</v>
      </c>
      <c r="P52" s="64">
        <v>0.27</v>
      </c>
      <c r="Q52" s="64">
        <v>16.88</v>
      </c>
      <c r="R52" s="198"/>
      <c r="S52" s="198"/>
      <c r="T52" s="198"/>
      <c r="U52" s="198"/>
    </row>
    <row r="53" spans="1:21" s="12" customFormat="1" x14ac:dyDescent="0.25">
      <c r="A53" s="214" t="s">
        <v>965</v>
      </c>
      <c r="B53" s="64">
        <v>5.55</v>
      </c>
      <c r="C53" s="64">
        <v>10.94</v>
      </c>
      <c r="D53" s="64">
        <v>16.489999999999998</v>
      </c>
      <c r="E53" s="64">
        <v>1.71</v>
      </c>
      <c r="F53" s="64">
        <v>1.21</v>
      </c>
      <c r="G53" s="64">
        <v>8.8000000000000007</v>
      </c>
      <c r="H53" s="64">
        <v>2.93</v>
      </c>
      <c r="I53" s="64">
        <v>0.12</v>
      </c>
      <c r="J53" s="64">
        <v>0.98</v>
      </c>
      <c r="K53" s="64">
        <v>157.88</v>
      </c>
      <c r="L53" s="64">
        <v>24.27</v>
      </c>
      <c r="M53" s="64">
        <v>97.15</v>
      </c>
      <c r="N53" s="64">
        <v>244.3</v>
      </c>
      <c r="O53" s="64">
        <v>0</v>
      </c>
      <c r="P53" s="64">
        <v>0.28000000000000003</v>
      </c>
      <c r="Q53" s="64">
        <v>16.559999999999999</v>
      </c>
      <c r="R53" s="198"/>
      <c r="S53" s="198"/>
      <c r="T53" s="198"/>
      <c r="U53" s="198"/>
    </row>
    <row r="54" spans="1:21" s="12" customFormat="1" x14ac:dyDescent="0.25">
      <c r="A54" s="214" t="s">
        <v>966</v>
      </c>
      <c r="B54" s="64">
        <v>5.64</v>
      </c>
      <c r="C54" s="64">
        <v>11.15</v>
      </c>
      <c r="D54" s="64">
        <v>16.79</v>
      </c>
      <c r="E54" s="64">
        <v>1.64</v>
      </c>
      <c r="F54" s="64">
        <v>2.14</v>
      </c>
      <c r="G54" s="64">
        <v>8.8000000000000007</v>
      </c>
      <c r="H54" s="64">
        <v>2.93</v>
      </c>
      <c r="I54" s="64">
        <v>0.12</v>
      </c>
      <c r="J54" s="64">
        <v>1.04</v>
      </c>
      <c r="K54" s="64">
        <v>151.28</v>
      </c>
      <c r="L54" s="64">
        <v>24.02</v>
      </c>
      <c r="M54" s="64">
        <v>97.97</v>
      </c>
      <c r="N54" s="64">
        <v>170.9</v>
      </c>
      <c r="O54" s="64">
        <v>0</v>
      </c>
      <c r="P54" s="64">
        <v>0.27</v>
      </c>
      <c r="Q54" s="64">
        <v>17.03</v>
      </c>
      <c r="R54" s="198"/>
      <c r="S54" s="198"/>
      <c r="T54" s="198"/>
      <c r="U54" s="198"/>
    </row>
    <row r="55" spans="1:21" s="12" customFormat="1" x14ac:dyDescent="0.25">
      <c r="A55" s="214" t="s">
        <v>967</v>
      </c>
      <c r="B55" s="64">
        <v>5.77</v>
      </c>
      <c r="C55" s="64">
        <v>11.76</v>
      </c>
      <c r="D55" s="64">
        <v>17.53</v>
      </c>
      <c r="E55" s="64">
        <v>2.37</v>
      </c>
      <c r="F55" s="64">
        <v>2.4900000000000002</v>
      </c>
      <c r="G55" s="64">
        <v>8.8000000000000007</v>
      </c>
      <c r="H55" s="64">
        <v>2.93</v>
      </c>
      <c r="I55" s="64">
        <v>0.12</v>
      </c>
      <c r="J55" s="64">
        <v>1.23</v>
      </c>
      <c r="K55" s="64">
        <v>148.69</v>
      </c>
      <c r="L55" s="64">
        <v>23.97</v>
      </c>
      <c r="M55" s="64">
        <v>98.37</v>
      </c>
      <c r="N55" s="64">
        <v>197.8</v>
      </c>
      <c r="O55" s="64">
        <v>0</v>
      </c>
      <c r="P55" s="64">
        <v>0.27</v>
      </c>
      <c r="Q55" s="64">
        <v>17.079999999999998</v>
      </c>
      <c r="R55" s="198"/>
      <c r="S55" s="198"/>
      <c r="T55" s="198"/>
      <c r="U55" s="198"/>
    </row>
    <row r="56" spans="1:21" s="12" customFormat="1" x14ac:dyDescent="0.25">
      <c r="A56" s="214" t="s">
        <v>968</v>
      </c>
      <c r="B56" s="64">
        <v>6.06</v>
      </c>
      <c r="C56" s="64">
        <v>11.31</v>
      </c>
      <c r="D56" s="64">
        <v>17.38</v>
      </c>
      <c r="E56" s="64">
        <v>1.27</v>
      </c>
      <c r="F56" s="64">
        <v>2.58</v>
      </c>
      <c r="G56" s="64">
        <v>7.87</v>
      </c>
      <c r="H56" s="64">
        <v>3.07</v>
      </c>
      <c r="I56" s="64">
        <v>0.12</v>
      </c>
      <c r="J56" s="64">
        <v>0.21</v>
      </c>
      <c r="K56" s="64">
        <v>175.8</v>
      </c>
      <c r="L56" s="64">
        <v>24.22</v>
      </c>
      <c r="M56" s="64">
        <v>98.26</v>
      </c>
      <c r="N56" s="64">
        <v>190.6</v>
      </c>
      <c r="O56" s="64">
        <v>0</v>
      </c>
      <c r="P56" s="64">
        <v>0.28000000000000003</v>
      </c>
      <c r="Q56" s="64">
        <v>17.03</v>
      </c>
      <c r="R56" s="198"/>
      <c r="S56" s="198"/>
      <c r="T56" s="198"/>
      <c r="U56" s="198"/>
    </row>
    <row r="57" spans="1:21" s="12" customFormat="1" x14ac:dyDescent="0.25">
      <c r="A57" s="214" t="s">
        <v>969</v>
      </c>
      <c r="B57" s="64">
        <v>6.31</v>
      </c>
      <c r="C57" s="64">
        <v>11.04</v>
      </c>
      <c r="D57" s="64">
        <v>17.350000000000001</v>
      </c>
      <c r="E57" s="64">
        <v>2.8</v>
      </c>
      <c r="F57" s="64">
        <v>2.64</v>
      </c>
      <c r="G57" s="64">
        <v>7.05</v>
      </c>
      <c r="H57" s="64">
        <v>3.18</v>
      </c>
      <c r="I57" s="64">
        <v>0.13</v>
      </c>
      <c r="J57" s="64">
        <v>0.33</v>
      </c>
      <c r="K57" s="64">
        <v>179.77</v>
      </c>
      <c r="L57" s="64">
        <v>24.4</v>
      </c>
      <c r="M57" s="64">
        <v>96.69</v>
      </c>
      <c r="N57" s="64">
        <v>181.5</v>
      </c>
      <c r="O57" s="64">
        <v>0</v>
      </c>
      <c r="P57" s="64">
        <v>0.27</v>
      </c>
      <c r="Q57" s="64">
        <v>16.88</v>
      </c>
      <c r="R57" s="198"/>
      <c r="S57" s="198"/>
      <c r="T57" s="198"/>
      <c r="U57" s="198"/>
    </row>
    <row r="58" spans="1:21" s="12" customFormat="1" x14ac:dyDescent="0.25">
      <c r="A58" s="214" t="s">
        <v>970</v>
      </c>
      <c r="B58" s="64">
        <v>6.18</v>
      </c>
      <c r="C58" s="64">
        <v>11.34</v>
      </c>
      <c r="D58" s="64">
        <v>17.52</v>
      </c>
      <c r="E58" s="64">
        <v>2.36</v>
      </c>
      <c r="F58" s="64">
        <v>1.5</v>
      </c>
      <c r="G58" s="64">
        <v>7.05</v>
      </c>
      <c r="H58" s="64">
        <v>3.18</v>
      </c>
      <c r="I58" s="64">
        <v>0.13</v>
      </c>
      <c r="J58" s="64">
        <v>0.04</v>
      </c>
      <c r="K58" s="64">
        <v>239.71</v>
      </c>
      <c r="L58" s="64">
        <v>24.19</v>
      </c>
      <c r="M58" s="64">
        <v>96.09</v>
      </c>
      <c r="N58" s="64">
        <v>232.8</v>
      </c>
      <c r="O58" s="64">
        <v>0</v>
      </c>
      <c r="P58" s="64">
        <v>0.27</v>
      </c>
      <c r="Q58" s="64">
        <v>16.600000000000001</v>
      </c>
      <c r="R58" s="198"/>
      <c r="S58" s="198"/>
      <c r="T58" s="198"/>
      <c r="U58" s="198"/>
    </row>
    <row r="59" spans="1:21" s="12" customFormat="1" x14ac:dyDescent="0.25">
      <c r="A59" s="214" t="s">
        <v>971</v>
      </c>
      <c r="B59" s="64">
        <v>5.65</v>
      </c>
      <c r="C59" s="64">
        <v>11.1</v>
      </c>
      <c r="D59" s="64">
        <v>16.75</v>
      </c>
      <c r="E59" s="64">
        <v>2.92</v>
      </c>
      <c r="F59" s="64">
        <v>1.68</v>
      </c>
      <c r="G59" s="64">
        <v>7.05</v>
      </c>
      <c r="H59" s="64">
        <v>3.18</v>
      </c>
      <c r="I59" s="64">
        <v>0.12</v>
      </c>
      <c r="J59" s="64">
        <v>7.0000000000000007E-2</v>
      </c>
      <c r="K59" s="64">
        <v>32.82</v>
      </c>
      <c r="L59" s="64">
        <v>24.8</v>
      </c>
      <c r="M59" s="64">
        <v>93.31</v>
      </c>
      <c r="N59" s="64">
        <v>402.1</v>
      </c>
      <c r="O59" s="64">
        <v>0</v>
      </c>
      <c r="P59" s="64">
        <v>0.26</v>
      </c>
      <c r="Q59" s="64">
        <v>15.39</v>
      </c>
      <c r="R59" s="198"/>
      <c r="S59" s="198"/>
      <c r="T59" s="198"/>
      <c r="U59" s="198"/>
    </row>
    <row r="60" spans="1:21" s="12" customFormat="1" x14ac:dyDescent="0.25">
      <c r="A60" s="214" t="s">
        <v>972</v>
      </c>
      <c r="B60" s="64">
        <v>5.13</v>
      </c>
      <c r="C60" s="64">
        <v>11.01</v>
      </c>
      <c r="D60" s="64">
        <v>16.13</v>
      </c>
      <c r="E60" s="64">
        <v>2.13</v>
      </c>
      <c r="F60" s="64">
        <v>1.81</v>
      </c>
      <c r="G60" s="64">
        <v>6.19</v>
      </c>
      <c r="H60" s="64">
        <v>2.56</v>
      </c>
      <c r="I60" s="64">
        <v>0.12</v>
      </c>
      <c r="J60" s="64">
        <v>0.17</v>
      </c>
      <c r="K60" s="64">
        <v>19.16</v>
      </c>
      <c r="L60" s="64">
        <v>25.15</v>
      </c>
      <c r="M60" s="64">
        <v>89.3</v>
      </c>
      <c r="N60" s="64">
        <v>297.8</v>
      </c>
      <c r="O60" s="64">
        <v>0</v>
      </c>
      <c r="P60" s="64">
        <v>0.26</v>
      </c>
      <c r="Q60" s="64">
        <v>13.59</v>
      </c>
      <c r="R60" s="198"/>
      <c r="S60" s="198"/>
      <c r="T60" s="198"/>
      <c r="U60" s="198"/>
    </row>
    <row r="61" spans="1:21" s="12" customFormat="1" x14ac:dyDescent="0.25">
      <c r="A61" s="214" t="s">
        <v>973</v>
      </c>
      <c r="B61" s="64">
        <v>4.58</v>
      </c>
      <c r="C61" s="64">
        <v>12.29</v>
      </c>
      <c r="D61" s="64">
        <v>16.87</v>
      </c>
      <c r="E61" s="64">
        <v>1.48</v>
      </c>
      <c r="F61" s="64">
        <v>3.1</v>
      </c>
      <c r="G61" s="64">
        <v>5.44</v>
      </c>
      <c r="H61" s="64">
        <v>2.3199999999999998</v>
      </c>
      <c r="I61" s="64">
        <v>0.12</v>
      </c>
      <c r="J61" s="64">
        <v>0.14000000000000001</v>
      </c>
      <c r="K61" s="64">
        <v>192.15</v>
      </c>
      <c r="L61" s="64">
        <v>24.89</v>
      </c>
      <c r="M61" s="64">
        <v>91.91</v>
      </c>
      <c r="N61" s="64">
        <v>326.5</v>
      </c>
      <c r="O61" s="64">
        <v>0</v>
      </c>
      <c r="P61" s="64">
        <v>0.26</v>
      </c>
      <c r="Q61" s="64">
        <v>11.59</v>
      </c>
      <c r="R61" s="198"/>
      <c r="S61" s="198"/>
      <c r="T61" s="198"/>
      <c r="U61" s="198"/>
    </row>
    <row r="62" spans="1:21" s="12" customFormat="1" x14ac:dyDescent="0.25">
      <c r="A62" s="214" t="s">
        <v>974</v>
      </c>
      <c r="B62" s="64">
        <v>4.03</v>
      </c>
      <c r="C62" s="64">
        <v>12.41</v>
      </c>
      <c r="D62" s="64">
        <v>16.440000000000001</v>
      </c>
      <c r="E62" s="64">
        <v>2.08</v>
      </c>
      <c r="F62" s="64">
        <v>2.39</v>
      </c>
      <c r="G62" s="64">
        <v>5.44</v>
      </c>
      <c r="H62" s="64">
        <v>2.3199999999999998</v>
      </c>
      <c r="I62" s="64">
        <v>0.12</v>
      </c>
      <c r="J62" s="64">
        <v>0.15</v>
      </c>
      <c r="K62" s="64">
        <v>215.98</v>
      </c>
      <c r="L62" s="64">
        <v>24.95</v>
      </c>
      <c r="M62" s="64">
        <v>91.94</v>
      </c>
      <c r="N62" s="64">
        <v>235.9</v>
      </c>
      <c r="O62" s="64">
        <v>0</v>
      </c>
      <c r="P62" s="64">
        <v>0.27</v>
      </c>
      <c r="Q62" s="64">
        <v>11.27</v>
      </c>
      <c r="R62" s="198"/>
      <c r="S62" s="198"/>
      <c r="T62" s="198"/>
      <c r="U62" s="198"/>
    </row>
    <row r="63" spans="1:21" s="12" customFormat="1" x14ac:dyDescent="0.25">
      <c r="A63" s="214" t="s">
        <v>975</v>
      </c>
      <c r="B63" s="64">
        <v>3.96</v>
      </c>
      <c r="C63" s="64">
        <v>11.83</v>
      </c>
      <c r="D63" s="64">
        <v>15.79</v>
      </c>
      <c r="E63" s="64">
        <v>1.4</v>
      </c>
      <c r="F63" s="64">
        <v>2.35</v>
      </c>
      <c r="G63" s="64">
        <v>5.44</v>
      </c>
      <c r="H63" s="64">
        <v>2.3199999999999998</v>
      </c>
      <c r="I63" s="64">
        <v>0.12</v>
      </c>
      <c r="J63" s="64">
        <v>0.28000000000000003</v>
      </c>
      <c r="K63" s="64">
        <v>184.56</v>
      </c>
      <c r="L63" s="64">
        <v>24.67</v>
      </c>
      <c r="M63" s="64">
        <v>93.57</v>
      </c>
      <c r="N63" s="64">
        <v>110.6</v>
      </c>
      <c r="O63" s="64">
        <v>0</v>
      </c>
      <c r="P63" s="64">
        <v>0.26</v>
      </c>
      <c r="Q63" s="64">
        <v>9.85</v>
      </c>
      <c r="R63" s="198"/>
      <c r="S63" s="198"/>
      <c r="T63" s="198"/>
      <c r="U63" s="198"/>
    </row>
    <row r="64" spans="1:21" s="12" customFormat="1" x14ac:dyDescent="0.25">
      <c r="A64" s="214" t="s">
        <v>976</v>
      </c>
      <c r="B64" s="64">
        <v>4.1399999999999997</v>
      </c>
      <c r="C64" s="64">
        <v>11.35</v>
      </c>
      <c r="D64" s="64">
        <v>15.49</v>
      </c>
      <c r="E64" s="64">
        <v>0.94</v>
      </c>
      <c r="F64" s="64">
        <v>2.74</v>
      </c>
      <c r="G64" s="64">
        <v>7.39</v>
      </c>
      <c r="H64" s="64">
        <v>2.89</v>
      </c>
      <c r="I64" s="64">
        <v>0.12</v>
      </c>
      <c r="J64" s="64">
        <v>0.32</v>
      </c>
      <c r="K64" s="64">
        <v>204.19</v>
      </c>
      <c r="L64" s="64">
        <v>23.94</v>
      </c>
      <c r="M64" s="64">
        <v>96.25</v>
      </c>
      <c r="N64" s="64">
        <v>178.8</v>
      </c>
      <c r="O64" s="64">
        <v>0</v>
      </c>
      <c r="P64" s="64">
        <v>0.25</v>
      </c>
      <c r="Q64" s="64">
        <v>8.51</v>
      </c>
      <c r="R64" s="198"/>
      <c r="S64" s="198"/>
      <c r="T64" s="198"/>
      <c r="U64" s="198"/>
    </row>
    <row r="65" spans="1:21" s="12" customFormat="1" x14ac:dyDescent="0.25">
      <c r="A65" s="214" t="s">
        <v>977</v>
      </c>
      <c r="B65" s="64">
        <v>4.3</v>
      </c>
      <c r="C65" s="64">
        <v>10.81</v>
      </c>
      <c r="D65" s="64">
        <v>15.11</v>
      </c>
      <c r="E65" s="64">
        <v>1.64</v>
      </c>
      <c r="F65" s="64">
        <v>2.5299999999999998</v>
      </c>
      <c r="G65" s="64">
        <v>9.1</v>
      </c>
      <c r="H65" s="64">
        <v>3.13</v>
      </c>
      <c r="I65" s="64">
        <v>0.12</v>
      </c>
      <c r="J65" s="64">
        <v>0.28000000000000003</v>
      </c>
      <c r="K65" s="64">
        <v>183.49</v>
      </c>
      <c r="L65" s="64">
        <v>24.42</v>
      </c>
      <c r="M65" s="64">
        <v>94.25</v>
      </c>
      <c r="N65" s="64">
        <v>259.39999999999998</v>
      </c>
      <c r="O65" s="64">
        <v>0</v>
      </c>
      <c r="P65" s="64">
        <v>0.25</v>
      </c>
      <c r="Q65" s="64">
        <v>8.5299999999999994</v>
      </c>
      <c r="R65" s="198"/>
      <c r="S65" s="198"/>
      <c r="T65" s="198"/>
      <c r="U65" s="198"/>
    </row>
    <row r="66" spans="1:21" s="12" customFormat="1" x14ac:dyDescent="0.25">
      <c r="A66" s="214" t="s">
        <v>978</v>
      </c>
      <c r="B66" s="64">
        <v>4.26</v>
      </c>
      <c r="C66" s="64">
        <v>11.47</v>
      </c>
      <c r="D66" s="64">
        <v>15.73</v>
      </c>
      <c r="E66" s="64">
        <v>2.0699999999999998</v>
      </c>
      <c r="F66" s="64">
        <v>1.79</v>
      </c>
      <c r="G66" s="64">
        <v>9.1</v>
      </c>
      <c r="H66" s="64">
        <v>3.13</v>
      </c>
      <c r="I66" s="64">
        <v>0.12</v>
      </c>
      <c r="J66" s="64">
        <v>0.03</v>
      </c>
      <c r="K66" s="64">
        <v>18.11</v>
      </c>
      <c r="L66" s="64">
        <v>24.56</v>
      </c>
      <c r="M66" s="64">
        <v>92.6</v>
      </c>
      <c r="N66" s="64">
        <v>236.9</v>
      </c>
      <c r="O66" s="64">
        <v>0</v>
      </c>
      <c r="P66" s="64">
        <v>0.24</v>
      </c>
      <c r="Q66" s="64">
        <v>10.7</v>
      </c>
      <c r="R66" s="198"/>
      <c r="S66" s="198"/>
      <c r="T66" s="198"/>
      <c r="U66" s="198"/>
    </row>
    <row r="67" spans="1:21" s="12" customFormat="1" x14ac:dyDescent="0.25">
      <c r="A67" s="214" t="s">
        <v>979</v>
      </c>
      <c r="B67" s="64">
        <v>4.58</v>
      </c>
      <c r="C67" s="64">
        <v>11.39</v>
      </c>
      <c r="D67" s="64">
        <v>15.98</v>
      </c>
      <c r="E67" s="64">
        <v>1.86</v>
      </c>
      <c r="F67" s="64">
        <v>1.59</v>
      </c>
      <c r="G67" s="64">
        <v>9.1</v>
      </c>
      <c r="H67" s="64">
        <v>3.13</v>
      </c>
      <c r="I67" s="64">
        <v>0.12</v>
      </c>
      <c r="J67" s="64">
        <v>0.04</v>
      </c>
      <c r="K67" s="64">
        <v>262.22000000000003</v>
      </c>
      <c r="L67" s="64">
        <v>24.8</v>
      </c>
      <c r="M67" s="64">
        <v>91.08</v>
      </c>
      <c r="N67" s="64">
        <v>180.8</v>
      </c>
      <c r="O67" s="64">
        <v>0</v>
      </c>
      <c r="P67" s="64">
        <v>0.25</v>
      </c>
      <c r="Q67" s="64">
        <v>10.34</v>
      </c>
      <c r="R67" s="198"/>
      <c r="S67" s="198"/>
      <c r="T67" s="198"/>
      <c r="U67" s="198"/>
    </row>
    <row r="68" spans="1:21" s="12" customFormat="1" x14ac:dyDescent="0.25">
      <c r="A68" s="214" t="s">
        <v>980</v>
      </c>
      <c r="B68" s="64">
        <v>4.47</v>
      </c>
      <c r="C68" s="64">
        <v>10.85</v>
      </c>
      <c r="D68" s="64">
        <v>15.33</v>
      </c>
      <c r="E68" s="64">
        <v>1.85</v>
      </c>
      <c r="F68" s="64">
        <v>2.25</v>
      </c>
      <c r="G68" s="64">
        <v>10.97</v>
      </c>
      <c r="H68" s="64">
        <v>5.73</v>
      </c>
      <c r="I68" s="64">
        <v>0.11</v>
      </c>
      <c r="J68" s="64">
        <v>0.54</v>
      </c>
      <c r="K68" s="64">
        <v>160.58000000000001</v>
      </c>
      <c r="L68" s="64">
        <v>24.37</v>
      </c>
      <c r="M68" s="64">
        <v>92.51</v>
      </c>
      <c r="N68" s="64">
        <v>207</v>
      </c>
      <c r="O68" s="64">
        <v>0</v>
      </c>
      <c r="P68" s="64">
        <v>0.25</v>
      </c>
      <c r="Q68" s="64">
        <v>11</v>
      </c>
      <c r="R68" s="198"/>
      <c r="S68" s="198"/>
      <c r="T68" s="198"/>
      <c r="U68" s="198"/>
    </row>
    <row r="69" spans="1:21" s="12" customFormat="1" x14ac:dyDescent="0.25">
      <c r="A69" s="214" t="s">
        <v>981</v>
      </c>
      <c r="B69" s="64">
        <v>4.8600000000000003</v>
      </c>
      <c r="C69" s="64">
        <v>10.9</v>
      </c>
      <c r="D69" s="64">
        <v>15.76</v>
      </c>
      <c r="E69" s="64">
        <v>1.99</v>
      </c>
      <c r="F69" s="64">
        <v>2.0499999999999998</v>
      </c>
      <c r="G69" s="64">
        <v>12.6</v>
      </c>
      <c r="H69" s="64">
        <v>6.79</v>
      </c>
      <c r="I69" s="64">
        <v>0.12</v>
      </c>
      <c r="J69" s="64">
        <v>0.34</v>
      </c>
      <c r="K69" s="64">
        <v>188.32</v>
      </c>
      <c r="L69" s="64">
        <v>24.17</v>
      </c>
      <c r="M69" s="64">
        <v>92.56</v>
      </c>
      <c r="N69" s="64">
        <v>132.30000000000001</v>
      </c>
      <c r="O69" s="64">
        <v>0</v>
      </c>
      <c r="P69" s="64">
        <v>0.23</v>
      </c>
      <c r="Q69" s="64">
        <v>11.5</v>
      </c>
      <c r="R69" s="198"/>
      <c r="S69" s="198"/>
      <c r="T69" s="198"/>
      <c r="U69" s="198"/>
    </row>
    <row r="70" spans="1:21" s="12" customFormat="1" x14ac:dyDescent="0.25">
      <c r="A70" s="214" t="s">
        <v>982</v>
      </c>
      <c r="B70" s="64">
        <v>4.99</v>
      </c>
      <c r="C70" s="64">
        <v>10.31</v>
      </c>
      <c r="D70" s="64">
        <v>15.3</v>
      </c>
      <c r="E70" s="64">
        <v>2.14</v>
      </c>
      <c r="F70" s="64">
        <v>2.65</v>
      </c>
      <c r="G70" s="64">
        <v>12.6</v>
      </c>
      <c r="H70" s="64">
        <v>6.79</v>
      </c>
      <c r="I70" s="64">
        <v>0.12</v>
      </c>
      <c r="J70" s="64">
        <v>0.47</v>
      </c>
      <c r="K70" s="64">
        <v>173.93</v>
      </c>
      <c r="L70" s="64">
        <v>23.85</v>
      </c>
      <c r="M70" s="64">
        <v>94.71</v>
      </c>
      <c r="N70" s="64">
        <v>132.5</v>
      </c>
      <c r="O70" s="64">
        <v>0</v>
      </c>
      <c r="P70" s="64">
        <v>0.25</v>
      </c>
      <c r="Q70" s="64">
        <v>10.56</v>
      </c>
      <c r="R70" s="198"/>
      <c r="S70" s="198"/>
      <c r="T70" s="198"/>
      <c r="U70" s="198"/>
    </row>
    <row r="71" spans="1:21" s="12" customFormat="1" x14ac:dyDescent="0.25">
      <c r="A71" s="214" t="s">
        <v>983</v>
      </c>
      <c r="B71" s="64">
        <v>5.57</v>
      </c>
      <c r="C71" s="64">
        <v>10.67</v>
      </c>
      <c r="D71" s="64">
        <v>16.23</v>
      </c>
      <c r="E71" s="64">
        <v>1.95</v>
      </c>
      <c r="F71" s="64">
        <v>0.86</v>
      </c>
      <c r="G71" s="64">
        <v>12.6</v>
      </c>
      <c r="H71" s="64">
        <v>6.79</v>
      </c>
      <c r="I71" s="64">
        <v>0.11</v>
      </c>
      <c r="J71" s="64">
        <v>0.37</v>
      </c>
      <c r="K71" s="64">
        <v>181.55</v>
      </c>
      <c r="L71" s="64">
        <v>24.24</v>
      </c>
      <c r="M71" s="64">
        <v>92.01</v>
      </c>
      <c r="N71" s="64">
        <v>202.5</v>
      </c>
      <c r="O71" s="64">
        <v>0</v>
      </c>
      <c r="P71" s="64">
        <v>0.23</v>
      </c>
      <c r="Q71" s="64">
        <v>10.67</v>
      </c>
      <c r="R71" s="198"/>
      <c r="S71" s="198"/>
      <c r="T71" s="198"/>
      <c r="U71" s="198"/>
    </row>
    <row r="72" spans="1:21" s="12" customFormat="1" x14ac:dyDescent="0.25">
      <c r="A72" s="214" t="s">
        <v>984</v>
      </c>
      <c r="B72" s="64">
        <v>5.27</v>
      </c>
      <c r="C72" s="64">
        <v>9.85</v>
      </c>
      <c r="D72" s="64">
        <v>15.12</v>
      </c>
      <c r="E72" s="6" t="s">
        <v>42</v>
      </c>
      <c r="F72" s="64">
        <v>2.21</v>
      </c>
      <c r="G72" s="64">
        <v>11.88</v>
      </c>
      <c r="H72" s="64">
        <v>5.54</v>
      </c>
      <c r="I72" s="64">
        <v>0.11</v>
      </c>
      <c r="J72" s="64">
        <v>0.56000000000000005</v>
      </c>
      <c r="K72" s="64">
        <v>163.37</v>
      </c>
      <c r="L72" s="64">
        <v>24.41</v>
      </c>
      <c r="M72" s="64">
        <v>90.85</v>
      </c>
      <c r="N72" s="64">
        <v>148.9</v>
      </c>
      <c r="O72" s="64">
        <v>0</v>
      </c>
      <c r="P72" s="64">
        <v>0.22</v>
      </c>
      <c r="Q72" s="64">
        <v>9.33</v>
      </c>
      <c r="R72" s="198"/>
      <c r="S72" s="198"/>
      <c r="T72" s="198"/>
      <c r="U72" s="198"/>
    </row>
    <row r="73" spans="1:21" s="12" customFormat="1" x14ac:dyDescent="0.25">
      <c r="A73" s="214" t="s">
        <v>985</v>
      </c>
      <c r="B73" s="64">
        <v>5.27</v>
      </c>
      <c r="C73" s="64">
        <v>9.61</v>
      </c>
      <c r="D73" s="64">
        <v>14.88</v>
      </c>
      <c r="E73" s="64">
        <v>0.35</v>
      </c>
      <c r="F73" s="64">
        <v>2.66</v>
      </c>
      <c r="G73" s="64">
        <v>11.24</v>
      </c>
      <c r="H73" s="64">
        <v>5.03</v>
      </c>
      <c r="I73" s="64">
        <v>0.11</v>
      </c>
      <c r="J73" s="64">
        <v>0.2</v>
      </c>
      <c r="K73" s="64">
        <v>185.64</v>
      </c>
      <c r="L73" s="64">
        <v>24.24</v>
      </c>
      <c r="M73" s="64">
        <v>91.85</v>
      </c>
      <c r="N73" s="64">
        <v>113.8</v>
      </c>
      <c r="O73" s="64">
        <v>0</v>
      </c>
      <c r="P73" s="64">
        <v>0.23</v>
      </c>
      <c r="Q73" s="64">
        <v>8.35</v>
      </c>
      <c r="R73" s="198"/>
      <c r="S73" s="198"/>
      <c r="T73" s="198"/>
      <c r="U73" s="198"/>
    </row>
    <row r="74" spans="1:21" s="12" customFormat="1" x14ac:dyDescent="0.25">
      <c r="A74" s="214" t="s">
        <v>986</v>
      </c>
      <c r="B74" s="64">
        <v>5.32</v>
      </c>
      <c r="C74" s="64">
        <v>9.56</v>
      </c>
      <c r="D74" s="64">
        <v>14.88</v>
      </c>
      <c r="E74" s="64">
        <v>0.69</v>
      </c>
      <c r="F74" s="64">
        <v>1.9</v>
      </c>
      <c r="G74" s="64">
        <v>11.24</v>
      </c>
      <c r="H74" s="64">
        <v>5.03</v>
      </c>
      <c r="I74" s="64">
        <v>0.11</v>
      </c>
      <c r="J74" s="64">
        <v>0.17</v>
      </c>
      <c r="K74" s="64">
        <v>180.46</v>
      </c>
      <c r="L74" s="64">
        <v>24.17</v>
      </c>
      <c r="M74" s="64">
        <v>91.93</v>
      </c>
      <c r="N74" s="64">
        <v>96.3</v>
      </c>
      <c r="O74" s="64">
        <v>0</v>
      </c>
      <c r="P74" s="64">
        <v>0.25</v>
      </c>
      <c r="Q74" s="64">
        <v>9.06</v>
      </c>
      <c r="R74" s="198"/>
      <c r="S74" s="198"/>
      <c r="T74" s="198"/>
      <c r="U74" s="198"/>
    </row>
    <row r="75" spans="1:21" s="12" customFormat="1" x14ac:dyDescent="0.25">
      <c r="A75" s="214" t="s">
        <v>987</v>
      </c>
      <c r="B75" s="64">
        <v>5.04</v>
      </c>
      <c r="C75" s="64">
        <v>9.9700000000000006</v>
      </c>
      <c r="D75" s="64">
        <v>15.02</v>
      </c>
      <c r="E75" s="64">
        <v>0.55000000000000004</v>
      </c>
      <c r="F75" s="64">
        <v>2.02</v>
      </c>
      <c r="G75" s="64">
        <v>11.24</v>
      </c>
      <c r="H75" s="64">
        <v>5.03</v>
      </c>
      <c r="I75" s="64">
        <v>0.11</v>
      </c>
      <c r="J75" s="64">
        <v>0.05</v>
      </c>
      <c r="K75" s="64">
        <v>147.88</v>
      </c>
      <c r="L75" s="64">
        <v>24.22</v>
      </c>
      <c r="M75" s="64">
        <v>91.68</v>
      </c>
      <c r="N75" s="64">
        <v>81.900000000000006</v>
      </c>
      <c r="O75" s="64">
        <v>0</v>
      </c>
      <c r="P75" s="64">
        <v>0.23</v>
      </c>
      <c r="Q75" s="64">
        <v>9.17</v>
      </c>
      <c r="R75" s="198"/>
      <c r="S75" s="198"/>
      <c r="T75" s="198"/>
      <c r="U75" s="198"/>
    </row>
    <row r="76" spans="1:21" s="12" customFormat="1" x14ac:dyDescent="0.25">
      <c r="A76" s="214" t="s">
        <v>988</v>
      </c>
      <c r="B76" s="64">
        <v>4.8099999999999996</v>
      </c>
      <c r="C76" s="64">
        <v>10.89</v>
      </c>
      <c r="D76" s="64">
        <v>15.7</v>
      </c>
      <c r="E76" s="64">
        <v>1.44</v>
      </c>
      <c r="F76" s="64">
        <v>2.16</v>
      </c>
      <c r="G76" s="64">
        <v>9.44</v>
      </c>
      <c r="H76" s="64">
        <v>4.05</v>
      </c>
      <c r="I76" s="64">
        <v>0.12</v>
      </c>
      <c r="J76" s="64">
        <v>0.06</v>
      </c>
      <c r="K76" s="64">
        <v>170.59</v>
      </c>
      <c r="L76" s="64">
        <v>24.24</v>
      </c>
      <c r="M76" s="64">
        <v>91.95</v>
      </c>
      <c r="N76" s="64">
        <v>88.1</v>
      </c>
      <c r="O76" s="64">
        <v>0</v>
      </c>
      <c r="P76" s="64">
        <v>0.23</v>
      </c>
      <c r="Q76" s="64">
        <v>7.63</v>
      </c>
      <c r="R76" s="198"/>
      <c r="S76" s="198"/>
      <c r="T76" s="198"/>
      <c r="U76" s="198"/>
    </row>
    <row r="77" spans="1:21" s="12" customFormat="1" x14ac:dyDescent="0.25">
      <c r="A77" s="214" t="s">
        <v>989</v>
      </c>
      <c r="B77" s="64">
        <v>4.7300000000000004</v>
      </c>
      <c r="C77" s="64">
        <v>11.29</v>
      </c>
      <c r="D77" s="64">
        <v>16.02</v>
      </c>
      <c r="E77" s="64">
        <v>1.26</v>
      </c>
      <c r="F77" s="64">
        <v>1.84</v>
      </c>
      <c r="G77" s="64">
        <v>7.87</v>
      </c>
      <c r="H77" s="64">
        <v>3.65</v>
      </c>
      <c r="I77" s="64">
        <v>0.11</v>
      </c>
      <c r="J77" s="64">
        <v>0.08</v>
      </c>
      <c r="K77" s="64">
        <v>174.48</v>
      </c>
      <c r="L77" s="64">
        <v>24.21</v>
      </c>
      <c r="M77" s="64">
        <v>92.12</v>
      </c>
      <c r="N77" s="64">
        <v>71.3</v>
      </c>
      <c r="O77" s="64">
        <v>0</v>
      </c>
      <c r="P77" s="64">
        <v>0.24</v>
      </c>
      <c r="Q77" s="64">
        <v>8.2899999999999991</v>
      </c>
      <c r="R77" s="198"/>
      <c r="S77" s="198"/>
      <c r="T77" s="198"/>
      <c r="U77" s="198"/>
    </row>
    <row r="78" spans="1:21" s="12" customFormat="1" x14ac:dyDescent="0.25">
      <c r="A78" s="214" t="s">
        <v>990</v>
      </c>
      <c r="B78" s="64">
        <v>4.5599999999999996</v>
      </c>
      <c r="C78" s="64">
        <v>12.09</v>
      </c>
      <c r="D78" s="64">
        <v>16.649999999999999</v>
      </c>
      <c r="E78" s="64">
        <v>0.89</v>
      </c>
      <c r="F78" s="64">
        <v>2.2799999999999998</v>
      </c>
      <c r="G78" s="64">
        <v>7.87</v>
      </c>
      <c r="H78" s="64">
        <v>3.65</v>
      </c>
      <c r="I78" s="64">
        <v>0.11</v>
      </c>
      <c r="J78" s="64">
        <v>0.36</v>
      </c>
      <c r="K78" s="64">
        <v>193.05</v>
      </c>
      <c r="L78" s="64">
        <v>24.16</v>
      </c>
      <c r="M78" s="64">
        <v>92.03</v>
      </c>
      <c r="N78" s="64">
        <v>49.9</v>
      </c>
      <c r="O78" s="64">
        <v>0</v>
      </c>
      <c r="P78" s="64">
        <v>0.24</v>
      </c>
      <c r="Q78" s="64">
        <v>10.46</v>
      </c>
      <c r="R78" s="198"/>
      <c r="S78" s="198"/>
      <c r="T78" s="198"/>
      <c r="U78" s="198"/>
    </row>
    <row r="79" spans="1:21" s="12" customFormat="1" x14ac:dyDescent="0.25">
      <c r="A79" s="214" t="s">
        <v>991</v>
      </c>
      <c r="B79" s="64">
        <v>4.78</v>
      </c>
      <c r="C79" s="64">
        <v>12.07</v>
      </c>
      <c r="D79" s="64">
        <v>16.850000000000001</v>
      </c>
      <c r="E79" s="64">
        <v>1.26</v>
      </c>
      <c r="F79" s="64">
        <v>2.57</v>
      </c>
      <c r="G79" s="64">
        <v>7.87</v>
      </c>
      <c r="H79" s="64">
        <v>3.65</v>
      </c>
      <c r="I79" s="64">
        <v>0.11</v>
      </c>
      <c r="J79" s="64">
        <v>0.36</v>
      </c>
      <c r="K79" s="64">
        <v>184.79</v>
      </c>
      <c r="L79" s="64">
        <v>24.02</v>
      </c>
      <c r="M79" s="64">
        <v>92.28</v>
      </c>
      <c r="N79" s="64">
        <v>29.4</v>
      </c>
      <c r="O79" s="64">
        <v>0</v>
      </c>
      <c r="P79" s="64">
        <v>0.25</v>
      </c>
      <c r="Q79" s="64">
        <v>11.23</v>
      </c>
      <c r="R79" s="198"/>
      <c r="S79" s="198"/>
      <c r="T79" s="198"/>
      <c r="U79" s="198"/>
    </row>
    <row r="80" spans="1:21" s="12" customFormat="1" x14ac:dyDescent="0.25">
      <c r="A80" s="214" t="s">
        <v>992</v>
      </c>
      <c r="B80" s="64">
        <v>4.7699999999999996</v>
      </c>
      <c r="C80" s="64">
        <v>11.94</v>
      </c>
      <c r="D80" s="64">
        <v>16.71</v>
      </c>
      <c r="E80" s="64">
        <v>1.61</v>
      </c>
      <c r="F80" s="64">
        <v>3.37</v>
      </c>
      <c r="G80" s="64">
        <v>11.72</v>
      </c>
      <c r="H80" s="64">
        <v>3.04</v>
      </c>
      <c r="I80" s="64">
        <v>0.11</v>
      </c>
      <c r="J80" s="64">
        <v>0.24</v>
      </c>
      <c r="K80" s="64">
        <v>184.36</v>
      </c>
      <c r="L80" s="64">
        <v>23.84</v>
      </c>
      <c r="M80" s="64">
        <v>93.82</v>
      </c>
      <c r="N80" s="64">
        <v>17.399999999999999</v>
      </c>
      <c r="O80" s="64">
        <v>0</v>
      </c>
      <c r="P80" s="64">
        <v>0.27</v>
      </c>
      <c r="Q80" s="64">
        <v>11.54</v>
      </c>
      <c r="R80" s="198"/>
      <c r="S80" s="198"/>
      <c r="T80" s="198"/>
      <c r="U80" s="198"/>
    </row>
    <row r="81" spans="1:26" s="12" customFormat="1" x14ac:dyDescent="0.25">
      <c r="A81" s="214" t="s">
        <v>993</v>
      </c>
      <c r="B81" s="64">
        <v>4.9400000000000004</v>
      </c>
      <c r="C81" s="64">
        <v>12.33</v>
      </c>
      <c r="D81" s="64">
        <v>17.27</v>
      </c>
      <c r="E81" s="64">
        <v>1.83</v>
      </c>
      <c r="F81" s="64">
        <v>3.45</v>
      </c>
      <c r="G81" s="64">
        <v>15.09</v>
      </c>
      <c r="H81" s="64">
        <v>2.56</v>
      </c>
      <c r="I81" s="64">
        <v>0.11</v>
      </c>
      <c r="J81" s="64">
        <v>0.31</v>
      </c>
      <c r="K81" s="64">
        <v>181.77</v>
      </c>
      <c r="L81" s="64">
        <v>23.72</v>
      </c>
      <c r="M81" s="64">
        <v>94.54</v>
      </c>
      <c r="N81" s="64">
        <v>10.5</v>
      </c>
      <c r="O81" s="64">
        <v>0</v>
      </c>
      <c r="P81" s="64">
        <v>0.26</v>
      </c>
      <c r="Q81" s="64">
        <v>12.12</v>
      </c>
      <c r="R81" s="198"/>
      <c r="S81" s="198"/>
      <c r="T81" s="198"/>
      <c r="U81" s="198"/>
    </row>
    <row r="82" spans="1:26" s="12" customFormat="1" x14ac:dyDescent="0.25">
      <c r="A82" s="214" t="s">
        <v>994</v>
      </c>
      <c r="B82" s="64">
        <v>5.0199999999999996</v>
      </c>
      <c r="C82" s="64">
        <v>11.84</v>
      </c>
      <c r="D82" s="64">
        <v>16.86</v>
      </c>
      <c r="E82" s="64">
        <v>1.63</v>
      </c>
      <c r="F82" s="64">
        <v>1.26</v>
      </c>
      <c r="G82" s="64">
        <v>15.09</v>
      </c>
      <c r="H82" s="64">
        <v>2.56</v>
      </c>
      <c r="I82" s="64">
        <v>0.11</v>
      </c>
      <c r="J82" s="64">
        <v>0.23</v>
      </c>
      <c r="K82" s="64">
        <v>191.08</v>
      </c>
      <c r="L82" s="64">
        <v>23.63</v>
      </c>
      <c r="M82" s="64">
        <v>94.71</v>
      </c>
      <c r="N82" s="64">
        <v>9.3000000000000007</v>
      </c>
      <c r="O82" s="64">
        <v>0</v>
      </c>
      <c r="P82" s="64">
        <v>0.27</v>
      </c>
      <c r="Q82" s="64">
        <v>12.72</v>
      </c>
      <c r="R82" s="198"/>
      <c r="S82" s="198"/>
      <c r="T82" s="198"/>
      <c r="U82" s="198"/>
    </row>
    <row r="83" spans="1:26" s="12" customFormat="1" x14ac:dyDescent="0.25">
      <c r="A83" s="214" t="s">
        <v>995</v>
      </c>
      <c r="B83" s="64">
        <v>5.63</v>
      </c>
      <c r="C83" s="64">
        <v>11.53</v>
      </c>
      <c r="D83" s="64">
        <v>17.170000000000002</v>
      </c>
      <c r="E83" s="64">
        <v>1.66</v>
      </c>
      <c r="F83" s="64">
        <v>1.67</v>
      </c>
      <c r="G83" s="64">
        <v>15.09</v>
      </c>
      <c r="H83" s="64">
        <v>2.56</v>
      </c>
      <c r="I83" s="64">
        <v>0.11</v>
      </c>
      <c r="J83" s="64">
        <v>0.06</v>
      </c>
      <c r="K83" s="64">
        <v>160.22999999999999</v>
      </c>
      <c r="L83" s="64">
        <v>23.46</v>
      </c>
      <c r="M83" s="64">
        <v>95.88</v>
      </c>
      <c r="N83" s="64">
        <v>9.1</v>
      </c>
      <c r="O83" s="64">
        <v>0</v>
      </c>
      <c r="P83" s="64">
        <v>0.27</v>
      </c>
      <c r="Q83" s="64">
        <v>11.19</v>
      </c>
      <c r="R83" s="198"/>
      <c r="S83" s="198"/>
      <c r="T83" s="198"/>
      <c r="U83" s="198"/>
    </row>
    <row r="84" spans="1:26" s="12" customFormat="1" x14ac:dyDescent="0.25">
      <c r="A84" s="214" t="s">
        <v>996</v>
      </c>
      <c r="B84" s="64">
        <v>5.24</v>
      </c>
      <c r="C84" s="64">
        <v>10.76</v>
      </c>
      <c r="D84" s="64">
        <v>16</v>
      </c>
      <c r="E84" s="64">
        <v>2.09</v>
      </c>
      <c r="F84" s="64">
        <v>3.16</v>
      </c>
      <c r="G84" s="64">
        <v>15.12</v>
      </c>
      <c r="H84" s="64">
        <v>3.71</v>
      </c>
      <c r="I84" s="64">
        <v>0.12</v>
      </c>
      <c r="J84" s="64">
        <v>0.09</v>
      </c>
      <c r="K84" s="64">
        <v>188.97</v>
      </c>
      <c r="L84" s="64">
        <v>23.31</v>
      </c>
      <c r="M84" s="64">
        <v>96.33</v>
      </c>
      <c r="N84" s="64">
        <v>8.8000000000000007</v>
      </c>
      <c r="O84" s="64">
        <v>0</v>
      </c>
      <c r="P84" s="64">
        <v>0.27</v>
      </c>
      <c r="Q84" s="64">
        <v>9.34</v>
      </c>
      <c r="R84" s="198"/>
      <c r="S84" s="198"/>
      <c r="T84" s="198"/>
      <c r="U84" s="198"/>
    </row>
    <row r="85" spans="1:26" s="12" customFormat="1" x14ac:dyDescent="0.25">
      <c r="A85" s="214" t="s">
        <v>997</v>
      </c>
      <c r="B85" s="64">
        <v>5.08</v>
      </c>
      <c r="C85" s="64">
        <v>10.23</v>
      </c>
      <c r="D85" s="64">
        <v>15.31</v>
      </c>
      <c r="E85" s="64">
        <v>1.43</v>
      </c>
      <c r="F85" s="64">
        <v>1.94</v>
      </c>
      <c r="G85" s="64">
        <v>15.14</v>
      </c>
      <c r="H85" s="64">
        <v>4.17</v>
      </c>
      <c r="I85" s="64">
        <v>0.11</v>
      </c>
      <c r="J85" s="64">
        <v>7.0000000000000007E-2</v>
      </c>
      <c r="K85" s="64">
        <v>166.52</v>
      </c>
      <c r="L85" s="64">
        <v>23.29</v>
      </c>
      <c r="M85" s="64">
        <v>96.06</v>
      </c>
      <c r="N85" s="64">
        <v>8.9</v>
      </c>
      <c r="O85" s="64">
        <v>0</v>
      </c>
      <c r="P85" s="64">
        <v>0.27</v>
      </c>
      <c r="Q85" s="64">
        <v>9.99</v>
      </c>
      <c r="R85" s="198"/>
      <c r="S85" s="198"/>
      <c r="T85" s="198"/>
      <c r="U85" s="198"/>
    </row>
    <row r="86" spans="1:26" s="12" customFormat="1" x14ac:dyDescent="0.25">
      <c r="A86" s="214" t="s">
        <v>998</v>
      </c>
      <c r="B86" s="64">
        <v>5.75</v>
      </c>
      <c r="C86" s="64">
        <v>14.61</v>
      </c>
      <c r="D86" s="64">
        <v>20.350000000000001</v>
      </c>
      <c r="E86" s="64">
        <v>1.93</v>
      </c>
      <c r="F86" s="64">
        <v>4.34</v>
      </c>
      <c r="G86" s="64">
        <v>15.14</v>
      </c>
      <c r="H86" s="64">
        <v>4.17</v>
      </c>
      <c r="I86" s="64">
        <v>0.11</v>
      </c>
      <c r="J86" s="64">
        <v>0.16</v>
      </c>
      <c r="K86" s="64">
        <v>184.85</v>
      </c>
      <c r="L86" s="64">
        <v>23.31</v>
      </c>
      <c r="M86" s="64">
        <v>96.12</v>
      </c>
      <c r="N86" s="64">
        <v>8.8000000000000007</v>
      </c>
      <c r="O86" s="64">
        <v>0</v>
      </c>
      <c r="P86" s="64">
        <v>0.33</v>
      </c>
      <c r="Q86" s="64">
        <v>9.9700000000000006</v>
      </c>
      <c r="R86" s="198"/>
      <c r="S86" s="198"/>
      <c r="T86" s="198"/>
      <c r="U86" s="198"/>
    </row>
    <row r="87" spans="1:26" s="12" customFormat="1" x14ac:dyDescent="0.25">
      <c r="A87" s="214" t="s">
        <v>999</v>
      </c>
      <c r="B87" s="64">
        <v>5.63</v>
      </c>
      <c r="C87" s="64">
        <v>13.34</v>
      </c>
      <c r="D87" s="64">
        <v>18.97</v>
      </c>
      <c r="E87" s="64">
        <v>1.48</v>
      </c>
      <c r="F87" s="64">
        <v>1.45</v>
      </c>
      <c r="G87" s="64">
        <v>15.14</v>
      </c>
      <c r="H87" s="64">
        <v>4.17</v>
      </c>
      <c r="I87" s="64">
        <v>0.11</v>
      </c>
      <c r="J87" s="64">
        <v>0.19</v>
      </c>
      <c r="K87" s="64">
        <v>158.62</v>
      </c>
      <c r="L87" s="64">
        <v>23.34</v>
      </c>
      <c r="M87" s="64">
        <v>95.99</v>
      </c>
      <c r="N87" s="64">
        <v>8.8000000000000007</v>
      </c>
      <c r="O87" s="64">
        <v>0</v>
      </c>
      <c r="P87" s="64">
        <v>0.31</v>
      </c>
      <c r="Q87" s="64">
        <v>9.49</v>
      </c>
      <c r="R87" s="198"/>
      <c r="S87" s="198"/>
      <c r="T87" s="198"/>
      <c r="U87" s="198"/>
    </row>
    <row r="88" spans="1:26" s="12" customFormat="1" x14ac:dyDescent="0.25">
      <c r="A88" s="214" t="s">
        <v>1000</v>
      </c>
      <c r="B88" s="64">
        <v>5.3</v>
      </c>
      <c r="C88" s="64">
        <v>11.23</v>
      </c>
      <c r="D88" s="64">
        <v>16.52</v>
      </c>
      <c r="E88" s="64">
        <v>0.96</v>
      </c>
      <c r="F88" s="64">
        <v>1.52</v>
      </c>
      <c r="G88" s="64">
        <v>16.11</v>
      </c>
      <c r="H88" s="64">
        <v>3.34</v>
      </c>
      <c r="I88" s="64">
        <v>0.12</v>
      </c>
      <c r="J88" s="64">
        <v>0.46</v>
      </c>
      <c r="K88" s="64">
        <v>173.31</v>
      </c>
      <c r="L88" s="64">
        <v>23.34</v>
      </c>
      <c r="M88" s="64">
        <v>95.98</v>
      </c>
      <c r="N88" s="64">
        <v>9</v>
      </c>
      <c r="O88" s="64">
        <v>0</v>
      </c>
      <c r="P88" s="64">
        <v>0.28999999999999998</v>
      </c>
      <c r="Q88" s="64">
        <v>10.27</v>
      </c>
      <c r="R88" s="198"/>
      <c r="S88" s="198"/>
      <c r="T88" s="198"/>
      <c r="U88" s="198"/>
    </row>
    <row r="89" spans="1:26" s="12" customFormat="1" x14ac:dyDescent="0.25">
      <c r="A89" s="214" t="s">
        <v>1001</v>
      </c>
      <c r="B89" s="64">
        <v>5.2</v>
      </c>
      <c r="C89" s="64">
        <v>11.05</v>
      </c>
      <c r="D89" s="64">
        <v>16.260000000000002</v>
      </c>
      <c r="E89" s="64">
        <v>1.43</v>
      </c>
      <c r="F89" s="64">
        <v>5.34</v>
      </c>
      <c r="G89" s="64">
        <v>16.95</v>
      </c>
      <c r="H89" s="64">
        <v>3.01</v>
      </c>
      <c r="I89" s="64">
        <v>0.11</v>
      </c>
      <c r="J89" s="64">
        <v>0.25</v>
      </c>
      <c r="K89" s="64">
        <v>192.45</v>
      </c>
      <c r="L89" s="64">
        <v>23.38</v>
      </c>
      <c r="M89" s="64">
        <v>95.67</v>
      </c>
      <c r="N89" s="64">
        <v>9.1</v>
      </c>
      <c r="O89" s="64">
        <v>0</v>
      </c>
      <c r="P89" s="64">
        <v>0.31</v>
      </c>
      <c r="Q89" s="64">
        <v>9.9</v>
      </c>
      <c r="R89" s="198"/>
      <c r="S89" s="198"/>
      <c r="T89" s="198"/>
      <c r="U89" s="198"/>
    </row>
    <row r="90" spans="1:26" s="12" customFormat="1" x14ac:dyDescent="0.25">
      <c r="A90" s="214" t="s">
        <v>1002</v>
      </c>
      <c r="B90" s="64">
        <v>5.01</v>
      </c>
      <c r="C90" s="64">
        <v>11.77</v>
      </c>
      <c r="D90" s="64">
        <v>16.78</v>
      </c>
      <c r="E90" s="64">
        <v>1.6</v>
      </c>
      <c r="F90" s="64">
        <v>5.12</v>
      </c>
      <c r="G90" s="64">
        <v>16.95</v>
      </c>
      <c r="H90" s="64">
        <v>3.01</v>
      </c>
      <c r="I90" s="64">
        <v>0.12</v>
      </c>
      <c r="J90" s="64">
        <v>0.3</v>
      </c>
      <c r="K90" s="64">
        <v>192.71</v>
      </c>
      <c r="L90" s="64">
        <v>23.38</v>
      </c>
      <c r="M90" s="64">
        <v>95.91</v>
      </c>
      <c r="N90" s="64">
        <v>9.1</v>
      </c>
      <c r="O90" s="64">
        <v>0</v>
      </c>
      <c r="P90" s="64">
        <v>0.31</v>
      </c>
      <c r="Q90" s="64">
        <v>11.27</v>
      </c>
      <c r="R90" s="198"/>
      <c r="S90" s="198"/>
      <c r="T90" s="198"/>
      <c r="U90" s="198"/>
    </row>
    <row r="91" spans="1:26" s="12" customFormat="1" x14ac:dyDescent="0.25">
      <c r="A91" s="214" t="s">
        <v>1003</v>
      </c>
      <c r="B91" s="64">
        <v>5.03</v>
      </c>
      <c r="C91" s="64">
        <v>11.37</v>
      </c>
      <c r="D91" s="64">
        <v>16.399999999999999</v>
      </c>
      <c r="E91" s="64">
        <v>1.3</v>
      </c>
      <c r="F91" s="64">
        <v>5.51</v>
      </c>
      <c r="G91" s="64">
        <v>16.95</v>
      </c>
      <c r="H91" s="64">
        <v>3.01</v>
      </c>
      <c r="I91" s="64">
        <v>0.12</v>
      </c>
      <c r="J91" s="64">
        <v>0.21</v>
      </c>
      <c r="K91" s="64">
        <v>156.38</v>
      </c>
      <c r="L91" s="64">
        <v>23.41</v>
      </c>
      <c r="M91" s="64">
        <v>95.44</v>
      </c>
      <c r="N91" s="64">
        <v>9.1</v>
      </c>
      <c r="O91" s="64">
        <v>0</v>
      </c>
      <c r="P91" s="64">
        <v>0.31</v>
      </c>
      <c r="Q91" s="64">
        <v>12.39</v>
      </c>
      <c r="R91" s="198"/>
      <c r="S91" s="198"/>
      <c r="T91" s="198"/>
      <c r="U91" s="198"/>
    </row>
    <row r="92" spans="1:26" s="12" customFormat="1" x14ac:dyDescent="0.25">
      <c r="A92" s="214" t="s">
        <v>1004</v>
      </c>
      <c r="B92" s="64">
        <v>5.15</v>
      </c>
      <c r="C92" s="64">
        <v>11.62</v>
      </c>
      <c r="D92" s="64">
        <v>16.77</v>
      </c>
      <c r="E92" s="64">
        <v>1.65</v>
      </c>
      <c r="F92" s="64">
        <v>4.16</v>
      </c>
      <c r="G92" s="64">
        <v>17.03</v>
      </c>
      <c r="H92" s="64">
        <v>4.12</v>
      </c>
      <c r="I92" s="64">
        <v>0.12</v>
      </c>
      <c r="J92" s="64">
        <v>0.24</v>
      </c>
      <c r="K92" s="64">
        <v>159.68</v>
      </c>
      <c r="L92" s="64">
        <v>23.43</v>
      </c>
      <c r="M92" s="64">
        <v>94.59</v>
      </c>
      <c r="N92" s="64">
        <v>9.1</v>
      </c>
      <c r="O92" s="64">
        <v>0</v>
      </c>
      <c r="P92" s="64">
        <v>0.31</v>
      </c>
      <c r="Q92" s="64">
        <v>13.2</v>
      </c>
      <c r="R92" s="198"/>
      <c r="S92" s="198"/>
      <c r="T92" s="198"/>
      <c r="U92" s="198"/>
    </row>
    <row r="93" spans="1:26" s="12" customFormat="1" x14ac:dyDescent="0.25">
      <c r="A93" s="214" t="s">
        <v>1005</v>
      </c>
      <c r="B93" s="64">
        <v>5.18</v>
      </c>
      <c r="C93" s="64">
        <v>10.71</v>
      </c>
      <c r="D93" s="64">
        <v>15.89</v>
      </c>
      <c r="E93" s="64">
        <v>1.86</v>
      </c>
      <c r="F93" s="64">
        <v>3.85</v>
      </c>
      <c r="G93" s="64">
        <v>17.09</v>
      </c>
      <c r="H93" s="64">
        <v>4.57</v>
      </c>
      <c r="I93" s="64">
        <v>0.12</v>
      </c>
      <c r="J93" s="64">
        <v>0.05</v>
      </c>
      <c r="K93" s="64">
        <v>198.4</v>
      </c>
      <c r="L93" s="64">
        <v>23.37</v>
      </c>
      <c r="M93" s="64">
        <v>95.01</v>
      </c>
      <c r="N93" s="64">
        <v>9.1</v>
      </c>
      <c r="O93" s="64">
        <v>0</v>
      </c>
      <c r="P93" s="64">
        <v>0.3</v>
      </c>
      <c r="Q93" s="64">
        <v>13.76</v>
      </c>
      <c r="R93" s="198"/>
      <c r="S93" s="198"/>
      <c r="T93" s="198"/>
      <c r="U93" s="198"/>
    </row>
    <row r="94" spans="1:26" s="12" customFormat="1" x14ac:dyDescent="0.25">
      <c r="A94" s="214" t="s">
        <v>1006</v>
      </c>
      <c r="B94" s="64">
        <v>5.26</v>
      </c>
      <c r="C94" s="64">
        <v>10.51</v>
      </c>
      <c r="D94" s="64">
        <v>15.77</v>
      </c>
      <c r="E94" s="64">
        <v>1.57</v>
      </c>
      <c r="F94" s="64">
        <v>2.02</v>
      </c>
      <c r="G94" s="64">
        <v>17.09</v>
      </c>
      <c r="H94" s="64">
        <v>4.57</v>
      </c>
      <c r="I94" s="64">
        <v>0.12</v>
      </c>
      <c r="J94" s="64">
        <v>0.28999999999999998</v>
      </c>
      <c r="K94" s="64">
        <v>177.7</v>
      </c>
      <c r="L94" s="64">
        <v>23.28</v>
      </c>
      <c r="M94" s="64">
        <v>95.96</v>
      </c>
      <c r="N94" s="64">
        <v>9.1</v>
      </c>
      <c r="O94" s="64">
        <v>0</v>
      </c>
      <c r="P94" s="64">
        <v>0.31</v>
      </c>
      <c r="Q94" s="64">
        <v>13.65</v>
      </c>
      <c r="R94" s="198"/>
      <c r="S94" s="198"/>
      <c r="T94" s="198"/>
      <c r="U94" s="198"/>
    </row>
    <row r="95" spans="1:26" s="12" customFormat="1" x14ac:dyDescent="0.25">
      <c r="A95" s="214" t="s">
        <v>1007</v>
      </c>
      <c r="B95" s="64">
        <v>5.3</v>
      </c>
      <c r="C95" s="64">
        <v>11.89</v>
      </c>
      <c r="D95" s="64">
        <v>17.2</v>
      </c>
      <c r="E95" s="64">
        <v>1.82</v>
      </c>
      <c r="F95" s="64">
        <v>3.02</v>
      </c>
      <c r="G95" s="64">
        <v>17.09</v>
      </c>
      <c r="H95" s="64">
        <v>4.57</v>
      </c>
      <c r="I95" s="64">
        <v>0.12</v>
      </c>
      <c r="J95" s="64">
        <v>0.19</v>
      </c>
      <c r="K95" s="64">
        <v>184.37</v>
      </c>
      <c r="L95" s="64">
        <v>23.17</v>
      </c>
      <c r="M95" s="64">
        <v>97.14</v>
      </c>
      <c r="N95" s="64">
        <v>9.1</v>
      </c>
      <c r="O95" s="64">
        <v>0</v>
      </c>
      <c r="P95" s="64">
        <v>0.28999999999999998</v>
      </c>
      <c r="Q95" s="64">
        <v>12.16</v>
      </c>
      <c r="R95" s="198"/>
      <c r="S95" s="198"/>
      <c r="T95" s="198"/>
      <c r="U95" s="198"/>
    </row>
    <row r="96" spans="1:26" s="12" customFormat="1" x14ac:dyDescent="0.25">
      <c r="A96" s="214" t="s">
        <v>1008</v>
      </c>
      <c r="B96" s="64">
        <v>5.23</v>
      </c>
      <c r="C96" s="64">
        <v>10.54</v>
      </c>
      <c r="D96" s="64">
        <v>15.77</v>
      </c>
      <c r="E96" s="64">
        <v>1.87</v>
      </c>
      <c r="F96" s="64">
        <v>1.95</v>
      </c>
      <c r="G96" s="64">
        <v>17.170000000000002</v>
      </c>
      <c r="H96" s="64">
        <v>4.83</v>
      </c>
      <c r="I96" s="64">
        <v>0.11</v>
      </c>
      <c r="J96" s="64">
        <v>0.06</v>
      </c>
      <c r="K96" s="64">
        <v>198.2</v>
      </c>
      <c r="L96" s="64">
        <v>23.05</v>
      </c>
      <c r="M96" s="64">
        <v>98.47</v>
      </c>
      <c r="N96" s="64">
        <v>9.1</v>
      </c>
      <c r="O96" s="64">
        <v>0</v>
      </c>
      <c r="P96" s="64">
        <v>0.31</v>
      </c>
      <c r="Q96" s="64">
        <v>11.69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1009</v>
      </c>
      <c r="B97" s="64">
        <v>4.8899999999999997</v>
      </c>
      <c r="C97" s="64">
        <v>10.16</v>
      </c>
      <c r="D97" s="64">
        <v>15.05</v>
      </c>
      <c r="E97" s="64">
        <v>2.13</v>
      </c>
      <c r="F97" s="64">
        <v>2.93</v>
      </c>
      <c r="G97" s="64">
        <v>17.25</v>
      </c>
      <c r="H97" s="64">
        <v>4.9400000000000004</v>
      </c>
      <c r="I97" s="64">
        <v>0.12</v>
      </c>
      <c r="J97" s="64">
        <v>0.16</v>
      </c>
      <c r="K97" s="64">
        <v>170.23</v>
      </c>
      <c r="L97" s="64">
        <v>22.89</v>
      </c>
      <c r="M97" s="64">
        <v>98.6</v>
      </c>
      <c r="N97" s="64">
        <v>9.1</v>
      </c>
      <c r="O97" s="64">
        <v>0</v>
      </c>
      <c r="P97" s="64">
        <v>0.28999999999999998</v>
      </c>
      <c r="Q97" s="64">
        <v>12.33</v>
      </c>
      <c r="R97" s="198"/>
      <c r="S97" s="198"/>
      <c r="T97" s="198"/>
      <c r="U97" s="198"/>
    </row>
    <row r="98" spans="1:33" s="12" customFormat="1" x14ac:dyDescent="0.25">
      <c r="A98" s="214" t="s">
        <v>1010</v>
      </c>
      <c r="B98" s="64">
        <v>4.83</v>
      </c>
      <c r="C98" s="64">
        <v>9.8699999999999992</v>
      </c>
      <c r="D98" s="64">
        <v>14.7</v>
      </c>
      <c r="E98" s="64">
        <v>1.64</v>
      </c>
      <c r="F98" s="64">
        <v>2.87</v>
      </c>
      <c r="G98" s="64">
        <v>17.25</v>
      </c>
      <c r="H98" s="64">
        <v>4.9400000000000004</v>
      </c>
      <c r="I98" s="64">
        <v>0.12</v>
      </c>
      <c r="J98" s="64">
        <v>0.13</v>
      </c>
      <c r="K98" s="64">
        <v>181.01</v>
      </c>
      <c r="L98" s="64">
        <v>22.84</v>
      </c>
      <c r="M98" s="64">
        <v>98.59</v>
      </c>
      <c r="N98" s="64">
        <v>9.1</v>
      </c>
      <c r="O98" s="64">
        <v>0</v>
      </c>
      <c r="P98" s="64">
        <v>0.28999999999999998</v>
      </c>
      <c r="Q98" s="64">
        <v>10.92</v>
      </c>
      <c r="R98" s="198"/>
      <c r="S98" s="198"/>
      <c r="T98" s="198"/>
      <c r="U98" s="198"/>
    </row>
    <row r="99" spans="1:33" s="12" customFormat="1" x14ac:dyDescent="0.25">
      <c r="A99" s="214" t="s">
        <v>1011</v>
      </c>
      <c r="B99" s="64">
        <v>4.78</v>
      </c>
      <c r="C99" s="64">
        <v>9.01</v>
      </c>
      <c r="D99" s="64">
        <v>13.79</v>
      </c>
      <c r="E99" s="64">
        <v>1.41</v>
      </c>
      <c r="F99" s="64">
        <v>1.87</v>
      </c>
      <c r="G99" s="64">
        <v>17.25</v>
      </c>
      <c r="H99" s="64">
        <v>4.9400000000000004</v>
      </c>
      <c r="I99" s="64">
        <v>0.12</v>
      </c>
      <c r="J99" s="64">
        <v>0.17</v>
      </c>
      <c r="K99" s="64">
        <v>174.69</v>
      </c>
      <c r="L99" s="64">
        <v>22.79</v>
      </c>
      <c r="M99" s="64">
        <v>98.55</v>
      </c>
      <c r="N99" s="64">
        <v>9.1</v>
      </c>
      <c r="O99" s="64">
        <v>0</v>
      </c>
      <c r="P99" s="64">
        <v>0.3</v>
      </c>
      <c r="Q99" s="64">
        <v>11.35</v>
      </c>
      <c r="R99" s="198"/>
      <c r="S99" s="198"/>
      <c r="T99" s="198"/>
      <c r="U99" s="198"/>
    </row>
    <row r="100" spans="1:33" s="12" customFormat="1" x14ac:dyDescent="0.25">
      <c r="A100" s="214" t="s">
        <v>1012</v>
      </c>
      <c r="B100" s="64">
        <v>4.6100000000000003</v>
      </c>
      <c r="C100" s="64">
        <v>9.09</v>
      </c>
      <c r="D100" s="64">
        <v>13.71</v>
      </c>
      <c r="E100" s="64">
        <v>1.48</v>
      </c>
      <c r="F100" s="64">
        <v>2.72</v>
      </c>
      <c r="G100" s="64">
        <v>18.29</v>
      </c>
      <c r="H100" s="64">
        <v>7.03</v>
      </c>
      <c r="I100" s="64">
        <v>0.12</v>
      </c>
      <c r="J100" s="64">
        <v>0.31</v>
      </c>
      <c r="K100" s="64">
        <v>192.47</v>
      </c>
      <c r="L100" s="64">
        <v>22.64</v>
      </c>
      <c r="M100" s="64">
        <v>98.57</v>
      </c>
      <c r="N100" s="64">
        <v>8.8000000000000007</v>
      </c>
      <c r="O100" s="64">
        <v>0</v>
      </c>
      <c r="P100" s="64">
        <v>0.27</v>
      </c>
      <c r="Q100" s="64">
        <v>11.17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1013</v>
      </c>
      <c r="B101" s="64">
        <v>4.5599999999999996</v>
      </c>
      <c r="C101" s="64">
        <v>8.91</v>
      </c>
      <c r="D101" s="64">
        <v>13.47</v>
      </c>
      <c r="E101" s="64">
        <v>1.79</v>
      </c>
      <c r="F101" s="64">
        <v>3.15</v>
      </c>
      <c r="G101" s="64">
        <v>19.21</v>
      </c>
      <c r="H101" s="64">
        <v>7.87</v>
      </c>
      <c r="I101" s="64">
        <v>0.12</v>
      </c>
      <c r="J101" s="64">
        <v>0.38</v>
      </c>
      <c r="K101" s="64">
        <v>176.23</v>
      </c>
      <c r="L101" s="64">
        <v>22.59</v>
      </c>
      <c r="M101" s="64">
        <v>98.58</v>
      </c>
      <c r="N101" s="64">
        <v>8.9</v>
      </c>
      <c r="O101" s="64">
        <v>0</v>
      </c>
      <c r="P101" s="64">
        <v>0.28000000000000003</v>
      </c>
      <c r="Q101" s="64">
        <v>11.39</v>
      </c>
      <c r="R101" s="198"/>
      <c r="S101" s="198"/>
      <c r="T101" s="198"/>
      <c r="U101" s="198"/>
    </row>
    <row r="102" spans="1:33" s="12" customFormat="1" x14ac:dyDescent="0.25">
      <c r="A102" s="214" t="s">
        <v>1014</v>
      </c>
      <c r="B102" s="64">
        <v>4.5</v>
      </c>
      <c r="C102" s="64">
        <v>8.91</v>
      </c>
      <c r="D102" s="64">
        <v>13.41</v>
      </c>
      <c r="E102" s="64">
        <v>1.77</v>
      </c>
      <c r="F102" s="64">
        <v>3.88</v>
      </c>
      <c r="G102" s="64">
        <v>19.21</v>
      </c>
      <c r="H102" s="64">
        <v>7.87</v>
      </c>
      <c r="I102" s="64">
        <v>0.12</v>
      </c>
      <c r="J102" s="64">
        <v>0.35</v>
      </c>
      <c r="K102" s="64">
        <v>159.32</v>
      </c>
      <c r="L102" s="64">
        <v>22.59</v>
      </c>
      <c r="M102" s="64">
        <v>98.55</v>
      </c>
      <c r="N102" s="64">
        <v>9.1</v>
      </c>
      <c r="O102" s="64">
        <v>0</v>
      </c>
      <c r="P102" s="64">
        <v>0.27</v>
      </c>
      <c r="Q102" s="64">
        <v>12.62</v>
      </c>
      <c r="R102" s="198"/>
      <c r="S102" s="198"/>
      <c r="T102" s="198"/>
      <c r="U102" s="198"/>
    </row>
    <row r="103" spans="1:33" s="12" customFormat="1" x14ac:dyDescent="0.25">
      <c r="A103" s="214" t="s">
        <v>1015</v>
      </c>
      <c r="B103" s="64">
        <v>4.49</v>
      </c>
      <c r="C103" s="64">
        <v>8.8800000000000008</v>
      </c>
      <c r="D103" s="64">
        <v>13.37</v>
      </c>
      <c r="E103" s="64">
        <v>1.23</v>
      </c>
      <c r="F103" s="64">
        <v>4.12</v>
      </c>
      <c r="G103" s="64">
        <v>19.21</v>
      </c>
      <c r="H103" s="64">
        <v>7.87</v>
      </c>
      <c r="I103" s="64">
        <v>0.12</v>
      </c>
      <c r="J103" s="64">
        <v>0.26</v>
      </c>
      <c r="K103" s="64">
        <v>174.02</v>
      </c>
      <c r="L103" s="64">
        <v>22.64</v>
      </c>
      <c r="M103" s="64">
        <v>98.38</v>
      </c>
      <c r="N103" s="64">
        <v>9.1</v>
      </c>
      <c r="O103" s="64">
        <v>0</v>
      </c>
      <c r="P103" s="64">
        <v>0.26</v>
      </c>
      <c r="Q103" s="64">
        <v>13.61</v>
      </c>
      <c r="R103" s="198"/>
      <c r="S103" s="198"/>
      <c r="T103" s="198"/>
      <c r="U103" s="198"/>
    </row>
    <row r="104" spans="1:33" s="12" customFormat="1" x14ac:dyDescent="0.25">
      <c r="A104" s="214" t="s">
        <v>1016</v>
      </c>
      <c r="B104" s="64">
        <v>4.5999999999999996</v>
      </c>
      <c r="C104" s="64">
        <v>8.84</v>
      </c>
      <c r="D104" s="64">
        <v>13.44</v>
      </c>
      <c r="E104" s="64">
        <v>0.49</v>
      </c>
      <c r="F104" s="64">
        <v>3.51</v>
      </c>
      <c r="G104" s="64">
        <v>17.46</v>
      </c>
      <c r="H104" s="64">
        <v>6.97</v>
      </c>
      <c r="I104" s="64">
        <v>0.12</v>
      </c>
      <c r="J104" s="64">
        <v>0.18</v>
      </c>
      <c r="K104" s="64">
        <v>205.04</v>
      </c>
      <c r="L104" s="64">
        <v>22.62</v>
      </c>
      <c r="M104" s="64">
        <v>98.13</v>
      </c>
      <c r="N104" s="64">
        <v>9.1</v>
      </c>
      <c r="O104" s="64">
        <v>0</v>
      </c>
      <c r="P104" s="64">
        <v>0.27</v>
      </c>
      <c r="Q104" s="64">
        <v>14.31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3.96</v>
      </c>
      <c r="C106" s="67">
        <f>MIN(C9:C104)</f>
        <v>7.28</v>
      </c>
      <c r="D106" s="67">
        <f t="shared" ref="D106:Q106" si="0">MIN(D9:D104)</f>
        <v>12.04</v>
      </c>
      <c r="E106" s="67">
        <f t="shared" si="0"/>
        <v>0.35</v>
      </c>
      <c r="F106" s="67">
        <f t="shared" si="0"/>
        <v>0.82</v>
      </c>
      <c r="G106" s="67">
        <f t="shared" si="0"/>
        <v>5.44</v>
      </c>
      <c r="H106" s="67">
        <f t="shared" si="0"/>
        <v>2.3199999999999998</v>
      </c>
      <c r="I106" s="67">
        <f t="shared" si="0"/>
        <v>0.11</v>
      </c>
      <c r="J106" s="67">
        <f t="shared" si="0"/>
        <v>0.02</v>
      </c>
      <c r="K106" s="67">
        <f t="shared" si="0"/>
        <v>18.11</v>
      </c>
      <c r="L106" s="67">
        <f t="shared" si="0"/>
        <v>22.24</v>
      </c>
      <c r="M106" s="67">
        <f t="shared" si="0"/>
        <v>87.24</v>
      </c>
      <c r="N106" s="67">
        <f t="shared" si="0"/>
        <v>8.8000000000000007</v>
      </c>
      <c r="O106" s="67">
        <f t="shared" si="0"/>
        <v>0</v>
      </c>
      <c r="P106" s="67">
        <f t="shared" si="0"/>
        <v>0.22</v>
      </c>
      <c r="Q106" s="67">
        <f t="shared" si="0"/>
        <v>7.63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9.19</v>
      </c>
      <c r="C107" s="66">
        <f t="shared" ref="C107:Q107" si="1">MAX(C9:C104)</f>
        <v>15.24</v>
      </c>
      <c r="D107" s="66">
        <f t="shared" si="1"/>
        <v>24.43</v>
      </c>
      <c r="E107" s="66">
        <f t="shared" si="1"/>
        <v>2.92</v>
      </c>
      <c r="F107" s="66">
        <f t="shared" si="1"/>
        <v>5.85</v>
      </c>
      <c r="G107" s="66">
        <f t="shared" si="1"/>
        <v>19.21</v>
      </c>
      <c r="H107" s="66">
        <f t="shared" si="1"/>
        <v>7.87</v>
      </c>
      <c r="I107" s="66">
        <f t="shared" si="1"/>
        <v>0.13</v>
      </c>
      <c r="J107" s="66">
        <f t="shared" si="1"/>
        <v>1.43</v>
      </c>
      <c r="K107" s="66">
        <f t="shared" si="1"/>
        <v>283.33</v>
      </c>
      <c r="L107" s="66">
        <f t="shared" si="1"/>
        <v>25.7</v>
      </c>
      <c r="M107" s="66">
        <f t="shared" si="1"/>
        <v>98.63</v>
      </c>
      <c r="N107" s="66">
        <f t="shared" si="1"/>
        <v>771</v>
      </c>
      <c r="O107" s="66">
        <f t="shared" si="1"/>
        <v>0</v>
      </c>
      <c r="P107" s="66">
        <f t="shared" si="1"/>
        <v>0.38</v>
      </c>
      <c r="Q107" s="66">
        <f t="shared" si="1"/>
        <v>19.02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5.303541666666665</v>
      </c>
      <c r="C108" s="67">
        <f t="shared" ref="C108:Q108" si="2">AVERAGE(C9:C104)</f>
        <v>10.139583333333333</v>
      </c>
      <c r="D108" s="67">
        <f t="shared" si="2"/>
        <v>15.4434375</v>
      </c>
      <c r="E108" s="67">
        <f t="shared" si="2"/>
        <v>1.6030526315789473</v>
      </c>
      <c r="F108" s="67">
        <f t="shared" si="2"/>
        <v>2.7142708333333334</v>
      </c>
      <c r="G108" s="67">
        <f t="shared" si="2"/>
        <v>11.491666666666674</v>
      </c>
      <c r="H108" s="67">
        <f t="shared" si="2"/>
        <v>4.3151041666666652</v>
      </c>
      <c r="I108" s="67">
        <f t="shared" si="2"/>
        <v>0.11958333333333315</v>
      </c>
      <c r="J108" s="67">
        <f t="shared" si="2"/>
        <v>0.31364583333333335</v>
      </c>
      <c r="K108" s="67">
        <f t="shared" si="2"/>
        <v>172.37374999999997</v>
      </c>
      <c r="L108" s="67">
        <f t="shared" si="2"/>
        <v>23.393854166666674</v>
      </c>
      <c r="M108" s="67">
        <f t="shared" si="2"/>
        <v>96.193645833333292</v>
      </c>
      <c r="N108" s="67">
        <f t="shared" si="2"/>
        <v>100.19583333333331</v>
      </c>
      <c r="O108" s="67">
        <f t="shared" si="2"/>
        <v>0</v>
      </c>
      <c r="P108" s="67">
        <f t="shared" si="2"/>
        <v>0.27093749999999978</v>
      </c>
      <c r="Q108" s="67">
        <f t="shared" si="2"/>
        <v>14.373437500000001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0.96564565710603123</v>
      </c>
      <c r="C109" s="67">
        <f t="shared" ref="C109:Q109" si="3">STDEV(C9:C104)</f>
        <v>1.6716628447945809</v>
      </c>
      <c r="D109" s="67">
        <f t="shared" si="3"/>
        <v>2.1853501842111158</v>
      </c>
      <c r="E109" s="67">
        <f t="shared" si="3"/>
        <v>0.49301951470636612</v>
      </c>
      <c r="F109" s="67">
        <f t="shared" si="3"/>
        <v>1.1478545156225535</v>
      </c>
      <c r="G109" s="67">
        <f t="shared" si="3"/>
        <v>3.5676386608000175</v>
      </c>
      <c r="H109" s="67">
        <f t="shared" si="3"/>
        <v>1.5065520025553456</v>
      </c>
      <c r="I109" s="67">
        <f t="shared" si="3"/>
        <v>5.9677495831946016E-3</v>
      </c>
      <c r="J109" s="67">
        <f t="shared" si="3"/>
        <v>0.30960116888010908</v>
      </c>
      <c r="K109" s="67">
        <f t="shared" si="3"/>
        <v>37.299727845768921</v>
      </c>
      <c r="L109" s="67">
        <f t="shared" si="3"/>
        <v>0.91588481209980133</v>
      </c>
      <c r="M109" s="67">
        <f t="shared" si="3"/>
        <v>2.8775483423774642</v>
      </c>
      <c r="N109" s="67">
        <f t="shared" si="3"/>
        <v>139.14343823374773</v>
      </c>
      <c r="O109" s="67">
        <f t="shared" si="3"/>
        <v>0</v>
      </c>
      <c r="P109" s="67">
        <f t="shared" si="3"/>
        <v>2.9809151720837548E-2</v>
      </c>
      <c r="Q109" s="67">
        <f t="shared" si="3"/>
        <v>3.4314053674919456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COUNT(E9:E104)+1</f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1017</v>
      </c>
      <c r="B9" s="64">
        <v>4.6500000000000004</v>
      </c>
      <c r="C9" s="64">
        <v>8.75</v>
      </c>
      <c r="D9" s="64">
        <v>13.4</v>
      </c>
      <c r="E9" s="64">
        <v>0.63</v>
      </c>
      <c r="F9" s="64">
        <v>3.26</v>
      </c>
      <c r="G9" s="64">
        <v>15.93</v>
      </c>
      <c r="H9" s="64">
        <v>5.99</v>
      </c>
      <c r="I9" s="64">
        <v>0.12</v>
      </c>
      <c r="J9" s="64">
        <v>0.11</v>
      </c>
      <c r="K9" s="64">
        <v>202.84</v>
      </c>
      <c r="L9" s="64">
        <v>22.58</v>
      </c>
      <c r="M9" s="64">
        <v>98.49</v>
      </c>
      <c r="N9" s="64">
        <v>9.1</v>
      </c>
      <c r="O9" s="64">
        <v>0</v>
      </c>
      <c r="P9" s="64">
        <v>0.26</v>
      </c>
      <c r="Q9" s="64">
        <v>14.71</v>
      </c>
      <c r="R9" s="198"/>
      <c r="S9" s="198"/>
      <c r="T9" s="198"/>
      <c r="U9" s="198"/>
    </row>
    <row r="10" spans="1:21" s="12" customFormat="1" x14ac:dyDescent="0.25">
      <c r="A10" s="214" t="s">
        <v>1018</v>
      </c>
      <c r="B10" s="64">
        <v>4.67</v>
      </c>
      <c r="C10" s="64">
        <v>8.2200000000000006</v>
      </c>
      <c r="D10" s="64">
        <v>12.89</v>
      </c>
      <c r="E10" s="64">
        <v>1.1499999999999999</v>
      </c>
      <c r="F10" s="64">
        <v>2.91</v>
      </c>
      <c r="G10" s="64">
        <v>15.93</v>
      </c>
      <c r="H10" s="64">
        <v>5.99</v>
      </c>
      <c r="I10" s="64">
        <v>0.12</v>
      </c>
      <c r="J10" s="64">
        <v>0.18</v>
      </c>
      <c r="K10" s="64">
        <v>161.55000000000001</v>
      </c>
      <c r="L10" s="64">
        <v>22.53</v>
      </c>
      <c r="M10" s="64">
        <v>98.57</v>
      </c>
      <c r="N10" s="64">
        <v>9.1</v>
      </c>
      <c r="O10" s="64">
        <v>0</v>
      </c>
      <c r="P10" s="64">
        <v>0.25</v>
      </c>
      <c r="Q10" s="64">
        <v>14.23</v>
      </c>
      <c r="R10" s="198"/>
      <c r="S10" s="198"/>
      <c r="T10" s="198"/>
      <c r="U10" s="198"/>
    </row>
    <row r="11" spans="1:21" s="12" customFormat="1" x14ac:dyDescent="0.25">
      <c r="A11" s="214" t="s">
        <v>1019</v>
      </c>
      <c r="B11" s="64">
        <v>4.58</v>
      </c>
      <c r="C11" s="64">
        <v>7.5</v>
      </c>
      <c r="D11" s="64">
        <v>12.08</v>
      </c>
      <c r="E11" s="64">
        <v>0.34</v>
      </c>
      <c r="F11" s="64">
        <v>2.21</v>
      </c>
      <c r="G11" s="64">
        <v>15.93</v>
      </c>
      <c r="H11" s="64">
        <v>5.99</v>
      </c>
      <c r="I11" s="64">
        <v>0.12</v>
      </c>
      <c r="J11" s="64">
        <v>0.23</v>
      </c>
      <c r="K11" s="64">
        <v>168.98</v>
      </c>
      <c r="L11" s="64">
        <v>22.53</v>
      </c>
      <c r="M11" s="64">
        <v>98.57</v>
      </c>
      <c r="N11" s="64">
        <v>9.1</v>
      </c>
      <c r="O11" s="64">
        <v>0</v>
      </c>
      <c r="P11" s="64">
        <v>0.25</v>
      </c>
      <c r="Q11" s="64">
        <v>12.51</v>
      </c>
      <c r="R11" s="198"/>
      <c r="S11" s="198"/>
      <c r="T11" s="198"/>
      <c r="U11" s="198"/>
    </row>
    <row r="12" spans="1:21" s="12" customFormat="1" x14ac:dyDescent="0.25">
      <c r="A12" s="214" t="s">
        <v>1020</v>
      </c>
      <c r="B12" s="64">
        <v>4.6900000000000004</v>
      </c>
      <c r="C12" s="64">
        <v>7.42</v>
      </c>
      <c r="D12" s="64">
        <v>12.11</v>
      </c>
      <c r="E12" s="64">
        <v>0.82</v>
      </c>
      <c r="F12" s="64">
        <v>1.47</v>
      </c>
      <c r="G12" s="64">
        <v>13.51</v>
      </c>
      <c r="H12" s="64">
        <v>5.0199999999999996</v>
      </c>
      <c r="I12" s="64">
        <v>0.12</v>
      </c>
      <c r="J12" s="64">
        <v>0.18</v>
      </c>
      <c r="K12" s="64">
        <v>186.4</v>
      </c>
      <c r="L12" s="64">
        <v>22.54</v>
      </c>
      <c r="M12" s="64">
        <v>98.59</v>
      </c>
      <c r="N12" s="64">
        <v>9</v>
      </c>
      <c r="O12" s="64">
        <v>0</v>
      </c>
      <c r="P12" s="64">
        <v>0.26</v>
      </c>
      <c r="Q12" s="64">
        <v>12.47</v>
      </c>
      <c r="R12" s="198"/>
      <c r="S12" s="198"/>
      <c r="T12" s="198"/>
      <c r="U12" s="198"/>
    </row>
    <row r="13" spans="1:21" s="12" customFormat="1" x14ac:dyDescent="0.25">
      <c r="A13" s="214" t="s">
        <v>1021</v>
      </c>
      <c r="B13" s="64">
        <v>4.4800000000000004</v>
      </c>
      <c r="C13" s="64">
        <v>8.24</v>
      </c>
      <c r="D13" s="64">
        <v>12.72</v>
      </c>
      <c r="E13" s="64">
        <v>1.2</v>
      </c>
      <c r="F13" s="64">
        <v>3.09</v>
      </c>
      <c r="G13" s="64">
        <v>11.39</v>
      </c>
      <c r="H13" s="64">
        <v>4.63</v>
      </c>
      <c r="I13" s="64">
        <v>0.12</v>
      </c>
      <c r="J13" s="64">
        <v>0.52</v>
      </c>
      <c r="K13" s="64">
        <v>143.91999999999999</v>
      </c>
      <c r="L13" s="64">
        <v>22.57</v>
      </c>
      <c r="M13" s="64">
        <v>98.59</v>
      </c>
      <c r="N13" s="64">
        <v>9.1</v>
      </c>
      <c r="O13" s="64">
        <v>0</v>
      </c>
      <c r="P13" s="64">
        <v>0.22</v>
      </c>
      <c r="Q13" s="64">
        <v>14.01</v>
      </c>
      <c r="R13" s="198"/>
      <c r="S13" s="198"/>
      <c r="T13" s="198"/>
      <c r="U13" s="198"/>
    </row>
    <row r="14" spans="1:21" s="12" customFormat="1" x14ac:dyDescent="0.25">
      <c r="A14" s="214" t="s">
        <v>1022</v>
      </c>
      <c r="B14" s="64">
        <v>4.57</v>
      </c>
      <c r="C14" s="64">
        <v>7.65</v>
      </c>
      <c r="D14" s="64">
        <v>12.22</v>
      </c>
      <c r="E14" s="64">
        <v>0.87</v>
      </c>
      <c r="F14" s="64">
        <v>1.5</v>
      </c>
      <c r="G14" s="64">
        <v>11.39</v>
      </c>
      <c r="H14" s="64">
        <v>4.63</v>
      </c>
      <c r="I14" s="64">
        <v>0.12</v>
      </c>
      <c r="J14" s="64">
        <v>0.77</v>
      </c>
      <c r="K14" s="64">
        <v>150.19</v>
      </c>
      <c r="L14" s="64">
        <v>22.56</v>
      </c>
      <c r="M14" s="64">
        <v>98.58</v>
      </c>
      <c r="N14" s="64">
        <v>9</v>
      </c>
      <c r="O14" s="64">
        <v>0</v>
      </c>
      <c r="P14" s="64">
        <v>0.24</v>
      </c>
      <c r="Q14" s="64">
        <v>13.14</v>
      </c>
      <c r="R14" s="198"/>
      <c r="S14" s="198"/>
      <c r="T14" s="198"/>
      <c r="U14" s="198"/>
    </row>
    <row r="15" spans="1:21" s="12" customFormat="1" x14ac:dyDescent="0.25">
      <c r="A15" s="214" t="s">
        <v>1023</v>
      </c>
      <c r="B15" s="64">
        <v>4.5599999999999996</v>
      </c>
      <c r="C15" s="64">
        <v>7.73</v>
      </c>
      <c r="D15" s="64">
        <v>12.29</v>
      </c>
      <c r="E15" s="64">
        <v>0.54</v>
      </c>
      <c r="F15" s="64">
        <v>2.67</v>
      </c>
      <c r="G15" s="64">
        <v>11.39</v>
      </c>
      <c r="H15" s="64">
        <v>4.63</v>
      </c>
      <c r="I15" s="64">
        <v>0.12</v>
      </c>
      <c r="J15" s="64">
        <v>0.23</v>
      </c>
      <c r="K15" s="64">
        <v>160.82</v>
      </c>
      <c r="L15" s="64">
        <v>22.53</v>
      </c>
      <c r="M15" s="64">
        <v>98.6</v>
      </c>
      <c r="N15" s="64">
        <v>9.1</v>
      </c>
      <c r="O15" s="64">
        <v>0</v>
      </c>
      <c r="P15" s="64">
        <v>0.23</v>
      </c>
      <c r="Q15" s="64">
        <v>14.37</v>
      </c>
      <c r="R15" s="198"/>
      <c r="S15" s="198"/>
      <c r="T15" s="198"/>
      <c r="U15" s="198"/>
    </row>
    <row r="16" spans="1:21" s="12" customFormat="1" x14ac:dyDescent="0.25">
      <c r="A16" s="214" t="s">
        <v>1024</v>
      </c>
      <c r="B16" s="64">
        <v>4.3099999999999996</v>
      </c>
      <c r="C16" s="64">
        <v>7.66</v>
      </c>
      <c r="D16" s="64">
        <v>11.97</v>
      </c>
      <c r="E16" s="64">
        <v>0.67</v>
      </c>
      <c r="F16" s="64">
        <v>4.8899999999999997</v>
      </c>
      <c r="G16" s="64">
        <v>10.35</v>
      </c>
      <c r="H16" s="64">
        <v>3.76</v>
      </c>
      <c r="I16" s="64">
        <v>0.12</v>
      </c>
      <c r="J16" s="64">
        <v>0.22</v>
      </c>
      <c r="K16" s="64">
        <v>174.75</v>
      </c>
      <c r="L16" s="64">
        <v>22.5</v>
      </c>
      <c r="M16" s="64">
        <v>98.6</v>
      </c>
      <c r="N16" s="64">
        <v>9.1</v>
      </c>
      <c r="O16" s="64">
        <v>0</v>
      </c>
      <c r="P16" s="64">
        <v>0.22</v>
      </c>
      <c r="Q16" s="64">
        <v>13.43</v>
      </c>
      <c r="R16" s="198"/>
      <c r="S16" s="198"/>
      <c r="T16" s="198"/>
      <c r="U16" s="198"/>
    </row>
    <row r="17" spans="1:21" s="12" customFormat="1" x14ac:dyDescent="0.25">
      <c r="A17" s="214" t="s">
        <v>1025</v>
      </c>
      <c r="B17" s="64">
        <v>4.32</v>
      </c>
      <c r="C17" s="64">
        <v>7.61</v>
      </c>
      <c r="D17" s="64">
        <v>11.92</v>
      </c>
      <c r="E17" s="64">
        <v>0.59</v>
      </c>
      <c r="F17" s="64">
        <v>4.95</v>
      </c>
      <c r="G17" s="64">
        <v>9.44</v>
      </c>
      <c r="H17" s="64">
        <v>3.41</v>
      </c>
      <c r="I17" s="64">
        <v>0.12</v>
      </c>
      <c r="J17" s="64">
        <v>0.63</v>
      </c>
      <c r="K17" s="64">
        <v>158.22</v>
      </c>
      <c r="L17" s="64">
        <v>22.51</v>
      </c>
      <c r="M17" s="64">
        <v>98.6</v>
      </c>
      <c r="N17" s="64">
        <v>9.1</v>
      </c>
      <c r="O17" s="64">
        <v>0</v>
      </c>
      <c r="P17" s="64">
        <v>0.21</v>
      </c>
      <c r="Q17" s="64">
        <v>13.72</v>
      </c>
      <c r="R17" s="198"/>
      <c r="S17" s="198"/>
      <c r="T17" s="198"/>
      <c r="U17" s="198"/>
    </row>
    <row r="18" spans="1:21" s="12" customFormat="1" x14ac:dyDescent="0.25">
      <c r="A18" s="214" t="s">
        <v>1026</v>
      </c>
      <c r="B18" s="64">
        <v>4.49</v>
      </c>
      <c r="C18" s="64">
        <v>8.6</v>
      </c>
      <c r="D18" s="64">
        <v>13.09</v>
      </c>
      <c r="E18" s="64">
        <v>1.17</v>
      </c>
      <c r="F18" s="64">
        <v>5.26</v>
      </c>
      <c r="G18" s="64">
        <v>9.44</v>
      </c>
      <c r="H18" s="64">
        <v>3.41</v>
      </c>
      <c r="I18" s="64">
        <v>0.12</v>
      </c>
      <c r="J18" s="64">
        <v>0.54</v>
      </c>
      <c r="K18" s="64">
        <v>148.66</v>
      </c>
      <c r="L18" s="64">
        <v>22.5</v>
      </c>
      <c r="M18" s="64">
        <v>98.6</v>
      </c>
      <c r="N18" s="64">
        <v>9.1</v>
      </c>
      <c r="O18" s="64">
        <v>0</v>
      </c>
      <c r="P18" s="64">
        <v>0.21</v>
      </c>
      <c r="Q18" s="64">
        <v>15.14</v>
      </c>
      <c r="R18" s="198"/>
      <c r="S18" s="198"/>
      <c r="T18" s="198"/>
      <c r="U18" s="198"/>
    </row>
    <row r="19" spans="1:21" s="12" customFormat="1" x14ac:dyDescent="0.25">
      <c r="A19" s="214" t="s">
        <v>1027</v>
      </c>
      <c r="B19" s="64">
        <v>4.5599999999999996</v>
      </c>
      <c r="C19" s="64">
        <v>8.9</v>
      </c>
      <c r="D19" s="64">
        <v>13.46</v>
      </c>
      <c r="E19" s="64">
        <v>1.51</v>
      </c>
      <c r="F19" s="64">
        <v>3.99</v>
      </c>
      <c r="G19" s="64">
        <v>9.44</v>
      </c>
      <c r="H19" s="64">
        <v>3.41</v>
      </c>
      <c r="I19" s="64">
        <v>0.12</v>
      </c>
      <c r="J19" s="64">
        <v>0.6</v>
      </c>
      <c r="K19" s="64">
        <v>150.97</v>
      </c>
      <c r="L19" s="64">
        <v>22.51</v>
      </c>
      <c r="M19" s="64">
        <v>98.62</v>
      </c>
      <c r="N19" s="64">
        <v>9.1</v>
      </c>
      <c r="O19" s="64">
        <v>0</v>
      </c>
      <c r="P19" s="64">
        <v>0.22</v>
      </c>
      <c r="Q19" s="64">
        <v>16.52</v>
      </c>
      <c r="R19" s="198"/>
      <c r="S19" s="198"/>
      <c r="T19" s="198"/>
      <c r="U19" s="198"/>
    </row>
    <row r="20" spans="1:21" s="12" customFormat="1" x14ac:dyDescent="0.25">
      <c r="A20" s="214" t="s">
        <v>1028</v>
      </c>
      <c r="B20" s="64">
        <v>4.83</v>
      </c>
      <c r="C20" s="64">
        <v>8.77</v>
      </c>
      <c r="D20" s="64">
        <v>13.59</v>
      </c>
      <c r="E20" s="64">
        <v>0.79</v>
      </c>
      <c r="F20" s="64">
        <v>2.97</v>
      </c>
      <c r="G20" s="64">
        <v>11.25</v>
      </c>
      <c r="H20" s="64">
        <v>4.8</v>
      </c>
      <c r="I20" s="64">
        <v>0.12</v>
      </c>
      <c r="J20" s="64">
        <v>0.68</v>
      </c>
      <c r="K20" s="64">
        <v>150.44999999999999</v>
      </c>
      <c r="L20" s="64">
        <v>22.53</v>
      </c>
      <c r="M20" s="64">
        <v>98.62</v>
      </c>
      <c r="N20" s="64">
        <v>9.1</v>
      </c>
      <c r="O20" s="64">
        <v>0</v>
      </c>
      <c r="P20" s="64">
        <v>0.23</v>
      </c>
      <c r="Q20" s="64">
        <v>17.41</v>
      </c>
      <c r="R20" s="198"/>
      <c r="S20" s="198"/>
      <c r="T20" s="198"/>
      <c r="U20" s="198"/>
    </row>
    <row r="21" spans="1:21" s="12" customFormat="1" x14ac:dyDescent="0.25">
      <c r="A21" s="214" t="s">
        <v>1029</v>
      </c>
      <c r="B21" s="64">
        <v>5.38</v>
      </c>
      <c r="C21" s="64">
        <v>8.11</v>
      </c>
      <c r="D21" s="64">
        <v>13.5</v>
      </c>
      <c r="E21" s="64">
        <v>1.41</v>
      </c>
      <c r="F21" s="64">
        <v>1.31</v>
      </c>
      <c r="G21" s="64">
        <v>12.85</v>
      </c>
      <c r="H21" s="64">
        <v>5.36</v>
      </c>
      <c r="I21" s="64">
        <v>0.11</v>
      </c>
      <c r="J21" s="64">
        <v>0.65</v>
      </c>
      <c r="K21" s="64">
        <v>157.16</v>
      </c>
      <c r="L21" s="64">
        <v>22.53</v>
      </c>
      <c r="M21" s="64">
        <v>98.62</v>
      </c>
      <c r="N21" s="64">
        <v>9.1</v>
      </c>
      <c r="O21" s="64">
        <v>0</v>
      </c>
      <c r="P21" s="64">
        <v>0.24</v>
      </c>
      <c r="Q21" s="64">
        <v>17.63</v>
      </c>
      <c r="R21" s="198"/>
      <c r="S21" s="198"/>
      <c r="T21" s="198"/>
      <c r="U21" s="198"/>
    </row>
    <row r="22" spans="1:21" s="12" customFormat="1" x14ac:dyDescent="0.25">
      <c r="A22" s="214" t="s">
        <v>1030</v>
      </c>
      <c r="B22" s="64">
        <v>5.41</v>
      </c>
      <c r="C22" s="64">
        <v>7.9</v>
      </c>
      <c r="D22" s="64">
        <v>13.31</v>
      </c>
      <c r="E22" s="64">
        <v>1.0900000000000001</v>
      </c>
      <c r="F22" s="64">
        <v>1.96</v>
      </c>
      <c r="G22" s="64">
        <v>12.85</v>
      </c>
      <c r="H22" s="64">
        <v>5.36</v>
      </c>
      <c r="I22" s="64">
        <v>0.12</v>
      </c>
      <c r="J22" s="64">
        <v>0.7</v>
      </c>
      <c r="K22" s="64">
        <v>148.77000000000001</v>
      </c>
      <c r="L22" s="64">
        <v>22.54</v>
      </c>
      <c r="M22" s="64">
        <v>98.6</v>
      </c>
      <c r="N22" s="64">
        <v>9.1</v>
      </c>
      <c r="O22" s="64">
        <v>0</v>
      </c>
      <c r="P22" s="64">
        <v>0.22</v>
      </c>
      <c r="Q22" s="64">
        <v>17.309999999999999</v>
      </c>
      <c r="R22" s="198"/>
      <c r="S22" s="198"/>
      <c r="T22" s="198"/>
      <c r="U22" s="198"/>
    </row>
    <row r="23" spans="1:21" s="12" customFormat="1" x14ac:dyDescent="0.25">
      <c r="A23" s="214" t="s">
        <v>1031</v>
      </c>
      <c r="B23" s="64">
        <v>5.34</v>
      </c>
      <c r="C23" s="64">
        <v>7.47</v>
      </c>
      <c r="D23" s="64">
        <v>12.81</v>
      </c>
      <c r="E23" s="64">
        <v>1.75</v>
      </c>
      <c r="F23" s="64">
        <v>2.21</v>
      </c>
      <c r="G23" s="64">
        <v>12.85</v>
      </c>
      <c r="H23" s="64">
        <v>5.36</v>
      </c>
      <c r="I23" s="64">
        <v>0.13</v>
      </c>
      <c r="J23" s="64">
        <v>0.82</v>
      </c>
      <c r="K23" s="64">
        <v>149.38999999999999</v>
      </c>
      <c r="L23" s="64">
        <v>22.5</v>
      </c>
      <c r="M23" s="64">
        <v>98.6</v>
      </c>
      <c r="N23" s="64">
        <v>9.1</v>
      </c>
      <c r="O23" s="64">
        <v>0</v>
      </c>
      <c r="P23" s="64">
        <v>0.22</v>
      </c>
      <c r="Q23" s="64">
        <v>16.239999999999998</v>
      </c>
      <c r="R23" s="198"/>
      <c r="S23" s="198"/>
      <c r="T23" s="198"/>
      <c r="U23" s="198"/>
    </row>
    <row r="24" spans="1:21" s="12" customFormat="1" x14ac:dyDescent="0.25">
      <c r="A24" s="214" t="s">
        <v>1032</v>
      </c>
      <c r="B24" s="64">
        <v>5.55</v>
      </c>
      <c r="C24" s="64">
        <v>7.58</v>
      </c>
      <c r="D24" s="64">
        <v>13.13</v>
      </c>
      <c r="E24" s="64">
        <v>2.75</v>
      </c>
      <c r="F24" s="64">
        <v>0.77</v>
      </c>
      <c r="G24" s="64">
        <v>11.11</v>
      </c>
      <c r="H24" s="64">
        <v>4.47</v>
      </c>
      <c r="I24" s="64">
        <v>0.12</v>
      </c>
      <c r="J24" s="64">
        <v>0.84</v>
      </c>
      <c r="K24" s="64">
        <v>153.66</v>
      </c>
      <c r="L24" s="64">
        <v>22.44</v>
      </c>
      <c r="M24" s="64">
        <v>98.6</v>
      </c>
      <c r="N24" s="64">
        <v>9.1</v>
      </c>
      <c r="O24" s="64">
        <v>0</v>
      </c>
      <c r="P24" s="64">
        <v>0.22</v>
      </c>
      <c r="Q24" s="64">
        <v>16.27</v>
      </c>
      <c r="R24" s="198"/>
      <c r="S24" s="198"/>
      <c r="T24" s="198"/>
      <c r="U24" s="198"/>
    </row>
    <row r="25" spans="1:21" s="12" customFormat="1" x14ac:dyDescent="0.25">
      <c r="A25" s="214" t="s">
        <v>1033</v>
      </c>
      <c r="B25" s="64">
        <v>5.55</v>
      </c>
      <c r="C25" s="64">
        <v>7.4</v>
      </c>
      <c r="D25" s="64">
        <v>12.95</v>
      </c>
      <c r="E25" s="64">
        <v>0.48</v>
      </c>
      <c r="F25" s="64">
        <v>1.29</v>
      </c>
      <c r="G25" s="64">
        <v>9.59</v>
      </c>
      <c r="H25" s="64">
        <v>4.1100000000000003</v>
      </c>
      <c r="I25" s="64">
        <v>0.12</v>
      </c>
      <c r="J25" s="64">
        <v>0.96</v>
      </c>
      <c r="K25" s="64">
        <v>150.30000000000001</v>
      </c>
      <c r="L25" s="64">
        <v>22.43</v>
      </c>
      <c r="M25" s="64">
        <v>98.6</v>
      </c>
      <c r="N25" s="64">
        <v>9.1</v>
      </c>
      <c r="O25" s="64">
        <v>0</v>
      </c>
      <c r="P25" s="64">
        <v>0.21</v>
      </c>
      <c r="Q25" s="64">
        <v>16.25</v>
      </c>
      <c r="R25" s="198"/>
      <c r="S25" s="198"/>
      <c r="T25" s="198"/>
      <c r="U25" s="198"/>
    </row>
    <row r="26" spans="1:21" s="12" customFormat="1" x14ac:dyDescent="0.25">
      <c r="A26" s="214" t="s">
        <v>1034</v>
      </c>
      <c r="B26" s="64">
        <v>5.64</v>
      </c>
      <c r="C26" s="64">
        <v>7.25</v>
      </c>
      <c r="D26" s="64">
        <v>12.88</v>
      </c>
      <c r="E26" s="64">
        <v>0.19</v>
      </c>
      <c r="F26" s="64">
        <v>0.94</v>
      </c>
      <c r="G26" s="64">
        <v>9.59</v>
      </c>
      <c r="H26" s="64">
        <v>4.1100000000000003</v>
      </c>
      <c r="I26" s="64">
        <v>0.12</v>
      </c>
      <c r="J26" s="64">
        <v>0.93</v>
      </c>
      <c r="K26" s="64">
        <v>153.29</v>
      </c>
      <c r="L26" s="64">
        <v>22.43</v>
      </c>
      <c r="M26" s="64">
        <v>98.6</v>
      </c>
      <c r="N26" s="64">
        <v>9.1</v>
      </c>
      <c r="O26" s="64">
        <v>0</v>
      </c>
      <c r="P26" s="64">
        <v>0.22</v>
      </c>
      <c r="Q26" s="64">
        <v>16.100000000000001</v>
      </c>
      <c r="R26" s="198"/>
      <c r="S26" s="198"/>
      <c r="T26" s="198"/>
      <c r="U26" s="198"/>
    </row>
    <row r="27" spans="1:21" s="12" customFormat="1" x14ac:dyDescent="0.25">
      <c r="A27" s="214" t="s">
        <v>1035</v>
      </c>
      <c r="B27" s="64">
        <v>5.57</v>
      </c>
      <c r="C27" s="64">
        <v>7.54</v>
      </c>
      <c r="D27" s="64">
        <v>13.11</v>
      </c>
      <c r="E27" s="64">
        <v>0.51</v>
      </c>
      <c r="F27" s="64">
        <v>1.49</v>
      </c>
      <c r="G27" s="64">
        <v>9.59</v>
      </c>
      <c r="H27" s="64">
        <v>4.1100000000000003</v>
      </c>
      <c r="I27" s="64">
        <v>0.12</v>
      </c>
      <c r="J27" s="64">
        <v>0.79</v>
      </c>
      <c r="K27" s="64">
        <v>158.97</v>
      </c>
      <c r="L27" s="64">
        <v>22.42</v>
      </c>
      <c r="M27" s="64">
        <v>98.6</v>
      </c>
      <c r="N27" s="64">
        <v>9.1</v>
      </c>
      <c r="O27" s="64">
        <v>0</v>
      </c>
      <c r="P27" s="64">
        <v>0.2</v>
      </c>
      <c r="Q27" s="64">
        <v>16.420000000000002</v>
      </c>
      <c r="R27" s="198"/>
      <c r="S27" s="198"/>
      <c r="T27" s="198"/>
      <c r="U27" s="198"/>
    </row>
    <row r="28" spans="1:21" s="12" customFormat="1" x14ac:dyDescent="0.25">
      <c r="A28" s="214" t="s">
        <v>1036</v>
      </c>
      <c r="B28" s="64">
        <v>5.35</v>
      </c>
      <c r="C28" s="64">
        <v>7.82</v>
      </c>
      <c r="D28" s="64">
        <v>13.18</v>
      </c>
      <c r="E28" s="64">
        <v>0.79</v>
      </c>
      <c r="F28" s="64">
        <v>2.76</v>
      </c>
      <c r="G28" s="64">
        <v>9.5399999999999991</v>
      </c>
      <c r="H28" s="64">
        <v>3.4</v>
      </c>
      <c r="I28" s="64">
        <v>0.12</v>
      </c>
      <c r="J28" s="64">
        <v>0.76</v>
      </c>
      <c r="K28" s="64">
        <v>141.72</v>
      </c>
      <c r="L28" s="64">
        <v>22.43</v>
      </c>
      <c r="M28" s="64">
        <v>98.6</v>
      </c>
      <c r="N28" s="64">
        <v>9.1</v>
      </c>
      <c r="O28" s="64">
        <v>0</v>
      </c>
      <c r="P28" s="64">
        <v>0.22</v>
      </c>
      <c r="Q28" s="64">
        <v>16.329999999999998</v>
      </c>
      <c r="R28" s="198"/>
      <c r="S28" s="198"/>
      <c r="T28" s="198"/>
      <c r="U28" s="198"/>
    </row>
    <row r="29" spans="1:21" s="12" customFormat="1" x14ac:dyDescent="0.25">
      <c r="A29" s="214" t="s">
        <v>1037</v>
      </c>
      <c r="B29" s="64">
        <v>6.4</v>
      </c>
      <c r="C29" s="64">
        <v>11.43</v>
      </c>
      <c r="D29" s="64">
        <v>17.829999999999998</v>
      </c>
      <c r="E29" s="64">
        <v>0.27</v>
      </c>
      <c r="F29" s="64">
        <v>1.94</v>
      </c>
      <c r="G29" s="64">
        <v>9.49</v>
      </c>
      <c r="H29" s="64">
        <v>3.11</v>
      </c>
      <c r="I29" s="64">
        <v>0.12</v>
      </c>
      <c r="J29" s="64">
        <v>0.57999999999999996</v>
      </c>
      <c r="K29" s="64">
        <v>156.19</v>
      </c>
      <c r="L29" s="64">
        <v>22.45</v>
      </c>
      <c r="M29" s="64">
        <v>98.6</v>
      </c>
      <c r="N29" s="64">
        <v>9.1</v>
      </c>
      <c r="O29" s="64">
        <v>0</v>
      </c>
      <c r="P29" s="64">
        <v>0.22</v>
      </c>
      <c r="Q29" s="64">
        <v>17.440000000000001</v>
      </c>
      <c r="R29" s="198"/>
      <c r="S29" s="198"/>
      <c r="T29" s="198"/>
      <c r="U29" s="198"/>
    </row>
    <row r="30" spans="1:21" s="12" customFormat="1" x14ac:dyDescent="0.25">
      <c r="A30" s="214" t="s">
        <v>1038</v>
      </c>
      <c r="B30" s="64">
        <v>6.71</v>
      </c>
      <c r="C30" s="64">
        <v>12.25</v>
      </c>
      <c r="D30" s="64">
        <v>18.96</v>
      </c>
      <c r="E30" s="64">
        <v>0.54</v>
      </c>
      <c r="F30" s="64">
        <v>2.69</v>
      </c>
      <c r="G30" s="64">
        <v>9.49</v>
      </c>
      <c r="H30" s="64">
        <v>3.11</v>
      </c>
      <c r="I30" s="64">
        <v>0.12</v>
      </c>
      <c r="J30" s="64">
        <v>0.69</v>
      </c>
      <c r="K30" s="64">
        <v>150.81</v>
      </c>
      <c r="L30" s="64">
        <v>22.47</v>
      </c>
      <c r="M30" s="64">
        <v>98.6</v>
      </c>
      <c r="N30" s="64">
        <v>9</v>
      </c>
      <c r="O30" s="64">
        <v>0</v>
      </c>
      <c r="P30" s="64">
        <v>0.23</v>
      </c>
      <c r="Q30" s="64">
        <v>17.760000000000002</v>
      </c>
      <c r="R30" s="198"/>
      <c r="S30" s="198"/>
      <c r="T30" s="198"/>
      <c r="U30" s="198"/>
    </row>
    <row r="31" spans="1:21" s="12" customFormat="1" x14ac:dyDescent="0.25">
      <c r="A31" s="214" t="s">
        <v>1039</v>
      </c>
      <c r="B31" s="64">
        <v>6.67</v>
      </c>
      <c r="C31" s="64">
        <v>10.49</v>
      </c>
      <c r="D31" s="64">
        <v>17.16</v>
      </c>
      <c r="E31" s="64">
        <v>0.48</v>
      </c>
      <c r="F31" s="64">
        <v>2.25</v>
      </c>
      <c r="G31" s="64">
        <v>9.49</v>
      </c>
      <c r="H31" s="64">
        <v>3.11</v>
      </c>
      <c r="I31" s="64">
        <v>0.13</v>
      </c>
      <c r="J31" s="64">
        <v>1</v>
      </c>
      <c r="K31" s="64">
        <v>147.43</v>
      </c>
      <c r="L31" s="64">
        <v>22.43</v>
      </c>
      <c r="M31" s="64">
        <v>98.62</v>
      </c>
      <c r="N31" s="64">
        <v>10.6</v>
      </c>
      <c r="O31" s="64">
        <v>0</v>
      </c>
      <c r="P31" s="64">
        <v>0.23</v>
      </c>
      <c r="Q31" s="64">
        <v>18.059999999999999</v>
      </c>
      <c r="R31" s="198"/>
      <c r="S31" s="198"/>
      <c r="T31" s="198"/>
      <c r="U31" s="198"/>
    </row>
    <row r="32" spans="1:21" s="12" customFormat="1" x14ac:dyDescent="0.25">
      <c r="A32" s="214" t="s">
        <v>1040</v>
      </c>
      <c r="B32" s="64">
        <v>7.47</v>
      </c>
      <c r="C32" s="64">
        <v>12.32</v>
      </c>
      <c r="D32" s="64">
        <v>19.79</v>
      </c>
      <c r="E32" s="64">
        <v>0.44</v>
      </c>
      <c r="F32" s="64">
        <v>2.25</v>
      </c>
      <c r="G32" s="64">
        <v>10.72</v>
      </c>
      <c r="H32" s="64">
        <v>3.79</v>
      </c>
      <c r="I32" s="64">
        <v>0.12</v>
      </c>
      <c r="J32" s="64">
        <v>0.25</v>
      </c>
      <c r="K32" s="64">
        <v>171.73</v>
      </c>
      <c r="L32" s="64">
        <v>22.4</v>
      </c>
      <c r="M32" s="64">
        <v>98.62</v>
      </c>
      <c r="N32" s="64">
        <v>16.899999999999999</v>
      </c>
      <c r="O32" s="64">
        <v>0</v>
      </c>
      <c r="P32" s="64">
        <v>0.23</v>
      </c>
      <c r="Q32" s="64">
        <v>18.010000000000002</v>
      </c>
      <c r="R32" s="198"/>
      <c r="S32" s="198"/>
      <c r="T32" s="198"/>
      <c r="U32" s="198"/>
    </row>
    <row r="33" spans="1:21" s="12" customFormat="1" x14ac:dyDescent="0.25">
      <c r="A33" s="214" t="s">
        <v>1041</v>
      </c>
      <c r="B33" s="64">
        <v>7.46</v>
      </c>
      <c r="C33" s="64">
        <v>10.52</v>
      </c>
      <c r="D33" s="64">
        <v>17.97</v>
      </c>
      <c r="E33" s="64">
        <v>0.96</v>
      </c>
      <c r="F33" s="64">
        <v>1.08</v>
      </c>
      <c r="G33" s="64">
        <v>11.8</v>
      </c>
      <c r="H33" s="64">
        <v>4.33</v>
      </c>
      <c r="I33" s="64">
        <v>0.12</v>
      </c>
      <c r="J33" s="64">
        <v>0.78</v>
      </c>
      <c r="K33" s="64">
        <v>156.19999999999999</v>
      </c>
      <c r="L33" s="64">
        <v>22.41</v>
      </c>
      <c r="M33" s="64">
        <v>98.6</v>
      </c>
      <c r="N33" s="64">
        <v>26.6</v>
      </c>
      <c r="O33" s="64">
        <v>0</v>
      </c>
      <c r="P33" s="64">
        <v>0.23</v>
      </c>
      <c r="Q33" s="64">
        <v>17.82</v>
      </c>
      <c r="R33" s="198"/>
      <c r="S33" s="198"/>
      <c r="T33" s="198"/>
      <c r="U33" s="198"/>
    </row>
    <row r="34" spans="1:21" s="12" customFormat="1" x14ac:dyDescent="0.25">
      <c r="A34" s="214" t="s">
        <v>1042</v>
      </c>
      <c r="B34" s="64">
        <v>7.53</v>
      </c>
      <c r="C34" s="64">
        <v>9.57</v>
      </c>
      <c r="D34" s="64">
        <v>17.100000000000001</v>
      </c>
      <c r="E34" s="64">
        <v>0.95</v>
      </c>
      <c r="F34" s="64">
        <v>1.39</v>
      </c>
      <c r="G34" s="64">
        <v>11.8</v>
      </c>
      <c r="H34" s="64">
        <v>4.33</v>
      </c>
      <c r="I34" s="64">
        <v>0.12</v>
      </c>
      <c r="J34" s="64">
        <v>0.85</v>
      </c>
      <c r="K34" s="64">
        <v>146.55000000000001</v>
      </c>
      <c r="L34" s="64">
        <v>22.47</v>
      </c>
      <c r="M34" s="64">
        <v>98.6</v>
      </c>
      <c r="N34" s="64">
        <v>41.2</v>
      </c>
      <c r="O34" s="64">
        <v>0</v>
      </c>
      <c r="P34" s="64">
        <v>0.22</v>
      </c>
      <c r="Q34" s="64">
        <v>17.3</v>
      </c>
      <c r="R34" s="198"/>
      <c r="S34" s="198"/>
      <c r="T34" s="198"/>
      <c r="U34" s="198"/>
    </row>
    <row r="35" spans="1:21" s="12" customFormat="1" x14ac:dyDescent="0.25">
      <c r="A35" s="214" t="s">
        <v>1043</v>
      </c>
      <c r="B35" s="64">
        <v>7.62</v>
      </c>
      <c r="C35" s="64">
        <v>8.91</v>
      </c>
      <c r="D35" s="64">
        <v>16.53</v>
      </c>
      <c r="E35" s="64">
        <v>0.53</v>
      </c>
      <c r="F35" s="64">
        <v>1.59</v>
      </c>
      <c r="G35" s="64">
        <v>11.8</v>
      </c>
      <c r="H35" s="64">
        <v>4.33</v>
      </c>
      <c r="I35" s="64">
        <v>0.12</v>
      </c>
      <c r="J35" s="64">
        <v>1.02</v>
      </c>
      <c r="K35" s="64">
        <v>150.33000000000001</v>
      </c>
      <c r="L35" s="64">
        <v>22.64</v>
      </c>
      <c r="M35" s="64">
        <v>98.6</v>
      </c>
      <c r="N35" s="64">
        <v>96.4</v>
      </c>
      <c r="O35" s="64">
        <v>0</v>
      </c>
      <c r="P35" s="64">
        <v>0.23</v>
      </c>
      <c r="Q35" s="64">
        <v>16.36</v>
      </c>
      <c r="R35" s="198"/>
      <c r="S35" s="198"/>
      <c r="T35" s="198"/>
      <c r="U35" s="198"/>
    </row>
    <row r="36" spans="1:21" s="12" customFormat="1" x14ac:dyDescent="0.25">
      <c r="A36" s="214" t="s">
        <v>1044</v>
      </c>
      <c r="B36" s="64">
        <v>7.59</v>
      </c>
      <c r="C36" s="64">
        <v>8.7100000000000009</v>
      </c>
      <c r="D36" s="64">
        <v>16.3</v>
      </c>
      <c r="E36" s="64">
        <v>0.53</v>
      </c>
      <c r="F36" s="64">
        <v>0.69</v>
      </c>
      <c r="G36" s="64">
        <v>11.04</v>
      </c>
      <c r="H36" s="64">
        <v>4.91</v>
      </c>
      <c r="I36" s="64">
        <v>0.12</v>
      </c>
      <c r="J36" s="64">
        <v>1.05</v>
      </c>
      <c r="K36" s="64">
        <v>153.94</v>
      </c>
      <c r="L36" s="64">
        <v>22.91</v>
      </c>
      <c r="M36" s="64">
        <v>98.55</v>
      </c>
      <c r="N36" s="64">
        <v>117</v>
      </c>
      <c r="O36" s="64">
        <v>0</v>
      </c>
      <c r="P36" s="64">
        <v>0.22</v>
      </c>
      <c r="Q36" s="64">
        <v>16.850000000000001</v>
      </c>
      <c r="R36" s="198"/>
      <c r="S36" s="198"/>
      <c r="T36" s="198"/>
      <c r="U36" s="198"/>
    </row>
    <row r="37" spans="1:21" s="12" customFormat="1" x14ac:dyDescent="0.25">
      <c r="A37" s="214" t="s">
        <v>1045</v>
      </c>
      <c r="B37" s="64">
        <v>7.59</v>
      </c>
      <c r="C37" s="64">
        <v>8.86</v>
      </c>
      <c r="D37" s="64">
        <v>16.45</v>
      </c>
      <c r="E37" s="64">
        <v>0.91</v>
      </c>
      <c r="F37" s="64">
        <v>1.58</v>
      </c>
      <c r="G37" s="64">
        <v>10.38</v>
      </c>
      <c r="H37" s="64">
        <v>5.14</v>
      </c>
      <c r="I37" s="64">
        <v>0.12</v>
      </c>
      <c r="J37" s="64">
        <v>0.38</v>
      </c>
      <c r="K37" s="64">
        <v>160.04</v>
      </c>
      <c r="L37" s="64">
        <v>23.19</v>
      </c>
      <c r="M37" s="64">
        <v>97.74</v>
      </c>
      <c r="N37" s="64">
        <v>122.6</v>
      </c>
      <c r="O37" s="64">
        <v>0</v>
      </c>
      <c r="P37" s="64">
        <v>0.21</v>
      </c>
      <c r="Q37" s="64">
        <v>16.45</v>
      </c>
      <c r="R37" s="198"/>
      <c r="S37" s="198"/>
      <c r="T37" s="198"/>
      <c r="U37" s="198"/>
    </row>
    <row r="38" spans="1:21" s="12" customFormat="1" x14ac:dyDescent="0.25">
      <c r="A38" s="214" t="s">
        <v>1046</v>
      </c>
      <c r="B38" s="64">
        <v>7.5</v>
      </c>
      <c r="C38" s="64">
        <v>8.89</v>
      </c>
      <c r="D38" s="64">
        <v>16.38</v>
      </c>
      <c r="E38" s="64">
        <v>0.86</v>
      </c>
      <c r="F38" s="64">
        <v>0.82</v>
      </c>
      <c r="G38" s="64">
        <v>10.38</v>
      </c>
      <c r="H38" s="64">
        <v>5.14</v>
      </c>
      <c r="I38" s="64">
        <v>0.12</v>
      </c>
      <c r="J38" s="64">
        <v>0.23</v>
      </c>
      <c r="K38" s="64">
        <v>173.77</v>
      </c>
      <c r="L38" s="64">
        <v>23.18</v>
      </c>
      <c r="M38" s="64">
        <v>96.92</v>
      </c>
      <c r="N38" s="64">
        <v>104.7</v>
      </c>
      <c r="O38" s="64">
        <v>0</v>
      </c>
      <c r="P38" s="64">
        <v>0.24</v>
      </c>
      <c r="Q38" s="64">
        <v>16.809999999999999</v>
      </c>
      <c r="R38" s="198"/>
      <c r="S38" s="198"/>
      <c r="T38" s="198"/>
      <c r="U38" s="198"/>
    </row>
    <row r="39" spans="1:21" s="12" customFormat="1" x14ac:dyDescent="0.25">
      <c r="A39" s="214" t="s">
        <v>1047</v>
      </c>
      <c r="B39" s="64">
        <v>7.21</v>
      </c>
      <c r="C39" s="64">
        <v>8.89</v>
      </c>
      <c r="D39" s="64">
        <v>16.11</v>
      </c>
      <c r="E39" s="64">
        <v>0.23</v>
      </c>
      <c r="F39" s="64">
        <v>2.27</v>
      </c>
      <c r="G39" s="64">
        <v>10.38</v>
      </c>
      <c r="H39" s="64">
        <v>5.14</v>
      </c>
      <c r="I39" s="64">
        <v>0.12</v>
      </c>
      <c r="J39" s="64">
        <v>0.42</v>
      </c>
      <c r="K39" s="64">
        <v>181.99</v>
      </c>
      <c r="L39" s="64">
        <v>23.4</v>
      </c>
      <c r="M39" s="64">
        <v>96.4</v>
      </c>
      <c r="N39" s="64">
        <v>140.80000000000001</v>
      </c>
      <c r="O39" s="64">
        <v>0</v>
      </c>
      <c r="P39" s="64">
        <v>0.23</v>
      </c>
      <c r="Q39" s="64">
        <v>16.32</v>
      </c>
      <c r="R39" s="198"/>
      <c r="S39" s="198"/>
      <c r="T39" s="198"/>
      <c r="U39" s="198"/>
    </row>
    <row r="40" spans="1:21" s="12" customFormat="1" x14ac:dyDescent="0.25">
      <c r="A40" s="214" t="s">
        <v>1048</v>
      </c>
      <c r="B40" s="64">
        <v>6.96</v>
      </c>
      <c r="C40" s="64">
        <v>9.35</v>
      </c>
      <c r="D40" s="64">
        <v>16.3</v>
      </c>
      <c r="E40" s="64">
        <v>1.76</v>
      </c>
      <c r="F40" s="64">
        <v>1.74</v>
      </c>
      <c r="G40" s="64">
        <v>11.02</v>
      </c>
      <c r="H40" s="64">
        <v>4.28</v>
      </c>
      <c r="I40" s="64">
        <v>0.12</v>
      </c>
      <c r="J40" s="64">
        <v>0.21</v>
      </c>
      <c r="K40" s="64">
        <v>182.08</v>
      </c>
      <c r="L40" s="64">
        <v>23.46</v>
      </c>
      <c r="M40" s="64">
        <v>95.76</v>
      </c>
      <c r="N40" s="64">
        <v>149.19999999999999</v>
      </c>
      <c r="O40" s="64">
        <v>0</v>
      </c>
      <c r="P40" s="64">
        <v>0.24</v>
      </c>
      <c r="Q40" s="64">
        <v>16.739999999999998</v>
      </c>
      <c r="R40" s="198"/>
      <c r="S40" s="198"/>
      <c r="T40" s="198"/>
      <c r="U40" s="198"/>
    </row>
    <row r="41" spans="1:21" s="12" customFormat="1" x14ac:dyDescent="0.25">
      <c r="A41" s="214" t="s">
        <v>1049</v>
      </c>
      <c r="B41" s="64">
        <v>7</v>
      </c>
      <c r="C41" s="64">
        <v>9.7100000000000009</v>
      </c>
      <c r="D41" s="64">
        <v>16.71</v>
      </c>
      <c r="E41" s="64">
        <v>3.21</v>
      </c>
      <c r="F41" s="64">
        <v>2.27</v>
      </c>
      <c r="G41" s="64">
        <v>11.58</v>
      </c>
      <c r="H41" s="64">
        <v>3.93</v>
      </c>
      <c r="I41" s="64">
        <v>0.12</v>
      </c>
      <c r="J41" s="64">
        <v>0.19</v>
      </c>
      <c r="K41" s="64">
        <v>182.7</v>
      </c>
      <c r="L41" s="64">
        <v>23.91</v>
      </c>
      <c r="M41" s="64">
        <v>92.93</v>
      </c>
      <c r="N41" s="64">
        <v>247.8</v>
      </c>
      <c r="O41" s="64">
        <v>0</v>
      </c>
      <c r="P41" s="64">
        <v>0.24</v>
      </c>
      <c r="Q41" s="64">
        <v>17.52</v>
      </c>
      <c r="R41" s="198"/>
      <c r="S41" s="198"/>
      <c r="T41" s="198"/>
      <c r="U41" s="198"/>
    </row>
    <row r="42" spans="1:21" s="12" customFormat="1" x14ac:dyDescent="0.25">
      <c r="A42" s="214" t="s">
        <v>1050</v>
      </c>
      <c r="B42" s="64">
        <v>6.88</v>
      </c>
      <c r="C42" s="64">
        <v>9.7100000000000009</v>
      </c>
      <c r="D42" s="64">
        <v>16.59</v>
      </c>
      <c r="E42" s="64">
        <v>3.24</v>
      </c>
      <c r="F42" s="64">
        <v>2.09</v>
      </c>
      <c r="G42" s="64">
        <v>11.58</v>
      </c>
      <c r="H42" s="64">
        <v>3.93</v>
      </c>
      <c r="I42" s="64">
        <v>0.12</v>
      </c>
      <c r="J42" s="64">
        <v>0.19</v>
      </c>
      <c r="K42" s="64">
        <v>187.14</v>
      </c>
      <c r="L42" s="64">
        <v>24.16</v>
      </c>
      <c r="M42" s="64">
        <v>91.6</v>
      </c>
      <c r="N42" s="64">
        <v>194.7</v>
      </c>
      <c r="O42" s="64">
        <v>0</v>
      </c>
      <c r="P42" s="64">
        <v>0.25</v>
      </c>
      <c r="Q42" s="64">
        <v>17.43</v>
      </c>
      <c r="R42" s="198"/>
      <c r="S42" s="198"/>
      <c r="T42" s="198"/>
      <c r="U42" s="198"/>
    </row>
    <row r="43" spans="1:21" s="12" customFormat="1" x14ac:dyDescent="0.25">
      <c r="A43" s="214" t="s">
        <v>1051</v>
      </c>
      <c r="B43" s="64">
        <v>6.5</v>
      </c>
      <c r="C43" s="64">
        <v>9.34</v>
      </c>
      <c r="D43" s="64">
        <v>15.84</v>
      </c>
      <c r="E43" s="64">
        <v>3.07</v>
      </c>
      <c r="F43" s="64">
        <v>2</v>
      </c>
      <c r="G43" s="64">
        <v>11.58</v>
      </c>
      <c r="H43" s="64">
        <v>3.93</v>
      </c>
      <c r="I43" s="64">
        <v>0.12</v>
      </c>
      <c r="J43" s="64">
        <v>0.28999999999999998</v>
      </c>
      <c r="K43" s="64">
        <v>174.58</v>
      </c>
      <c r="L43" s="64">
        <v>24.24</v>
      </c>
      <c r="M43" s="64">
        <v>90.81</v>
      </c>
      <c r="N43" s="64">
        <v>318.39999999999998</v>
      </c>
      <c r="O43" s="64">
        <v>0</v>
      </c>
      <c r="P43" s="64">
        <v>0.25</v>
      </c>
      <c r="Q43" s="64">
        <v>17.16</v>
      </c>
      <c r="R43" s="198"/>
      <c r="S43" s="198"/>
      <c r="T43" s="198"/>
      <c r="U43" s="198"/>
    </row>
    <row r="44" spans="1:21" s="12" customFormat="1" x14ac:dyDescent="0.25">
      <c r="A44" s="214" t="s">
        <v>1052</v>
      </c>
      <c r="B44" s="64">
        <v>6.08</v>
      </c>
      <c r="C44" s="64">
        <v>9.4</v>
      </c>
      <c r="D44" s="64">
        <v>15.48</v>
      </c>
      <c r="E44" s="64">
        <v>2.98</v>
      </c>
      <c r="F44" s="64">
        <v>1.92</v>
      </c>
      <c r="G44" s="64">
        <v>14.6</v>
      </c>
      <c r="H44" s="64">
        <v>4.2300000000000004</v>
      </c>
      <c r="I44" s="64">
        <v>0.12</v>
      </c>
      <c r="J44" s="64">
        <v>0.08</v>
      </c>
      <c r="K44" s="64">
        <v>195.33</v>
      </c>
      <c r="L44" s="64">
        <v>24.53</v>
      </c>
      <c r="M44" s="64">
        <v>88.63</v>
      </c>
      <c r="N44" s="64">
        <v>250.8</v>
      </c>
      <c r="O44" s="64">
        <v>0</v>
      </c>
      <c r="P44" s="64">
        <v>0.26</v>
      </c>
      <c r="Q44" s="64">
        <v>16.78</v>
      </c>
      <c r="R44" s="198"/>
      <c r="S44" s="198"/>
      <c r="T44" s="198"/>
      <c r="U44" s="198"/>
    </row>
    <row r="45" spans="1:21" s="12" customFormat="1" x14ac:dyDescent="0.25">
      <c r="A45" s="214" t="s">
        <v>1053</v>
      </c>
      <c r="B45" s="64">
        <v>5.57</v>
      </c>
      <c r="C45" s="64">
        <v>9.64</v>
      </c>
      <c r="D45" s="64">
        <v>15.21</v>
      </c>
      <c r="E45" s="64">
        <v>2.82</v>
      </c>
      <c r="F45" s="64">
        <v>2.02</v>
      </c>
      <c r="G45" s="64">
        <v>17.25</v>
      </c>
      <c r="H45" s="64">
        <v>4.3600000000000003</v>
      </c>
      <c r="I45" s="64">
        <v>0.12</v>
      </c>
      <c r="J45" s="64">
        <v>0.17</v>
      </c>
      <c r="K45" s="64">
        <v>141.63999999999999</v>
      </c>
      <c r="L45" s="64">
        <v>24.81</v>
      </c>
      <c r="M45" s="64">
        <v>87.21</v>
      </c>
      <c r="N45" s="64">
        <v>357.1</v>
      </c>
      <c r="O45" s="64">
        <v>0</v>
      </c>
      <c r="P45" s="64">
        <v>0.24</v>
      </c>
      <c r="Q45" s="64">
        <v>15.43</v>
      </c>
      <c r="R45" s="198"/>
      <c r="S45" s="198"/>
      <c r="T45" s="198"/>
      <c r="U45" s="198"/>
    </row>
    <row r="46" spans="1:21" s="12" customFormat="1" x14ac:dyDescent="0.25">
      <c r="A46" s="214" t="s">
        <v>1054</v>
      </c>
      <c r="B46" s="64">
        <v>5.17</v>
      </c>
      <c r="C46" s="64">
        <v>9.4600000000000009</v>
      </c>
      <c r="D46" s="64">
        <v>14.63</v>
      </c>
      <c r="E46" s="64">
        <v>2.81</v>
      </c>
      <c r="F46" s="64">
        <v>2.66</v>
      </c>
      <c r="G46" s="64">
        <v>17.25</v>
      </c>
      <c r="H46" s="64">
        <v>4.3600000000000003</v>
      </c>
      <c r="I46" s="64">
        <v>0.12</v>
      </c>
      <c r="J46" s="64">
        <v>0.39</v>
      </c>
      <c r="K46" s="64">
        <v>178.84</v>
      </c>
      <c r="L46" s="64">
        <v>24.88</v>
      </c>
      <c r="M46" s="64">
        <v>86.4</v>
      </c>
      <c r="N46" s="64">
        <v>301.39999999999998</v>
      </c>
      <c r="O46" s="64">
        <v>0</v>
      </c>
      <c r="P46" s="64">
        <v>0.23</v>
      </c>
      <c r="Q46" s="64">
        <v>13.33</v>
      </c>
      <c r="R46" s="198"/>
      <c r="S46" s="198"/>
      <c r="T46" s="198"/>
      <c r="U46" s="198"/>
    </row>
    <row r="47" spans="1:21" s="12" customFormat="1" x14ac:dyDescent="0.25">
      <c r="A47" s="214" t="s">
        <v>1055</v>
      </c>
      <c r="B47" s="64">
        <v>4.78</v>
      </c>
      <c r="C47" s="64">
        <v>9.18</v>
      </c>
      <c r="D47" s="64">
        <v>13.96</v>
      </c>
      <c r="E47" s="64">
        <v>2.81</v>
      </c>
      <c r="F47" s="64">
        <v>2.2200000000000002</v>
      </c>
      <c r="G47" s="64">
        <v>17.25</v>
      </c>
      <c r="H47" s="64">
        <v>4.3600000000000003</v>
      </c>
      <c r="I47" s="64">
        <v>0.12</v>
      </c>
      <c r="J47" s="64">
        <v>0.23</v>
      </c>
      <c r="K47" s="64">
        <v>177.41</v>
      </c>
      <c r="L47" s="64">
        <v>24.59</v>
      </c>
      <c r="M47" s="64">
        <v>88.15</v>
      </c>
      <c r="N47" s="64">
        <v>213.8</v>
      </c>
      <c r="O47" s="64">
        <v>0</v>
      </c>
      <c r="P47" s="64">
        <v>0.25</v>
      </c>
      <c r="Q47" s="64">
        <v>12.48</v>
      </c>
      <c r="R47" s="198"/>
      <c r="S47" s="198"/>
      <c r="T47" s="198"/>
      <c r="U47" s="198"/>
    </row>
    <row r="48" spans="1:21" s="12" customFormat="1" x14ac:dyDescent="0.25">
      <c r="A48" s="214" t="s">
        <v>1056</v>
      </c>
      <c r="B48" s="64">
        <v>4.95</v>
      </c>
      <c r="C48" s="64">
        <v>10.84</v>
      </c>
      <c r="D48" s="64">
        <v>15.79</v>
      </c>
      <c r="E48" s="64">
        <v>1.98</v>
      </c>
      <c r="F48" s="64">
        <v>1.72</v>
      </c>
      <c r="G48" s="64">
        <v>14.61</v>
      </c>
      <c r="H48" s="64">
        <v>4.91</v>
      </c>
      <c r="I48" s="64">
        <v>0.12</v>
      </c>
      <c r="J48" s="64">
        <v>0.3</v>
      </c>
      <c r="K48" s="64">
        <v>178.51</v>
      </c>
      <c r="L48" s="64">
        <v>24.81</v>
      </c>
      <c r="M48" s="64">
        <v>87.55</v>
      </c>
      <c r="N48" s="64">
        <v>296.7</v>
      </c>
      <c r="O48" s="64">
        <v>0</v>
      </c>
      <c r="P48" s="64">
        <v>0.24</v>
      </c>
      <c r="Q48" s="64">
        <v>12.93</v>
      </c>
      <c r="R48" s="198"/>
      <c r="S48" s="198"/>
      <c r="T48" s="198"/>
      <c r="U48" s="198"/>
    </row>
    <row r="49" spans="1:21" s="12" customFormat="1" x14ac:dyDescent="0.25">
      <c r="A49" s="214" t="s">
        <v>1057</v>
      </c>
      <c r="B49" s="64">
        <v>4.6399999999999997</v>
      </c>
      <c r="C49" s="64">
        <v>9.77</v>
      </c>
      <c r="D49" s="64">
        <v>14.41</v>
      </c>
      <c r="E49" s="64">
        <v>2.16</v>
      </c>
      <c r="F49" s="64">
        <v>2.14</v>
      </c>
      <c r="G49" s="64">
        <v>12.31</v>
      </c>
      <c r="H49" s="64">
        <v>5.14</v>
      </c>
      <c r="I49" s="64">
        <v>0.12</v>
      </c>
      <c r="J49" s="64">
        <v>0.32</v>
      </c>
      <c r="K49" s="64">
        <v>191.25</v>
      </c>
      <c r="L49" s="64">
        <v>24.96</v>
      </c>
      <c r="M49" s="64">
        <v>86.6</v>
      </c>
      <c r="N49" s="64">
        <v>240.4</v>
      </c>
      <c r="O49" s="64">
        <v>0</v>
      </c>
      <c r="P49" s="64">
        <v>0.25</v>
      </c>
      <c r="Q49" s="64">
        <v>11.44</v>
      </c>
      <c r="R49" s="198"/>
      <c r="S49" s="198"/>
      <c r="T49" s="198"/>
      <c r="U49" s="198"/>
    </row>
    <row r="50" spans="1:21" s="12" customFormat="1" x14ac:dyDescent="0.25">
      <c r="A50" s="214" t="s">
        <v>1058</v>
      </c>
      <c r="B50" s="64">
        <v>4.38</v>
      </c>
      <c r="C50" s="64">
        <v>9.4600000000000009</v>
      </c>
      <c r="D50" s="64">
        <v>13.84</v>
      </c>
      <c r="E50" s="64">
        <v>2.58</v>
      </c>
      <c r="F50" s="64">
        <v>1.38</v>
      </c>
      <c r="G50" s="64">
        <v>12.31</v>
      </c>
      <c r="H50" s="64">
        <v>5.14</v>
      </c>
      <c r="I50" s="64">
        <v>0.12</v>
      </c>
      <c r="J50" s="64">
        <v>0.13</v>
      </c>
      <c r="K50" s="64">
        <v>189.13</v>
      </c>
      <c r="L50" s="64">
        <v>24.94</v>
      </c>
      <c r="M50" s="64">
        <v>86.82</v>
      </c>
      <c r="N50" s="64">
        <v>264.60000000000002</v>
      </c>
      <c r="O50" s="64">
        <v>0</v>
      </c>
      <c r="P50" s="64">
        <v>0.25</v>
      </c>
      <c r="Q50" s="64">
        <v>12.16</v>
      </c>
      <c r="R50" s="198"/>
      <c r="S50" s="198"/>
      <c r="T50" s="198"/>
      <c r="U50" s="198"/>
    </row>
    <row r="51" spans="1:21" s="12" customFormat="1" x14ac:dyDescent="0.25">
      <c r="A51" s="214" t="s">
        <v>1059</v>
      </c>
      <c r="B51" s="64">
        <v>4.1900000000000004</v>
      </c>
      <c r="C51" s="64">
        <v>9.2200000000000006</v>
      </c>
      <c r="D51" s="64">
        <v>13.41</v>
      </c>
      <c r="E51" s="64">
        <v>2.06</v>
      </c>
      <c r="F51" s="64">
        <v>2.02</v>
      </c>
      <c r="G51" s="64">
        <v>12.31</v>
      </c>
      <c r="H51" s="64">
        <v>5.14</v>
      </c>
      <c r="I51" s="64">
        <v>0.12</v>
      </c>
      <c r="J51" s="64">
        <v>0.11</v>
      </c>
      <c r="K51" s="64">
        <v>20.39</v>
      </c>
      <c r="L51" s="64">
        <v>25.13</v>
      </c>
      <c r="M51" s="64">
        <v>84.8</v>
      </c>
      <c r="N51" s="64">
        <v>248</v>
      </c>
      <c r="O51" s="64">
        <v>0</v>
      </c>
      <c r="P51" s="64">
        <v>0.25</v>
      </c>
      <c r="Q51" s="64">
        <v>11.27</v>
      </c>
      <c r="R51" s="198"/>
      <c r="S51" s="198"/>
      <c r="T51" s="198"/>
      <c r="U51" s="198"/>
    </row>
    <row r="52" spans="1:21" s="12" customFormat="1" x14ac:dyDescent="0.25">
      <c r="A52" s="214" t="s">
        <v>1060</v>
      </c>
      <c r="B52" s="64">
        <v>4.16</v>
      </c>
      <c r="C52" s="64">
        <v>9.86</v>
      </c>
      <c r="D52" s="64">
        <v>14.02</v>
      </c>
      <c r="E52" s="64">
        <v>2.4500000000000002</v>
      </c>
      <c r="F52" s="64">
        <v>3.42</v>
      </c>
      <c r="G52" s="64">
        <v>13.46</v>
      </c>
      <c r="H52" s="64">
        <v>4.32</v>
      </c>
      <c r="I52" s="64">
        <v>0.12</v>
      </c>
      <c r="J52" s="64">
        <v>0.14000000000000001</v>
      </c>
      <c r="K52" s="64">
        <v>126.18</v>
      </c>
      <c r="L52" s="64">
        <v>25.67</v>
      </c>
      <c r="M52" s="64">
        <v>83.56</v>
      </c>
      <c r="N52" s="64">
        <v>316.8</v>
      </c>
      <c r="O52" s="64">
        <v>0</v>
      </c>
      <c r="P52" s="64">
        <v>0.26</v>
      </c>
      <c r="Q52" s="64">
        <v>11.28</v>
      </c>
      <c r="R52" s="198"/>
      <c r="S52" s="198"/>
      <c r="T52" s="198"/>
      <c r="U52" s="198"/>
    </row>
    <row r="53" spans="1:21" s="12" customFormat="1" x14ac:dyDescent="0.25">
      <c r="A53" s="214" t="s">
        <v>1061</v>
      </c>
      <c r="B53" s="64">
        <v>4.33</v>
      </c>
      <c r="C53" s="64">
        <v>10.220000000000001</v>
      </c>
      <c r="D53" s="64">
        <v>14.55</v>
      </c>
      <c r="E53" s="64">
        <v>2.71</v>
      </c>
      <c r="F53" s="64">
        <v>3.06</v>
      </c>
      <c r="G53" s="64">
        <v>14.47</v>
      </c>
      <c r="H53" s="64">
        <v>3.99</v>
      </c>
      <c r="I53" s="64">
        <v>0.12</v>
      </c>
      <c r="J53" s="64">
        <v>0.31</v>
      </c>
      <c r="K53" s="64">
        <v>183.9</v>
      </c>
      <c r="L53" s="64">
        <v>25.48</v>
      </c>
      <c r="M53" s="64">
        <v>83.75</v>
      </c>
      <c r="N53" s="64">
        <v>321.89999999999998</v>
      </c>
      <c r="O53" s="64">
        <v>0</v>
      </c>
      <c r="P53" s="64">
        <v>0.26</v>
      </c>
      <c r="Q53" s="64">
        <v>12.03</v>
      </c>
      <c r="R53" s="198"/>
      <c r="S53" s="198"/>
      <c r="T53" s="198"/>
      <c r="U53" s="198"/>
    </row>
    <row r="54" spans="1:21" s="12" customFormat="1" x14ac:dyDescent="0.25">
      <c r="A54" s="214" t="s">
        <v>1062</v>
      </c>
      <c r="B54" s="64">
        <v>4.5599999999999996</v>
      </c>
      <c r="C54" s="64">
        <v>10.29</v>
      </c>
      <c r="D54" s="64">
        <v>14.85</v>
      </c>
      <c r="E54" s="64">
        <v>2.42</v>
      </c>
      <c r="F54" s="64">
        <v>2.61</v>
      </c>
      <c r="G54" s="64">
        <v>14.47</v>
      </c>
      <c r="H54" s="64">
        <v>3.99</v>
      </c>
      <c r="I54" s="64">
        <v>0.12</v>
      </c>
      <c r="J54" s="64">
        <v>0.48</v>
      </c>
      <c r="K54" s="64">
        <v>150.06</v>
      </c>
      <c r="L54" s="64">
        <v>25.65</v>
      </c>
      <c r="M54" s="64">
        <v>83.83</v>
      </c>
      <c r="N54" s="64">
        <v>207.6</v>
      </c>
      <c r="O54" s="64">
        <v>0</v>
      </c>
      <c r="P54" s="64">
        <v>0.27</v>
      </c>
      <c r="Q54" s="64">
        <v>12.89</v>
      </c>
      <c r="R54" s="198"/>
      <c r="S54" s="198"/>
      <c r="T54" s="198"/>
      <c r="U54" s="198"/>
    </row>
    <row r="55" spans="1:21" s="12" customFormat="1" x14ac:dyDescent="0.25">
      <c r="A55" s="214" t="s">
        <v>1063</v>
      </c>
      <c r="B55" s="64">
        <v>4.6399999999999997</v>
      </c>
      <c r="C55" s="64">
        <v>10.32</v>
      </c>
      <c r="D55" s="64">
        <v>14.96</v>
      </c>
      <c r="E55" s="64">
        <v>2.23</v>
      </c>
      <c r="F55" s="64">
        <v>3.79</v>
      </c>
      <c r="G55" s="64">
        <v>14.47</v>
      </c>
      <c r="H55" s="64">
        <v>3.99</v>
      </c>
      <c r="I55" s="64">
        <v>0.12</v>
      </c>
      <c r="J55" s="64">
        <v>0.11</v>
      </c>
      <c r="K55" s="64">
        <v>157.11000000000001</v>
      </c>
      <c r="L55" s="64">
        <v>24.87</v>
      </c>
      <c r="M55" s="64">
        <v>90.25</v>
      </c>
      <c r="N55" s="64">
        <v>163.4</v>
      </c>
      <c r="O55" s="64">
        <v>0</v>
      </c>
      <c r="P55" s="64">
        <v>0.27</v>
      </c>
      <c r="Q55" s="64">
        <v>13.74</v>
      </c>
      <c r="R55" s="198"/>
      <c r="S55" s="198"/>
      <c r="T55" s="198"/>
      <c r="U55" s="198"/>
    </row>
    <row r="56" spans="1:21" s="12" customFormat="1" x14ac:dyDescent="0.25">
      <c r="A56" s="214" t="s">
        <v>1064</v>
      </c>
      <c r="B56" s="64">
        <v>4.59</v>
      </c>
      <c r="C56" s="64">
        <v>9.9499999999999993</v>
      </c>
      <c r="D56" s="64">
        <v>14.54</v>
      </c>
      <c r="E56" s="64">
        <v>0.11</v>
      </c>
      <c r="F56" s="64">
        <v>4.99</v>
      </c>
      <c r="G56" s="64">
        <v>14</v>
      </c>
      <c r="H56" s="64">
        <v>4.13</v>
      </c>
      <c r="I56" s="64">
        <v>0.12</v>
      </c>
      <c r="J56" s="64">
        <v>0.56999999999999995</v>
      </c>
      <c r="K56" s="64">
        <v>146.51</v>
      </c>
      <c r="L56" s="64">
        <v>25.22</v>
      </c>
      <c r="M56" s="64">
        <v>87.99</v>
      </c>
      <c r="N56" s="64">
        <v>226.3</v>
      </c>
      <c r="O56" s="64">
        <v>0</v>
      </c>
      <c r="P56" s="64">
        <v>0.28000000000000003</v>
      </c>
      <c r="Q56" s="64">
        <v>14</v>
      </c>
      <c r="R56" s="198"/>
      <c r="S56" s="198"/>
      <c r="T56" s="198"/>
      <c r="U56" s="198"/>
    </row>
    <row r="57" spans="1:21" s="12" customFormat="1" x14ac:dyDescent="0.25">
      <c r="A57" s="214" t="s">
        <v>1065</v>
      </c>
      <c r="B57" s="64">
        <v>5.29</v>
      </c>
      <c r="C57" s="64">
        <v>11.62</v>
      </c>
      <c r="D57" s="64">
        <v>16.91</v>
      </c>
      <c r="E57" s="64">
        <v>0.72</v>
      </c>
      <c r="F57" s="64">
        <v>4.51</v>
      </c>
      <c r="G57" s="64">
        <v>13.6</v>
      </c>
      <c r="H57" s="64">
        <v>4.24</v>
      </c>
      <c r="I57" s="64">
        <v>0.12</v>
      </c>
      <c r="J57" s="64">
        <v>0.4</v>
      </c>
      <c r="K57" s="64">
        <v>142.05000000000001</v>
      </c>
      <c r="L57" s="64">
        <v>25.43</v>
      </c>
      <c r="M57" s="64">
        <v>87.47</v>
      </c>
      <c r="N57" s="64">
        <v>229.2</v>
      </c>
      <c r="O57" s="64">
        <v>0</v>
      </c>
      <c r="P57" s="64">
        <v>0.26</v>
      </c>
      <c r="Q57" s="64">
        <v>13.47</v>
      </c>
      <c r="R57" s="198"/>
      <c r="S57" s="198"/>
      <c r="T57" s="198"/>
      <c r="U57" s="198"/>
    </row>
    <row r="58" spans="1:21" s="12" customFormat="1" x14ac:dyDescent="0.25">
      <c r="A58" s="214" t="s">
        <v>1066</v>
      </c>
      <c r="B58" s="64">
        <v>5.99</v>
      </c>
      <c r="C58" s="64">
        <v>13.11</v>
      </c>
      <c r="D58" s="64">
        <v>19.100000000000001</v>
      </c>
      <c r="E58" s="64">
        <v>0.8</v>
      </c>
      <c r="F58" s="64">
        <v>5.93</v>
      </c>
      <c r="G58" s="64">
        <v>13.6</v>
      </c>
      <c r="H58" s="64">
        <v>4.24</v>
      </c>
      <c r="I58" s="64">
        <v>0.12</v>
      </c>
      <c r="J58" s="64">
        <v>0.3</v>
      </c>
      <c r="K58" s="64">
        <v>153.91999999999999</v>
      </c>
      <c r="L58" s="64">
        <v>26.28</v>
      </c>
      <c r="M58" s="64">
        <v>81.87</v>
      </c>
      <c r="N58" s="64">
        <v>398.7</v>
      </c>
      <c r="O58" s="64">
        <v>0</v>
      </c>
      <c r="P58" s="64">
        <v>0.28000000000000003</v>
      </c>
      <c r="Q58" s="64">
        <v>12.64</v>
      </c>
      <c r="R58" s="198"/>
      <c r="S58" s="198"/>
      <c r="T58" s="198"/>
      <c r="U58" s="198"/>
    </row>
    <row r="59" spans="1:21" s="12" customFormat="1" x14ac:dyDescent="0.25">
      <c r="A59" s="214" t="s">
        <v>1067</v>
      </c>
      <c r="B59" s="64">
        <v>4.92</v>
      </c>
      <c r="C59" s="64">
        <v>9.32</v>
      </c>
      <c r="D59" s="64">
        <v>14.25</v>
      </c>
      <c r="E59" s="64">
        <v>0.28000000000000003</v>
      </c>
      <c r="F59" s="64">
        <v>1.57</v>
      </c>
      <c r="G59" s="64">
        <v>13.6</v>
      </c>
      <c r="H59" s="64">
        <v>4.24</v>
      </c>
      <c r="I59" s="64">
        <v>0.12</v>
      </c>
      <c r="J59" s="64">
        <v>0.04</v>
      </c>
      <c r="K59" s="64">
        <v>50.73</v>
      </c>
      <c r="L59" s="64">
        <v>26.35</v>
      </c>
      <c r="M59" s="64">
        <v>83.8</v>
      </c>
      <c r="N59" s="64">
        <v>181.3</v>
      </c>
      <c r="O59" s="64">
        <v>0</v>
      </c>
      <c r="P59" s="64">
        <v>0.28000000000000003</v>
      </c>
      <c r="Q59" s="64">
        <v>12.92</v>
      </c>
      <c r="R59" s="198"/>
      <c r="S59" s="198"/>
      <c r="T59" s="198"/>
      <c r="U59" s="198"/>
    </row>
    <row r="60" spans="1:21" s="12" customFormat="1" x14ac:dyDescent="0.25">
      <c r="A60" s="214" t="s">
        <v>1068</v>
      </c>
      <c r="B60" s="64">
        <v>4.6900000000000004</v>
      </c>
      <c r="C60" s="64">
        <v>9.11</v>
      </c>
      <c r="D60" s="64">
        <v>13.81</v>
      </c>
      <c r="E60" s="64">
        <v>0.56999999999999995</v>
      </c>
      <c r="F60" s="64">
        <v>1.57</v>
      </c>
      <c r="G60" s="64">
        <v>15.24</v>
      </c>
      <c r="H60" s="64">
        <v>3.56</v>
      </c>
      <c r="I60" s="64">
        <v>0.12</v>
      </c>
      <c r="J60" s="64">
        <v>0.08</v>
      </c>
      <c r="K60" s="64">
        <v>18.010000000000002</v>
      </c>
      <c r="L60" s="64">
        <v>25.62</v>
      </c>
      <c r="M60" s="64">
        <v>85.43</v>
      </c>
      <c r="N60" s="64">
        <v>208.2</v>
      </c>
      <c r="O60" s="64">
        <v>0</v>
      </c>
      <c r="P60" s="64">
        <v>0.28000000000000003</v>
      </c>
      <c r="Q60" s="64">
        <v>13.25</v>
      </c>
      <c r="R60" s="198"/>
      <c r="S60" s="198"/>
      <c r="T60" s="198"/>
      <c r="U60" s="198"/>
    </row>
    <row r="61" spans="1:21" s="12" customFormat="1" x14ac:dyDescent="0.25">
      <c r="A61" s="214" t="s">
        <v>1069</v>
      </c>
      <c r="B61" s="64">
        <v>4.51</v>
      </c>
      <c r="C61" s="64">
        <v>9.25</v>
      </c>
      <c r="D61" s="64">
        <v>13.76</v>
      </c>
      <c r="E61" s="64">
        <v>0.52</v>
      </c>
      <c r="F61" s="64">
        <v>3.4</v>
      </c>
      <c r="G61" s="64">
        <v>16.68</v>
      </c>
      <c r="H61" s="64">
        <v>3.28</v>
      </c>
      <c r="I61" s="64">
        <v>0.12</v>
      </c>
      <c r="J61" s="64">
        <v>0.32</v>
      </c>
      <c r="K61" s="64">
        <v>138.41</v>
      </c>
      <c r="L61" s="64">
        <v>25.93</v>
      </c>
      <c r="M61" s="64">
        <v>80.959999999999994</v>
      </c>
      <c r="N61" s="64">
        <v>362.6</v>
      </c>
      <c r="O61" s="64">
        <v>0</v>
      </c>
      <c r="P61" s="64">
        <v>0.26</v>
      </c>
      <c r="Q61" s="64">
        <v>11.68</v>
      </c>
      <c r="R61" s="198"/>
      <c r="S61" s="198"/>
      <c r="T61" s="198"/>
      <c r="U61" s="198"/>
    </row>
    <row r="62" spans="1:21" s="12" customFormat="1" x14ac:dyDescent="0.25">
      <c r="A62" s="214" t="s">
        <v>1070</v>
      </c>
      <c r="B62" s="64">
        <v>4.34</v>
      </c>
      <c r="C62" s="64">
        <v>9.06</v>
      </c>
      <c r="D62" s="64">
        <v>13.4</v>
      </c>
      <c r="E62" s="64">
        <v>0.85</v>
      </c>
      <c r="F62" s="64">
        <v>2.2400000000000002</v>
      </c>
      <c r="G62" s="64">
        <v>16.68</v>
      </c>
      <c r="H62" s="64">
        <v>3.28</v>
      </c>
      <c r="I62" s="64">
        <v>0.12</v>
      </c>
      <c r="J62" s="64">
        <v>0.16</v>
      </c>
      <c r="K62" s="64">
        <v>171.43</v>
      </c>
      <c r="L62" s="64">
        <v>26.29</v>
      </c>
      <c r="M62" s="64">
        <v>77.66</v>
      </c>
      <c r="N62" s="64">
        <v>380.9</v>
      </c>
      <c r="O62" s="64">
        <v>0</v>
      </c>
      <c r="P62" s="64">
        <v>0.28000000000000003</v>
      </c>
      <c r="Q62" s="64">
        <v>11.85</v>
      </c>
      <c r="R62" s="198"/>
      <c r="S62" s="198"/>
      <c r="T62" s="198"/>
      <c r="U62" s="198"/>
    </row>
    <row r="63" spans="1:21" s="12" customFormat="1" x14ac:dyDescent="0.25">
      <c r="A63" s="214" t="s">
        <v>1071</v>
      </c>
      <c r="B63" s="64">
        <v>4.2300000000000004</v>
      </c>
      <c r="C63" s="64">
        <v>9.36</v>
      </c>
      <c r="D63" s="64">
        <v>13.59</v>
      </c>
      <c r="E63" s="64">
        <v>0.99</v>
      </c>
      <c r="F63" s="64">
        <v>3.39</v>
      </c>
      <c r="G63" s="64">
        <v>16.68</v>
      </c>
      <c r="H63" s="64">
        <v>3.28</v>
      </c>
      <c r="I63" s="64">
        <v>0.12</v>
      </c>
      <c r="J63" s="64">
        <v>0.53</v>
      </c>
      <c r="K63" s="64">
        <v>154.71</v>
      </c>
      <c r="L63" s="64">
        <v>27.11</v>
      </c>
      <c r="M63" s="64">
        <v>76.27</v>
      </c>
      <c r="N63" s="64">
        <v>529.4</v>
      </c>
      <c r="O63" s="64">
        <v>0</v>
      </c>
      <c r="P63" s="64">
        <v>0.26</v>
      </c>
      <c r="Q63" s="64">
        <v>12.62</v>
      </c>
      <c r="R63" s="198"/>
      <c r="S63" s="198"/>
      <c r="T63" s="198"/>
      <c r="U63" s="198"/>
    </row>
    <row r="64" spans="1:21" s="12" customFormat="1" x14ac:dyDescent="0.25">
      <c r="A64" s="214" t="s">
        <v>1072</v>
      </c>
      <c r="B64" s="64">
        <v>4.3</v>
      </c>
      <c r="C64" s="64">
        <v>9.74</v>
      </c>
      <c r="D64" s="64">
        <v>14.04</v>
      </c>
      <c r="E64" s="64">
        <v>0.73</v>
      </c>
      <c r="F64" s="64">
        <v>5.1100000000000003</v>
      </c>
      <c r="G64" s="64">
        <v>14.09</v>
      </c>
      <c r="H64" s="64">
        <v>4.0199999999999996</v>
      </c>
      <c r="I64" s="64">
        <v>0.12</v>
      </c>
      <c r="J64" s="64">
        <v>0.22</v>
      </c>
      <c r="K64" s="64">
        <v>179.93</v>
      </c>
      <c r="L64" s="64">
        <v>27.49</v>
      </c>
      <c r="M64" s="64">
        <v>74.34</v>
      </c>
      <c r="N64" s="64">
        <v>320.3</v>
      </c>
      <c r="O64" s="64">
        <v>0</v>
      </c>
      <c r="P64" s="64">
        <v>0.27</v>
      </c>
      <c r="Q64" s="64">
        <v>13.08</v>
      </c>
      <c r="R64" s="198"/>
      <c r="S64" s="198"/>
      <c r="T64" s="198"/>
      <c r="U64" s="198"/>
    </row>
    <row r="65" spans="1:21" s="12" customFormat="1" x14ac:dyDescent="0.25">
      <c r="A65" s="214" t="s">
        <v>1073</v>
      </c>
      <c r="B65" s="64">
        <v>4.37</v>
      </c>
      <c r="C65" s="64">
        <v>10.029999999999999</v>
      </c>
      <c r="D65" s="64">
        <v>14.4</v>
      </c>
      <c r="E65" s="64">
        <v>0.28999999999999998</v>
      </c>
      <c r="F65" s="64">
        <v>2.76</v>
      </c>
      <c r="G65" s="64">
        <v>11.83</v>
      </c>
      <c r="H65" s="64">
        <v>4.3099999999999996</v>
      </c>
      <c r="I65" s="64">
        <v>0.12</v>
      </c>
      <c r="J65" s="64">
        <v>0.15</v>
      </c>
      <c r="K65" s="64">
        <v>182.19</v>
      </c>
      <c r="L65" s="64">
        <v>27.3</v>
      </c>
      <c r="M65" s="64">
        <v>76.17</v>
      </c>
      <c r="N65" s="64">
        <v>299</v>
      </c>
      <c r="O65" s="64">
        <v>0</v>
      </c>
      <c r="P65" s="64">
        <v>0.28000000000000003</v>
      </c>
      <c r="Q65" s="64">
        <v>13.41</v>
      </c>
      <c r="R65" s="198"/>
      <c r="S65" s="198"/>
      <c r="T65" s="198"/>
      <c r="U65" s="198"/>
    </row>
    <row r="66" spans="1:21" s="12" customFormat="1" x14ac:dyDescent="0.25">
      <c r="A66" s="214" t="s">
        <v>1074</v>
      </c>
      <c r="B66" s="64">
        <v>4.55</v>
      </c>
      <c r="C66" s="64">
        <v>10.07</v>
      </c>
      <c r="D66" s="64">
        <v>14.62</v>
      </c>
      <c r="E66" s="64">
        <v>0.96</v>
      </c>
      <c r="F66" s="64">
        <v>4.2300000000000004</v>
      </c>
      <c r="G66" s="64">
        <v>11.83</v>
      </c>
      <c r="H66" s="64">
        <v>4.3099999999999996</v>
      </c>
      <c r="I66" s="64">
        <v>0.11</v>
      </c>
      <c r="J66" s="64">
        <v>0.21</v>
      </c>
      <c r="K66" s="64">
        <v>148.80000000000001</v>
      </c>
      <c r="L66" s="64">
        <v>27.24</v>
      </c>
      <c r="M66" s="64">
        <v>75.540000000000006</v>
      </c>
      <c r="N66" s="64">
        <v>337.8</v>
      </c>
      <c r="O66" s="64">
        <v>0</v>
      </c>
      <c r="P66" s="64">
        <v>0.28999999999999998</v>
      </c>
      <c r="Q66" s="64">
        <v>13.92</v>
      </c>
      <c r="R66" s="198"/>
      <c r="S66" s="198"/>
      <c r="T66" s="198"/>
      <c r="U66" s="198"/>
    </row>
    <row r="67" spans="1:21" s="12" customFormat="1" x14ac:dyDescent="0.25">
      <c r="A67" s="214" t="s">
        <v>1075</v>
      </c>
      <c r="B67" s="64">
        <v>4.51</v>
      </c>
      <c r="C67" s="64">
        <v>9.8699999999999992</v>
      </c>
      <c r="D67" s="64">
        <v>14.38</v>
      </c>
      <c r="E67" s="64">
        <v>0.4</v>
      </c>
      <c r="F67" s="64">
        <v>3.71</v>
      </c>
      <c r="G67" s="64">
        <v>11.83</v>
      </c>
      <c r="H67" s="64">
        <v>4.3099999999999996</v>
      </c>
      <c r="I67" s="64">
        <v>0.12</v>
      </c>
      <c r="J67" s="64">
        <v>0.06</v>
      </c>
      <c r="K67" s="64">
        <v>179.8</v>
      </c>
      <c r="L67" s="64">
        <v>26.97</v>
      </c>
      <c r="M67" s="64">
        <v>74.56</v>
      </c>
      <c r="N67" s="64">
        <v>205.4</v>
      </c>
      <c r="O67" s="64">
        <v>0</v>
      </c>
      <c r="P67" s="64">
        <v>0.28000000000000003</v>
      </c>
      <c r="Q67" s="64">
        <v>14.12</v>
      </c>
      <c r="R67" s="198"/>
      <c r="S67" s="198"/>
      <c r="T67" s="198"/>
      <c r="U67" s="198"/>
    </row>
    <row r="68" spans="1:21" s="12" customFormat="1" x14ac:dyDescent="0.25">
      <c r="A68" s="214" t="s">
        <v>1076</v>
      </c>
      <c r="B68" s="64">
        <v>4.33</v>
      </c>
      <c r="C68" s="64">
        <v>9.86</v>
      </c>
      <c r="D68" s="64">
        <v>14.19</v>
      </c>
      <c r="E68" s="64">
        <v>0.3</v>
      </c>
      <c r="F68" s="64">
        <v>3.74</v>
      </c>
      <c r="G68" s="64">
        <v>13.05</v>
      </c>
      <c r="H68" s="64">
        <v>3.73</v>
      </c>
      <c r="I68" s="64">
        <v>0.12</v>
      </c>
      <c r="J68" s="64">
        <v>0.03</v>
      </c>
      <c r="K68" s="64">
        <v>236.26</v>
      </c>
      <c r="L68" s="64">
        <v>26.77</v>
      </c>
      <c r="M68" s="64">
        <v>76.7</v>
      </c>
      <c r="N68" s="64">
        <v>205</v>
      </c>
      <c r="O68" s="64">
        <v>0</v>
      </c>
      <c r="P68" s="64">
        <v>0.28000000000000003</v>
      </c>
      <c r="Q68" s="64">
        <v>13.58</v>
      </c>
      <c r="R68" s="198"/>
      <c r="S68" s="198"/>
      <c r="T68" s="198"/>
      <c r="U68" s="198"/>
    </row>
    <row r="69" spans="1:21" s="12" customFormat="1" x14ac:dyDescent="0.25">
      <c r="A69" s="214" t="s">
        <v>1077</v>
      </c>
      <c r="B69" s="64">
        <v>4.18</v>
      </c>
      <c r="C69" s="64">
        <v>9.6999999999999993</v>
      </c>
      <c r="D69" s="64">
        <v>13.88</v>
      </c>
      <c r="E69" s="64">
        <v>1.17</v>
      </c>
      <c r="F69" s="64">
        <v>3.47</v>
      </c>
      <c r="G69" s="64">
        <v>14.12</v>
      </c>
      <c r="H69" s="64">
        <v>3.5</v>
      </c>
      <c r="I69" s="64">
        <v>0.12</v>
      </c>
      <c r="J69" s="64">
        <v>0.22</v>
      </c>
      <c r="K69" s="64">
        <v>171.56</v>
      </c>
      <c r="L69" s="64">
        <v>26.7</v>
      </c>
      <c r="M69" s="64">
        <v>77.2</v>
      </c>
      <c r="N69" s="64">
        <v>172.6</v>
      </c>
      <c r="O69" s="64">
        <v>0</v>
      </c>
      <c r="P69" s="64">
        <v>0.27</v>
      </c>
      <c r="Q69" s="64">
        <v>12.39</v>
      </c>
      <c r="R69" s="198"/>
      <c r="S69" s="198"/>
      <c r="T69" s="198"/>
      <c r="U69" s="198"/>
    </row>
    <row r="70" spans="1:21" s="12" customFormat="1" x14ac:dyDescent="0.25">
      <c r="A70" s="214" t="s">
        <v>1078</v>
      </c>
      <c r="B70" s="64">
        <v>3.98</v>
      </c>
      <c r="C70" s="64">
        <v>9.4499999999999993</v>
      </c>
      <c r="D70" s="64">
        <v>13.43</v>
      </c>
      <c r="E70" s="64">
        <v>0.32</v>
      </c>
      <c r="F70" s="64">
        <v>3.15</v>
      </c>
      <c r="G70" s="64">
        <v>14.12</v>
      </c>
      <c r="H70" s="64">
        <v>3.5</v>
      </c>
      <c r="I70" s="64">
        <v>0.12</v>
      </c>
      <c r="J70" s="64">
        <v>0.11</v>
      </c>
      <c r="K70" s="64">
        <v>198.62</v>
      </c>
      <c r="L70" s="64">
        <v>26.44</v>
      </c>
      <c r="M70" s="64">
        <v>77.88</v>
      </c>
      <c r="N70" s="64">
        <v>186.4</v>
      </c>
      <c r="O70" s="64">
        <v>0</v>
      </c>
      <c r="P70" s="64">
        <v>0.26</v>
      </c>
      <c r="Q70" s="64">
        <v>11.01</v>
      </c>
      <c r="R70" s="198"/>
      <c r="S70" s="198"/>
      <c r="T70" s="198"/>
      <c r="U70" s="198"/>
    </row>
    <row r="71" spans="1:21" s="12" customFormat="1" x14ac:dyDescent="0.25">
      <c r="A71" s="214" t="s">
        <v>1079</v>
      </c>
      <c r="B71" s="64">
        <v>4.5</v>
      </c>
      <c r="C71" s="64">
        <v>11.5</v>
      </c>
      <c r="D71" s="64">
        <v>15.99</v>
      </c>
      <c r="E71" s="64">
        <v>0.04</v>
      </c>
      <c r="F71" s="64">
        <v>3.33</v>
      </c>
      <c r="G71" s="64">
        <v>14.12</v>
      </c>
      <c r="H71" s="64">
        <v>3.5</v>
      </c>
      <c r="I71" s="64">
        <v>0.12</v>
      </c>
      <c r="J71" s="64">
        <v>0.16</v>
      </c>
      <c r="K71" s="64">
        <v>24.19</v>
      </c>
      <c r="L71" s="64">
        <v>26.5</v>
      </c>
      <c r="M71" s="64">
        <v>79.19</v>
      </c>
      <c r="N71" s="64">
        <v>162.4</v>
      </c>
      <c r="O71" s="64">
        <v>0</v>
      </c>
      <c r="P71" s="64">
        <v>0.27</v>
      </c>
      <c r="Q71" s="64">
        <v>9.9</v>
      </c>
      <c r="R71" s="198"/>
      <c r="S71" s="198"/>
      <c r="T71" s="198"/>
      <c r="U71" s="198"/>
    </row>
    <row r="72" spans="1:21" s="12" customFormat="1" x14ac:dyDescent="0.25">
      <c r="A72" s="214" t="s">
        <v>1080</v>
      </c>
      <c r="B72" s="64">
        <v>4.6399999999999997</v>
      </c>
      <c r="C72" s="64">
        <v>11.72</v>
      </c>
      <c r="D72" s="64">
        <v>16.350000000000001</v>
      </c>
      <c r="E72" s="64">
        <v>0.82</v>
      </c>
      <c r="F72" s="64">
        <v>2.04</v>
      </c>
      <c r="G72" s="64">
        <v>15.17</v>
      </c>
      <c r="H72" s="64">
        <v>6.3</v>
      </c>
      <c r="I72" s="64">
        <v>0.12</v>
      </c>
      <c r="J72" s="64">
        <v>0.15</v>
      </c>
      <c r="K72" s="64">
        <v>10.33</v>
      </c>
      <c r="L72" s="64">
        <v>26.24</v>
      </c>
      <c r="M72" s="64">
        <v>82.62</v>
      </c>
      <c r="N72" s="64">
        <v>124.1</v>
      </c>
      <c r="O72" s="64">
        <v>0</v>
      </c>
      <c r="P72" s="64">
        <v>0.28000000000000003</v>
      </c>
      <c r="Q72" s="64">
        <v>9.7200000000000006</v>
      </c>
      <c r="R72" s="198"/>
      <c r="S72" s="198"/>
      <c r="T72" s="198"/>
      <c r="U72" s="198"/>
    </row>
    <row r="73" spans="1:21" s="12" customFormat="1" x14ac:dyDescent="0.25">
      <c r="A73" s="214" t="s">
        <v>1081</v>
      </c>
      <c r="B73" s="64">
        <v>4.12</v>
      </c>
      <c r="C73" s="64">
        <v>10.3</v>
      </c>
      <c r="D73" s="64">
        <v>14.42</v>
      </c>
      <c r="E73" s="64">
        <v>1.95</v>
      </c>
      <c r="F73" s="64">
        <v>2.31</v>
      </c>
      <c r="G73" s="64">
        <v>16.09</v>
      </c>
      <c r="H73" s="64">
        <v>7.44</v>
      </c>
      <c r="I73" s="64">
        <v>0.11</v>
      </c>
      <c r="J73" s="64">
        <v>0.14000000000000001</v>
      </c>
      <c r="K73" s="64">
        <v>39.76</v>
      </c>
      <c r="L73" s="64">
        <v>25.88</v>
      </c>
      <c r="M73" s="64">
        <v>83.87</v>
      </c>
      <c r="N73" s="64">
        <v>79.8</v>
      </c>
      <c r="O73" s="64">
        <v>0</v>
      </c>
      <c r="P73" s="64">
        <v>0.28999999999999998</v>
      </c>
      <c r="Q73" s="64">
        <v>10.64</v>
      </c>
      <c r="R73" s="198"/>
      <c r="S73" s="198"/>
      <c r="T73" s="198"/>
      <c r="U73" s="198"/>
    </row>
    <row r="74" spans="1:21" s="12" customFormat="1" x14ac:dyDescent="0.25">
      <c r="A74" s="214" t="s">
        <v>1082</v>
      </c>
      <c r="B74" s="64">
        <v>3.96</v>
      </c>
      <c r="C74" s="64">
        <v>10.3</v>
      </c>
      <c r="D74" s="64">
        <v>14.26</v>
      </c>
      <c r="E74" s="64">
        <v>1.61</v>
      </c>
      <c r="F74" s="64">
        <v>4.21</v>
      </c>
      <c r="G74" s="64">
        <v>16.09</v>
      </c>
      <c r="H74" s="64">
        <v>7.44</v>
      </c>
      <c r="I74" s="64">
        <v>0.12</v>
      </c>
      <c r="J74" s="64">
        <v>0.05</v>
      </c>
      <c r="K74" s="64">
        <v>77.11</v>
      </c>
      <c r="L74" s="64">
        <v>25.65</v>
      </c>
      <c r="M74" s="64">
        <v>82.65</v>
      </c>
      <c r="N74" s="64">
        <v>69.8</v>
      </c>
      <c r="O74" s="64">
        <v>0</v>
      </c>
      <c r="P74" s="64">
        <v>0.28000000000000003</v>
      </c>
      <c r="Q74" s="64">
        <v>9.51</v>
      </c>
      <c r="R74" s="198"/>
      <c r="S74" s="198"/>
      <c r="T74" s="198"/>
      <c r="U74" s="198"/>
    </row>
    <row r="75" spans="1:21" s="12" customFormat="1" x14ac:dyDescent="0.25">
      <c r="A75" s="214" t="s">
        <v>1083</v>
      </c>
      <c r="B75" s="64">
        <v>4.3899999999999997</v>
      </c>
      <c r="C75" s="64">
        <v>11.64</v>
      </c>
      <c r="D75" s="64">
        <v>16.03</v>
      </c>
      <c r="E75" s="64">
        <v>1.65</v>
      </c>
      <c r="F75" s="64">
        <v>5.91</v>
      </c>
      <c r="G75" s="64">
        <v>16.09</v>
      </c>
      <c r="H75" s="64">
        <v>7.44</v>
      </c>
      <c r="I75" s="64">
        <v>0.12</v>
      </c>
      <c r="J75" s="64">
        <v>0.02</v>
      </c>
      <c r="K75" s="64">
        <v>131.47999999999999</v>
      </c>
      <c r="L75" s="64">
        <v>25.61</v>
      </c>
      <c r="M75" s="64">
        <v>83.7</v>
      </c>
      <c r="N75" s="64">
        <v>75.2</v>
      </c>
      <c r="O75" s="64">
        <v>0</v>
      </c>
      <c r="P75" s="64">
        <v>0.32</v>
      </c>
      <c r="Q75" s="64">
        <v>9.3699999999999992</v>
      </c>
      <c r="R75" s="198"/>
      <c r="S75" s="198"/>
      <c r="T75" s="198"/>
      <c r="U75" s="198"/>
    </row>
    <row r="76" spans="1:21" s="12" customFormat="1" x14ac:dyDescent="0.25">
      <c r="A76" s="214" t="s">
        <v>1084</v>
      </c>
      <c r="B76" s="64">
        <v>4.49</v>
      </c>
      <c r="C76" s="64">
        <v>13.12</v>
      </c>
      <c r="D76" s="64">
        <v>17.600000000000001</v>
      </c>
      <c r="E76" s="64">
        <v>1.63</v>
      </c>
      <c r="F76" s="64">
        <v>6.86</v>
      </c>
      <c r="G76" s="64">
        <v>17.66</v>
      </c>
      <c r="H76" s="64">
        <v>6.16</v>
      </c>
      <c r="I76" s="64">
        <v>0.12</v>
      </c>
      <c r="J76" s="64">
        <v>0.05</v>
      </c>
      <c r="K76" s="64">
        <v>9.6300000000000008</v>
      </c>
      <c r="L76" s="64">
        <v>25.52</v>
      </c>
      <c r="M76" s="64">
        <v>85.3</v>
      </c>
      <c r="N76" s="64">
        <v>64.900000000000006</v>
      </c>
      <c r="O76" s="64">
        <v>0</v>
      </c>
      <c r="P76" s="64">
        <v>0.32</v>
      </c>
      <c r="Q76" s="64">
        <v>10.89</v>
      </c>
      <c r="R76" s="198"/>
      <c r="S76" s="198"/>
      <c r="T76" s="198"/>
      <c r="U76" s="198"/>
    </row>
    <row r="77" spans="1:21" s="12" customFormat="1" x14ac:dyDescent="0.25">
      <c r="A77" s="214" t="s">
        <v>1085</v>
      </c>
      <c r="B77" s="64">
        <v>4.55</v>
      </c>
      <c r="C77" s="64">
        <v>11.78</v>
      </c>
      <c r="D77" s="64">
        <v>16.329999999999998</v>
      </c>
      <c r="E77" s="64">
        <v>1.71</v>
      </c>
      <c r="F77" s="64">
        <v>3.75</v>
      </c>
      <c r="G77" s="64">
        <v>19.04</v>
      </c>
      <c r="H77" s="64">
        <v>5.64</v>
      </c>
      <c r="I77" s="64">
        <v>0.11</v>
      </c>
      <c r="J77" s="64">
        <v>0.06</v>
      </c>
      <c r="K77" s="64">
        <v>55.37</v>
      </c>
      <c r="L77" s="64">
        <v>25.46</v>
      </c>
      <c r="M77" s="64">
        <v>85.44</v>
      </c>
      <c r="N77" s="64">
        <v>47.7</v>
      </c>
      <c r="O77" s="64">
        <v>0</v>
      </c>
      <c r="P77" s="64">
        <v>0.32</v>
      </c>
      <c r="Q77" s="64">
        <v>11.68</v>
      </c>
      <c r="R77" s="198"/>
      <c r="S77" s="198"/>
      <c r="T77" s="198"/>
      <c r="U77" s="198"/>
    </row>
    <row r="78" spans="1:21" s="12" customFormat="1" x14ac:dyDescent="0.25">
      <c r="A78" s="214" t="s">
        <v>1086</v>
      </c>
      <c r="B78" s="64">
        <v>4.7300000000000004</v>
      </c>
      <c r="C78" s="64">
        <v>13.35</v>
      </c>
      <c r="D78" s="64">
        <v>18.079999999999998</v>
      </c>
      <c r="E78" s="64">
        <v>2.2000000000000002</v>
      </c>
      <c r="F78" s="64">
        <v>8.8800000000000008</v>
      </c>
      <c r="G78" s="64">
        <v>19.04</v>
      </c>
      <c r="H78" s="64">
        <v>5.64</v>
      </c>
      <c r="I78" s="64">
        <v>0.12</v>
      </c>
      <c r="J78" s="64">
        <v>0.08</v>
      </c>
      <c r="K78" s="64">
        <v>195.21</v>
      </c>
      <c r="L78" s="64">
        <v>25.37</v>
      </c>
      <c r="M78" s="64">
        <v>86.18</v>
      </c>
      <c r="N78" s="64">
        <v>35.200000000000003</v>
      </c>
      <c r="O78" s="64">
        <v>0</v>
      </c>
      <c r="P78" s="64">
        <v>0.36</v>
      </c>
      <c r="Q78" s="64">
        <v>12.34</v>
      </c>
      <c r="R78" s="198"/>
      <c r="S78" s="198"/>
      <c r="T78" s="198"/>
      <c r="U78" s="198"/>
    </row>
    <row r="79" spans="1:21" s="12" customFormat="1" x14ac:dyDescent="0.25">
      <c r="A79" s="214" t="s">
        <v>1087</v>
      </c>
      <c r="B79" s="64">
        <v>4.47</v>
      </c>
      <c r="C79" s="64">
        <v>14.57</v>
      </c>
      <c r="D79" s="64">
        <v>19.05</v>
      </c>
      <c r="E79" s="64">
        <v>2.56</v>
      </c>
      <c r="F79" s="64">
        <v>6.33</v>
      </c>
      <c r="G79" s="64">
        <v>19.04</v>
      </c>
      <c r="H79" s="64">
        <v>5.64</v>
      </c>
      <c r="I79" s="64">
        <v>0.12</v>
      </c>
      <c r="J79" s="64">
        <v>0.02</v>
      </c>
      <c r="K79" s="64">
        <v>145.66999999999999</v>
      </c>
      <c r="L79" s="64">
        <v>25.22</v>
      </c>
      <c r="M79" s="64">
        <v>87.4</v>
      </c>
      <c r="N79" s="64">
        <v>31.7</v>
      </c>
      <c r="O79" s="64">
        <v>0</v>
      </c>
      <c r="P79" s="64">
        <v>0.34</v>
      </c>
      <c r="Q79" s="64">
        <v>13.28</v>
      </c>
      <c r="R79" s="198"/>
      <c r="S79" s="198"/>
      <c r="T79" s="198"/>
      <c r="U79" s="198"/>
    </row>
    <row r="80" spans="1:21" s="12" customFormat="1" x14ac:dyDescent="0.25">
      <c r="A80" s="214" t="s">
        <v>1088</v>
      </c>
      <c r="B80" s="64">
        <v>4.67</v>
      </c>
      <c r="C80" s="64">
        <v>11.78</v>
      </c>
      <c r="D80" s="64">
        <v>16.46</v>
      </c>
      <c r="E80" s="64">
        <v>2.84</v>
      </c>
      <c r="F80" s="64">
        <v>2.78</v>
      </c>
      <c r="G80" s="64">
        <v>21.43</v>
      </c>
      <c r="H80" s="64">
        <v>6</v>
      </c>
      <c r="I80" s="64">
        <v>0.11</v>
      </c>
      <c r="J80" s="64">
        <v>0.1</v>
      </c>
      <c r="K80" s="64">
        <v>24.33</v>
      </c>
      <c r="L80" s="64">
        <v>25.07</v>
      </c>
      <c r="M80" s="64">
        <v>87.6</v>
      </c>
      <c r="N80" s="64">
        <v>20.2</v>
      </c>
      <c r="O80" s="64">
        <v>0</v>
      </c>
      <c r="P80" s="64">
        <v>0.35</v>
      </c>
      <c r="Q80" s="64">
        <v>13.67</v>
      </c>
      <c r="R80" s="198"/>
      <c r="S80" s="198"/>
      <c r="T80" s="198"/>
      <c r="U80" s="198"/>
    </row>
    <row r="81" spans="1:26" s="12" customFormat="1" x14ac:dyDescent="0.25">
      <c r="A81" s="214" t="s">
        <v>1089</v>
      </c>
      <c r="B81" s="64">
        <v>4.75</v>
      </c>
      <c r="C81" s="64">
        <v>13.17</v>
      </c>
      <c r="D81" s="64">
        <v>17.920000000000002</v>
      </c>
      <c r="E81" s="64">
        <v>1.68</v>
      </c>
      <c r="F81" s="64">
        <v>2.66</v>
      </c>
      <c r="G81" s="64">
        <v>23.53</v>
      </c>
      <c r="H81" s="64">
        <v>6.28</v>
      </c>
      <c r="I81" s="64">
        <v>0.12</v>
      </c>
      <c r="J81" s="64">
        <v>0.16</v>
      </c>
      <c r="K81" s="64">
        <v>19.63</v>
      </c>
      <c r="L81" s="64">
        <v>24.91</v>
      </c>
      <c r="M81" s="64">
        <v>88.17</v>
      </c>
      <c r="N81" s="64">
        <v>10.199999999999999</v>
      </c>
      <c r="O81" s="64">
        <v>0</v>
      </c>
      <c r="P81" s="64">
        <v>0.37</v>
      </c>
      <c r="Q81" s="64">
        <v>12.02</v>
      </c>
      <c r="R81" s="198"/>
      <c r="S81" s="198"/>
      <c r="T81" s="198"/>
      <c r="U81" s="198"/>
    </row>
    <row r="82" spans="1:26" s="12" customFormat="1" x14ac:dyDescent="0.25">
      <c r="A82" s="214" t="s">
        <v>1090</v>
      </c>
      <c r="B82" s="64">
        <v>6.09</v>
      </c>
      <c r="C82" s="64">
        <v>13.57</v>
      </c>
      <c r="D82" s="64">
        <v>19.66</v>
      </c>
      <c r="E82" s="64">
        <v>1.86</v>
      </c>
      <c r="F82" s="64">
        <v>1.98</v>
      </c>
      <c r="G82" s="64">
        <v>23.53</v>
      </c>
      <c r="H82" s="64">
        <v>6.28</v>
      </c>
      <c r="I82" s="64">
        <v>0.12</v>
      </c>
      <c r="J82" s="64">
        <v>0.15</v>
      </c>
      <c r="K82" s="64">
        <v>24.81</v>
      </c>
      <c r="L82" s="64">
        <v>24.76</v>
      </c>
      <c r="M82" s="64">
        <v>89.71</v>
      </c>
      <c r="N82" s="64">
        <v>8.9</v>
      </c>
      <c r="O82" s="64">
        <v>0</v>
      </c>
      <c r="P82" s="64">
        <v>0.41</v>
      </c>
      <c r="Q82" s="64">
        <v>11.35</v>
      </c>
      <c r="R82" s="198"/>
      <c r="S82" s="198"/>
      <c r="T82" s="198"/>
      <c r="U82" s="198"/>
    </row>
    <row r="83" spans="1:26" s="12" customFormat="1" x14ac:dyDescent="0.25">
      <c r="A83" s="214" t="s">
        <v>1091</v>
      </c>
      <c r="B83" s="64">
        <v>5.58</v>
      </c>
      <c r="C83" s="64">
        <v>12.82</v>
      </c>
      <c r="D83" s="64">
        <v>18.399999999999999</v>
      </c>
      <c r="E83" s="64">
        <v>2.54</v>
      </c>
      <c r="F83" s="64">
        <v>1.0900000000000001</v>
      </c>
      <c r="G83" s="64">
        <v>23.53</v>
      </c>
      <c r="H83" s="64">
        <v>6.28</v>
      </c>
      <c r="I83" s="64">
        <v>0.12</v>
      </c>
      <c r="J83" s="64">
        <v>0.18</v>
      </c>
      <c r="K83" s="64">
        <v>29.17</v>
      </c>
      <c r="L83" s="64">
        <v>24.64</v>
      </c>
      <c r="M83" s="64">
        <v>88.76</v>
      </c>
      <c r="N83" s="64">
        <v>8.8000000000000007</v>
      </c>
      <c r="O83" s="64">
        <v>0</v>
      </c>
      <c r="P83" s="64">
        <v>0.42</v>
      </c>
      <c r="Q83" s="64">
        <v>12.32</v>
      </c>
      <c r="R83" s="198"/>
      <c r="S83" s="198"/>
      <c r="T83" s="198"/>
      <c r="U83" s="198"/>
    </row>
    <row r="84" spans="1:26" s="12" customFormat="1" x14ac:dyDescent="0.25">
      <c r="A84" s="214" t="s">
        <v>1092</v>
      </c>
      <c r="B84" s="64">
        <v>5.18</v>
      </c>
      <c r="C84" s="64">
        <v>13.99</v>
      </c>
      <c r="D84" s="64">
        <v>19.170000000000002</v>
      </c>
      <c r="E84" s="64">
        <v>2.2999999999999998</v>
      </c>
      <c r="F84" s="64">
        <v>3.39</v>
      </c>
      <c r="G84" s="64">
        <v>24.32</v>
      </c>
      <c r="H84" s="64">
        <v>10.199999999999999</v>
      </c>
      <c r="I84" s="64">
        <v>0.12</v>
      </c>
      <c r="J84" s="64">
        <v>0.08</v>
      </c>
      <c r="K84" s="64">
        <v>30.59</v>
      </c>
      <c r="L84" s="64">
        <v>24.63</v>
      </c>
      <c r="M84" s="64">
        <v>87.96</v>
      </c>
      <c r="N84" s="64">
        <v>8.9</v>
      </c>
      <c r="O84" s="64">
        <v>0</v>
      </c>
      <c r="P84" s="64">
        <v>0.44</v>
      </c>
      <c r="Q84" s="64">
        <v>10.76</v>
      </c>
      <c r="R84" s="198"/>
      <c r="S84" s="198"/>
      <c r="T84" s="198"/>
      <c r="U84" s="198"/>
    </row>
    <row r="85" spans="1:26" s="12" customFormat="1" x14ac:dyDescent="0.25">
      <c r="A85" s="214" t="s">
        <v>1093</v>
      </c>
      <c r="B85" s="64">
        <v>4.96</v>
      </c>
      <c r="C85" s="64">
        <v>14.12</v>
      </c>
      <c r="D85" s="64">
        <v>19.079999999999998</v>
      </c>
      <c r="E85" s="64">
        <v>2.17</v>
      </c>
      <c r="F85" s="64">
        <v>3.76</v>
      </c>
      <c r="G85" s="64">
        <v>25.02</v>
      </c>
      <c r="H85" s="64">
        <v>11.78</v>
      </c>
      <c r="I85" s="64">
        <v>0.12</v>
      </c>
      <c r="J85" s="64">
        <v>0.13</v>
      </c>
      <c r="K85" s="64">
        <v>178.64</v>
      </c>
      <c r="L85" s="64">
        <v>24.58</v>
      </c>
      <c r="M85" s="64">
        <v>88.68</v>
      </c>
      <c r="N85" s="64">
        <v>9</v>
      </c>
      <c r="O85" s="64">
        <v>0</v>
      </c>
      <c r="P85" s="64">
        <v>0.43</v>
      </c>
      <c r="Q85" s="64">
        <v>10.79</v>
      </c>
      <c r="R85" s="198"/>
      <c r="S85" s="198"/>
      <c r="T85" s="198"/>
      <c r="U85" s="198"/>
    </row>
    <row r="86" spans="1:26" s="12" customFormat="1" x14ac:dyDescent="0.25">
      <c r="A86" s="214" t="s">
        <v>1094</v>
      </c>
      <c r="B86" s="64">
        <v>5.7</v>
      </c>
      <c r="C86" s="64">
        <v>22.4</v>
      </c>
      <c r="D86" s="64">
        <v>28.1</v>
      </c>
      <c r="E86" s="64">
        <v>1.85</v>
      </c>
      <c r="F86" s="64">
        <v>5.77</v>
      </c>
      <c r="G86" s="64">
        <v>25.02</v>
      </c>
      <c r="H86" s="64">
        <v>11.78</v>
      </c>
      <c r="I86" s="64">
        <v>0.12</v>
      </c>
      <c r="J86" s="64">
        <v>0.14000000000000001</v>
      </c>
      <c r="K86" s="64">
        <v>194.77</v>
      </c>
      <c r="L86" s="64">
        <v>24.47</v>
      </c>
      <c r="M86" s="64">
        <v>89.58</v>
      </c>
      <c r="N86" s="64">
        <v>9</v>
      </c>
      <c r="O86" s="64">
        <v>0</v>
      </c>
      <c r="P86" s="64">
        <v>0.48</v>
      </c>
      <c r="Q86" s="64">
        <v>11.37</v>
      </c>
      <c r="R86" s="198"/>
      <c r="S86" s="198"/>
      <c r="T86" s="198"/>
      <c r="U86" s="198"/>
    </row>
    <row r="87" spans="1:26" s="12" customFormat="1" x14ac:dyDescent="0.25">
      <c r="A87" s="214" t="s">
        <v>1095</v>
      </c>
      <c r="B87" s="64">
        <v>4.9400000000000004</v>
      </c>
      <c r="C87" s="64">
        <v>19.77</v>
      </c>
      <c r="D87" s="64">
        <v>24.71</v>
      </c>
      <c r="E87" s="64">
        <v>2.1800000000000002</v>
      </c>
      <c r="F87" s="64">
        <v>9.9</v>
      </c>
      <c r="G87" s="64">
        <v>25.02</v>
      </c>
      <c r="H87" s="64">
        <v>11.78</v>
      </c>
      <c r="I87" s="64">
        <v>0.12</v>
      </c>
      <c r="J87" s="64">
        <v>0.13</v>
      </c>
      <c r="K87" s="64">
        <v>183.7</v>
      </c>
      <c r="L87" s="64">
        <v>24.38</v>
      </c>
      <c r="M87" s="64">
        <v>90.31</v>
      </c>
      <c r="N87" s="64">
        <v>9</v>
      </c>
      <c r="O87" s="64">
        <v>0</v>
      </c>
      <c r="P87" s="64">
        <v>0.44</v>
      </c>
      <c r="Q87" s="64">
        <v>11.41</v>
      </c>
      <c r="R87" s="198"/>
      <c r="S87" s="198"/>
      <c r="T87" s="198"/>
      <c r="U87" s="198"/>
    </row>
    <row r="88" spans="1:26" s="12" customFormat="1" x14ac:dyDescent="0.25">
      <c r="A88" s="214" t="s">
        <v>1096</v>
      </c>
      <c r="B88" s="64">
        <v>4.8499999999999996</v>
      </c>
      <c r="C88" s="64">
        <v>16.16</v>
      </c>
      <c r="D88" s="64">
        <v>21.01</v>
      </c>
      <c r="E88" s="64">
        <v>2.15</v>
      </c>
      <c r="F88" s="64">
        <v>8.3800000000000008</v>
      </c>
      <c r="G88" s="64">
        <v>25.86</v>
      </c>
      <c r="H88" s="64">
        <v>12.11</v>
      </c>
      <c r="I88" s="64">
        <v>0.11</v>
      </c>
      <c r="J88" s="64">
        <v>0.12</v>
      </c>
      <c r="K88" s="64">
        <v>174.08</v>
      </c>
      <c r="L88" s="64">
        <v>24.26</v>
      </c>
      <c r="M88" s="64">
        <v>90.49</v>
      </c>
      <c r="N88" s="64">
        <v>9.1</v>
      </c>
      <c r="O88" s="64">
        <v>0</v>
      </c>
      <c r="P88" s="64">
        <v>0.44</v>
      </c>
      <c r="Q88" s="64">
        <v>12.1</v>
      </c>
      <c r="R88" s="198"/>
      <c r="S88" s="198"/>
      <c r="T88" s="198"/>
      <c r="U88" s="198"/>
    </row>
    <row r="89" spans="1:26" s="12" customFormat="1" x14ac:dyDescent="0.25">
      <c r="A89" s="214" t="s">
        <v>1097</v>
      </c>
      <c r="B89" s="64">
        <v>4.96</v>
      </c>
      <c r="C89" s="64">
        <v>17.309999999999999</v>
      </c>
      <c r="D89" s="64">
        <v>22.27</v>
      </c>
      <c r="E89" s="64">
        <v>2.31</v>
      </c>
      <c r="F89" s="64">
        <v>7.55</v>
      </c>
      <c r="G89" s="64">
        <v>26.59</v>
      </c>
      <c r="H89" s="64">
        <v>12.24</v>
      </c>
      <c r="I89" s="64">
        <v>0.11</v>
      </c>
      <c r="J89" s="64">
        <v>0.11</v>
      </c>
      <c r="K89" s="64">
        <v>198.79</v>
      </c>
      <c r="L89" s="64">
        <v>24.08</v>
      </c>
      <c r="M89" s="64">
        <v>92.24</v>
      </c>
      <c r="N89" s="64">
        <v>9.1</v>
      </c>
      <c r="O89" s="64">
        <v>0</v>
      </c>
      <c r="P89" s="64">
        <v>0.45</v>
      </c>
      <c r="Q89" s="64">
        <v>12.99</v>
      </c>
      <c r="R89" s="198"/>
      <c r="S89" s="198"/>
      <c r="T89" s="198"/>
      <c r="U89" s="198"/>
    </row>
    <row r="90" spans="1:26" s="12" customFormat="1" x14ac:dyDescent="0.25">
      <c r="A90" s="214" t="s">
        <v>1098</v>
      </c>
      <c r="B90" s="64">
        <v>6.92</v>
      </c>
      <c r="C90" s="64">
        <v>20.23</v>
      </c>
      <c r="D90" s="64">
        <v>27.15</v>
      </c>
      <c r="E90" s="64">
        <v>2.0699999999999998</v>
      </c>
      <c r="F90" s="64">
        <v>7.03</v>
      </c>
      <c r="G90" s="64">
        <v>26.59</v>
      </c>
      <c r="H90" s="64">
        <v>12.24</v>
      </c>
      <c r="I90" s="64">
        <v>0.11</v>
      </c>
      <c r="J90" s="64">
        <v>0.1</v>
      </c>
      <c r="K90" s="64">
        <v>187.39</v>
      </c>
      <c r="L90" s="64">
        <v>23.89</v>
      </c>
      <c r="M90" s="64">
        <v>93.71</v>
      </c>
      <c r="N90" s="64">
        <v>8.8000000000000007</v>
      </c>
      <c r="O90" s="64">
        <v>0</v>
      </c>
      <c r="P90" s="64">
        <v>0.5</v>
      </c>
      <c r="Q90" s="64">
        <v>14.21</v>
      </c>
      <c r="R90" s="198"/>
      <c r="S90" s="198"/>
      <c r="T90" s="198"/>
      <c r="U90" s="198"/>
    </row>
    <row r="91" spans="1:26" s="12" customFormat="1" x14ac:dyDescent="0.25">
      <c r="A91" s="214" t="s">
        <v>1099</v>
      </c>
      <c r="B91" s="64">
        <v>6.15</v>
      </c>
      <c r="C91" s="64">
        <v>16.95</v>
      </c>
      <c r="D91" s="64">
        <v>23.09</v>
      </c>
      <c r="E91" s="64">
        <v>2.4700000000000002</v>
      </c>
      <c r="F91" s="64">
        <v>5.24</v>
      </c>
      <c r="G91" s="64">
        <v>26.59</v>
      </c>
      <c r="H91" s="64">
        <v>12.24</v>
      </c>
      <c r="I91" s="64">
        <v>0.12</v>
      </c>
      <c r="J91" s="64">
        <v>0.13</v>
      </c>
      <c r="K91" s="64">
        <v>173.43</v>
      </c>
      <c r="L91" s="64">
        <v>23.79</v>
      </c>
      <c r="M91" s="64">
        <v>93.93</v>
      </c>
      <c r="N91" s="64">
        <v>8.8000000000000007</v>
      </c>
      <c r="O91" s="64">
        <v>0</v>
      </c>
      <c r="P91" s="64">
        <v>0.46</v>
      </c>
      <c r="Q91" s="64">
        <v>15.42</v>
      </c>
      <c r="R91" s="198"/>
      <c r="S91" s="198"/>
      <c r="T91" s="198"/>
      <c r="U91" s="198"/>
    </row>
    <row r="92" spans="1:26" s="12" customFormat="1" x14ac:dyDescent="0.25">
      <c r="A92" s="214" t="s">
        <v>1100</v>
      </c>
      <c r="B92" s="64">
        <v>5.64</v>
      </c>
      <c r="C92" s="64">
        <v>13.33</v>
      </c>
      <c r="D92" s="64">
        <v>18.97</v>
      </c>
      <c r="E92" s="64">
        <v>1.97</v>
      </c>
      <c r="F92" s="64">
        <v>4.3099999999999996</v>
      </c>
      <c r="G92" s="64">
        <v>27.96</v>
      </c>
      <c r="H92" s="64">
        <v>11.35</v>
      </c>
      <c r="I92" s="64">
        <v>0.12</v>
      </c>
      <c r="J92" s="64">
        <v>0.16</v>
      </c>
      <c r="K92" s="64">
        <v>180.76</v>
      </c>
      <c r="L92" s="64">
        <v>23.74</v>
      </c>
      <c r="M92" s="64">
        <v>93.12</v>
      </c>
      <c r="N92" s="64">
        <v>8.8000000000000007</v>
      </c>
      <c r="O92" s="64">
        <v>0</v>
      </c>
      <c r="P92" s="64">
        <v>0.43</v>
      </c>
      <c r="Q92" s="64">
        <v>15.37</v>
      </c>
      <c r="R92" s="198"/>
      <c r="S92" s="198"/>
      <c r="T92" s="198"/>
      <c r="U92" s="198"/>
    </row>
    <row r="93" spans="1:26" s="12" customFormat="1" x14ac:dyDescent="0.25">
      <c r="A93" s="214" t="s">
        <v>1101</v>
      </c>
      <c r="B93" s="64">
        <v>5.4</v>
      </c>
      <c r="C93" s="64">
        <v>13.99</v>
      </c>
      <c r="D93" s="64">
        <v>19.38</v>
      </c>
      <c r="E93" s="64">
        <v>2.39</v>
      </c>
      <c r="F93" s="64">
        <v>5.76</v>
      </c>
      <c r="G93" s="64">
        <v>29.16</v>
      </c>
      <c r="H93" s="64">
        <v>10.99</v>
      </c>
      <c r="I93" s="64">
        <v>0.12</v>
      </c>
      <c r="J93" s="64">
        <v>0.12</v>
      </c>
      <c r="K93" s="64">
        <v>196.76</v>
      </c>
      <c r="L93" s="64">
        <v>23.61</v>
      </c>
      <c r="M93" s="64">
        <v>93.99</v>
      </c>
      <c r="N93" s="64">
        <v>8.9</v>
      </c>
      <c r="O93" s="64">
        <v>0</v>
      </c>
      <c r="P93" s="64">
        <v>0.41</v>
      </c>
      <c r="Q93" s="64">
        <v>14.18</v>
      </c>
      <c r="R93" s="198"/>
      <c r="S93" s="198"/>
      <c r="T93" s="198"/>
      <c r="U93" s="198"/>
    </row>
    <row r="94" spans="1:26" s="12" customFormat="1" x14ac:dyDescent="0.25">
      <c r="A94" s="214" t="s">
        <v>1102</v>
      </c>
      <c r="B94" s="64">
        <v>5.57</v>
      </c>
      <c r="C94" s="64">
        <v>12.09</v>
      </c>
      <c r="D94" s="64">
        <v>17.66</v>
      </c>
      <c r="E94" s="64">
        <v>1.77</v>
      </c>
      <c r="F94" s="64">
        <v>2.5</v>
      </c>
      <c r="G94" s="64">
        <v>29.16</v>
      </c>
      <c r="H94" s="64">
        <v>10.99</v>
      </c>
      <c r="I94" s="64">
        <v>0.13</v>
      </c>
      <c r="J94" s="64">
        <v>7.0000000000000007E-2</v>
      </c>
      <c r="K94" s="64">
        <v>186.05</v>
      </c>
      <c r="L94" s="64">
        <v>23.54</v>
      </c>
      <c r="M94" s="64">
        <v>94.69</v>
      </c>
      <c r="N94" s="64">
        <v>8.9</v>
      </c>
      <c r="O94" s="64">
        <v>0</v>
      </c>
      <c r="P94" s="64">
        <v>0.45</v>
      </c>
      <c r="Q94" s="64">
        <v>13.91</v>
      </c>
      <c r="R94" s="198"/>
      <c r="S94" s="198"/>
      <c r="T94" s="198"/>
      <c r="U94" s="198"/>
    </row>
    <row r="95" spans="1:26" s="12" customFormat="1" x14ac:dyDescent="0.25">
      <c r="A95" s="214" t="s">
        <v>1103</v>
      </c>
      <c r="B95" s="64">
        <v>5.27</v>
      </c>
      <c r="C95" s="64">
        <v>12.74</v>
      </c>
      <c r="D95" s="64">
        <v>18.010000000000002</v>
      </c>
      <c r="E95" s="64">
        <v>2.0699999999999998</v>
      </c>
      <c r="F95" s="64">
        <v>5.36</v>
      </c>
      <c r="G95" s="64">
        <v>29.16</v>
      </c>
      <c r="H95" s="64">
        <v>10.99</v>
      </c>
      <c r="I95" s="64">
        <v>0.12</v>
      </c>
      <c r="J95" s="64">
        <v>0.13</v>
      </c>
      <c r="K95" s="64">
        <v>182.03</v>
      </c>
      <c r="L95" s="64">
        <v>23.49</v>
      </c>
      <c r="M95" s="64">
        <v>95.38</v>
      </c>
      <c r="N95" s="64">
        <v>8.8000000000000007</v>
      </c>
      <c r="O95" s="64">
        <v>0</v>
      </c>
      <c r="P95" s="64">
        <v>0.4</v>
      </c>
      <c r="Q95" s="64">
        <v>14.84</v>
      </c>
      <c r="R95" s="198"/>
      <c r="S95" s="198"/>
      <c r="T95" s="198"/>
      <c r="U95" s="198"/>
    </row>
    <row r="96" spans="1:26" s="12" customFormat="1" x14ac:dyDescent="0.25">
      <c r="A96" s="214" t="s">
        <v>1104</v>
      </c>
      <c r="B96" s="64">
        <v>5.0199999999999996</v>
      </c>
      <c r="C96" s="64">
        <v>14.34</v>
      </c>
      <c r="D96" s="64">
        <v>19.350000000000001</v>
      </c>
      <c r="E96" s="64">
        <v>2.0099999999999998</v>
      </c>
      <c r="F96" s="64">
        <v>5.59</v>
      </c>
      <c r="G96" s="64">
        <v>28.18</v>
      </c>
      <c r="H96" s="64">
        <v>10.9</v>
      </c>
      <c r="I96" s="64">
        <v>0.12</v>
      </c>
      <c r="J96" s="64">
        <v>0.03</v>
      </c>
      <c r="K96" s="64">
        <v>165.17</v>
      </c>
      <c r="L96" s="64">
        <v>23.55</v>
      </c>
      <c r="M96" s="64">
        <v>94.67</v>
      </c>
      <c r="N96" s="64">
        <v>8.8000000000000007</v>
      </c>
      <c r="O96" s="64">
        <v>0</v>
      </c>
      <c r="P96" s="64">
        <v>0.4</v>
      </c>
      <c r="Q96" s="64">
        <v>13.48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1105</v>
      </c>
      <c r="B97" s="64">
        <v>5.91</v>
      </c>
      <c r="C97" s="64">
        <v>11.02</v>
      </c>
      <c r="D97" s="64">
        <v>16.93</v>
      </c>
      <c r="E97" s="64">
        <v>1.95</v>
      </c>
      <c r="F97" s="64">
        <v>1.85</v>
      </c>
      <c r="G97" s="64">
        <v>27.32</v>
      </c>
      <c r="H97" s="64">
        <v>10.86</v>
      </c>
      <c r="I97" s="64">
        <v>0.11</v>
      </c>
      <c r="J97" s="64">
        <v>0.16</v>
      </c>
      <c r="K97" s="64">
        <v>25.71</v>
      </c>
      <c r="L97" s="64">
        <v>23.6</v>
      </c>
      <c r="M97" s="64">
        <v>94.48</v>
      </c>
      <c r="N97" s="64">
        <v>9</v>
      </c>
      <c r="O97" s="64">
        <v>0</v>
      </c>
      <c r="P97" s="64">
        <v>0.44</v>
      </c>
      <c r="Q97" s="64">
        <v>13.59</v>
      </c>
      <c r="R97" s="198"/>
      <c r="S97" s="198"/>
      <c r="T97" s="198"/>
      <c r="U97" s="198"/>
    </row>
    <row r="98" spans="1:33" s="12" customFormat="1" x14ac:dyDescent="0.25">
      <c r="A98" s="214" t="s">
        <v>1106</v>
      </c>
      <c r="B98" s="64">
        <v>6.11</v>
      </c>
      <c r="C98" s="64">
        <v>10.62</v>
      </c>
      <c r="D98" s="64">
        <v>16.73</v>
      </c>
      <c r="E98" s="64">
        <v>2.09</v>
      </c>
      <c r="F98" s="64">
        <v>2.66</v>
      </c>
      <c r="G98" s="64">
        <v>27.32</v>
      </c>
      <c r="H98" s="64">
        <v>10.86</v>
      </c>
      <c r="I98" s="64">
        <v>0.12</v>
      </c>
      <c r="J98" s="64">
        <v>0.09</v>
      </c>
      <c r="K98" s="64">
        <v>13.99</v>
      </c>
      <c r="L98" s="64">
        <v>23.57</v>
      </c>
      <c r="M98" s="64">
        <v>94.2</v>
      </c>
      <c r="N98" s="64">
        <v>9</v>
      </c>
      <c r="O98" s="64">
        <v>0</v>
      </c>
      <c r="P98" s="64">
        <v>0.43</v>
      </c>
      <c r="Q98" s="64">
        <v>13.66</v>
      </c>
      <c r="R98" s="198"/>
      <c r="S98" s="198"/>
      <c r="T98" s="198"/>
      <c r="U98" s="198"/>
    </row>
    <row r="99" spans="1:33" s="12" customFormat="1" x14ac:dyDescent="0.25">
      <c r="A99" s="214" t="s">
        <v>1107</v>
      </c>
      <c r="B99" s="64">
        <v>6.1</v>
      </c>
      <c r="C99" s="64">
        <v>10.27</v>
      </c>
      <c r="D99" s="64">
        <v>16.37</v>
      </c>
      <c r="E99" s="64">
        <v>2.23</v>
      </c>
      <c r="F99" s="64">
        <v>2.72</v>
      </c>
      <c r="G99" s="64">
        <v>27.32</v>
      </c>
      <c r="H99" s="64">
        <v>10.86</v>
      </c>
      <c r="I99" s="64">
        <v>0.12</v>
      </c>
      <c r="J99" s="64">
        <v>0.14000000000000001</v>
      </c>
      <c r="K99" s="64">
        <v>33.630000000000003</v>
      </c>
      <c r="L99" s="64">
        <v>23.58</v>
      </c>
      <c r="M99" s="64">
        <v>93.83</v>
      </c>
      <c r="N99" s="64">
        <v>8.9</v>
      </c>
      <c r="O99" s="64">
        <v>0</v>
      </c>
      <c r="P99" s="64">
        <v>0.41</v>
      </c>
      <c r="Q99" s="64">
        <v>13.81</v>
      </c>
      <c r="R99" s="198"/>
      <c r="S99" s="198"/>
      <c r="T99" s="198"/>
      <c r="U99" s="198"/>
    </row>
    <row r="100" spans="1:33" s="12" customFormat="1" x14ac:dyDescent="0.25">
      <c r="A100" s="214" t="s">
        <v>1108</v>
      </c>
      <c r="B100" s="64">
        <v>5.09</v>
      </c>
      <c r="C100" s="64">
        <v>11.02</v>
      </c>
      <c r="D100" s="64">
        <v>16.11</v>
      </c>
      <c r="E100" s="64">
        <v>2.17</v>
      </c>
      <c r="F100" s="64">
        <v>8.06</v>
      </c>
      <c r="G100" s="64">
        <v>26.1</v>
      </c>
      <c r="H100" s="64">
        <v>9.9700000000000006</v>
      </c>
      <c r="I100" s="64">
        <v>0.12</v>
      </c>
      <c r="J100" s="64">
        <v>0</v>
      </c>
      <c r="K100" s="64">
        <v>326.70999999999998</v>
      </c>
      <c r="L100" s="64">
        <v>23.51</v>
      </c>
      <c r="M100" s="64">
        <v>94.48</v>
      </c>
      <c r="N100" s="64">
        <v>9.1</v>
      </c>
      <c r="O100" s="64">
        <v>0</v>
      </c>
      <c r="P100" s="64">
        <v>0.37</v>
      </c>
      <c r="Q100" s="64">
        <v>14.32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1109</v>
      </c>
      <c r="B101" s="64">
        <v>4.9800000000000004</v>
      </c>
      <c r="C101" s="64">
        <v>11.44</v>
      </c>
      <c r="D101" s="64">
        <v>16.420000000000002</v>
      </c>
      <c r="E101" s="64">
        <v>2.39</v>
      </c>
      <c r="F101" s="64">
        <v>7.09</v>
      </c>
      <c r="G101" s="64">
        <v>25.03</v>
      </c>
      <c r="H101" s="64">
        <v>9.61</v>
      </c>
      <c r="I101" s="64">
        <v>0.12</v>
      </c>
      <c r="J101" s="64">
        <v>0.03</v>
      </c>
      <c r="K101" s="64">
        <v>89.82</v>
      </c>
      <c r="L101" s="64">
        <v>23.44</v>
      </c>
      <c r="M101" s="64">
        <v>95.13</v>
      </c>
      <c r="N101" s="64">
        <v>9.1</v>
      </c>
      <c r="O101" s="64">
        <v>0</v>
      </c>
      <c r="P101" s="64">
        <v>0.35</v>
      </c>
      <c r="Q101" s="64">
        <v>15.14</v>
      </c>
      <c r="R101" s="198"/>
      <c r="S101" s="198"/>
      <c r="T101" s="198"/>
      <c r="U101" s="198"/>
    </row>
    <row r="102" spans="1:33" s="12" customFormat="1" x14ac:dyDescent="0.25">
      <c r="A102" s="214" t="s">
        <v>1110</v>
      </c>
      <c r="B102" s="64">
        <v>5.4</v>
      </c>
      <c r="C102" s="64">
        <v>12.65</v>
      </c>
      <c r="D102" s="64">
        <v>18.05</v>
      </c>
      <c r="E102" s="64">
        <v>2.4900000000000002</v>
      </c>
      <c r="F102" s="64">
        <v>6.43</v>
      </c>
      <c r="G102" s="64">
        <v>25.03</v>
      </c>
      <c r="H102" s="64">
        <v>9.61</v>
      </c>
      <c r="I102" s="64">
        <v>0.12</v>
      </c>
      <c r="J102" s="64">
        <v>0.01</v>
      </c>
      <c r="K102" s="64">
        <v>250.9</v>
      </c>
      <c r="L102" s="64">
        <v>23.41</v>
      </c>
      <c r="M102" s="64">
        <v>95.22</v>
      </c>
      <c r="N102" s="64">
        <v>9.1</v>
      </c>
      <c r="O102" s="64">
        <v>0</v>
      </c>
      <c r="P102" s="64">
        <v>0.36</v>
      </c>
      <c r="Q102" s="64">
        <v>16.25</v>
      </c>
      <c r="R102" s="198"/>
      <c r="S102" s="198"/>
      <c r="T102" s="198"/>
      <c r="U102" s="198"/>
    </row>
    <row r="103" spans="1:33" s="12" customFormat="1" x14ac:dyDescent="0.25">
      <c r="A103" s="214" t="s">
        <v>1111</v>
      </c>
      <c r="B103" s="64">
        <v>5.56</v>
      </c>
      <c r="C103" s="64">
        <v>11.41</v>
      </c>
      <c r="D103" s="64">
        <v>16.97</v>
      </c>
      <c r="E103" s="64">
        <v>1.9</v>
      </c>
      <c r="F103" s="64">
        <v>4.01</v>
      </c>
      <c r="G103" s="64">
        <v>25.03</v>
      </c>
      <c r="H103" s="64">
        <v>9.61</v>
      </c>
      <c r="I103" s="64">
        <v>0.12</v>
      </c>
      <c r="J103" s="64">
        <v>7.0000000000000007E-2</v>
      </c>
      <c r="K103" s="64">
        <v>174.92</v>
      </c>
      <c r="L103" s="64">
        <v>23.37</v>
      </c>
      <c r="M103" s="64">
        <v>95.6</v>
      </c>
      <c r="N103" s="64">
        <v>9</v>
      </c>
      <c r="O103" s="64">
        <v>0</v>
      </c>
      <c r="P103" s="64">
        <v>0.38</v>
      </c>
      <c r="Q103" s="64">
        <v>17.260000000000002</v>
      </c>
      <c r="R103" s="198"/>
      <c r="S103" s="198"/>
      <c r="T103" s="198"/>
      <c r="U103" s="198"/>
    </row>
    <row r="104" spans="1:33" s="12" customFormat="1" x14ac:dyDescent="0.25">
      <c r="A104" s="214" t="s">
        <v>1112</v>
      </c>
      <c r="B104" s="64">
        <v>4.92</v>
      </c>
      <c r="C104" s="64">
        <v>10.29</v>
      </c>
      <c r="D104" s="64">
        <v>15.21</v>
      </c>
      <c r="E104" s="64">
        <v>0.05</v>
      </c>
      <c r="F104" s="64">
        <v>7.06</v>
      </c>
      <c r="G104" s="64">
        <v>24.13</v>
      </c>
      <c r="H104" s="64">
        <v>8.15</v>
      </c>
      <c r="I104" s="64">
        <v>0.12</v>
      </c>
      <c r="J104" s="64">
        <v>0.14000000000000001</v>
      </c>
      <c r="K104" s="64">
        <v>168.8</v>
      </c>
      <c r="L104" s="64">
        <v>23.21</v>
      </c>
      <c r="M104" s="64">
        <v>96.93</v>
      </c>
      <c r="N104" s="64">
        <v>8.8000000000000007</v>
      </c>
      <c r="O104" s="64">
        <v>0</v>
      </c>
      <c r="P104" s="64">
        <v>0.33</v>
      </c>
      <c r="Q104" s="64">
        <v>17.07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3.96</v>
      </c>
      <c r="C106" s="67">
        <f>MIN(C9:C104)</f>
        <v>7.25</v>
      </c>
      <c r="D106" s="67">
        <f t="shared" ref="D106:Q106" si="0">MIN(D9:D104)</f>
        <v>11.92</v>
      </c>
      <c r="E106" s="67">
        <f t="shared" si="0"/>
        <v>0.04</v>
      </c>
      <c r="F106" s="67">
        <f t="shared" si="0"/>
        <v>0.69</v>
      </c>
      <c r="G106" s="67">
        <f t="shared" si="0"/>
        <v>9.44</v>
      </c>
      <c r="H106" s="67">
        <f t="shared" si="0"/>
        <v>3.11</v>
      </c>
      <c r="I106" s="67">
        <f t="shared" si="0"/>
        <v>0.11</v>
      </c>
      <c r="J106" s="67">
        <f t="shared" si="0"/>
        <v>0</v>
      </c>
      <c r="K106" s="67">
        <f t="shared" si="0"/>
        <v>9.6300000000000008</v>
      </c>
      <c r="L106" s="67">
        <f t="shared" si="0"/>
        <v>22.4</v>
      </c>
      <c r="M106" s="67">
        <f t="shared" si="0"/>
        <v>74.34</v>
      </c>
      <c r="N106" s="67">
        <f t="shared" si="0"/>
        <v>8.8000000000000007</v>
      </c>
      <c r="O106" s="67">
        <f t="shared" si="0"/>
        <v>0</v>
      </c>
      <c r="P106" s="67">
        <f t="shared" si="0"/>
        <v>0.2</v>
      </c>
      <c r="Q106" s="67">
        <f t="shared" si="0"/>
        <v>9.3699999999999992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7.62</v>
      </c>
      <c r="C107" s="66">
        <f t="shared" ref="C107:Q107" si="1">MAX(C9:C104)</f>
        <v>22.4</v>
      </c>
      <c r="D107" s="66">
        <f t="shared" si="1"/>
        <v>28.1</v>
      </c>
      <c r="E107" s="66">
        <f t="shared" si="1"/>
        <v>3.24</v>
      </c>
      <c r="F107" s="66">
        <f t="shared" si="1"/>
        <v>9.9</v>
      </c>
      <c r="G107" s="66">
        <f t="shared" si="1"/>
        <v>29.16</v>
      </c>
      <c r="H107" s="66">
        <f t="shared" si="1"/>
        <v>12.24</v>
      </c>
      <c r="I107" s="66">
        <f t="shared" si="1"/>
        <v>0.13</v>
      </c>
      <c r="J107" s="66">
        <f t="shared" si="1"/>
        <v>1.05</v>
      </c>
      <c r="K107" s="66">
        <f t="shared" si="1"/>
        <v>326.70999999999998</v>
      </c>
      <c r="L107" s="66">
        <f t="shared" si="1"/>
        <v>27.49</v>
      </c>
      <c r="M107" s="66">
        <f t="shared" si="1"/>
        <v>98.62</v>
      </c>
      <c r="N107" s="66">
        <f t="shared" si="1"/>
        <v>529.4</v>
      </c>
      <c r="O107" s="66">
        <f t="shared" si="1"/>
        <v>0</v>
      </c>
      <c r="P107" s="66">
        <f t="shared" si="1"/>
        <v>0.5</v>
      </c>
      <c r="Q107" s="66">
        <f t="shared" si="1"/>
        <v>18.059999999999999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5.285312499999999</v>
      </c>
      <c r="C108" s="67">
        <f t="shared" ref="C108:Q108" si="2">AVERAGE(C9:C104)</f>
        <v>10.7290625</v>
      </c>
      <c r="D108" s="67">
        <f t="shared" si="2"/>
        <v>16.013854166666668</v>
      </c>
      <c r="E108" s="67">
        <f t="shared" si="2"/>
        <v>1.4824999999999999</v>
      </c>
      <c r="F108" s="67">
        <f t="shared" si="2"/>
        <v>3.4148958333333339</v>
      </c>
      <c r="G108" s="67">
        <f t="shared" si="2"/>
        <v>16.477812499999995</v>
      </c>
      <c r="H108" s="67">
        <f t="shared" si="2"/>
        <v>5.9945833333333338</v>
      </c>
      <c r="I108" s="67">
        <f t="shared" si="2"/>
        <v>0.11937499999999984</v>
      </c>
      <c r="J108" s="67">
        <f t="shared" si="2"/>
        <v>0.30260416666666662</v>
      </c>
      <c r="K108" s="67">
        <f t="shared" si="2"/>
        <v>144.92187499999994</v>
      </c>
      <c r="L108" s="67">
        <f t="shared" si="2"/>
        <v>24.20645833333333</v>
      </c>
      <c r="M108" s="67">
        <f t="shared" si="2"/>
        <v>90.868749999999977</v>
      </c>
      <c r="N108" s="67">
        <f t="shared" si="2"/>
        <v>105.61666666666663</v>
      </c>
      <c r="O108" s="67">
        <f t="shared" si="2"/>
        <v>0</v>
      </c>
      <c r="P108" s="67">
        <f t="shared" si="2"/>
        <v>0.29468749999999999</v>
      </c>
      <c r="Q108" s="67">
        <f t="shared" si="2"/>
        <v>14.068333333333328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0.99280034895982394</v>
      </c>
      <c r="C109" s="67">
        <f t="shared" ref="C109:Q109" si="3">STDEV(C9:C104)</f>
        <v>2.8406808220732396</v>
      </c>
      <c r="D109" s="67">
        <f t="shared" si="3"/>
        <v>3.087119716974025</v>
      </c>
      <c r="E109" s="67">
        <f t="shared" si="3"/>
        <v>0.89296902757627983</v>
      </c>
      <c r="F109" s="67">
        <f t="shared" si="3"/>
        <v>2.0125616014327106</v>
      </c>
      <c r="G109" s="67">
        <f t="shared" si="3"/>
        <v>6.1628274787547674</v>
      </c>
      <c r="H109" s="67">
        <f t="shared" si="3"/>
        <v>2.8196057644051331</v>
      </c>
      <c r="I109" s="67">
        <f t="shared" si="3"/>
        <v>3.498119795727863E-3</v>
      </c>
      <c r="J109" s="67">
        <f t="shared" si="3"/>
        <v>0.2797865531988219</v>
      </c>
      <c r="K109" s="67">
        <f t="shared" si="3"/>
        <v>60.365598329765042</v>
      </c>
      <c r="L109" s="67">
        <f t="shared" si="3"/>
        <v>1.4828989951525902</v>
      </c>
      <c r="M109" s="67">
        <f t="shared" si="3"/>
        <v>7.2843467719993127</v>
      </c>
      <c r="N109" s="67">
        <f t="shared" si="3"/>
        <v>126.65531897461473</v>
      </c>
      <c r="O109" s="67">
        <f t="shared" si="3"/>
        <v>0</v>
      </c>
      <c r="P109" s="67">
        <f t="shared" si="3"/>
        <v>7.9298943047313455E-2</v>
      </c>
      <c r="Q109" s="67">
        <f t="shared" si="3"/>
        <v>2.2995064306414856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1113</v>
      </c>
      <c r="B9" s="64">
        <v>5.05</v>
      </c>
      <c r="C9" s="64">
        <v>8.9499999999999993</v>
      </c>
      <c r="D9" s="64">
        <v>14</v>
      </c>
      <c r="E9" s="64">
        <v>0.35</v>
      </c>
      <c r="F9" s="64">
        <v>4.28</v>
      </c>
      <c r="G9" s="64">
        <v>23.34</v>
      </c>
      <c r="H9" s="64">
        <v>7.05</v>
      </c>
      <c r="I9" s="64">
        <v>0.12</v>
      </c>
      <c r="J9" s="64">
        <v>0.1</v>
      </c>
      <c r="K9" s="64">
        <v>158.41</v>
      </c>
      <c r="L9" s="64">
        <v>23.07</v>
      </c>
      <c r="M9" s="64">
        <v>97.61</v>
      </c>
      <c r="N9" s="64">
        <v>8</v>
      </c>
      <c r="O9" s="64">
        <v>0</v>
      </c>
      <c r="P9" s="64">
        <v>0.36</v>
      </c>
      <c r="Q9" s="64">
        <v>16.809999999999999</v>
      </c>
      <c r="R9" s="198"/>
      <c r="S9" s="198"/>
      <c r="T9" s="198"/>
      <c r="U9" s="198"/>
    </row>
    <row r="10" spans="1:21" s="12" customFormat="1" x14ac:dyDescent="0.25">
      <c r="A10" s="214" t="s">
        <v>1114</v>
      </c>
      <c r="B10" s="64">
        <v>4.68</v>
      </c>
      <c r="C10" s="64">
        <v>9.1999999999999993</v>
      </c>
      <c r="D10" s="64">
        <v>13.87</v>
      </c>
      <c r="E10" s="64">
        <v>0.62</v>
      </c>
      <c r="F10" s="64">
        <v>6.95</v>
      </c>
      <c r="G10" s="64">
        <v>23.34</v>
      </c>
      <c r="H10" s="64">
        <v>7.05</v>
      </c>
      <c r="I10" s="64">
        <v>0.12</v>
      </c>
      <c r="J10" s="64">
        <v>0.35</v>
      </c>
      <c r="K10" s="64">
        <v>148.97</v>
      </c>
      <c r="L10" s="64">
        <v>23.07</v>
      </c>
      <c r="M10" s="64">
        <v>97.99</v>
      </c>
      <c r="N10" s="64">
        <v>8.6</v>
      </c>
      <c r="O10" s="64">
        <v>0</v>
      </c>
      <c r="P10" s="64">
        <v>0.31</v>
      </c>
      <c r="Q10" s="64">
        <v>17.86</v>
      </c>
      <c r="R10" s="198"/>
      <c r="S10" s="198"/>
      <c r="T10" s="198"/>
      <c r="U10" s="198"/>
    </row>
    <row r="11" spans="1:21" s="12" customFormat="1" x14ac:dyDescent="0.25">
      <c r="A11" s="214" t="s">
        <v>1115</v>
      </c>
      <c r="B11" s="64">
        <v>4.55</v>
      </c>
      <c r="C11" s="64">
        <v>9.02</v>
      </c>
      <c r="D11" s="64">
        <v>13.57</v>
      </c>
      <c r="E11" s="64">
        <v>0.53</v>
      </c>
      <c r="F11" s="64">
        <v>5.1100000000000003</v>
      </c>
      <c r="G11" s="64">
        <v>23.34</v>
      </c>
      <c r="H11" s="64">
        <v>7.05</v>
      </c>
      <c r="I11" s="64">
        <v>0.12</v>
      </c>
      <c r="J11" s="64">
        <v>0.21</v>
      </c>
      <c r="K11" s="64">
        <v>155.03</v>
      </c>
      <c r="L11" s="64">
        <v>23.04</v>
      </c>
      <c r="M11" s="64">
        <v>98.33</v>
      </c>
      <c r="N11" s="64">
        <v>8.8000000000000007</v>
      </c>
      <c r="O11" s="64">
        <v>0</v>
      </c>
      <c r="P11" s="64">
        <v>0.34</v>
      </c>
      <c r="Q11" s="64">
        <v>17.61</v>
      </c>
      <c r="R11" s="198"/>
      <c r="S11" s="198"/>
      <c r="T11" s="198"/>
      <c r="U11" s="198"/>
    </row>
    <row r="12" spans="1:21" s="12" customFormat="1" x14ac:dyDescent="0.25">
      <c r="A12" s="214" t="s">
        <v>1116</v>
      </c>
      <c r="B12" s="64">
        <v>4.88</v>
      </c>
      <c r="C12" s="64">
        <v>8.56</v>
      </c>
      <c r="D12" s="64">
        <v>13.45</v>
      </c>
      <c r="E12" s="64">
        <v>0.21</v>
      </c>
      <c r="F12" s="64">
        <v>2.21</v>
      </c>
      <c r="G12" s="64">
        <v>19.600000000000001</v>
      </c>
      <c r="H12" s="64">
        <v>7.02</v>
      </c>
      <c r="I12" s="64">
        <v>0.12</v>
      </c>
      <c r="J12" s="64">
        <v>0.88</v>
      </c>
      <c r="K12" s="64">
        <v>147.34</v>
      </c>
      <c r="L12" s="64">
        <v>23.02</v>
      </c>
      <c r="M12" s="64">
        <v>98.05</v>
      </c>
      <c r="N12" s="64">
        <v>8.9</v>
      </c>
      <c r="O12" s="64">
        <v>0</v>
      </c>
      <c r="P12" s="64">
        <v>0.35</v>
      </c>
      <c r="Q12" s="64">
        <v>18.829999999999998</v>
      </c>
      <c r="R12" s="198"/>
      <c r="S12" s="198"/>
      <c r="T12" s="198"/>
      <c r="U12" s="198"/>
    </row>
    <row r="13" spans="1:21" s="12" customFormat="1" x14ac:dyDescent="0.25">
      <c r="A13" s="214" t="s">
        <v>1117</v>
      </c>
      <c r="B13" s="64">
        <v>4.7699999999999996</v>
      </c>
      <c r="C13" s="64">
        <v>8.1300000000000008</v>
      </c>
      <c r="D13" s="64">
        <v>12.91</v>
      </c>
      <c r="E13" s="64">
        <v>0.37</v>
      </c>
      <c r="F13" s="64">
        <v>4.4800000000000004</v>
      </c>
      <c r="G13" s="64">
        <v>16.34</v>
      </c>
      <c r="H13" s="64">
        <v>7.01</v>
      </c>
      <c r="I13" s="64">
        <v>0.12</v>
      </c>
      <c r="J13" s="64">
        <v>0.72</v>
      </c>
      <c r="K13" s="64">
        <v>154.54</v>
      </c>
      <c r="L13" s="64">
        <v>22.97</v>
      </c>
      <c r="M13" s="64">
        <v>98.55</v>
      </c>
      <c r="N13" s="64">
        <v>9.1</v>
      </c>
      <c r="O13" s="64">
        <v>0</v>
      </c>
      <c r="P13" s="64">
        <v>0.31</v>
      </c>
      <c r="Q13" s="64">
        <v>19.36</v>
      </c>
      <c r="R13" s="198"/>
      <c r="S13" s="198"/>
      <c r="T13" s="198"/>
      <c r="U13" s="198"/>
    </row>
    <row r="14" spans="1:21" s="12" customFormat="1" x14ac:dyDescent="0.25">
      <c r="A14" s="214" t="s">
        <v>1118</v>
      </c>
      <c r="B14" s="64">
        <v>4.83</v>
      </c>
      <c r="C14" s="64">
        <v>7.97</v>
      </c>
      <c r="D14" s="64">
        <v>12.79</v>
      </c>
      <c r="E14" s="64">
        <v>0.42</v>
      </c>
      <c r="F14" s="64">
        <v>3.7</v>
      </c>
      <c r="G14" s="64">
        <v>16.34</v>
      </c>
      <c r="H14" s="64">
        <v>7.01</v>
      </c>
      <c r="I14" s="64">
        <v>0.12</v>
      </c>
      <c r="J14" s="64">
        <v>0.69</v>
      </c>
      <c r="K14" s="64">
        <v>149.88</v>
      </c>
      <c r="L14" s="64">
        <v>22.94</v>
      </c>
      <c r="M14" s="64">
        <v>98.6</v>
      </c>
      <c r="N14" s="64">
        <v>9.1</v>
      </c>
      <c r="O14" s="64">
        <v>0</v>
      </c>
      <c r="P14" s="64">
        <v>0.33</v>
      </c>
      <c r="Q14" s="64">
        <v>19.88</v>
      </c>
      <c r="R14" s="198"/>
      <c r="S14" s="198"/>
      <c r="T14" s="198"/>
      <c r="U14" s="198"/>
    </row>
    <row r="15" spans="1:21" s="12" customFormat="1" x14ac:dyDescent="0.25">
      <c r="A15" s="214" t="s">
        <v>1119</v>
      </c>
      <c r="B15" s="64">
        <v>4.82</v>
      </c>
      <c r="C15" s="64">
        <v>8.1199999999999992</v>
      </c>
      <c r="D15" s="64">
        <v>12.94</v>
      </c>
      <c r="E15" s="64">
        <v>0.25</v>
      </c>
      <c r="F15" s="64">
        <v>4.4400000000000004</v>
      </c>
      <c r="G15" s="64">
        <v>16.34</v>
      </c>
      <c r="H15" s="64">
        <v>7.01</v>
      </c>
      <c r="I15" s="64">
        <v>0.12</v>
      </c>
      <c r="J15" s="64">
        <v>0.61</v>
      </c>
      <c r="K15" s="64">
        <v>152.61000000000001</v>
      </c>
      <c r="L15" s="64">
        <v>22.86</v>
      </c>
      <c r="M15" s="64">
        <v>98.62</v>
      </c>
      <c r="N15" s="64">
        <v>8.6999999999999993</v>
      </c>
      <c r="O15" s="64">
        <v>0</v>
      </c>
      <c r="P15" s="64">
        <v>0.32</v>
      </c>
      <c r="Q15" s="64">
        <v>22.63</v>
      </c>
      <c r="R15" s="198"/>
      <c r="S15" s="198"/>
      <c r="T15" s="198"/>
      <c r="U15" s="198"/>
    </row>
    <row r="16" spans="1:21" s="12" customFormat="1" x14ac:dyDescent="0.25">
      <c r="A16" s="214" t="s">
        <v>1120</v>
      </c>
      <c r="B16" s="64">
        <v>4.66</v>
      </c>
      <c r="C16" s="64">
        <v>8.07</v>
      </c>
      <c r="D16" s="64">
        <v>12.73</v>
      </c>
      <c r="E16" s="64">
        <v>1.1200000000000001</v>
      </c>
      <c r="F16" s="64">
        <v>6.25</v>
      </c>
      <c r="G16" s="64">
        <v>15.59</v>
      </c>
      <c r="H16" s="64">
        <v>6.54</v>
      </c>
      <c r="I16" s="64">
        <v>0.12</v>
      </c>
      <c r="J16" s="64">
        <v>0.37</v>
      </c>
      <c r="K16" s="64">
        <v>161.32</v>
      </c>
      <c r="L16" s="64">
        <v>22.82</v>
      </c>
      <c r="M16" s="64">
        <v>98.63</v>
      </c>
      <c r="N16" s="64">
        <v>9.1</v>
      </c>
      <c r="O16" s="64">
        <v>0</v>
      </c>
      <c r="P16" s="64">
        <v>0.3</v>
      </c>
      <c r="Q16" s="64">
        <v>24.49</v>
      </c>
      <c r="R16" s="198"/>
      <c r="S16" s="198"/>
      <c r="T16" s="198"/>
      <c r="U16" s="198"/>
    </row>
    <row r="17" spans="1:21" s="12" customFormat="1" x14ac:dyDescent="0.25">
      <c r="A17" s="214" t="s">
        <v>1121</v>
      </c>
      <c r="B17" s="64">
        <v>4.8899999999999997</v>
      </c>
      <c r="C17" s="64">
        <v>8.32</v>
      </c>
      <c r="D17" s="64">
        <v>13.2</v>
      </c>
      <c r="E17" s="64">
        <v>1.42</v>
      </c>
      <c r="F17" s="64">
        <v>4.42</v>
      </c>
      <c r="G17" s="64">
        <v>14.93</v>
      </c>
      <c r="H17" s="64">
        <v>6.35</v>
      </c>
      <c r="I17" s="64">
        <v>0.11</v>
      </c>
      <c r="J17" s="64">
        <v>0.62</v>
      </c>
      <c r="K17" s="64">
        <v>152.31</v>
      </c>
      <c r="L17" s="64">
        <v>22.77</v>
      </c>
      <c r="M17" s="64">
        <v>98.63</v>
      </c>
      <c r="N17" s="64">
        <v>9</v>
      </c>
      <c r="O17" s="64">
        <v>0</v>
      </c>
      <c r="P17" s="64">
        <v>0.3</v>
      </c>
      <c r="Q17" s="64">
        <v>23.47</v>
      </c>
      <c r="R17" s="198"/>
      <c r="S17" s="198"/>
      <c r="T17" s="198"/>
      <c r="U17" s="198"/>
    </row>
    <row r="18" spans="1:21" s="12" customFormat="1" x14ac:dyDescent="0.25">
      <c r="A18" s="214" t="s">
        <v>1122</v>
      </c>
      <c r="B18" s="64">
        <v>5.01</v>
      </c>
      <c r="C18" s="64">
        <v>8.1999999999999993</v>
      </c>
      <c r="D18" s="64">
        <v>13.22</v>
      </c>
      <c r="E18" s="64">
        <v>1.28</v>
      </c>
      <c r="F18" s="64">
        <v>3.09</v>
      </c>
      <c r="G18" s="64">
        <v>14.93</v>
      </c>
      <c r="H18" s="64">
        <v>6.35</v>
      </c>
      <c r="I18" s="64">
        <v>0.12</v>
      </c>
      <c r="J18" s="64">
        <v>0.31</v>
      </c>
      <c r="K18" s="64">
        <v>169.6</v>
      </c>
      <c r="L18" s="64">
        <v>22.62</v>
      </c>
      <c r="M18" s="64">
        <v>98.63</v>
      </c>
      <c r="N18" s="64">
        <v>9</v>
      </c>
      <c r="O18" s="64">
        <v>0</v>
      </c>
      <c r="P18" s="64">
        <v>0.32</v>
      </c>
      <c r="Q18" s="64">
        <v>22.85</v>
      </c>
      <c r="R18" s="198"/>
      <c r="S18" s="198"/>
      <c r="T18" s="198"/>
      <c r="U18" s="198"/>
    </row>
    <row r="19" spans="1:21" s="12" customFormat="1" x14ac:dyDescent="0.25">
      <c r="A19" s="214" t="s">
        <v>1123</v>
      </c>
      <c r="B19" s="64">
        <v>5.22</v>
      </c>
      <c r="C19" s="64">
        <v>7.86</v>
      </c>
      <c r="D19" s="64">
        <v>13.09</v>
      </c>
      <c r="E19" s="64">
        <v>0.94</v>
      </c>
      <c r="F19" s="64">
        <v>2.74</v>
      </c>
      <c r="G19" s="64">
        <v>14.93</v>
      </c>
      <c r="H19" s="64">
        <v>6.35</v>
      </c>
      <c r="I19" s="64">
        <v>0.13</v>
      </c>
      <c r="J19" s="64">
        <v>0.57999999999999996</v>
      </c>
      <c r="K19" s="64">
        <v>150.59</v>
      </c>
      <c r="L19" s="64">
        <v>22.53</v>
      </c>
      <c r="M19" s="64">
        <v>98.63</v>
      </c>
      <c r="N19" s="64">
        <v>9.1</v>
      </c>
      <c r="O19" s="64">
        <v>0</v>
      </c>
      <c r="P19" s="64">
        <v>0.31</v>
      </c>
      <c r="Q19" s="64">
        <v>22.53</v>
      </c>
      <c r="R19" s="198"/>
      <c r="S19" s="198"/>
      <c r="T19" s="198"/>
      <c r="U19" s="198"/>
    </row>
    <row r="20" spans="1:21" s="12" customFormat="1" x14ac:dyDescent="0.25">
      <c r="A20" s="214" t="s">
        <v>1124</v>
      </c>
      <c r="B20" s="64">
        <v>4.9000000000000004</v>
      </c>
      <c r="C20" s="64">
        <v>7.46</v>
      </c>
      <c r="D20" s="64">
        <v>12.35</v>
      </c>
      <c r="E20" s="64">
        <v>0.68</v>
      </c>
      <c r="F20" s="64">
        <v>4.53</v>
      </c>
      <c r="G20" s="64">
        <v>14.59</v>
      </c>
      <c r="H20" s="64">
        <v>5.22</v>
      </c>
      <c r="I20" s="64">
        <v>0.12</v>
      </c>
      <c r="J20" s="64">
        <v>0.16</v>
      </c>
      <c r="K20" s="64">
        <v>159.54</v>
      </c>
      <c r="L20" s="64">
        <v>22.46</v>
      </c>
      <c r="M20" s="64">
        <v>98.63</v>
      </c>
      <c r="N20" s="64">
        <v>9.1</v>
      </c>
      <c r="O20" s="64">
        <v>0</v>
      </c>
      <c r="P20" s="64">
        <v>0.28000000000000003</v>
      </c>
      <c r="Q20" s="64">
        <v>21.4</v>
      </c>
      <c r="R20" s="198"/>
      <c r="S20" s="198"/>
      <c r="T20" s="198"/>
      <c r="U20" s="198"/>
    </row>
    <row r="21" spans="1:21" s="12" customFormat="1" x14ac:dyDescent="0.25">
      <c r="A21" s="214" t="s">
        <v>1125</v>
      </c>
      <c r="B21" s="64">
        <v>5.0599999999999996</v>
      </c>
      <c r="C21" s="64">
        <v>7.32</v>
      </c>
      <c r="D21" s="64">
        <v>12.38</v>
      </c>
      <c r="E21" s="64">
        <v>0.42</v>
      </c>
      <c r="F21" s="64">
        <v>2.08</v>
      </c>
      <c r="G21" s="64">
        <v>14.28</v>
      </c>
      <c r="H21" s="64">
        <v>4.76</v>
      </c>
      <c r="I21" s="64">
        <v>0.12</v>
      </c>
      <c r="J21" s="64">
        <v>0.21</v>
      </c>
      <c r="K21" s="64">
        <v>174.53</v>
      </c>
      <c r="L21" s="64">
        <v>22.42</v>
      </c>
      <c r="M21" s="64">
        <v>98.63</v>
      </c>
      <c r="N21" s="64">
        <v>9.1</v>
      </c>
      <c r="O21" s="64">
        <v>0</v>
      </c>
      <c r="P21" s="64">
        <v>0.28999999999999998</v>
      </c>
      <c r="Q21" s="64">
        <v>21.32</v>
      </c>
      <c r="R21" s="198"/>
      <c r="S21" s="198"/>
      <c r="T21" s="198"/>
      <c r="U21" s="198"/>
    </row>
    <row r="22" spans="1:21" s="12" customFormat="1" x14ac:dyDescent="0.25">
      <c r="A22" s="214" t="s">
        <v>1126</v>
      </c>
      <c r="B22" s="64">
        <v>4.82</v>
      </c>
      <c r="C22" s="64">
        <v>7.39</v>
      </c>
      <c r="D22" s="64">
        <v>12.21</v>
      </c>
      <c r="E22" s="64">
        <v>0.59</v>
      </c>
      <c r="F22" s="64">
        <v>3.68</v>
      </c>
      <c r="G22" s="64">
        <v>14.28</v>
      </c>
      <c r="H22" s="64">
        <v>4.76</v>
      </c>
      <c r="I22" s="64">
        <v>0.12</v>
      </c>
      <c r="J22" s="64">
        <v>0.18</v>
      </c>
      <c r="K22" s="64">
        <v>204.99</v>
      </c>
      <c r="L22" s="64">
        <v>22.43</v>
      </c>
      <c r="M22" s="64">
        <v>98.63</v>
      </c>
      <c r="N22" s="64">
        <v>8.9</v>
      </c>
      <c r="O22" s="64">
        <v>0</v>
      </c>
      <c r="P22" s="64">
        <v>0.27</v>
      </c>
      <c r="Q22" s="64">
        <v>21.97</v>
      </c>
      <c r="R22" s="198"/>
      <c r="S22" s="198"/>
      <c r="T22" s="198"/>
      <c r="U22" s="198"/>
    </row>
    <row r="23" spans="1:21" s="12" customFormat="1" x14ac:dyDescent="0.25">
      <c r="A23" s="214" t="s">
        <v>1127</v>
      </c>
      <c r="B23" s="64">
        <v>4.93</v>
      </c>
      <c r="C23" s="64">
        <v>7.25</v>
      </c>
      <c r="D23" s="64">
        <v>12.18</v>
      </c>
      <c r="E23" s="64">
        <v>0.83</v>
      </c>
      <c r="F23" s="64">
        <v>2.39</v>
      </c>
      <c r="G23" s="64">
        <v>14.28</v>
      </c>
      <c r="H23" s="64">
        <v>4.76</v>
      </c>
      <c r="I23" s="64">
        <v>0.12</v>
      </c>
      <c r="J23" s="64">
        <v>0.35</v>
      </c>
      <c r="K23" s="64">
        <v>160.27000000000001</v>
      </c>
      <c r="L23" s="64">
        <v>22.44</v>
      </c>
      <c r="M23" s="64">
        <v>98.65</v>
      </c>
      <c r="N23" s="64">
        <v>8.9</v>
      </c>
      <c r="O23" s="64">
        <v>0</v>
      </c>
      <c r="P23" s="64">
        <v>0.28999999999999998</v>
      </c>
      <c r="Q23" s="64">
        <v>21.36</v>
      </c>
      <c r="R23" s="198"/>
      <c r="S23" s="198"/>
      <c r="T23" s="198"/>
      <c r="U23" s="198"/>
    </row>
    <row r="24" spans="1:21" s="12" customFormat="1" x14ac:dyDescent="0.25">
      <c r="A24" s="214" t="s">
        <v>1128</v>
      </c>
      <c r="B24" s="64">
        <v>4.83</v>
      </c>
      <c r="C24" s="64">
        <v>7.69</v>
      </c>
      <c r="D24" s="64">
        <v>12.52</v>
      </c>
      <c r="E24" s="64">
        <v>1.24</v>
      </c>
      <c r="F24" s="64">
        <v>2.67</v>
      </c>
      <c r="G24" s="64">
        <v>12.57</v>
      </c>
      <c r="H24" s="64">
        <v>4.34</v>
      </c>
      <c r="I24" s="64">
        <v>0.13</v>
      </c>
      <c r="J24" s="64">
        <v>0.37</v>
      </c>
      <c r="K24" s="64">
        <v>164.19</v>
      </c>
      <c r="L24" s="64">
        <v>22.48</v>
      </c>
      <c r="M24" s="64">
        <v>98.64</v>
      </c>
      <c r="N24" s="64">
        <v>8.9</v>
      </c>
      <c r="O24" s="64">
        <v>0</v>
      </c>
      <c r="P24" s="64">
        <v>0.27</v>
      </c>
      <c r="Q24" s="64">
        <v>21.9</v>
      </c>
      <c r="R24" s="198"/>
      <c r="S24" s="198"/>
      <c r="T24" s="198"/>
      <c r="U24" s="198"/>
    </row>
    <row r="25" spans="1:21" s="12" customFormat="1" x14ac:dyDescent="0.25">
      <c r="A25" s="214" t="s">
        <v>1129</v>
      </c>
      <c r="B25" s="64">
        <v>4.82</v>
      </c>
      <c r="C25" s="64">
        <v>7.47</v>
      </c>
      <c r="D25" s="64">
        <v>12.29</v>
      </c>
      <c r="E25" s="64">
        <v>1.18</v>
      </c>
      <c r="F25" s="64">
        <v>2.5499999999999998</v>
      </c>
      <c r="G25" s="64">
        <v>11.07</v>
      </c>
      <c r="H25" s="64">
        <v>4.16</v>
      </c>
      <c r="I25" s="64">
        <v>0.13</v>
      </c>
      <c r="J25" s="64">
        <v>0.88</v>
      </c>
      <c r="K25" s="64">
        <v>141.52000000000001</v>
      </c>
      <c r="L25" s="64">
        <v>22.5</v>
      </c>
      <c r="M25" s="64">
        <v>98.65</v>
      </c>
      <c r="N25" s="64">
        <v>9</v>
      </c>
      <c r="O25" s="64">
        <v>0</v>
      </c>
      <c r="P25" s="64">
        <v>0.28000000000000003</v>
      </c>
      <c r="Q25" s="64">
        <v>21.67</v>
      </c>
      <c r="R25" s="198"/>
      <c r="S25" s="198"/>
      <c r="T25" s="198"/>
      <c r="U25" s="198"/>
    </row>
    <row r="26" spans="1:21" s="12" customFormat="1" x14ac:dyDescent="0.25">
      <c r="A26" s="214" t="s">
        <v>1130</v>
      </c>
      <c r="B26" s="64">
        <v>4.57</v>
      </c>
      <c r="C26" s="64">
        <v>8.51</v>
      </c>
      <c r="D26" s="64">
        <v>13.08</v>
      </c>
      <c r="E26" s="64">
        <v>1.5</v>
      </c>
      <c r="F26" s="64">
        <v>5.14</v>
      </c>
      <c r="G26" s="64">
        <v>11.07</v>
      </c>
      <c r="H26" s="64">
        <v>4.16</v>
      </c>
      <c r="I26" s="64">
        <v>0.13</v>
      </c>
      <c r="J26" s="64">
        <v>0.22</v>
      </c>
      <c r="K26" s="64">
        <v>169.78</v>
      </c>
      <c r="L26" s="64">
        <v>22.56</v>
      </c>
      <c r="M26" s="64">
        <v>98.65</v>
      </c>
      <c r="N26" s="64">
        <v>9.1</v>
      </c>
      <c r="O26" s="64">
        <v>0</v>
      </c>
      <c r="P26" s="64">
        <v>0.26</v>
      </c>
      <c r="Q26" s="64">
        <v>21.92</v>
      </c>
      <c r="R26" s="198"/>
      <c r="S26" s="198"/>
      <c r="T26" s="198"/>
      <c r="U26" s="198"/>
    </row>
    <row r="27" spans="1:21" s="12" customFormat="1" x14ac:dyDescent="0.25">
      <c r="A27" s="214" t="s">
        <v>1131</v>
      </c>
      <c r="B27" s="64">
        <v>4.4800000000000004</v>
      </c>
      <c r="C27" s="64">
        <v>8.93</v>
      </c>
      <c r="D27" s="64">
        <v>13.41</v>
      </c>
      <c r="E27" s="64">
        <v>1.52</v>
      </c>
      <c r="F27" s="64">
        <v>6.4</v>
      </c>
      <c r="G27" s="64">
        <v>11.07</v>
      </c>
      <c r="H27" s="64">
        <v>4.16</v>
      </c>
      <c r="I27" s="64">
        <v>0.12</v>
      </c>
      <c r="J27" s="64">
        <v>0.2</v>
      </c>
      <c r="K27" s="64">
        <v>166.99</v>
      </c>
      <c r="L27" s="64">
        <v>22.55</v>
      </c>
      <c r="M27" s="64">
        <v>98.65</v>
      </c>
      <c r="N27" s="64">
        <v>9.1</v>
      </c>
      <c r="O27" s="64">
        <v>0</v>
      </c>
      <c r="P27" s="64">
        <v>0.26</v>
      </c>
      <c r="Q27" s="64">
        <v>22.13</v>
      </c>
      <c r="R27" s="198"/>
      <c r="S27" s="198"/>
      <c r="T27" s="198"/>
      <c r="U27" s="198"/>
    </row>
    <row r="28" spans="1:21" s="12" customFormat="1" x14ac:dyDescent="0.25">
      <c r="A28" s="214" t="s">
        <v>1132</v>
      </c>
      <c r="B28" s="64">
        <v>4.3899999999999997</v>
      </c>
      <c r="C28" s="64">
        <v>10.76</v>
      </c>
      <c r="D28" s="64">
        <v>15.15</v>
      </c>
      <c r="E28" s="64">
        <v>0.96</v>
      </c>
      <c r="F28" s="64">
        <v>6.52</v>
      </c>
      <c r="G28" s="64">
        <v>12.16</v>
      </c>
      <c r="H28" s="64">
        <v>3.34</v>
      </c>
      <c r="I28" s="64">
        <v>0.12</v>
      </c>
      <c r="J28" s="64">
        <v>0.02</v>
      </c>
      <c r="K28" s="64">
        <v>118.51</v>
      </c>
      <c r="L28" s="64">
        <v>22.47</v>
      </c>
      <c r="M28" s="64">
        <v>98.65</v>
      </c>
      <c r="N28" s="64">
        <v>8.9</v>
      </c>
      <c r="O28" s="64">
        <v>0</v>
      </c>
      <c r="P28" s="64">
        <v>0.25</v>
      </c>
      <c r="Q28" s="64">
        <v>22.16</v>
      </c>
      <c r="R28" s="198"/>
      <c r="S28" s="198"/>
      <c r="T28" s="198"/>
      <c r="U28" s="198"/>
    </row>
    <row r="29" spans="1:21" s="12" customFormat="1" x14ac:dyDescent="0.25">
      <c r="A29" s="214" t="s">
        <v>1133</v>
      </c>
      <c r="B29" s="64">
        <v>4.67</v>
      </c>
      <c r="C29" s="64">
        <v>10.71</v>
      </c>
      <c r="D29" s="64">
        <v>15.38</v>
      </c>
      <c r="E29" s="64">
        <v>1.81</v>
      </c>
      <c r="F29" s="64">
        <v>6.09</v>
      </c>
      <c r="G29" s="64">
        <v>13.15</v>
      </c>
      <c r="H29" s="64">
        <v>3</v>
      </c>
      <c r="I29" s="64">
        <v>0.11</v>
      </c>
      <c r="J29" s="64">
        <v>0.13</v>
      </c>
      <c r="K29" s="64">
        <v>164.49</v>
      </c>
      <c r="L29" s="64">
        <v>22.43</v>
      </c>
      <c r="M29" s="64">
        <v>98.14</v>
      </c>
      <c r="N29" s="64">
        <v>8.8000000000000007</v>
      </c>
      <c r="O29" s="64">
        <v>0</v>
      </c>
      <c r="P29" s="64">
        <v>0.26</v>
      </c>
      <c r="Q29" s="64">
        <v>22.06</v>
      </c>
      <c r="R29" s="198"/>
      <c r="S29" s="198"/>
      <c r="T29" s="198"/>
      <c r="U29" s="198"/>
    </row>
    <row r="30" spans="1:21" s="12" customFormat="1" x14ac:dyDescent="0.25">
      <c r="A30" s="214" t="s">
        <v>1134</v>
      </c>
      <c r="B30" s="64">
        <v>5.27</v>
      </c>
      <c r="C30" s="64">
        <v>10.42</v>
      </c>
      <c r="D30" s="64">
        <v>15.69</v>
      </c>
      <c r="E30" s="64">
        <v>0.94</v>
      </c>
      <c r="F30" s="64">
        <v>3.64</v>
      </c>
      <c r="G30" s="64">
        <v>13.15</v>
      </c>
      <c r="H30" s="64">
        <v>3</v>
      </c>
      <c r="I30" s="64">
        <v>0.12</v>
      </c>
      <c r="J30" s="64">
        <v>0.6</v>
      </c>
      <c r="K30" s="64">
        <v>147.47999999999999</v>
      </c>
      <c r="L30" s="64">
        <v>22.59</v>
      </c>
      <c r="M30" s="64">
        <v>98.14</v>
      </c>
      <c r="N30" s="64">
        <v>8.9</v>
      </c>
      <c r="O30" s="64">
        <v>0</v>
      </c>
      <c r="P30" s="64">
        <v>0.28000000000000003</v>
      </c>
      <c r="Q30" s="64">
        <v>21.89</v>
      </c>
      <c r="R30" s="198"/>
      <c r="S30" s="198"/>
      <c r="T30" s="198"/>
      <c r="U30" s="198"/>
    </row>
    <row r="31" spans="1:21" s="12" customFormat="1" x14ac:dyDescent="0.25">
      <c r="A31" s="214" t="s">
        <v>1135</v>
      </c>
      <c r="B31" s="64">
        <v>6.15</v>
      </c>
      <c r="C31" s="64">
        <v>9.1</v>
      </c>
      <c r="D31" s="64">
        <v>15.24</v>
      </c>
      <c r="E31" s="64">
        <v>1.63</v>
      </c>
      <c r="F31" s="64">
        <v>1.43</v>
      </c>
      <c r="G31" s="64">
        <v>13.15</v>
      </c>
      <c r="H31" s="64">
        <v>3</v>
      </c>
      <c r="I31" s="64">
        <v>0.11</v>
      </c>
      <c r="J31" s="64">
        <v>1.07</v>
      </c>
      <c r="K31" s="64">
        <v>148.47</v>
      </c>
      <c r="L31" s="64">
        <v>22.51</v>
      </c>
      <c r="M31" s="64">
        <v>98.13</v>
      </c>
      <c r="N31" s="64">
        <v>11.8</v>
      </c>
      <c r="O31" s="64">
        <v>0</v>
      </c>
      <c r="P31" s="64">
        <v>0.27</v>
      </c>
      <c r="Q31" s="64">
        <v>22.04</v>
      </c>
      <c r="R31" s="198"/>
      <c r="S31" s="198"/>
      <c r="T31" s="198"/>
      <c r="U31" s="198"/>
    </row>
    <row r="32" spans="1:21" s="12" customFormat="1" x14ac:dyDescent="0.25">
      <c r="A32" s="214" t="s">
        <v>1136</v>
      </c>
      <c r="B32" s="64">
        <v>6.19</v>
      </c>
      <c r="C32" s="64">
        <v>8.89</v>
      </c>
      <c r="D32" s="64">
        <v>15.07</v>
      </c>
      <c r="E32" s="64">
        <v>1.49</v>
      </c>
      <c r="F32" s="64">
        <v>2.87</v>
      </c>
      <c r="G32" s="64">
        <v>11.41</v>
      </c>
      <c r="H32" s="64">
        <v>5.09</v>
      </c>
      <c r="I32" s="64">
        <v>0.12</v>
      </c>
      <c r="J32" s="64">
        <v>0.9</v>
      </c>
      <c r="K32" s="64">
        <v>144.56</v>
      </c>
      <c r="L32" s="64">
        <v>22.57</v>
      </c>
      <c r="M32" s="64">
        <v>98.62</v>
      </c>
      <c r="N32" s="64">
        <v>15</v>
      </c>
      <c r="O32" s="64">
        <v>0</v>
      </c>
      <c r="P32" s="64">
        <v>0.26</v>
      </c>
      <c r="Q32" s="64">
        <v>20.9</v>
      </c>
      <c r="R32" s="198"/>
      <c r="S32" s="198"/>
      <c r="T32" s="198"/>
      <c r="U32" s="198"/>
    </row>
    <row r="33" spans="1:21" s="12" customFormat="1" x14ac:dyDescent="0.25">
      <c r="A33" s="214" t="s">
        <v>1137</v>
      </c>
      <c r="B33" s="64">
        <v>6.31</v>
      </c>
      <c r="C33" s="64">
        <v>8.15</v>
      </c>
      <c r="D33" s="64">
        <v>14.46</v>
      </c>
      <c r="E33" s="64">
        <v>1.07</v>
      </c>
      <c r="F33" s="64">
        <v>1.65</v>
      </c>
      <c r="G33" s="64">
        <v>9.89</v>
      </c>
      <c r="H33" s="64">
        <v>6.82</v>
      </c>
      <c r="I33" s="64">
        <v>0.12</v>
      </c>
      <c r="J33" s="64">
        <v>1.19</v>
      </c>
      <c r="K33" s="64">
        <v>145.28</v>
      </c>
      <c r="L33" s="64">
        <v>22.64</v>
      </c>
      <c r="M33" s="64">
        <v>98.12</v>
      </c>
      <c r="N33" s="64">
        <v>22.4</v>
      </c>
      <c r="O33" s="64">
        <v>0</v>
      </c>
      <c r="P33" s="64">
        <v>0.28000000000000003</v>
      </c>
      <c r="Q33" s="64">
        <v>20.28</v>
      </c>
      <c r="R33" s="198"/>
      <c r="S33" s="198"/>
      <c r="T33" s="198"/>
      <c r="U33" s="198"/>
    </row>
    <row r="34" spans="1:21" s="12" customFormat="1" x14ac:dyDescent="0.25">
      <c r="A34" s="214" t="s">
        <v>1138</v>
      </c>
      <c r="B34" s="64">
        <v>6.22</v>
      </c>
      <c r="C34" s="64">
        <v>8.94</v>
      </c>
      <c r="D34" s="64">
        <v>15.16</v>
      </c>
      <c r="E34" s="64">
        <v>1.36</v>
      </c>
      <c r="F34" s="64">
        <v>2.67</v>
      </c>
      <c r="G34" s="64">
        <v>9.89</v>
      </c>
      <c r="H34" s="64">
        <v>6.82</v>
      </c>
      <c r="I34" s="64">
        <v>0.13</v>
      </c>
      <c r="J34" s="64">
        <v>0.6</v>
      </c>
      <c r="K34" s="64">
        <v>151.31</v>
      </c>
      <c r="L34" s="64">
        <v>22.73</v>
      </c>
      <c r="M34" s="64">
        <v>98.12</v>
      </c>
      <c r="N34" s="64">
        <v>21.1</v>
      </c>
      <c r="O34" s="64">
        <v>0</v>
      </c>
      <c r="P34" s="64">
        <v>0.26</v>
      </c>
      <c r="Q34" s="64">
        <v>21.32</v>
      </c>
      <c r="R34" s="198"/>
      <c r="S34" s="198"/>
      <c r="T34" s="198"/>
      <c r="U34" s="198"/>
    </row>
    <row r="35" spans="1:21" s="12" customFormat="1" x14ac:dyDescent="0.25">
      <c r="A35" s="214" t="s">
        <v>1139</v>
      </c>
      <c r="B35" s="64">
        <v>6.37</v>
      </c>
      <c r="C35" s="64">
        <v>8.75</v>
      </c>
      <c r="D35" s="64">
        <v>15.12</v>
      </c>
      <c r="E35" s="64">
        <v>0.85</v>
      </c>
      <c r="F35" s="64">
        <v>1.44</v>
      </c>
      <c r="G35" s="64">
        <v>9.89</v>
      </c>
      <c r="H35" s="64">
        <v>6.82</v>
      </c>
      <c r="I35" s="64">
        <v>0.13</v>
      </c>
      <c r="J35" s="64">
        <v>0.83</v>
      </c>
      <c r="K35" s="64">
        <v>155.37</v>
      </c>
      <c r="L35" s="64">
        <v>22.72</v>
      </c>
      <c r="M35" s="64">
        <v>98.11</v>
      </c>
      <c r="N35" s="64">
        <v>29</v>
      </c>
      <c r="O35" s="64">
        <v>0</v>
      </c>
      <c r="P35" s="64">
        <v>0.27</v>
      </c>
      <c r="Q35" s="64">
        <v>21.04</v>
      </c>
      <c r="R35" s="198"/>
      <c r="S35" s="198"/>
      <c r="T35" s="198"/>
      <c r="U35" s="198"/>
    </row>
    <row r="36" spans="1:21" s="12" customFormat="1" x14ac:dyDescent="0.25">
      <c r="A36" s="214" t="s">
        <v>1140</v>
      </c>
      <c r="B36" s="64">
        <v>6.51</v>
      </c>
      <c r="C36" s="64">
        <v>9.25</v>
      </c>
      <c r="D36" s="64">
        <v>15.76</v>
      </c>
      <c r="E36" s="64">
        <v>1.41</v>
      </c>
      <c r="F36" s="64">
        <v>1.45</v>
      </c>
      <c r="G36" s="64">
        <v>8.92</v>
      </c>
      <c r="H36" s="64">
        <v>5.65</v>
      </c>
      <c r="I36" s="64">
        <v>0.13</v>
      </c>
      <c r="J36" s="64">
        <v>0.91</v>
      </c>
      <c r="K36" s="64">
        <v>152</v>
      </c>
      <c r="L36" s="64">
        <v>22.61</v>
      </c>
      <c r="M36" s="64">
        <v>98.62</v>
      </c>
      <c r="N36" s="64">
        <v>34.200000000000003</v>
      </c>
      <c r="O36" s="64">
        <v>0</v>
      </c>
      <c r="P36" s="64">
        <v>0.28000000000000003</v>
      </c>
      <c r="Q36" s="64">
        <v>21.63</v>
      </c>
      <c r="R36" s="198"/>
      <c r="S36" s="198"/>
      <c r="T36" s="198"/>
      <c r="U36" s="198"/>
    </row>
    <row r="37" spans="1:21" s="12" customFormat="1" x14ac:dyDescent="0.25">
      <c r="A37" s="214" t="s">
        <v>1141</v>
      </c>
      <c r="B37" s="64">
        <v>6.61</v>
      </c>
      <c r="C37" s="64">
        <v>9.43</v>
      </c>
      <c r="D37" s="64">
        <v>16.05</v>
      </c>
      <c r="E37" s="64">
        <v>1.1100000000000001</v>
      </c>
      <c r="F37" s="64">
        <v>1.95</v>
      </c>
      <c r="G37" s="64">
        <v>8.07</v>
      </c>
      <c r="H37" s="64">
        <v>5.18</v>
      </c>
      <c r="I37" s="64">
        <v>0.12</v>
      </c>
      <c r="J37" s="64">
        <v>0.83</v>
      </c>
      <c r="K37" s="64">
        <v>144.69999999999999</v>
      </c>
      <c r="L37" s="64">
        <v>22.7</v>
      </c>
      <c r="M37" s="64">
        <v>98.12</v>
      </c>
      <c r="N37" s="64">
        <v>59.5</v>
      </c>
      <c r="O37" s="64">
        <v>0</v>
      </c>
      <c r="P37" s="64">
        <v>0.27</v>
      </c>
      <c r="Q37" s="64">
        <v>21.15</v>
      </c>
      <c r="R37" s="198"/>
      <c r="S37" s="198"/>
      <c r="T37" s="198"/>
      <c r="U37" s="198"/>
    </row>
    <row r="38" spans="1:21" s="12" customFormat="1" x14ac:dyDescent="0.25">
      <c r="A38" s="214" t="s">
        <v>1142</v>
      </c>
      <c r="B38" s="64">
        <v>6.96</v>
      </c>
      <c r="C38" s="64">
        <v>10.27</v>
      </c>
      <c r="D38" s="64">
        <v>17.23</v>
      </c>
      <c r="E38" s="64">
        <v>1.57</v>
      </c>
      <c r="F38" s="64">
        <v>1.58</v>
      </c>
      <c r="G38" s="64">
        <v>8.07</v>
      </c>
      <c r="H38" s="64">
        <v>5.18</v>
      </c>
      <c r="I38" s="64">
        <v>0.12</v>
      </c>
      <c r="J38" s="64">
        <v>0.76</v>
      </c>
      <c r="K38" s="64">
        <v>156.02000000000001</v>
      </c>
      <c r="L38" s="64">
        <v>22.97</v>
      </c>
      <c r="M38" s="64">
        <v>98.12</v>
      </c>
      <c r="N38" s="64">
        <v>100.3</v>
      </c>
      <c r="O38" s="64">
        <v>0</v>
      </c>
      <c r="P38" s="64">
        <v>0.28999999999999998</v>
      </c>
      <c r="Q38" s="64">
        <v>21.98</v>
      </c>
      <c r="R38" s="198"/>
      <c r="S38" s="198"/>
      <c r="T38" s="198"/>
      <c r="U38" s="198"/>
    </row>
    <row r="39" spans="1:21" s="12" customFormat="1" x14ac:dyDescent="0.25">
      <c r="A39" s="214" t="s">
        <v>1143</v>
      </c>
      <c r="B39" s="64">
        <v>7.16</v>
      </c>
      <c r="C39" s="64">
        <v>9.7799999999999994</v>
      </c>
      <c r="D39" s="64">
        <v>16.940000000000001</v>
      </c>
      <c r="E39" s="64">
        <v>2.11</v>
      </c>
      <c r="F39" s="64">
        <v>1.29</v>
      </c>
      <c r="G39" s="64">
        <v>8.07</v>
      </c>
      <c r="H39" s="64">
        <v>5.18</v>
      </c>
      <c r="I39" s="64">
        <v>0.12</v>
      </c>
      <c r="J39" s="64">
        <v>0.93</v>
      </c>
      <c r="K39" s="64">
        <v>151.76</v>
      </c>
      <c r="L39" s="64">
        <v>22.82</v>
      </c>
      <c r="M39" s="64">
        <v>98.13</v>
      </c>
      <c r="N39" s="64">
        <v>98.8</v>
      </c>
      <c r="O39" s="64">
        <v>0</v>
      </c>
      <c r="P39" s="64">
        <v>0.28999999999999998</v>
      </c>
      <c r="Q39" s="64">
        <v>22.23</v>
      </c>
      <c r="R39" s="198"/>
      <c r="S39" s="198"/>
      <c r="T39" s="198"/>
      <c r="U39" s="198"/>
    </row>
    <row r="40" spans="1:21" s="12" customFormat="1" x14ac:dyDescent="0.25">
      <c r="A40" s="214" t="s">
        <v>1144</v>
      </c>
      <c r="B40" s="64">
        <v>7.19</v>
      </c>
      <c r="C40" s="64">
        <v>9.36</v>
      </c>
      <c r="D40" s="64">
        <v>16.55</v>
      </c>
      <c r="E40" s="64">
        <v>1.52</v>
      </c>
      <c r="F40" s="64">
        <v>1.79</v>
      </c>
      <c r="G40" s="64">
        <v>9.2799999999999994</v>
      </c>
      <c r="H40" s="64">
        <v>5.79</v>
      </c>
      <c r="I40" s="64">
        <v>0.12</v>
      </c>
      <c r="J40" s="64">
        <v>1.45</v>
      </c>
      <c r="K40" s="64">
        <v>148.71</v>
      </c>
      <c r="L40" s="64">
        <v>23.22</v>
      </c>
      <c r="M40" s="64">
        <v>98.58</v>
      </c>
      <c r="N40" s="64">
        <v>252.3</v>
      </c>
      <c r="O40" s="64">
        <v>0</v>
      </c>
      <c r="P40" s="64">
        <v>0.28999999999999998</v>
      </c>
      <c r="Q40" s="64">
        <v>22.27</v>
      </c>
      <c r="R40" s="198"/>
      <c r="S40" s="198"/>
      <c r="T40" s="198"/>
      <c r="U40" s="198"/>
    </row>
    <row r="41" spans="1:21" s="12" customFormat="1" x14ac:dyDescent="0.25">
      <c r="A41" s="214" t="s">
        <v>1145</v>
      </c>
      <c r="B41" s="64">
        <v>7.37</v>
      </c>
      <c r="C41" s="64">
        <v>9.4499999999999993</v>
      </c>
      <c r="D41" s="64">
        <v>16.82</v>
      </c>
      <c r="E41" s="64">
        <v>1.47</v>
      </c>
      <c r="F41" s="64">
        <v>1.46</v>
      </c>
      <c r="G41" s="64">
        <v>10.35</v>
      </c>
      <c r="H41" s="64">
        <v>6.04</v>
      </c>
      <c r="I41" s="64">
        <v>0.12</v>
      </c>
      <c r="J41" s="64">
        <v>0.63</v>
      </c>
      <c r="K41" s="64">
        <v>167.45</v>
      </c>
      <c r="L41" s="64">
        <v>23.7</v>
      </c>
      <c r="M41" s="64">
        <v>96.79</v>
      </c>
      <c r="N41" s="64">
        <v>201.2</v>
      </c>
      <c r="O41" s="64">
        <v>0</v>
      </c>
      <c r="P41" s="64">
        <v>0.28999999999999998</v>
      </c>
      <c r="Q41" s="64">
        <v>22.28</v>
      </c>
      <c r="R41" s="198"/>
      <c r="S41" s="198"/>
      <c r="T41" s="198"/>
      <c r="U41" s="198"/>
    </row>
    <row r="42" spans="1:21" s="12" customFormat="1" x14ac:dyDescent="0.25">
      <c r="A42" s="214" t="s">
        <v>1146</v>
      </c>
      <c r="B42" s="64">
        <v>7.4</v>
      </c>
      <c r="C42" s="64">
        <v>9.34</v>
      </c>
      <c r="D42" s="64">
        <v>16.739999999999998</v>
      </c>
      <c r="E42" s="64">
        <v>1.76</v>
      </c>
      <c r="F42" s="64">
        <v>1.43</v>
      </c>
      <c r="G42" s="64">
        <v>10.35</v>
      </c>
      <c r="H42" s="64">
        <v>6.04</v>
      </c>
      <c r="I42" s="64">
        <v>0.12</v>
      </c>
      <c r="J42" s="64">
        <v>0.34</v>
      </c>
      <c r="K42" s="64">
        <v>161.99</v>
      </c>
      <c r="L42" s="64">
        <v>23.97</v>
      </c>
      <c r="M42" s="64">
        <v>95.85</v>
      </c>
      <c r="N42" s="64">
        <v>221.1</v>
      </c>
      <c r="O42" s="64">
        <v>0</v>
      </c>
      <c r="P42" s="64">
        <v>0.3</v>
      </c>
      <c r="Q42" s="64">
        <v>22.21</v>
      </c>
      <c r="R42" s="198"/>
      <c r="S42" s="198"/>
      <c r="T42" s="198"/>
      <c r="U42" s="198"/>
    </row>
    <row r="43" spans="1:21" s="12" customFormat="1" x14ac:dyDescent="0.25">
      <c r="A43" s="214" t="s">
        <v>1147</v>
      </c>
      <c r="B43" s="64">
        <v>7.06</v>
      </c>
      <c r="C43" s="64">
        <v>9.25</v>
      </c>
      <c r="D43" s="64">
        <v>16.309999999999999</v>
      </c>
      <c r="E43" s="64">
        <v>1.39</v>
      </c>
      <c r="F43" s="64">
        <v>1.21</v>
      </c>
      <c r="G43" s="64">
        <v>10.35</v>
      </c>
      <c r="H43" s="64">
        <v>6.04</v>
      </c>
      <c r="I43" s="64">
        <v>0.12</v>
      </c>
      <c r="J43" s="64">
        <v>0.35</v>
      </c>
      <c r="K43" s="64">
        <v>170.44</v>
      </c>
      <c r="L43" s="64">
        <v>24.22</v>
      </c>
      <c r="M43" s="64">
        <v>94.66</v>
      </c>
      <c r="N43" s="64">
        <v>250.8</v>
      </c>
      <c r="O43" s="64">
        <v>0</v>
      </c>
      <c r="P43" s="64">
        <v>0.28000000000000003</v>
      </c>
      <c r="Q43" s="64">
        <v>21.48</v>
      </c>
      <c r="R43" s="198"/>
      <c r="S43" s="198"/>
      <c r="T43" s="198"/>
      <c r="U43" s="198"/>
    </row>
    <row r="44" spans="1:21" s="12" customFormat="1" x14ac:dyDescent="0.25">
      <c r="A44" s="214" t="s">
        <v>1148</v>
      </c>
      <c r="B44" s="64">
        <v>6.68</v>
      </c>
      <c r="C44" s="64">
        <v>9.3699999999999992</v>
      </c>
      <c r="D44" s="64">
        <v>16.05</v>
      </c>
      <c r="E44" s="64">
        <v>1.8</v>
      </c>
      <c r="F44" s="64">
        <v>1.4</v>
      </c>
      <c r="G44" s="64">
        <v>11.24</v>
      </c>
      <c r="H44" s="64">
        <v>7.35</v>
      </c>
      <c r="I44" s="64">
        <v>0.12</v>
      </c>
      <c r="J44" s="64">
        <v>0.89</v>
      </c>
      <c r="K44" s="64">
        <v>153.49</v>
      </c>
      <c r="L44" s="64">
        <v>24.49</v>
      </c>
      <c r="M44" s="64">
        <v>93.4</v>
      </c>
      <c r="N44" s="64">
        <v>278</v>
      </c>
      <c r="O44" s="64">
        <v>0</v>
      </c>
      <c r="P44" s="64">
        <v>0.28999999999999998</v>
      </c>
      <c r="Q44" s="64">
        <v>19.68</v>
      </c>
      <c r="R44" s="198"/>
      <c r="S44" s="198"/>
      <c r="T44" s="198"/>
      <c r="U44" s="198"/>
    </row>
    <row r="45" spans="1:21" s="12" customFormat="1" x14ac:dyDescent="0.25">
      <c r="A45" s="214" t="s">
        <v>1149</v>
      </c>
      <c r="B45" s="64">
        <v>6.43</v>
      </c>
      <c r="C45" s="64">
        <v>9.2100000000000009</v>
      </c>
      <c r="D45" s="64">
        <v>15.63</v>
      </c>
      <c r="E45" s="64">
        <v>1.49</v>
      </c>
      <c r="F45" s="64">
        <v>1.1499999999999999</v>
      </c>
      <c r="G45" s="64">
        <v>12.02</v>
      </c>
      <c r="H45" s="64">
        <v>7.88</v>
      </c>
      <c r="I45" s="64">
        <v>0.12</v>
      </c>
      <c r="J45" s="64">
        <v>1.01</v>
      </c>
      <c r="K45" s="64">
        <v>147.66999999999999</v>
      </c>
      <c r="L45" s="64">
        <v>24.8</v>
      </c>
      <c r="M45" s="64">
        <v>91.58</v>
      </c>
      <c r="N45" s="64">
        <v>275.3</v>
      </c>
      <c r="O45" s="64">
        <v>0</v>
      </c>
      <c r="P45" s="64">
        <v>0.28999999999999998</v>
      </c>
      <c r="Q45" s="64">
        <v>19.23</v>
      </c>
      <c r="R45" s="198"/>
      <c r="S45" s="198"/>
      <c r="T45" s="198"/>
      <c r="U45" s="198"/>
    </row>
    <row r="46" spans="1:21" s="12" customFormat="1" x14ac:dyDescent="0.25">
      <c r="A46" s="214" t="s">
        <v>1150</v>
      </c>
      <c r="B46" s="64">
        <v>6.15</v>
      </c>
      <c r="C46" s="64">
        <v>9.1300000000000008</v>
      </c>
      <c r="D46" s="64">
        <v>15.29</v>
      </c>
      <c r="E46" s="64">
        <v>1.1499999999999999</v>
      </c>
      <c r="F46" s="64">
        <v>1.64</v>
      </c>
      <c r="G46" s="64">
        <v>12.02</v>
      </c>
      <c r="H46" s="64">
        <v>7.88</v>
      </c>
      <c r="I46" s="64">
        <v>0.12</v>
      </c>
      <c r="J46" s="64">
        <v>0.39</v>
      </c>
      <c r="K46" s="64">
        <v>150.41</v>
      </c>
      <c r="L46" s="64">
        <v>25.14</v>
      </c>
      <c r="M46" s="64">
        <v>90.61</v>
      </c>
      <c r="N46" s="64">
        <v>356.3</v>
      </c>
      <c r="O46" s="64">
        <v>0</v>
      </c>
      <c r="P46" s="64">
        <v>0.28000000000000003</v>
      </c>
      <c r="Q46" s="64">
        <v>19.46</v>
      </c>
      <c r="R46" s="198"/>
      <c r="S46" s="198"/>
      <c r="T46" s="198"/>
      <c r="U46" s="198"/>
    </row>
    <row r="47" spans="1:21" s="12" customFormat="1" x14ac:dyDescent="0.25">
      <c r="A47" s="214" t="s">
        <v>1151</v>
      </c>
      <c r="B47" s="64">
        <v>5.86</v>
      </c>
      <c r="C47" s="64">
        <v>9.07</v>
      </c>
      <c r="D47" s="64">
        <v>14.93</v>
      </c>
      <c r="E47" s="64">
        <v>1.29</v>
      </c>
      <c r="F47" s="64">
        <v>2.64</v>
      </c>
      <c r="G47" s="64">
        <v>12.02</v>
      </c>
      <c r="H47" s="64">
        <v>7.88</v>
      </c>
      <c r="I47" s="64">
        <v>0.12</v>
      </c>
      <c r="J47" s="64">
        <v>0.11</v>
      </c>
      <c r="K47" s="64">
        <v>114.21</v>
      </c>
      <c r="L47" s="64">
        <v>25.71</v>
      </c>
      <c r="M47" s="64">
        <v>87.33</v>
      </c>
      <c r="N47" s="64">
        <v>238</v>
      </c>
      <c r="O47" s="64">
        <v>0</v>
      </c>
      <c r="P47" s="64">
        <v>0.3</v>
      </c>
      <c r="Q47" s="64">
        <v>18.29</v>
      </c>
      <c r="R47" s="198"/>
      <c r="S47" s="198"/>
      <c r="T47" s="198"/>
      <c r="U47" s="198"/>
    </row>
    <row r="48" spans="1:21" s="12" customFormat="1" x14ac:dyDescent="0.25">
      <c r="A48" s="214" t="s">
        <v>1152</v>
      </c>
      <c r="B48" s="64">
        <v>5.47</v>
      </c>
      <c r="C48" s="64">
        <v>9.64</v>
      </c>
      <c r="D48" s="64">
        <v>15.11</v>
      </c>
      <c r="E48" s="64">
        <v>1.42</v>
      </c>
      <c r="F48" s="64">
        <v>2.31</v>
      </c>
      <c r="G48" s="64">
        <v>13.05</v>
      </c>
      <c r="H48" s="64">
        <v>8.08</v>
      </c>
      <c r="I48" s="64">
        <v>0.13</v>
      </c>
      <c r="J48" s="64">
        <v>0.82</v>
      </c>
      <c r="K48" s="64">
        <v>153.54</v>
      </c>
      <c r="L48" s="64">
        <v>25.49</v>
      </c>
      <c r="M48" s="64">
        <v>88.37</v>
      </c>
      <c r="N48" s="64">
        <v>403.3</v>
      </c>
      <c r="O48" s="64">
        <v>0</v>
      </c>
      <c r="P48" s="64">
        <v>0.28999999999999998</v>
      </c>
      <c r="Q48" s="64">
        <v>18.399999999999999</v>
      </c>
      <c r="R48" s="198"/>
      <c r="S48" s="198"/>
      <c r="T48" s="198"/>
      <c r="U48" s="198"/>
    </row>
    <row r="49" spans="1:21" s="12" customFormat="1" x14ac:dyDescent="0.25">
      <c r="A49" s="214" t="s">
        <v>1153</v>
      </c>
      <c r="B49" s="64">
        <v>5.22</v>
      </c>
      <c r="C49" s="64">
        <v>9.84</v>
      </c>
      <c r="D49" s="64">
        <v>15.06</v>
      </c>
      <c r="E49" s="64">
        <v>1.1000000000000001</v>
      </c>
      <c r="F49" s="64">
        <v>3.38</v>
      </c>
      <c r="G49" s="64">
        <v>13.95</v>
      </c>
      <c r="H49" s="64">
        <v>8.16</v>
      </c>
      <c r="I49" s="64">
        <v>0.13</v>
      </c>
      <c r="J49" s="64">
        <v>1.06</v>
      </c>
      <c r="K49" s="64">
        <v>151.77000000000001</v>
      </c>
      <c r="L49" s="64">
        <v>26.1</v>
      </c>
      <c r="M49" s="64">
        <v>85.21</v>
      </c>
      <c r="N49" s="64">
        <v>570.6</v>
      </c>
      <c r="O49" s="64">
        <v>0</v>
      </c>
      <c r="P49" s="64">
        <v>0.28999999999999998</v>
      </c>
      <c r="Q49" s="64">
        <v>17.29</v>
      </c>
      <c r="R49" s="198"/>
      <c r="S49" s="198"/>
      <c r="T49" s="198"/>
      <c r="U49" s="198"/>
    </row>
    <row r="50" spans="1:21" s="12" customFormat="1" x14ac:dyDescent="0.25">
      <c r="A50" s="214" t="s">
        <v>1154</v>
      </c>
      <c r="B50" s="64">
        <v>5.14</v>
      </c>
      <c r="C50" s="64">
        <v>9.89</v>
      </c>
      <c r="D50" s="64">
        <v>15.03</v>
      </c>
      <c r="E50" s="64">
        <v>1.36</v>
      </c>
      <c r="F50" s="64">
        <v>3.02</v>
      </c>
      <c r="G50" s="64">
        <v>13.95</v>
      </c>
      <c r="H50" s="64">
        <v>8.16</v>
      </c>
      <c r="I50" s="64">
        <v>0.13</v>
      </c>
      <c r="J50" s="64">
        <v>0.85</v>
      </c>
      <c r="K50" s="64">
        <v>140.80000000000001</v>
      </c>
      <c r="L50" s="64">
        <v>26.12</v>
      </c>
      <c r="M50" s="64">
        <v>85.46</v>
      </c>
      <c r="N50" s="64">
        <v>444.8</v>
      </c>
      <c r="O50" s="64">
        <v>0</v>
      </c>
      <c r="P50" s="64">
        <v>0.3</v>
      </c>
      <c r="Q50" s="64">
        <v>17.54</v>
      </c>
      <c r="R50" s="198"/>
      <c r="S50" s="198"/>
      <c r="T50" s="198"/>
      <c r="U50" s="198"/>
    </row>
    <row r="51" spans="1:21" s="12" customFormat="1" x14ac:dyDescent="0.25">
      <c r="A51" s="214" t="s">
        <v>1155</v>
      </c>
      <c r="B51" s="64">
        <v>5.04</v>
      </c>
      <c r="C51" s="64">
        <v>9.9</v>
      </c>
      <c r="D51" s="64">
        <v>14.94</v>
      </c>
      <c r="E51" s="64">
        <v>1.54</v>
      </c>
      <c r="F51" s="64">
        <v>2.4500000000000002</v>
      </c>
      <c r="G51" s="64">
        <v>13.95</v>
      </c>
      <c r="H51" s="64">
        <v>8.16</v>
      </c>
      <c r="I51" s="64">
        <v>0.12</v>
      </c>
      <c r="J51" s="64">
        <v>0.8</v>
      </c>
      <c r="K51" s="64">
        <v>165.84</v>
      </c>
      <c r="L51" s="64">
        <v>25.83</v>
      </c>
      <c r="M51" s="64">
        <v>86.44</v>
      </c>
      <c r="N51" s="64">
        <v>358.1</v>
      </c>
      <c r="O51" s="64">
        <v>0</v>
      </c>
      <c r="P51" s="64">
        <v>0.3</v>
      </c>
      <c r="Q51" s="64">
        <v>17.940000000000001</v>
      </c>
      <c r="R51" s="198"/>
      <c r="S51" s="198"/>
      <c r="T51" s="198"/>
      <c r="U51" s="198"/>
    </row>
    <row r="52" spans="1:21" s="12" customFormat="1" x14ac:dyDescent="0.25">
      <c r="A52" s="214" t="s">
        <v>1156</v>
      </c>
      <c r="B52" s="64">
        <v>5.91</v>
      </c>
      <c r="C52" s="64">
        <v>10.91</v>
      </c>
      <c r="D52" s="64">
        <v>16.82</v>
      </c>
      <c r="E52" s="64">
        <v>1.5</v>
      </c>
      <c r="F52" s="64">
        <v>3.51</v>
      </c>
      <c r="G52" s="64">
        <v>13.9</v>
      </c>
      <c r="H52" s="64">
        <v>7.73</v>
      </c>
      <c r="I52" s="64">
        <v>0.12</v>
      </c>
      <c r="J52" s="64">
        <v>0.38</v>
      </c>
      <c r="K52" s="64">
        <v>150.02000000000001</v>
      </c>
      <c r="L52" s="64">
        <v>26.22</v>
      </c>
      <c r="M52" s="64">
        <v>84.87</v>
      </c>
      <c r="N52" s="64">
        <v>460.4</v>
      </c>
      <c r="O52" s="64">
        <v>0</v>
      </c>
      <c r="P52" s="64">
        <v>0.33</v>
      </c>
      <c r="Q52" s="64">
        <v>17.989999999999998</v>
      </c>
      <c r="R52" s="198"/>
      <c r="S52" s="198"/>
      <c r="T52" s="198"/>
      <c r="U52" s="198"/>
    </row>
    <row r="53" spans="1:21" s="12" customFormat="1" x14ac:dyDescent="0.25">
      <c r="A53" s="214" t="s">
        <v>1157</v>
      </c>
      <c r="B53" s="64">
        <v>5.1100000000000003</v>
      </c>
      <c r="C53" s="64">
        <v>10.14</v>
      </c>
      <c r="D53" s="64">
        <v>15.26</v>
      </c>
      <c r="E53" s="64">
        <v>1.18</v>
      </c>
      <c r="F53" s="64">
        <v>1.88</v>
      </c>
      <c r="G53" s="64">
        <v>13.86</v>
      </c>
      <c r="H53" s="64">
        <v>7.55</v>
      </c>
      <c r="I53" s="64">
        <v>0.12</v>
      </c>
      <c r="J53" s="64">
        <v>0.56999999999999995</v>
      </c>
      <c r="K53" s="64">
        <v>164.4</v>
      </c>
      <c r="L53" s="64">
        <v>25.58</v>
      </c>
      <c r="M53" s="64">
        <v>87.08</v>
      </c>
      <c r="N53" s="64">
        <v>181.3</v>
      </c>
      <c r="O53" s="64">
        <v>0</v>
      </c>
      <c r="P53" s="64">
        <v>0.32</v>
      </c>
      <c r="Q53" s="64">
        <v>18.059999999999999</v>
      </c>
      <c r="R53" s="198"/>
      <c r="S53" s="198"/>
      <c r="T53" s="198"/>
      <c r="U53" s="198"/>
    </row>
    <row r="54" spans="1:21" s="12" customFormat="1" x14ac:dyDescent="0.25">
      <c r="A54" s="214" t="s">
        <v>1158</v>
      </c>
      <c r="B54" s="64">
        <v>4.8</v>
      </c>
      <c r="C54" s="64">
        <v>9.85</v>
      </c>
      <c r="D54" s="64">
        <v>14.65</v>
      </c>
      <c r="E54" s="64">
        <v>1.5</v>
      </c>
      <c r="F54" s="64">
        <v>0.67</v>
      </c>
      <c r="G54" s="64">
        <v>13.86</v>
      </c>
      <c r="H54" s="64">
        <v>7.55</v>
      </c>
      <c r="I54" s="64">
        <v>0.12</v>
      </c>
      <c r="J54" s="64">
        <v>0.21</v>
      </c>
      <c r="K54" s="64">
        <v>2.14</v>
      </c>
      <c r="L54" s="64">
        <v>25.52</v>
      </c>
      <c r="M54" s="64">
        <v>89.87</v>
      </c>
      <c r="N54" s="64">
        <v>108.1</v>
      </c>
      <c r="O54" s="64">
        <v>0</v>
      </c>
      <c r="P54" s="64">
        <v>0.32</v>
      </c>
      <c r="Q54" s="64">
        <v>18.670000000000002</v>
      </c>
      <c r="R54" s="198"/>
      <c r="S54" s="198"/>
      <c r="T54" s="198"/>
      <c r="U54" s="198"/>
    </row>
    <row r="55" spans="1:21" s="12" customFormat="1" x14ac:dyDescent="0.25">
      <c r="A55" s="214" t="s">
        <v>1159</v>
      </c>
      <c r="B55" s="64">
        <v>5.08</v>
      </c>
      <c r="C55" s="64">
        <v>9.77</v>
      </c>
      <c r="D55" s="64">
        <v>14.84</v>
      </c>
      <c r="E55" s="64">
        <v>1.18</v>
      </c>
      <c r="F55" s="64">
        <v>1.1000000000000001</v>
      </c>
      <c r="G55" s="64">
        <v>13.86</v>
      </c>
      <c r="H55" s="64">
        <v>7.55</v>
      </c>
      <c r="I55" s="64">
        <v>0.12</v>
      </c>
      <c r="J55" s="64">
        <v>0.26</v>
      </c>
      <c r="K55" s="64">
        <v>0.47</v>
      </c>
      <c r="L55" s="64">
        <v>24.68</v>
      </c>
      <c r="M55" s="64">
        <v>97.5</v>
      </c>
      <c r="N55" s="64">
        <v>69.2</v>
      </c>
      <c r="O55" s="64">
        <v>2.6</v>
      </c>
      <c r="P55" s="64">
        <v>0.33</v>
      </c>
      <c r="Q55" s="64">
        <v>18.2</v>
      </c>
      <c r="R55" s="198"/>
      <c r="S55" s="198"/>
      <c r="T55" s="198"/>
      <c r="U55" s="198"/>
    </row>
    <row r="56" spans="1:21" s="12" customFormat="1" x14ac:dyDescent="0.25">
      <c r="A56" s="214" t="s">
        <v>1160</v>
      </c>
      <c r="B56" s="64">
        <v>6.82</v>
      </c>
      <c r="C56" s="64">
        <v>11.7</v>
      </c>
      <c r="D56" s="64">
        <v>18.52</v>
      </c>
      <c r="E56" s="64">
        <v>0.05</v>
      </c>
      <c r="F56" s="64">
        <v>3.06</v>
      </c>
      <c r="G56" s="64">
        <v>15.02</v>
      </c>
      <c r="H56" s="64">
        <v>6.64</v>
      </c>
      <c r="I56" s="64">
        <v>0.12</v>
      </c>
      <c r="J56" s="64">
        <v>0.19</v>
      </c>
      <c r="K56" s="64">
        <v>351.18</v>
      </c>
      <c r="L56" s="64">
        <v>23.65</v>
      </c>
      <c r="M56" s="64">
        <v>98.66</v>
      </c>
      <c r="N56" s="64">
        <v>215</v>
      </c>
      <c r="O56" s="64">
        <v>0.8</v>
      </c>
      <c r="P56" s="64">
        <v>0.36</v>
      </c>
      <c r="Q56" s="64">
        <v>16.760000000000002</v>
      </c>
      <c r="R56" s="198"/>
      <c r="S56" s="198"/>
      <c r="T56" s="198"/>
      <c r="U56" s="198"/>
    </row>
    <row r="57" spans="1:21" s="12" customFormat="1" x14ac:dyDescent="0.25">
      <c r="A57" s="214" t="s">
        <v>1161</v>
      </c>
      <c r="B57" s="64">
        <v>7.62</v>
      </c>
      <c r="C57" s="64">
        <v>13.46</v>
      </c>
      <c r="D57" s="64">
        <v>21.08</v>
      </c>
      <c r="E57" s="64">
        <v>1.17</v>
      </c>
      <c r="F57" s="64">
        <v>3.38</v>
      </c>
      <c r="G57" s="64">
        <v>16.03</v>
      </c>
      <c r="H57" s="64">
        <v>5.95</v>
      </c>
      <c r="I57" s="64">
        <v>0.12</v>
      </c>
      <c r="J57" s="64">
        <v>0.09</v>
      </c>
      <c r="K57" s="64">
        <v>109.94</v>
      </c>
      <c r="L57" s="64">
        <v>24.49</v>
      </c>
      <c r="M57" s="64">
        <v>98.65</v>
      </c>
      <c r="N57" s="64">
        <v>416.9</v>
      </c>
      <c r="O57" s="64">
        <v>0</v>
      </c>
      <c r="P57" s="64">
        <v>0.4</v>
      </c>
      <c r="Q57" s="64">
        <v>17.18</v>
      </c>
      <c r="R57" s="198"/>
      <c r="S57" s="198"/>
      <c r="T57" s="198"/>
      <c r="U57" s="198"/>
    </row>
    <row r="58" spans="1:21" s="12" customFormat="1" x14ac:dyDescent="0.25">
      <c r="A58" s="214" t="s">
        <v>1162</v>
      </c>
      <c r="B58" s="64">
        <v>6.36</v>
      </c>
      <c r="C58" s="64">
        <v>12.96</v>
      </c>
      <c r="D58" s="64">
        <v>19.32</v>
      </c>
      <c r="E58" s="64">
        <v>1.54</v>
      </c>
      <c r="F58" s="64">
        <v>3.35</v>
      </c>
      <c r="G58" s="64">
        <v>16.03</v>
      </c>
      <c r="H58" s="64">
        <v>5.95</v>
      </c>
      <c r="I58" s="64">
        <v>0.12</v>
      </c>
      <c r="J58" s="64">
        <v>0.3</v>
      </c>
      <c r="K58" s="64">
        <v>148.15</v>
      </c>
      <c r="L58" s="64">
        <v>25.39</v>
      </c>
      <c r="M58" s="64">
        <v>98.16</v>
      </c>
      <c r="N58" s="64">
        <v>473.1</v>
      </c>
      <c r="O58" s="64">
        <v>0</v>
      </c>
      <c r="P58" s="64">
        <v>0.38</v>
      </c>
      <c r="Q58" s="64">
        <v>18.05</v>
      </c>
      <c r="R58" s="198"/>
      <c r="S58" s="198"/>
      <c r="T58" s="198"/>
      <c r="U58" s="198"/>
    </row>
    <row r="59" spans="1:21" s="12" customFormat="1" x14ac:dyDescent="0.25">
      <c r="A59" s="214" t="s">
        <v>1163</v>
      </c>
      <c r="B59" s="64">
        <v>5.76</v>
      </c>
      <c r="C59" s="64">
        <v>10.6</v>
      </c>
      <c r="D59" s="64">
        <v>16.36</v>
      </c>
      <c r="E59" s="64">
        <v>1.85</v>
      </c>
      <c r="F59" s="64">
        <v>1.84</v>
      </c>
      <c r="G59" s="64">
        <v>16.03</v>
      </c>
      <c r="H59" s="64">
        <v>5.95</v>
      </c>
      <c r="I59" s="64">
        <v>0.12</v>
      </c>
      <c r="J59" s="64">
        <v>0.21</v>
      </c>
      <c r="K59" s="64">
        <v>37.29</v>
      </c>
      <c r="L59" s="64">
        <v>26.09</v>
      </c>
      <c r="M59" s="64">
        <v>92.78</v>
      </c>
      <c r="N59" s="64">
        <v>601</v>
      </c>
      <c r="O59" s="64">
        <v>0</v>
      </c>
      <c r="P59" s="64">
        <v>0.38</v>
      </c>
      <c r="Q59" s="64">
        <v>17.29</v>
      </c>
      <c r="R59" s="198"/>
      <c r="S59" s="198"/>
      <c r="T59" s="198"/>
      <c r="U59" s="198"/>
    </row>
    <row r="60" spans="1:21" s="12" customFormat="1" x14ac:dyDescent="0.25">
      <c r="A60" s="214" t="s">
        <v>1164</v>
      </c>
      <c r="B60" s="64">
        <v>5.51</v>
      </c>
      <c r="C60" s="64">
        <v>10.51</v>
      </c>
      <c r="D60" s="64">
        <v>16.02</v>
      </c>
      <c r="E60" s="64">
        <v>1.23</v>
      </c>
      <c r="F60" s="64">
        <v>0.96</v>
      </c>
      <c r="G60" s="64">
        <v>18.57</v>
      </c>
      <c r="H60" s="64">
        <v>6.41</v>
      </c>
      <c r="I60" s="64">
        <v>0.12</v>
      </c>
      <c r="J60" s="64">
        <v>0.1</v>
      </c>
      <c r="K60" s="64">
        <v>23.84</v>
      </c>
      <c r="L60" s="64">
        <v>26.93</v>
      </c>
      <c r="M60" s="64">
        <v>86.54</v>
      </c>
      <c r="N60" s="64">
        <v>758.4</v>
      </c>
      <c r="O60" s="64">
        <v>0</v>
      </c>
      <c r="P60" s="64">
        <v>0.4</v>
      </c>
      <c r="Q60" s="64">
        <v>18.440000000000001</v>
      </c>
      <c r="R60" s="198"/>
      <c r="S60" s="198"/>
      <c r="T60" s="198"/>
      <c r="U60" s="198"/>
    </row>
    <row r="61" spans="1:21" s="12" customFormat="1" x14ac:dyDescent="0.25">
      <c r="A61" s="214" t="s">
        <v>1165</v>
      </c>
      <c r="B61" s="64">
        <v>5.23</v>
      </c>
      <c r="C61" s="64">
        <v>11.54</v>
      </c>
      <c r="D61" s="64">
        <v>16.77</v>
      </c>
      <c r="E61" s="64">
        <v>1.47</v>
      </c>
      <c r="F61" s="64">
        <v>2.4500000000000002</v>
      </c>
      <c r="G61" s="64">
        <v>20.8</v>
      </c>
      <c r="H61" s="64">
        <v>6.6</v>
      </c>
      <c r="I61" s="64">
        <v>0.12</v>
      </c>
      <c r="J61" s="64">
        <v>0.12</v>
      </c>
      <c r="K61" s="64">
        <v>28.93</v>
      </c>
      <c r="L61" s="64">
        <v>27.41</v>
      </c>
      <c r="M61" s="64">
        <v>84.36</v>
      </c>
      <c r="N61" s="64">
        <v>492.3</v>
      </c>
      <c r="O61" s="64">
        <v>0</v>
      </c>
      <c r="P61" s="64">
        <v>0.35</v>
      </c>
      <c r="Q61" s="64">
        <v>17.68</v>
      </c>
      <c r="R61" s="198"/>
      <c r="S61" s="198"/>
      <c r="T61" s="198"/>
      <c r="U61" s="198"/>
    </row>
    <row r="62" spans="1:21" s="12" customFormat="1" x14ac:dyDescent="0.25">
      <c r="A62" s="214" t="s">
        <v>1166</v>
      </c>
      <c r="B62" s="64">
        <v>5.07</v>
      </c>
      <c r="C62" s="64">
        <v>11.85</v>
      </c>
      <c r="D62" s="64">
        <v>16.920000000000002</v>
      </c>
      <c r="E62" s="64">
        <v>1.85</v>
      </c>
      <c r="F62" s="64">
        <v>2.0499999999999998</v>
      </c>
      <c r="G62" s="64">
        <v>20.8</v>
      </c>
      <c r="H62" s="64">
        <v>6.6</v>
      </c>
      <c r="I62" s="64">
        <v>0.12</v>
      </c>
      <c r="J62" s="64">
        <v>0.33</v>
      </c>
      <c r="K62" s="64">
        <v>26.94</v>
      </c>
      <c r="L62" s="64">
        <v>27.94</v>
      </c>
      <c r="M62" s="64">
        <v>81.8</v>
      </c>
      <c r="N62" s="64">
        <v>504.2</v>
      </c>
      <c r="O62" s="64">
        <v>0</v>
      </c>
      <c r="P62" s="64">
        <v>0.39</v>
      </c>
      <c r="Q62" s="64">
        <v>17.079999999999998</v>
      </c>
      <c r="R62" s="198"/>
      <c r="S62" s="198"/>
      <c r="T62" s="198"/>
      <c r="U62" s="198"/>
    </row>
    <row r="63" spans="1:21" s="12" customFormat="1" x14ac:dyDescent="0.25">
      <c r="A63" s="214" t="s">
        <v>1167</v>
      </c>
      <c r="B63" s="64">
        <v>4.95</v>
      </c>
      <c r="C63" s="64">
        <v>11.97</v>
      </c>
      <c r="D63" s="64">
        <v>16.920000000000002</v>
      </c>
      <c r="E63" s="64">
        <v>1.51</v>
      </c>
      <c r="F63" s="64">
        <v>2.44</v>
      </c>
      <c r="G63" s="64">
        <v>20.8</v>
      </c>
      <c r="H63" s="64">
        <v>6.6</v>
      </c>
      <c r="I63" s="64">
        <v>0.13</v>
      </c>
      <c r="J63" s="64">
        <v>0.31</v>
      </c>
      <c r="K63" s="64">
        <v>21.84</v>
      </c>
      <c r="L63" s="64">
        <v>27.72</v>
      </c>
      <c r="M63" s="64">
        <v>81.58</v>
      </c>
      <c r="N63" s="64">
        <v>507.1</v>
      </c>
      <c r="O63" s="64">
        <v>0</v>
      </c>
      <c r="P63" s="64">
        <v>0.39</v>
      </c>
      <c r="Q63" s="64">
        <v>16.55</v>
      </c>
      <c r="R63" s="198"/>
      <c r="S63" s="198"/>
      <c r="T63" s="198"/>
      <c r="U63" s="198"/>
    </row>
    <row r="64" spans="1:21" s="12" customFormat="1" x14ac:dyDescent="0.25">
      <c r="A64" s="214" t="s">
        <v>1168</v>
      </c>
      <c r="B64" s="64">
        <v>4.72</v>
      </c>
      <c r="C64" s="64">
        <v>12.25</v>
      </c>
      <c r="D64" s="64">
        <v>16.97</v>
      </c>
      <c r="E64" s="64">
        <v>1.46</v>
      </c>
      <c r="F64" s="64">
        <v>1.82</v>
      </c>
      <c r="G64" s="64">
        <v>26.58</v>
      </c>
      <c r="H64" s="64">
        <v>8.4499999999999993</v>
      </c>
      <c r="I64" s="64">
        <v>0.12</v>
      </c>
      <c r="J64" s="64">
        <v>0.26</v>
      </c>
      <c r="K64" s="64">
        <v>23.4</v>
      </c>
      <c r="L64" s="64">
        <v>27.44</v>
      </c>
      <c r="M64" s="64">
        <v>82.73</v>
      </c>
      <c r="N64" s="64">
        <v>489.6</v>
      </c>
      <c r="O64" s="64">
        <v>0</v>
      </c>
      <c r="P64" s="64">
        <v>0.39</v>
      </c>
      <c r="Q64" s="64">
        <v>15.65</v>
      </c>
      <c r="R64" s="198"/>
      <c r="S64" s="198"/>
      <c r="T64" s="198"/>
      <c r="U64" s="198"/>
    </row>
    <row r="65" spans="1:21" s="12" customFormat="1" x14ac:dyDescent="0.25">
      <c r="A65" s="214" t="s">
        <v>1169</v>
      </c>
      <c r="B65" s="64">
        <v>4.5599999999999996</v>
      </c>
      <c r="C65" s="64">
        <v>12.32</v>
      </c>
      <c r="D65" s="64">
        <v>16.87</v>
      </c>
      <c r="E65" s="64">
        <v>1.1599999999999999</v>
      </c>
      <c r="F65" s="64">
        <v>2.0499999999999998</v>
      </c>
      <c r="G65" s="64">
        <v>31.63</v>
      </c>
      <c r="H65" s="64">
        <v>9.19</v>
      </c>
      <c r="I65" s="64">
        <v>0.12</v>
      </c>
      <c r="J65" s="64">
        <v>0.04</v>
      </c>
      <c r="K65" s="64">
        <v>26.89</v>
      </c>
      <c r="L65" s="64">
        <v>27.12</v>
      </c>
      <c r="M65" s="64">
        <v>83.55</v>
      </c>
      <c r="N65" s="64">
        <v>455.6</v>
      </c>
      <c r="O65" s="64">
        <v>0</v>
      </c>
      <c r="P65" s="64">
        <v>0.39</v>
      </c>
      <c r="Q65" s="64">
        <v>15.39</v>
      </c>
      <c r="R65" s="198"/>
      <c r="S65" s="198"/>
      <c r="T65" s="198"/>
      <c r="U65" s="198"/>
    </row>
    <row r="66" spans="1:21" s="12" customFormat="1" x14ac:dyDescent="0.25">
      <c r="A66" s="214" t="s">
        <v>1170</v>
      </c>
      <c r="B66" s="64">
        <v>4.22</v>
      </c>
      <c r="C66" s="64">
        <v>11.58</v>
      </c>
      <c r="D66" s="64">
        <v>15.81</v>
      </c>
      <c r="E66" s="64">
        <v>1.96</v>
      </c>
      <c r="F66" s="64">
        <v>2.08</v>
      </c>
      <c r="G66" s="64">
        <v>31.63</v>
      </c>
      <c r="H66" s="64">
        <v>9.19</v>
      </c>
      <c r="I66" s="64">
        <v>0.12</v>
      </c>
      <c r="J66" s="64">
        <v>0.16</v>
      </c>
      <c r="K66" s="64">
        <v>20.59</v>
      </c>
      <c r="L66" s="64">
        <v>26.98</v>
      </c>
      <c r="M66" s="64">
        <v>83.03</v>
      </c>
      <c r="N66" s="64">
        <v>409.9</v>
      </c>
      <c r="O66" s="64">
        <v>0</v>
      </c>
      <c r="P66" s="64">
        <v>0.38</v>
      </c>
      <c r="Q66" s="64">
        <v>15.56</v>
      </c>
      <c r="R66" s="198"/>
      <c r="S66" s="198"/>
      <c r="T66" s="198"/>
      <c r="U66" s="198"/>
    </row>
    <row r="67" spans="1:21" s="12" customFormat="1" x14ac:dyDescent="0.25">
      <c r="A67" s="214" t="s">
        <v>1171</v>
      </c>
      <c r="B67" s="64">
        <v>4.01</v>
      </c>
      <c r="C67" s="64">
        <v>11.06</v>
      </c>
      <c r="D67" s="64">
        <v>15.07</v>
      </c>
      <c r="E67" s="64">
        <v>1.53</v>
      </c>
      <c r="F67" s="64">
        <v>2.2799999999999998</v>
      </c>
      <c r="G67" s="64">
        <v>31.63</v>
      </c>
      <c r="H67" s="64">
        <v>9.19</v>
      </c>
      <c r="I67" s="64">
        <v>0.12</v>
      </c>
      <c r="J67" s="64">
        <v>0.11</v>
      </c>
      <c r="K67" s="64">
        <v>11.06</v>
      </c>
      <c r="L67" s="64">
        <v>27.36</v>
      </c>
      <c r="M67" s="64">
        <v>81.34</v>
      </c>
      <c r="N67" s="64">
        <v>316.3</v>
      </c>
      <c r="O67" s="64">
        <v>0</v>
      </c>
      <c r="P67" s="64">
        <v>0.37</v>
      </c>
      <c r="Q67" s="64">
        <v>14.42</v>
      </c>
      <c r="R67" s="198"/>
      <c r="S67" s="198"/>
      <c r="T67" s="198"/>
      <c r="U67" s="198"/>
    </row>
    <row r="68" spans="1:21" s="12" customFormat="1" x14ac:dyDescent="0.25">
      <c r="A68" s="214" t="s">
        <v>1172</v>
      </c>
      <c r="B68" s="64">
        <v>3.85</v>
      </c>
      <c r="C68" s="64">
        <v>10.42</v>
      </c>
      <c r="D68" s="64">
        <v>14.27</v>
      </c>
      <c r="E68" s="64">
        <v>0.91</v>
      </c>
      <c r="F68" s="64">
        <v>2.29</v>
      </c>
      <c r="G68" s="64">
        <v>29.09</v>
      </c>
      <c r="H68" s="64">
        <v>7.92</v>
      </c>
      <c r="I68" s="64">
        <v>0.12</v>
      </c>
      <c r="J68" s="64">
        <v>0.11</v>
      </c>
      <c r="K68" s="64">
        <v>206.99</v>
      </c>
      <c r="L68" s="64">
        <v>26.9</v>
      </c>
      <c r="M68" s="64">
        <v>81.540000000000006</v>
      </c>
      <c r="N68" s="64">
        <v>233.2</v>
      </c>
      <c r="O68" s="64">
        <v>0</v>
      </c>
      <c r="P68" s="64">
        <v>0.35</v>
      </c>
      <c r="Q68" s="64">
        <v>12.48</v>
      </c>
      <c r="R68" s="198"/>
      <c r="S68" s="198"/>
      <c r="T68" s="198"/>
      <c r="U68" s="198"/>
    </row>
    <row r="69" spans="1:21" s="12" customFormat="1" x14ac:dyDescent="0.25">
      <c r="A69" s="214" t="s">
        <v>1173</v>
      </c>
      <c r="B69" s="64">
        <v>3.72</v>
      </c>
      <c r="C69" s="64">
        <v>10.17</v>
      </c>
      <c r="D69" s="64">
        <v>13.89</v>
      </c>
      <c r="E69" s="64">
        <v>0.85</v>
      </c>
      <c r="F69" s="64">
        <v>2.76</v>
      </c>
      <c r="G69" s="64">
        <v>26.87</v>
      </c>
      <c r="H69" s="64">
        <v>7.4</v>
      </c>
      <c r="I69" s="64">
        <v>0.12</v>
      </c>
      <c r="J69" s="64">
        <v>0.22</v>
      </c>
      <c r="K69" s="64">
        <v>31.71</v>
      </c>
      <c r="L69" s="64">
        <v>27</v>
      </c>
      <c r="M69" s="64">
        <v>80.430000000000007</v>
      </c>
      <c r="N69" s="64">
        <v>182.4</v>
      </c>
      <c r="O69" s="64">
        <v>0</v>
      </c>
      <c r="P69" s="64">
        <v>0.35</v>
      </c>
      <c r="Q69" s="64">
        <v>11.05</v>
      </c>
      <c r="R69" s="198"/>
      <c r="S69" s="198"/>
      <c r="T69" s="198"/>
      <c r="U69" s="198"/>
    </row>
    <row r="70" spans="1:21" s="12" customFormat="1" x14ac:dyDescent="0.25">
      <c r="A70" s="214" t="s">
        <v>1174</v>
      </c>
      <c r="B70" s="64">
        <v>3.67</v>
      </c>
      <c r="C70" s="64">
        <v>10.46</v>
      </c>
      <c r="D70" s="64">
        <v>14.13</v>
      </c>
      <c r="E70" s="64">
        <v>1.17</v>
      </c>
      <c r="F70" s="64">
        <v>2.56</v>
      </c>
      <c r="G70" s="64">
        <v>26.87</v>
      </c>
      <c r="H70" s="64">
        <v>7.4</v>
      </c>
      <c r="I70" s="64">
        <v>0.12</v>
      </c>
      <c r="J70" s="64">
        <v>0.18</v>
      </c>
      <c r="K70" s="64">
        <v>9.7200000000000006</v>
      </c>
      <c r="L70" s="64">
        <v>26.99</v>
      </c>
      <c r="M70" s="64">
        <v>81.67</v>
      </c>
      <c r="N70" s="64">
        <v>159.9</v>
      </c>
      <c r="O70" s="64">
        <v>0</v>
      </c>
      <c r="P70" s="64">
        <v>0.36</v>
      </c>
      <c r="Q70" s="64">
        <v>11.81</v>
      </c>
      <c r="R70" s="198"/>
      <c r="S70" s="198"/>
      <c r="T70" s="198"/>
      <c r="U70" s="198"/>
    </row>
    <row r="71" spans="1:21" s="12" customFormat="1" x14ac:dyDescent="0.25">
      <c r="A71" s="214" t="s">
        <v>1175</v>
      </c>
      <c r="B71" s="64">
        <v>3.64</v>
      </c>
      <c r="C71" s="64">
        <v>10.61</v>
      </c>
      <c r="D71" s="64">
        <v>14.24</v>
      </c>
      <c r="E71" s="64">
        <v>1.0900000000000001</v>
      </c>
      <c r="F71" s="64">
        <v>2.77</v>
      </c>
      <c r="G71" s="64">
        <v>26.87</v>
      </c>
      <c r="H71" s="64">
        <v>7.4</v>
      </c>
      <c r="I71" s="64">
        <v>0.12</v>
      </c>
      <c r="J71" s="64">
        <v>0.1</v>
      </c>
      <c r="K71" s="64">
        <v>50.77</v>
      </c>
      <c r="L71" s="64">
        <v>26.56</v>
      </c>
      <c r="M71" s="64">
        <v>82.93</v>
      </c>
      <c r="N71" s="64">
        <v>177</v>
      </c>
      <c r="O71" s="64">
        <v>0</v>
      </c>
      <c r="P71" s="64">
        <v>0.35</v>
      </c>
      <c r="Q71" s="64">
        <v>12.51</v>
      </c>
      <c r="R71" s="198"/>
      <c r="S71" s="198"/>
      <c r="T71" s="198"/>
      <c r="U71" s="198"/>
    </row>
    <row r="72" spans="1:21" s="12" customFormat="1" x14ac:dyDescent="0.25">
      <c r="A72" s="214" t="s">
        <v>1176</v>
      </c>
      <c r="B72" s="64">
        <v>3.65</v>
      </c>
      <c r="C72" s="64">
        <v>10.49</v>
      </c>
      <c r="D72" s="64">
        <v>14.14</v>
      </c>
      <c r="E72" s="64">
        <v>0.49</v>
      </c>
      <c r="F72" s="64">
        <v>2.5</v>
      </c>
      <c r="G72" s="64">
        <v>27.5</v>
      </c>
      <c r="H72" s="64">
        <v>9.09</v>
      </c>
      <c r="I72" s="64">
        <v>0.12</v>
      </c>
      <c r="J72" s="64">
        <v>0.19</v>
      </c>
      <c r="K72" s="64">
        <v>28.45</v>
      </c>
      <c r="L72" s="64">
        <v>26.92</v>
      </c>
      <c r="M72" s="64">
        <v>80.510000000000005</v>
      </c>
      <c r="N72" s="64">
        <v>187.1</v>
      </c>
      <c r="O72" s="64">
        <v>0</v>
      </c>
      <c r="P72" s="64">
        <v>0.34</v>
      </c>
      <c r="Q72" s="64">
        <v>10.86</v>
      </c>
      <c r="R72" s="198"/>
      <c r="S72" s="198"/>
      <c r="T72" s="198"/>
      <c r="U72" s="198"/>
    </row>
    <row r="73" spans="1:21" s="12" customFormat="1" x14ac:dyDescent="0.25">
      <c r="A73" s="214" t="s">
        <v>1177</v>
      </c>
      <c r="B73" s="64">
        <v>3.73</v>
      </c>
      <c r="C73" s="64">
        <v>11.52</v>
      </c>
      <c r="D73" s="64">
        <v>15.25</v>
      </c>
      <c r="E73" s="64">
        <v>1.1200000000000001</v>
      </c>
      <c r="F73" s="64">
        <v>2.4300000000000002</v>
      </c>
      <c r="G73" s="64">
        <v>28.06</v>
      </c>
      <c r="H73" s="64">
        <v>9.77</v>
      </c>
      <c r="I73" s="64">
        <v>0.11</v>
      </c>
      <c r="J73" s="64">
        <v>0.36</v>
      </c>
      <c r="K73" s="64">
        <v>27.39</v>
      </c>
      <c r="L73" s="64">
        <v>26.74</v>
      </c>
      <c r="M73" s="64">
        <v>81.540000000000006</v>
      </c>
      <c r="N73" s="64">
        <v>168.8</v>
      </c>
      <c r="O73" s="64">
        <v>0</v>
      </c>
      <c r="P73" s="64">
        <v>0.35</v>
      </c>
      <c r="Q73" s="64">
        <v>10.65</v>
      </c>
      <c r="R73" s="198"/>
      <c r="S73" s="198"/>
      <c r="T73" s="198"/>
      <c r="U73" s="198"/>
    </row>
    <row r="74" spans="1:21" s="12" customFormat="1" x14ac:dyDescent="0.25">
      <c r="A74" s="214" t="s">
        <v>1178</v>
      </c>
      <c r="B74" s="64">
        <v>4.01</v>
      </c>
      <c r="C74" s="64">
        <v>12.76</v>
      </c>
      <c r="D74" s="64">
        <v>16.77</v>
      </c>
      <c r="E74" s="64">
        <v>1.62</v>
      </c>
      <c r="F74" s="64">
        <v>3</v>
      </c>
      <c r="G74" s="64">
        <v>28.06</v>
      </c>
      <c r="H74" s="64">
        <v>9.77</v>
      </c>
      <c r="I74" s="64">
        <v>0.12</v>
      </c>
      <c r="J74" s="64">
        <v>0.13</v>
      </c>
      <c r="K74" s="64">
        <v>10.48</v>
      </c>
      <c r="L74" s="64">
        <v>26.3</v>
      </c>
      <c r="M74" s="64">
        <v>83.44</v>
      </c>
      <c r="N74" s="64">
        <v>138.9</v>
      </c>
      <c r="O74" s="64">
        <v>0</v>
      </c>
      <c r="P74" s="64">
        <v>0.36</v>
      </c>
      <c r="Q74" s="64">
        <v>11</v>
      </c>
      <c r="R74" s="198"/>
      <c r="S74" s="198"/>
      <c r="T74" s="198"/>
      <c r="U74" s="198"/>
    </row>
    <row r="75" spans="1:21" s="12" customFormat="1" x14ac:dyDescent="0.25">
      <c r="A75" s="214" t="s">
        <v>1179</v>
      </c>
      <c r="B75" s="64">
        <v>3.92</v>
      </c>
      <c r="C75" s="64">
        <v>11.57</v>
      </c>
      <c r="D75" s="64">
        <v>15.49</v>
      </c>
      <c r="E75" s="64">
        <v>1.1599999999999999</v>
      </c>
      <c r="F75" s="64">
        <v>3.59</v>
      </c>
      <c r="G75" s="64">
        <v>28.06</v>
      </c>
      <c r="H75" s="64">
        <v>9.77</v>
      </c>
      <c r="I75" s="64">
        <v>0.11</v>
      </c>
      <c r="J75" s="64">
        <v>0.02</v>
      </c>
      <c r="K75" s="64">
        <v>346.59</v>
      </c>
      <c r="L75" s="64">
        <v>26.11</v>
      </c>
      <c r="M75" s="64">
        <v>85.49</v>
      </c>
      <c r="N75" s="64">
        <v>160.80000000000001</v>
      </c>
      <c r="O75" s="64">
        <v>0</v>
      </c>
      <c r="P75" s="64">
        <v>0.36</v>
      </c>
      <c r="Q75" s="64">
        <v>10.85</v>
      </c>
      <c r="R75" s="198"/>
      <c r="S75" s="198"/>
      <c r="T75" s="198"/>
      <c r="U75" s="198"/>
    </row>
    <row r="76" spans="1:21" s="12" customFormat="1" x14ac:dyDescent="0.25">
      <c r="A76" s="214" t="s">
        <v>1180</v>
      </c>
      <c r="B76" s="64">
        <v>3.91</v>
      </c>
      <c r="C76" s="64">
        <v>11.09</v>
      </c>
      <c r="D76" s="64">
        <v>15</v>
      </c>
      <c r="E76" s="64">
        <v>1.1599999999999999</v>
      </c>
      <c r="F76" s="64">
        <v>2.5499999999999998</v>
      </c>
      <c r="G76" s="64">
        <v>28.53</v>
      </c>
      <c r="H76" s="64">
        <v>10.56</v>
      </c>
      <c r="I76" s="64">
        <v>0.11</v>
      </c>
      <c r="J76" s="64">
        <v>0.18</v>
      </c>
      <c r="K76" s="64">
        <v>2.79</v>
      </c>
      <c r="L76" s="64">
        <v>26.04</v>
      </c>
      <c r="M76" s="64">
        <v>84.9</v>
      </c>
      <c r="N76" s="64">
        <v>137.5</v>
      </c>
      <c r="O76" s="64">
        <v>0</v>
      </c>
      <c r="P76" s="64">
        <v>0.35</v>
      </c>
      <c r="Q76" s="64">
        <v>11.12</v>
      </c>
      <c r="R76" s="198"/>
      <c r="S76" s="198"/>
      <c r="T76" s="198"/>
      <c r="U76" s="198"/>
    </row>
    <row r="77" spans="1:21" s="12" customFormat="1" x14ac:dyDescent="0.25">
      <c r="A77" s="214" t="s">
        <v>1181</v>
      </c>
      <c r="B77" s="64">
        <v>3.98</v>
      </c>
      <c r="C77" s="64">
        <v>10.75</v>
      </c>
      <c r="D77" s="64">
        <v>14.73</v>
      </c>
      <c r="E77" s="64">
        <v>1.86</v>
      </c>
      <c r="F77" s="64">
        <v>1.92</v>
      </c>
      <c r="G77" s="64">
        <v>28.95</v>
      </c>
      <c r="H77" s="64">
        <v>10.87</v>
      </c>
      <c r="I77" s="64">
        <v>0.11</v>
      </c>
      <c r="J77" s="64">
        <v>0.03</v>
      </c>
      <c r="K77" s="64">
        <v>51.72</v>
      </c>
      <c r="L77" s="64">
        <v>25.73</v>
      </c>
      <c r="M77" s="64">
        <v>86.82</v>
      </c>
      <c r="N77" s="64">
        <v>85.2</v>
      </c>
      <c r="O77" s="64">
        <v>0</v>
      </c>
      <c r="P77" s="64">
        <v>0.37</v>
      </c>
      <c r="Q77" s="64">
        <v>11.19</v>
      </c>
      <c r="R77" s="198"/>
      <c r="S77" s="198"/>
      <c r="T77" s="198"/>
      <c r="U77" s="198"/>
    </row>
    <row r="78" spans="1:21" s="12" customFormat="1" x14ac:dyDescent="0.25">
      <c r="A78" s="214" t="s">
        <v>1182</v>
      </c>
      <c r="B78" s="64">
        <v>4</v>
      </c>
      <c r="C78" s="64">
        <v>10.46</v>
      </c>
      <c r="D78" s="64">
        <v>14.46</v>
      </c>
      <c r="E78" s="64">
        <v>1.58</v>
      </c>
      <c r="F78" s="64">
        <v>1.93</v>
      </c>
      <c r="G78" s="64">
        <v>28.95</v>
      </c>
      <c r="H78" s="64">
        <v>10.87</v>
      </c>
      <c r="I78" s="64">
        <v>0.12</v>
      </c>
      <c r="J78" s="64">
        <v>0.06</v>
      </c>
      <c r="K78" s="64">
        <v>109.83</v>
      </c>
      <c r="L78" s="64">
        <v>25.5</v>
      </c>
      <c r="M78" s="64">
        <v>87.96</v>
      </c>
      <c r="N78" s="64">
        <v>69.5</v>
      </c>
      <c r="O78" s="64">
        <v>0</v>
      </c>
      <c r="P78" s="64">
        <v>0.35</v>
      </c>
      <c r="Q78" s="64">
        <v>10.79</v>
      </c>
      <c r="R78" s="198"/>
      <c r="S78" s="198"/>
      <c r="T78" s="198"/>
      <c r="U78" s="198"/>
    </row>
    <row r="79" spans="1:21" s="12" customFormat="1" x14ac:dyDescent="0.25">
      <c r="A79" s="214" t="s">
        <v>1183</v>
      </c>
      <c r="B79" s="64">
        <v>3.97</v>
      </c>
      <c r="C79" s="64">
        <v>10.09</v>
      </c>
      <c r="D79" s="64">
        <v>14.06</v>
      </c>
      <c r="E79" s="64">
        <v>1.26</v>
      </c>
      <c r="F79" s="64">
        <v>1.69</v>
      </c>
      <c r="G79" s="64">
        <v>28.95</v>
      </c>
      <c r="H79" s="64">
        <v>10.87</v>
      </c>
      <c r="I79" s="64">
        <v>0.12</v>
      </c>
      <c r="J79" s="64">
        <v>0.15</v>
      </c>
      <c r="K79" s="64">
        <v>25.77</v>
      </c>
      <c r="L79" s="64">
        <v>25.46</v>
      </c>
      <c r="M79" s="64">
        <v>88.37</v>
      </c>
      <c r="N79" s="64">
        <v>45</v>
      </c>
      <c r="O79" s="64">
        <v>0</v>
      </c>
      <c r="P79" s="64">
        <v>0.34</v>
      </c>
      <c r="Q79" s="64">
        <v>9.3800000000000008</v>
      </c>
      <c r="R79" s="198"/>
      <c r="S79" s="198"/>
      <c r="T79" s="198"/>
      <c r="U79" s="198"/>
    </row>
    <row r="80" spans="1:21" s="12" customFormat="1" x14ac:dyDescent="0.25">
      <c r="A80" s="214" t="s">
        <v>1184</v>
      </c>
      <c r="B80" s="64">
        <v>3.98</v>
      </c>
      <c r="C80" s="64">
        <v>10.16</v>
      </c>
      <c r="D80" s="64">
        <v>14.14</v>
      </c>
      <c r="E80" s="64">
        <v>1.54</v>
      </c>
      <c r="F80" s="64">
        <v>1.43</v>
      </c>
      <c r="G80" s="64">
        <v>30.21</v>
      </c>
      <c r="H80" s="64">
        <v>10.49</v>
      </c>
      <c r="I80" s="64">
        <v>0.12</v>
      </c>
      <c r="J80" s="64">
        <v>0.17</v>
      </c>
      <c r="K80" s="64">
        <v>32.130000000000003</v>
      </c>
      <c r="L80" s="64">
        <v>25.1</v>
      </c>
      <c r="M80" s="64">
        <v>90.07</v>
      </c>
      <c r="N80" s="64">
        <v>21.4</v>
      </c>
      <c r="O80" s="64">
        <v>0</v>
      </c>
      <c r="P80" s="64">
        <v>0.36</v>
      </c>
      <c r="Q80" s="64">
        <v>9.25</v>
      </c>
      <c r="R80" s="198"/>
      <c r="S80" s="198"/>
      <c r="T80" s="198"/>
      <c r="U80" s="198"/>
    </row>
    <row r="81" spans="1:26" s="12" customFormat="1" x14ac:dyDescent="0.25">
      <c r="A81" s="214" t="s">
        <v>1185</v>
      </c>
      <c r="B81" s="64">
        <v>3.9</v>
      </c>
      <c r="C81" s="64">
        <v>10.220000000000001</v>
      </c>
      <c r="D81" s="64">
        <v>14.12</v>
      </c>
      <c r="E81" s="64">
        <v>1.9</v>
      </c>
      <c r="F81" s="64">
        <v>1.7</v>
      </c>
      <c r="G81" s="64">
        <v>31.31</v>
      </c>
      <c r="H81" s="64">
        <v>10.19</v>
      </c>
      <c r="I81" s="64">
        <v>0.12</v>
      </c>
      <c r="J81" s="64">
        <v>0.18</v>
      </c>
      <c r="K81" s="64">
        <v>18.559999999999999</v>
      </c>
      <c r="L81" s="64">
        <v>24.75</v>
      </c>
      <c r="M81" s="64">
        <v>91.46</v>
      </c>
      <c r="N81" s="64">
        <v>10.1</v>
      </c>
      <c r="O81" s="64">
        <v>0</v>
      </c>
      <c r="P81" s="64">
        <v>0.36</v>
      </c>
      <c r="Q81" s="64">
        <v>9.25</v>
      </c>
      <c r="R81" s="198"/>
      <c r="S81" s="198"/>
      <c r="T81" s="198"/>
      <c r="U81" s="198"/>
    </row>
    <row r="82" spans="1:26" s="12" customFormat="1" x14ac:dyDescent="0.25">
      <c r="A82" s="214" t="s">
        <v>1186</v>
      </c>
      <c r="B82" s="64">
        <v>4.21</v>
      </c>
      <c r="C82" s="64">
        <v>11.33</v>
      </c>
      <c r="D82" s="64">
        <v>15.54</v>
      </c>
      <c r="E82" s="64">
        <v>1.36</v>
      </c>
      <c r="F82" s="64">
        <v>2.5099999999999998</v>
      </c>
      <c r="G82" s="64">
        <v>31.31</v>
      </c>
      <c r="H82" s="64">
        <v>10.19</v>
      </c>
      <c r="I82" s="64">
        <v>0.11</v>
      </c>
      <c r="J82" s="64">
        <v>0.11</v>
      </c>
      <c r="K82" s="64">
        <v>10.66</v>
      </c>
      <c r="L82" s="64">
        <v>24.59</v>
      </c>
      <c r="M82" s="64">
        <v>93.22</v>
      </c>
      <c r="N82" s="64">
        <v>8.6999999999999993</v>
      </c>
      <c r="O82" s="64">
        <v>0</v>
      </c>
      <c r="P82" s="64">
        <v>0.38</v>
      </c>
      <c r="Q82" s="64">
        <v>8.2200000000000006</v>
      </c>
      <c r="R82" s="198"/>
      <c r="S82" s="198"/>
      <c r="T82" s="198"/>
      <c r="U82" s="198"/>
    </row>
    <row r="83" spans="1:26" s="12" customFormat="1" x14ac:dyDescent="0.25">
      <c r="A83" s="214" t="s">
        <v>1187</v>
      </c>
      <c r="B83" s="64">
        <v>4.2300000000000004</v>
      </c>
      <c r="C83" s="64">
        <v>10.93</v>
      </c>
      <c r="D83" s="64">
        <v>15.16</v>
      </c>
      <c r="E83" s="64">
        <v>1.63</v>
      </c>
      <c r="F83" s="64">
        <v>1.43</v>
      </c>
      <c r="G83" s="64">
        <v>31.31</v>
      </c>
      <c r="H83" s="64">
        <v>10.19</v>
      </c>
      <c r="I83" s="64">
        <v>0.12</v>
      </c>
      <c r="J83" s="64">
        <v>0.28000000000000003</v>
      </c>
      <c r="K83" s="64">
        <v>32.44</v>
      </c>
      <c r="L83" s="64">
        <v>24.47</v>
      </c>
      <c r="M83" s="64">
        <v>93.19</v>
      </c>
      <c r="N83" s="64">
        <v>8.5</v>
      </c>
      <c r="O83" s="64">
        <v>0</v>
      </c>
      <c r="P83" s="64">
        <v>0.42</v>
      </c>
      <c r="Q83" s="64">
        <v>8.2899999999999991</v>
      </c>
      <c r="R83" s="198"/>
      <c r="S83" s="198"/>
      <c r="T83" s="198"/>
      <c r="U83" s="198"/>
    </row>
    <row r="84" spans="1:26" s="12" customFormat="1" x14ac:dyDescent="0.25">
      <c r="A84" s="214" t="s">
        <v>1188</v>
      </c>
      <c r="B84" s="64">
        <v>4.7</v>
      </c>
      <c r="C84" s="64">
        <v>13.15</v>
      </c>
      <c r="D84" s="64">
        <v>17.86</v>
      </c>
      <c r="E84" s="64">
        <v>0.99</v>
      </c>
      <c r="F84" s="64">
        <v>1.71</v>
      </c>
      <c r="G84" s="64">
        <v>33.14</v>
      </c>
      <c r="H84" s="64">
        <v>12.76</v>
      </c>
      <c r="I84" s="64">
        <v>0.11</v>
      </c>
      <c r="J84" s="64">
        <v>0.22</v>
      </c>
      <c r="K84" s="64">
        <v>31.32</v>
      </c>
      <c r="L84" s="64">
        <v>24.34</v>
      </c>
      <c r="M84" s="64">
        <v>94.12</v>
      </c>
      <c r="N84" s="64">
        <v>8.4</v>
      </c>
      <c r="O84" s="64">
        <v>0</v>
      </c>
      <c r="P84" s="64">
        <v>0.45</v>
      </c>
      <c r="Q84" s="64">
        <v>8.85</v>
      </c>
      <c r="R84" s="198"/>
      <c r="S84" s="198"/>
      <c r="T84" s="198"/>
      <c r="U84" s="198"/>
    </row>
    <row r="85" spans="1:26" s="12" customFormat="1" x14ac:dyDescent="0.25">
      <c r="A85" s="214" t="s">
        <v>1189</v>
      </c>
      <c r="B85" s="64">
        <v>4.8600000000000003</v>
      </c>
      <c r="C85" s="64">
        <v>13.73</v>
      </c>
      <c r="D85" s="64">
        <v>18.59</v>
      </c>
      <c r="E85" s="64">
        <v>1.65</v>
      </c>
      <c r="F85" s="64">
        <v>3.11</v>
      </c>
      <c r="G85" s="64">
        <v>34.75</v>
      </c>
      <c r="H85" s="64">
        <v>13.78</v>
      </c>
      <c r="I85" s="64">
        <v>0.11</v>
      </c>
      <c r="J85" s="64">
        <v>0.2</v>
      </c>
      <c r="K85" s="64">
        <v>25.33</v>
      </c>
      <c r="L85" s="64">
        <v>24.18</v>
      </c>
      <c r="M85" s="64">
        <v>95.48</v>
      </c>
      <c r="N85" s="64">
        <v>8.4</v>
      </c>
      <c r="O85" s="64">
        <v>0</v>
      </c>
      <c r="P85" s="64">
        <v>0.5</v>
      </c>
      <c r="Q85" s="64">
        <v>9.3800000000000008</v>
      </c>
      <c r="R85" s="198"/>
      <c r="S85" s="198"/>
      <c r="T85" s="198"/>
      <c r="U85" s="198"/>
    </row>
    <row r="86" spans="1:26" s="12" customFormat="1" x14ac:dyDescent="0.25">
      <c r="A86" s="214" t="s">
        <v>1190</v>
      </c>
      <c r="B86" s="64">
        <v>7.63</v>
      </c>
      <c r="C86" s="64">
        <v>18.03</v>
      </c>
      <c r="D86" s="64">
        <v>25.66</v>
      </c>
      <c r="E86" s="64">
        <v>1.79</v>
      </c>
      <c r="F86" s="64">
        <v>3.08</v>
      </c>
      <c r="G86" s="64">
        <v>34.75</v>
      </c>
      <c r="H86" s="64">
        <v>13.78</v>
      </c>
      <c r="I86" s="64">
        <v>0.11</v>
      </c>
      <c r="J86" s="64">
        <v>0.2</v>
      </c>
      <c r="K86" s="64">
        <v>26.73</v>
      </c>
      <c r="L86" s="64">
        <v>24.1</v>
      </c>
      <c r="M86" s="64">
        <v>96.75</v>
      </c>
      <c r="N86" s="64">
        <v>8.3000000000000007</v>
      </c>
      <c r="O86" s="64">
        <v>0</v>
      </c>
      <c r="P86" s="64">
        <v>0.54</v>
      </c>
      <c r="Q86" s="64">
        <v>10.31</v>
      </c>
      <c r="R86" s="198"/>
      <c r="S86" s="198"/>
      <c r="T86" s="198"/>
      <c r="U86" s="198"/>
    </row>
    <row r="87" spans="1:26" s="12" customFormat="1" x14ac:dyDescent="0.25">
      <c r="A87" s="214" t="s">
        <v>1191</v>
      </c>
      <c r="B87" s="64">
        <v>7.39</v>
      </c>
      <c r="C87" s="64">
        <v>15.63</v>
      </c>
      <c r="D87" s="64">
        <v>23.02</v>
      </c>
      <c r="E87" s="64">
        <v>1.65</v>
      </c>
      <c r="F87" s="64">
        <v>1.6</v>
      </c>
      <c r="G87" s="64">
        <v>34.75</v>
      </c>
      <c r="H87" s="64">
        <v>13.78</v>
      </c>
      <c r="I87" s="64">
        <v>0.11</v>
      </c>
      <c r="J87" s="64">
        <v>0.19</v>
      </c>
      <c r="K87" s="64">
        <v>26.88</v>
      </c>
      <c r="L87" s="64">
        <v>24.13</v>
      </c>
      <c r="M87" s="64">
        <v>96.37</v>
      </c>
      <c r="N87" s="64">
        <v>8.4</v>
      </c>
      <c r="O87" s="64">
        <v>0</v>
      </c>
      <c r="P87" s="64">
        <v>0.56999999999999995</v>
      </c>
      <c r="Q87" s="64">
        <v>11.04</v>
      </c>
      <c r="R87" s="198"/>
      <c r="S87" s="198"/>
      <c r="T87" s="198"/>
      <c r="U87" s="198"/>
    </row>
    <row r="88" spans="1:26" s="12" customFormat="1" x14ac:dyDescent="0.25">
      <c r="A88" s="214" t="s">
        <v>1192</v>
      </c>
      <c r="B88" s="64">
        <v>5.66</v>
      </c>
      <c r="C88" s="64">
        <v>13.16</v>
      </c>
      <c r="D88" s="64">
        <v>18.82</v>
      </c>
      <c r="E88" s="64">
        <v>0.95</v>
      </c>
      <c r="F88" s="64">
        <v>2.5499999999999998</v>
      </c>
      <c r="G88" s="64">
        <v>35.64</v>
      </c>
      <c r="H88" s="64">
        <v>13.95</v>
      </c>
      <c r="I88" s="64">
        <v>0.11</v>
      </c>
      <c r="J88" s="64">
        <v>0.06</v>
      </c>
      <c r="K88" s="64">
        <v>354.89</v>
      </c>
      <c r="L88" s="64">
        <v>24.04</v>
      </c>
      <c r="M88" s="64">
        <v>96.18</v>
      </c>
      <c r="N88" s="64">
        <v>8.3000000000000007</v>
      </c>
      <c r="O88" s="64">
        <v>0</v>
      </c>
      <c r="P88" s="64">
        <v>0.53</v>
      </c>
      <c r="Q88" s="64">
        <v>11.67</v>
      </c>
      <c r="R88" s="198"/>
      <c r="S88" s="198"/>
      <c r="T88" s="198"/>
      <c r="U88" s="198"/>
    </row>
    <row r="89" spans="1:26" s="12" customFormat="1" x14ac:dyDescent="0.25">
      <c r="A89" s="214" t="s">
        <v>1193</v>
      </c>
      <c r="B89" s="64">
        <v>5.79</v>
      </c>
      <c r="C89" s="64">
        <v>12.2</v>
      </c>
      <c r="D89" s="64">
        <v>17.989999999999998</v>
      </c>
      <c r="E89" s="64">
        <v>1.08</v>
      </c>
      <c r="F89" s="64">
        <v>1.22</v>
      </c>
      <c r="G89" s="64">
        <v>36.42</v>
      </c>
      <c r="H89" s="64">
        <v>14.02</v>
      </c>
      <c r="I89" s="64">
        <v>0.12</v>
      </c>
      <c r="J89" s="64">
        <v>0.24</v>
      </c>
      <c r="K89" s="64">
        <v>23.81</v>
      </c>
      <c r="L89" s="64">
        <v>24.03</v>
      </c>
      <c r="M89" s="64">
        <v>96.53</v>
      </c>
      <c r="N89" s="64">
        <v>8.5</v>
      </c>
      <c r="O89" s="64">
        <v>0</v>
      </c>
      <c r="P89" s="64">
        <v>0.52</v>
      </c>
      <c r="Q89" s="64">
        <v>12.46</v>
      </c>
      <c r="R89" s="198"/>
      <c r="S89" s="198"/>
      <c r="T89" s="198"/>
      <c r="U89" s="198"/>
    </row>
    <row r="90" spans="1:26" s="12" customFormat="1" x14ac:dyDescent="0.25">
      <c r="A90" s="214" t="s">
        <v>1194</v>
      </c>
      <c r="B90" s="64">
        <v>5.76</v>
      </c>
      <c r="C90" s="64">
        <v>11.19</v>
      </c>
      <c r="D90" s="64">
        <v>16.96</v>
      </c>
      <c r="E90" s="64">
        <v>1.1200000000000001</v>
      </c>
      <c r="F90" s="64">
        <v>1.4</v>
      </c>
      <c r="G90" s="64">
        <v>36.42</v>
      </c>
      <c r="H90" s="64">
        <v>14.02</v>
      </c>
      <c r="I90" s="64">
        <v>0.12</v>
      </c>
      <c r="J90" s="64">
        <v>0.16</v>
      </c>
      <c r="K90" s="64">
        <v>29.64</v>
      </c>
      <c r="L90" s="64">
        <v>23.94</v>
      </c>
      <c r="M90" s="64">
        <v>96.49</v>
      </c>
      <c r="N90" s="64">
        <v>9</v>
      </c>
      <c r="O90" s="64">
        <v>0</v>
      </c>
      <c r="P90" s="64">
        <v>0.52</v>
      </c>
      <c r="Q90" s="64">
        <v>12.33</v>
      </c>
      <c r="R90" s="198"/>
      <c r="S90" s="198"/>
      <c r="T90" s="198"/>
      <c r="U90" s="198"/>
    </row>
    <row r="91" spans="1:26" s="12" customFormat="1" x14ac:dyDescent="0.25">
      <c r="A91" s="214" t="s">
        <v>1195</v>
      </c>
      <c r="B91" s="64">
        <v>5.8</v>
      </c>
      <c r="C91" s="64">
        <v>12.12</v>
      </c>
      <c r="D91" s="64">
        <v>17.920000000000002</v>
      </c>
      <c r="E91" s="64">
        <v>0.76</v>
      </c>
      <c r="F91" s="64">
        <v>2.58</v>
      </c>
      <c r="G91" s="64">
        <v>36.42</v>
      </c>
      <c r="H91" s="64">
        <v>14.02</v>
      </c>
      <c r="I91" s="64">
        <v>0.12</v>
      </c>
      <c r="J91" s="64">
        <v>0.05</v>
      </c>
      <c r="K91" s="64">
        <v>113.09</v>
      </c>
      <c r="L91" s="64">
        <v>23.84</v>
      </c>
      <c r="M91" s="64">
        <v>97.24</v>
      </c>
      <c r="N91" s="64">
        <v>8.6999999999999993</v>
      </c>
      <c r="O91" s="64">
        <v>0</v>
      </c>
      <c r="P91" s="64">
        <v>0.53</v>
      </c>
      <c r="Q91" s="64">
        <v>10.92</v>
      </c>
      <c r="R91" s="198"/>
      <c r="S91" s="198"/>
      <c r="T91" s="198"/>
      <c r="U91" s="198"/>
    </row>
    <row r="92" spans="1:26" s="12" customFormat="1" x14ac:dyDescent="0.25">
      <c r="A92" s="214" t="s">
        <v>1196</v>
      </c>
      <c r="B92" s="64">
        <v>5.51</v>
      </c>
      <c r="C92" s="64">
        <v>11.2</v>
      </c>
      <c r="D92" s="64">
        <v>16.71</v>
      </c>
      <c r="E92" s="64">
        <v>1.04</v>
      </c>
      <c r="F92" s="64">
        <v>1.67</v>
      </c>
      <c r="G92" s="64">
        <v>37.08</v>
      </c>
      <c r="H92" s="64">
        <v>14.82</v>
      </c>
      <c r="I92" s="64">
        <v>0.11</v>
      </c>
      <c r="J92" s="64">
        <v>0.12</v>
      </c>
      <c r="K92" s="64">
        <v>30.39</v>
      </c>
      <c r="L92" s="64">
        <v>23.76</v>
      </c>
      <c r="M92" s="64">
        <v>97.69</v>
      </c>
      <c r="N92" s="64">
        <v>8.9</v>
      </c>
      <c r="O92" s="64">
        <v>0</v>
      </c>
      <c r="P92" s="64">
        <v>0.52</v>
      </c>
      <c r="Q92" s="64">
        <v>11.3</v>
      </c>
      <c r="R92" s="198"/>
      <c r="S92" s="198"/>
      <c r="T92" s="198"/>
      <c r="U92" s="198"/>
    </row>
    <row r="93" spans="1:26" s="12" customFormat="1" x14ac:dyDescent="0.25">
      <c r="A93" s="214" t="s">
        <v>1197</v>
      </c>
      <c r="B93" s="64">
        <v>5.49</v>
      </c>
      <c r="C93" s="64">
        <v>11.07</v>
      </c>
      <c r="D93" s="64">
        <v>16.559999999999999</v>
      </c>
      <c r="E93" s="64">
        <v>1.0900000000000001</v>
      </c>
      <c r="F93" s="64">
        <v>1.85</v>
      </c>
      <c r="G93" s="64">
        <v>37.65</v>
      </c>
      <c r="H93" s="64">
        <v>15.15</v>
      </c>
      <c r="I93" s="64">
        <v>0.12</v>
      </c>
      <c r="J93" s="64">
        <v>0.24</v>
      </c>
      <c r="K93" s="64">
        <v>26.09</v>
      </c>
      <c r="L93" s="64">
        <v>23.77</v>
      </c>
      <c r="M93" s="64">
        <v>97.79</v>
      </c>
      <c r="N93" s="64">
        <v>8.9</v>
      </c>
      <c r="O93" s="64">
        <v>0</v>
      </c>
      <c r="P93" s="64">
        <v>0.51</v>
      </c>
      <c r="Q93" s="64">
        <v>11.56</v>
      </c>
      <c r="R93" s="198"/>
      <c r="S93" s="198"/>
      <c r="T93" s="198"/>
      <c r="U93" s="198"/>
    </row>
    <row r="94" spans="1:26" s="12" customFormat="1" x14ac:dyDescent="0.25">
      <c r="A94" s="214" t="s">
        <v>1198</v>
      </c>
      <c r="B94" s="64">
        <v>5.4</v>
      </c>
      <c r="C94" s="64">
        <v>11.14</v>
      </c>
      <c r="D94" s="64">
        <v>16.54</v>
      </c>
      <c r="E94" s="64">
        <v>1.49</v>
      </c>
      <c r="F94" s="64">
        <v>1.77</v>
      </c>
      <c r="G94" s="64">
        <v>37.65</v>
      </c>
      <c r="H94" s="64">
        <v>15.15</v>
      </c>
      <c r="I94" s="64">
        <v>0.12</v>
      </c>
      <c r="J94" s="64">
        <v>0.02</v>
      </c>
      <c r="K94" s="64">
        <v>224.03</v>
      </c>
      <c r="L94" s="64">
        <v>23.67</v>
      </c>
      <c r="M94" s="64">
        <v>97.73</v>
      </c>
      <c r="N94" s="64">
        <v>8.8000000000000007</v>
      </c>
      <c r="O94" s="64">
        <v>0</v>
      </c>
      <c r="P94" s="64">
        <v>0.5</v>
      </c>
      <c r="Q94" s="64">
        <v>13.26</v>
      </c>
      <c r="R94" s="198"/>
      <c r="S94" s="198"/>
      <c r="T94" s="198"/>
      <c r="U94" s="198"/>
    </row>
    <row r="95" spans="1:26" s="12" customFormat="1" x14ac:dyDescent="0.25">
      <c r="A95" s="214" t="s">
        <v>1199</v>
      </c>
      <c r="B95" s="64">
        <v>4.96</v>
      </c>
      <c r="C95" s="64">
        <v>11.56</v>
      </c>
      <c r="D95" s="64">
        <v>16.52</v>
      </c>
      <c r="E95" s="64">
        <v>1.32</v>
      </c>
      <c r="F95" s="64">
        <v>4.74</v>
      </c>
      <c r="G95" s="64">
        <v>37.65</v>
      </c>
      <c r="H95" s="64">
        <v>15.15</v>
      </c>
      <c r="I95" s="64">
        <v>0.12</v>
      </c>
      <c r="J95" s="64">
        <v>0.14000000000000001</v>
      </c>
      <c r="K95" s="64">
        <v>171.07</v>
      </c>
      <c r="L95" s="64">
        <v>23.62</v>
      </c>
      <c r="M95" s="64">
        <v>98.04</v>
      </c>
      <c r="N95" s="64">
        <v>8.9</v>
      </c>
      <c r="O95" s="64">
        <v>0</v>
      </c>
      <c r="P95" s="64">
        <v>0.47</v>
      </c>
      <c r="Q95" s="64">
        <v>12.17</v>
      </c>
      <c r="R95" s="198"/>
      <c r="S95" s="198"/>
      <c r="T95" s="198"/>
      <c r="U95" s="198"/>
    </row>
    <row r="96" spans="1:26" s="12" customFormat="1" x14ac:dyDescent="0.25">
      <c r="A96" s="214" t="s">
        <v>1200</v>
      </c>
      <c r="B96" s="64">
        <v>4.54</v>
      </c>
      <c r="C96" s="64">
        <v>11.59</v>
      </c>
      <c r="D96" s="64">
        <v>16.13</v>
      </c>
      <c r="E96" s="64">
        <v>0.85</v>
      </c>
      <c r="F96" s="64">
        <v>7.59</v>
      </c>
      <c r="G96" s="64">
        <v>36.81</v>
      </c>
      <c r="H96" s="64">
        <v>14.55</v>
      </c>
      <c r="I96" s="64">
        <v>0.12</v>
      </c>
      <c r="J96" s="64">
        <v>0.13</v>
      </c>
      <c r="K96" s="64">
        <v>184.26</v>
      </c>
      <c r="L96" s="64">
        <v>23.51</v>
      </c>
      <c r="M96" s="64">
        <v>98.61</v>
      </c>
      <c r="N96" s="64">
        <v>8.9</v>
      </c>
      <c r="O96" s="64">
        <v>0</v>
      </c>
      <c r="P96" s="64">
        <v>0.41</v>
      </c>
      <c r="Q96" s="64">
        <v>11.85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1201</v>
      </c>
      <c r="B97" s="64">
        <v>4.5999999999999996</v>
      </c>
      <c r="C97" s="64">
        <v>12.33</v>
      </c>
      <c r="D97" s="64">
        <v>16.940000000000001</v>
      </c>
      <c r="E97" s="64">
        <v>1.21</v>
      </c>
      <c r="F97" s="64">
        <v>5.94</v>
      </c>
      <c r="G97" s="64">
        <v>36.07</v>
      </c>
      <c r="H97" s="64">
        <v>14.32</v>
      </c>
      <c r="I97" s="64">
        <v>0.11</v>
      </c>
      <c r="J97" s="64">
        <v>7.0000000000000007E-2</v>
      </c>
      <c r="K97" s="64">
        <v>16.760000000000002</v>
      </c>
      <c r="L97" s="64">
        <v>23.43</v>
      </c>
      <c r="M97" s="64">
        <v>98.63</v>
      </c>
      <c r="N97" s="64">
        <v>8.8000000000000007</v>
      </c>
      <c r="O97" s="64">
        <v>0</v>
      </c>
      <c r="P97" s="64">
        <v>0.42</v>
      </c>
      <c r="Q97" s="64">
        <v>13.39</v>
      </c>
      <c r="R97" s="198"/>
      <c r="S97" s="198"/>
      <c r="T97" s="198"/>
      <c r="U97" s="198"/>
    </row>
    <row r="98" spans="1:33" s="12" customFormat="1" x14ac:dyDescent="0.25">
      <c r="A98" s="214" t="s">
        <v>1202</v>
      </c>
      <c r="B98" s="64">
        <v>5.05</v>
      </c>
      <c r="C98" s="64">
        <v>12.75</v>
      </c>
      <c r="D98" s="64">
        <v>17.8</v>
      </c>
      <c r="E98" s="64">
        <v>1.29</v>
      </c>
      <c r="F98" s="64">
        <v>4.0599999999999996</v>
      </c>
      <c r="G98" s="64">
        <v>36.07</v>
      </c>
      <c r="H98" s="64">
        <v>14.32</v>
      </c>
      <c r="I98" s="64">
        <v>0.11</v>
      </c>
      <c r="J98" s="64">
        <v>0.13</v>
      </c>
      <c r="K98" s="64">
        <v>21.91</v>
      </c>
      <c r="L98" s="64">
        <v>23.47</v>
      </c>
      <c r="M98" s="64">
        <v>98.62</v>
      </c>
      <c r="N98" s="64">
        <v>8.8000000000000007</v>
      </c>
      <c r="O98" s="64">
        <v>0</v>
      </c>
      <c r="P98" s="64">
        <v>0.48</v>
      </c>
      <c r="Q98" s="64">
        <v>13.93</v>
      </c>
      <c r="R98" s="198"/>
      <c r="S98" s="198"/>
      <c r="T98" s="198"/>
      <c r="U98" s="198"/>
    </row>
    <row r="99" spans="1:33" s="12" customFormat="1" x14ac:dyDescent="0.25">
      <c r="A99" s="214" t="s">
        <v>1203</v>
      </c>
      <c r="B99" s="64">
        <v>5.67</v>
      </c>
      <c r="C99" s="64">
        <v>11.71</v>
      </c>
      <c r="D99" s="64">
        <v>17.39</v>
      </c>
      <c r="E99" s="64">
        <v>1.68</v>
      </c>
      <c r="F99" s="64">
        <v>1.58</v>
      </c>
      <c r="G99" s="64">
        <v>36.07</v>
      </c>
      <c r="H99" s="64">
        <v>14.32</v>
      </c>
      <c r="I99" s="64">
        <v>0.11</v>
      </c>
      <c r="J99" s="64">
        <v>0.27</v>
      </c>
      <c r="K99" s="64">
        <v>28.93</v>
      </c>
      <c r="L99" s="64">
        <v>23.5</v>
      </c>
      <c r="M99" s="64">
        <v>98.63</v>
      </c>
      <c r="N99" s="64">
        <v>8.8000000000000007</v>
      </c>
      <c r="O99" s="64">
        <v>0</v>
      </c>
      <c r="P99" s="64">
        <v>0.49</v>
      </c>
      <c r="Q99" s="64">
        <v>14.11</v>
      </c>
      <c r="R99" s="198"/>
      <c r="S99" s="198"/>
      <c r="T99" s="198"/>
      <c r="U99" s="198"/>
    </row>
    <row r="100" spans="1:33" s="12" customFormat="1" x14ac:dyDescent="0.25">
      <c r="A100" s="214" t="s">
        <v>1204</v>
      </c>
      <c r="B100" s="64">
        <v>5.65</v>
      </c>
      <c r="C100" s="64">
        <v>10.66</v>
      </c>
      <c r="D100" s="64">
        <v>16.309999999999999</v>
      </c>
      <c r="E100" s="64">
        <v>1.2</v>
      </c>
      <c r="F100" s="64">
        <v>1.63</v>
      </c>
      <c r="G100" s="64">
        <v>34.96</v>
      </c>
      <c r="H100" s="64">
        <v>14.3</v>
      </c>
      <c r="I100" s="64">
        <v>0.12</v>
      </c>
      <c r="J100" s="64">
        <v>0.17</v>
      </c>
      <c r="K100" s="64">
        <v>19.66</v>
      </c>
      <c r="L100" s="64">
        <v>23.32</v>
      </c>
      <c r="M100" s="64">
        <v>98.63</v>
      </c>
      <c r="N100" s="64">
        <v>8.8000000000000007</v>
      </c>
      <c r="O100" s="64">
        <v>0</v>
      </c>
      <c r="P100" s="64">
        <v>0.48</v>
      </c>
      <c r="Q100" s="64">
        <v>13.84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1205</v>
      </c>
      <c r="B101" s="64">
        <v>5.36</v>
      </c>
      <c r="C101" s="64">
        <v>10.36</v>
      </c>
      <c r="D101" s="64">
        <v>15.73</v>
      </c>
      <c r="E101" s="64">
        <v>1.8</v>
      </c>
      <c r="F101" s="64">
        <v>1.06</v>
      </c>
      <c r="G101" s="64">
        <v>34</v>
      </c>
      <c r="H101" s="64">
        <v>14.29</v>
      </c>
      <c r="I101" s="64">
        <v>0.12</v>
      </c>
      <c r="J101" s="64">
        <v>0.19</v>
      </c>
      <c r="K101" s="64">
        <v>25.36</v>
      </c>
      <c r="L101" s="64">
        <v>23.16</v>
      </c>
      <c r="M101" s="64">
        <v>98.63</v>
      </c>
      <c r="N101" s="64">
        <v>8.8000000000000007</v>
      </c>
      <c r="O101" s="64">
        <v>0</v>
      </c>
      <c r="P101" s="64">
        <v>0.45</v>
      </c>
      <c r="Q101" s="64">
        <v>13.23</v>
      </c>
      <c r="R101" s="198"/>
      <c r="S101" s="198"/>
      <c r="T101" s="198"/>
      <c r="U101" s="198"/>
    </row>
    <row r="102" spans="1:33" s="12" customFormat="1" x14ac:dyDescent="0.25">
      <c r="A102" s="214" t="s">
        <v>1206</v>
      </c>
      <c r="B102" s="64">
        <v>5.0199999999999996</v>
      </c>
      <c r="C102" s="64">
        <v>10.050000000000001</v>
      </c>
      <c r="D102" s="64">
        <v>15.07</v>
      </c>
      <c r="E102" s="64">
        <v>0.97</v>
      </c>
      <c r="F102" s="64">
        <v>1.99</v>
      </c>
      <c r="G102" s="64">
        <v>34</v>
      </c>
      <c r="H102" s="64">
        <v>14.29</v>
      </c>
      <c r="I102" s="64">
        <v>0.12</v>
      </c>
      <c r="J102" s="64">
        <v>0.17</v>
      </c>
      <c r="K102" s="64">
        <v>24.91</v>
      </c>
      <c r="L102" s="64">
        <v>23.03</v>
      </c>
      <c r="M102" s="64">
        <v>98.63</v>
      </c>
      <c r="N102" s="64">
        <v>8.8000000000000007</v>
      </c>
      <c r="O102" s="64">
        <v>0</v>
      </c>
      <c r="P102" s="64">
        <v>0.43</v>
      </c>
      <c r="Q102" s="64">
        <v>12.44</v>
      </c>
      <c r="R102" s="198"/>
      <c r="S102" s="198"/>
      <c r="T102" s="198"/>
      <c r="U102" s="198"/>
    </row>
    <row r="103" spans="1:33" s="12" customFormat="1" x14ac:dyDescent="0.25">
      <c r="A103" s="214" t="s">
        <v>1207</v>
      </c>
      <c r="B103" s="64">
        <v>4.7300000000000004</v>
      </c>
      <c r="C103" s="64">
        <v>9.73</v>
      </c>
      <c r="D103" s="64">
        <v>14.46</v>
      </c>
      <c r="E103" s="64">
        <v>1.35</v>
      </c>
      <c r="F103" s="64">
        <v>1.33</v>
      </c>
      <c r="G103" s="64">
        <v>34</v>
      </c>
      <c r="H103" s="64">
        <v>14.29</v>
      </c>
      <c r="I103" s="64">
        <v>0.12</v>
      </c>
      <c r="J103" s="64">
        <v>0.09</v>
      </c>
      <c r="K103" s="64">
        <v>19.78</v>
      </c>
      <c r="L103" s="64">
        <v>22.91</v>
      </c>
      <c r="M103" s="64">
        <v>98.63</v>
      </c>
      <c r="N103" s="64">
        <v>8.8000000000000007</v>
      </c>
      <c r="O103" s="64">
        <v>0</v>
      </c>
      <c r="P103" s="64">
        <v>0.43</v>
      </c>
      <c r="Q103" s="64">
        <v>12.35</v>
      </c>
      <c r="R103" s="198"/>
      <c r="S103" s="198"/>
      <c r="T103" s="198"/>
      <c r="U103" s="198"/>
    </row>
    <row r="104" spans="1:33" s="12" customFormat="1" x14ac:dyDescent="0.25">
      <c r="A104" s="214" t="s">
        <v>1208</v>
      </c>
      <c r="B104" s="64">
        <v>4.43</v>
      </c>
      <c r="C104" s="64">
        <v>9.49</v>
      </c>
      <c r="D104" s="64">
        <v>13.92</v>
      </c>
      <c r="E104" s="64">
        <v>0.72</v>
      </c>
      <c r="F104" s="64">
        <v>1.73</v>
      </c>
      <c r="G104" s="64">
        <v>30.77</v>
      </c>
      <c r="H104" s="64">
        <v>12.11</v>
      </c>
      <c r="I104" s="64">
        <v>0.12</v>
      </c>
      <c r="J104" s="64">
        <v>0.15</v>
      </c>
      <c r="K104" s="64">
        <v>20.22</v>
      </c>
      <c r="L104" s="64">
        <v>22.87</v>
      </c>
      <c r="M104" s="64">
        <v>98.63</v>
      </c>
      <c r="N104" s="64">
        <v>8.8000000000000007</v>
      </c>
      <c r="O104" s="64">
        <v>0</v>
      </c>
      <c r="P104" s="64">
        <v>0.41</v>
      </c>
      <c r="Q104" s="64">
        <v>11.97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3.64</v>
      </c>
      <c r="C106" s="67">
        <f>MIN(C9:C104)</f>
        <v>7.25</v>
      </c>
      <c r="D106" s="67">
        <f t="shared" ref="D106:Q106" si="0">MIN(D9:D104)</f>
        <v>12.18</v>
      </c>
      <c r="E106" s="67">
        <f t="shared" si="0"/>
        <v>0.05</v>
      </c>
      <c r="F106" s="67">
        <f t="shared" si="0"/>
        <v>0.67</v>
      </c>
      <c r="G106" s="67">
        <f t="shared" si="0"/>
        <v>8.07</v>
      </c>
      <c r="H106" s="67">
        <f t="shared" si="0"/>
        <v>3</v>
      </c>
      <c r="I106" s="67">
        <f t="shared" si="0"/>
        <v>0.11</v>
      </c>
      <c r="J106" s="67">
        <f t="shared" si="0"/>
        <v>0.02</v>
      </c>
      <c r="K106" s="67">
        <f t="shared" si="0"/>
        <v>0.47</v>
      </c>
      <c r="L106" s="67">
        <f t="shared" si="0"/>
        <v>22.42</v>
      </c>
      <c r="M106" s="67">
        <f t="shared" si="0"/>
        <v>80.430000000000007</v>
      </c>
      <c r="N106" s="67">
        <f t="shared" si="0"/>
        <v>8</v>
      </c>
      <c r="O106" s="67">
        <f t="shared" si="0"/>
        <v>0</v>
      </c>
      <c r="P106" s="67">
        <f t="shared" si="0"/>
        <v>0.25</v>
      </c>
      <c r="Q106" s="67">
        <f t="shared" si="0"/>
        <v>8.2200000000000006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7.63</v>
      </c>
      <c r="C107" s="66">
        <f t="shared" ref="C107:Q107" si="1">MAX(C9:C104)</f>
        <v>18.03</v>
      </c>
      <c r="D107" s="66">
        <f t="shared" si="1"/>
        <v>25.66</v>
      </c>
      <c r="E107" s="66">
        <f t="shared" si="1"/>
        <v>2.11</v>
      </c>
      <c r="F107" s="66">
        <f t="shared" si="1"/>
        <v>7.59</v>
      </c>
      <c r="G107" s="66">
        <f t="shared" si="1"/>
        <v>37.65</v>
      </c>
      <c r="H107" s="66">
        <f t="shared" si="1"/>
        <v>15.15</v>
      </c>
      <c r="I107" s="66">
        <f t="shared" si="1"/>
        <v>0.13</v>
      </c>
      <c r="J107" s="66">
        <f t="shared" si="1"/>
        <v>1.45</v>
      </c>
      <c r="K107" s="66">
        <f t="shared" si="1"/>
        <v>354.89</v>
      </c>
      <c r="L107" s="66">
        <f t="shared" si="1"/>
        <v>27.94</v>
      </c>
      <c r="M107" s="66">
        <f t="shared" si="1"/>
        <v>98.66</v>
      </c>
      <c r="N107" s="66">
        <f t="shared" si="1"/>
        <v>758.4</v>
      </c>
      <c r="O107" s="66">
        <f t="shared" si="1"/>
        <v>2.6</v>
      </c>
      <c r="P107" s="66">
        <f t="shared" si="1"/>
        <v>0.56999999999999995</v>
      </c>
      <c r="Q107" s="66">
        <f t="shared" si="1"/>
        <v>24.49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5.2259375000000032</v>
      </c>
      <c r="C108" s="67">
        <f t="shared" ref="C108:Q108" si="2">AVERAGE(C9:C104)</f>
        <v>10.319479166666669</v>
      </c>
      <c r="D108" s="67">
        <f t="shared" si="2"/>
        <v>15.545729166666668</v>
      </c>
      <c r="E108" s="67">
        <f t="shared" si="2"/>
        <v>1.2282291666666667</v>
      </c>
      <c r="F108" s="67">
        <f t="shared" si="2"/>
        <v>2.7056250000000013</v>
      </c>
      <c r="G108" s="67">
        <f t="shared" si="2"/>
        <v>21.849791666666672</v>
      </c>
      <c r="H108" s="67">
        <f t="shared" si="2"/>
        <v>8.5903124999999978</v>
      </c>
      <c r="I108" s="67">
        <f t="shared" si="2"/>
        <v>0.11937499999999983</v>
      </c>
      <c r="J108" s="67">
        <f t="shared" si="2"/>
        <v>0.36250000000000021</v>
      </c>
      <c r="K108" s="67">
        <f t="shared" si="2"/>
        <v>106.63354166666664</v>
      </c>
      <c r="L108" s="67">
        <f t="shared" si="2"/>
        <v>24.316666666666666</v>
      </c>
      <c r="M108" s="67">
        <f t="shared" si="2"/>
        <v>93.529062499999895</v>
      </c>
      <c r="N108" s="67">
        <f t="shared" si="2"/>
        <v>134.09583333333325</v>
      </c>
      <c r="O108" s="67">
        <f t="shared" si="2"/>
        <v>3.5416666666666673E-2</v>
      </c>
      <c r="P108" s="67">
        <f t="shared" si="2"/>
        <v>0.35729166666666673</v>
      </c>
      <c r="Q108" s="67">
        <f t="shared" si="2"/>
        <v>16.549687499999997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1.0193368103304721</v>
      </c>
      <c r="C109" s="67">
        <f t="shared" ref="C109:Q109" si="3">STDEV(C9:C104)</f>
        <v>1.8121626334541996</v>
      </c>
      <c r="D109" s="67">
        <f t="shared" si="3"/>
        <v>2.1771447959929735</v>
      </c>
      <c r="E109" s="67">
        <f t="shared" si="3"/>
        <v>0.42780958575827466</v>
      </c>
      <c r="F109" s="67">
        <f t="shared" si="3"/>
        <v>1.4637225883989997</v>
      </c>
      <c r="G109" s="67">
        <f t="shared" si="3"/>
        <v>9.8720104046655255</v>
      </c>
      <c r="H109" s="67">
        <f t="shared" si="3"/>
        <v>3.4525644025777988</v>
      </c>
      <c r="I109" s="67">
        <f t="shared" si="3"/>
        <v>5.3924899043411361E-3</v>
      </c>
      <c r="J109" s="67">
        <f t="shared" si="3"/>
        <v>0.31928208943124076</v>
      </c>
      <c r="K109" s="67">
        <f t="shared" si="3"/>
        <v>79.875370895825057</v>
      </c>
      <c r="L109" s="67">
        <f t="shared" si="3"/>
        <v>1.6302209515514126</v>
      </c>
      <c r="M109" s="67">
        <f t="shared" si="3"/>
        <v>6.2925081733631538</v>
      </c>
      <c r="N109" s="67">
        <f t="shared" si="3"/>
        <v>179.71399729726522</v>
      </c>
      <c r="O109" s="67">
        <f t="shared" si="3"/>
        <v>0.27681617182248608</v>
      </c>
      <c r="P109" s="67">
        <f t="shared" si="3"/>
        <v>8.034765468907637E-2</v>
      </c>
      <c r="Q109" s="67">
        <f t="shared" si="3"/>
        <v>4.6205612448170648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1209</v>
      </c>
      <c r="B9" s="64">
        <v>4.2699999999999996</v>
      </c>
      <c r="C9" s="64">
        <v>9.2100000000000009</v>
      </c>
      <c r="D9" s="64">
        <v>13.48</v>
      </c>
      <c r="E9" s="64">
        <v>1.04</v>
      </c>
      <c r="F9" s="64">
        <v>1.07</v>
      </c>
      <c r="G9" s="64">
        <v>27.95</v>
      </c>
      <c r="H9" s="64">
        <v>10.37</v>
      </c>
      <c r="I9" s="64">
        <v>0.11</v>
      </c>
      <c r="J9" s="64">
        <v>0.11</v>
      </c>
      <c r="K9" s="64">
        <v>24.61</v>
      </c>
      <c r="L9" s="64">
        <v>22.77</v>
      </c>
      <c r="M9" s="64">
        <v>98.67</v>
      </c>
      <c r="N9" s="64">
        <v>8.8000000000000007</v>
      </c>
      <c r="O9" s="64">
        <v>0</v>
      </c>
      <c r="P9" s="64">
        <v>0.39</v>
      </c>
      <c r="Q9" s="64">
        <v>11.69</v>
      </c>
      <c r="R9" s="198"/>
      <c r="S9" s="198"/>
      <c r="T9" s="198"/>
      <c r="U9" s="198"/>
    </row>
    <row r="10" spans="1:21" s="12" customFormat="1" x14ac:dyDescent="0.25">
      <c r="A10" s="214" t="s">
        <v>1210</v>
      </c>
      <c r="B10" s="64">
        <v>4.0199999999999996</v>
      </c>
      <c r="C10" s="64">
        <v>9.02</v>
      </c>
      <c r="D10" s="64">
        <v>13.03</v>
      </c>
      <c r="E10" s="64">
        <v>1.02</v>
      </c>
      <c r="F10" s="64">
        <v>1.55</v>
      </c>
      <c r="G10" s="64">
        <v>27.95</v>
      </c>
      <c r="H10" s="64">
        <v>10.37</v>
      </c>
      <c r="I10" s="64">
        <v>0.11</v>
      </c>
      <c r="J10" s="64">
        <v>0.08</v>
      </c>
      <c r="K10" s="64">
        <v>31.22</v>
      </c>
      <c r="L10" s="64">
        <v>22.76</v>
      </c>
      <c r="M10" s="64">
        <v>98.65</v>
      </c>
      <c r="N10" s="64">
        <v>8.6999999999999993</v>
      </c>
      <c r="O10" s="64">
        <v>0</v>
      </c>
      <c r="P10" s="64">
        <v>0.37</v>
      </c>
      <c r="Q10" s="64">
        <v>11.29</v>
      </c>
      <c r="R10" s="198"/>
      <c r="S10" s="198"/>
      <c r="T10" s="198"/>
      <c r="U10" s="198"/>
    </row>
    <row r="11" spans="1:21" s="12" customFormat="1" x14ac:dyDescent="0.25">
      <c r="A11" s="214" t="s">
        <v>1211</v>
      </c>
      <c r="B11" s="64">
        <v>3.9</v>
      </c>
      <c r="C11" s="64">
        <v>8.61</v>
      </c>
      <c r="D11" s="64">
        <v>12.51</v>
      </c>
      <c r="E11" s="64">
        <v>1.42</v>
      </c>
      <c r="F11" s="64">
        <v>1.87</v>
      </c>
      <c r="G11" s="64">
        <v>27.95</v>
      </c>
      <c r="H11" s="64">
        <v>10.37</v>
      </c>
      <c r="I11" s="64">
        <v>0.12</v>
      </c>
      <c r="J11" s="64">
        <v>0.1</v>
      </c>
      <c r="K11" s="64">
        <v>16.87</v>
      </c>
      <c r="L11" s="64">
        <v>22.67</v>
      </c>
      <c r="M11" s="64">
        <v>98.66</v>
      </c>
      <c r="N11" s="64">
        <v>8.6999999999999993</v>
      </c>
      <c r="O11" s="64">
        <v>0</v>
      </c>
      <c r="P11" s="64">
        <v>0.38</v>
      </c>
      <c r="Q11" s="64">
        <v>11.03</v>
      </c>
      <c r="R11" s="198"/>
      <c r="S11" s="198"/>
      <c r="T11" s="198"/>
      <c r="U11" s="198"/>
    </row>
    <row r="12" spans="1:21" s="12" customFormat="1" x14ac:dyDescent="0.25">
      <c r="A12" s="214" t="s">
        <v>1212</v>
      </c>
      <c r="B12" s="64">
        <v>3.77</v>
      </c>
      <c r="C12" s="64">
        <v>8.9499999999999993</v>
      </c>
      <c r="D12" s="64">
        <v>12.72</v>
      </c>
      <c r="E12" s="64">
        <v>1.18</v>
      </c>
      <c r="F12" s="64">
        <v>1.56</v>
      </c>
      <c r="G12" s="64">
        <v>25.87</v>
      </c>
      <c r="H12" s="64">
        <v>8.51</v>
      </c>
      <c r="I12" s="64">
        <v>0.12</v>
      </c>
      <c r="J12" s="64">
        <v>0.18</v>
      </c>
      <c r="K12" s="64">
        <v>13.68</v>
      </c>
      <c r="L12" s="64">
        <v>22.67</v>
      </c>
      <c r="M12" s="64">
        <v>98.65</v>
      </c>
      <c r="N12" s="64">
        <v>8.6999999999999993</v>
      </c>
      <c r="O12" s="64">
        <v>0</v>
      </c>
      <c r="P12" s="64">
        <v>0.35</v>
      </c>
      <c r="Q12" s="64">
        <v>12.48</v>
      </c>
      <c r="R12" s="198"/>
      <c r="S12" s="198"/>
      <c r="T12" s="198"/>
      <c r="U12" s="198"/>
    </row>
    <row r="13" spans="1:21" s="12" customFormat="1" x14ac:dyDescent="0.25">
      <c r="A13" s="214" t="s">
        <v>1213</v>
      </c>
      <c r="B13" s="64">
        <v>3.7</v>
      </c>
      <c r="C13" s="64">
        <v>8.7200000000000006</v>
      </c>
      <c r="D13" s="64">
        <v>12.42</v>
      </c>
      <c r="E13" s="64">
        <v>1.46</v>
      </c>
      <c r="F13" s="64">
        <v>1.86</v>
      </c>
      <c r="G13" s="64">
        <v>24.05</v>
      </c>
      <c r="H13" s="64">
        <v>7.76</v>
      </c>
      <c r="I13" s="64">
        <v>0.11</v>
      </c>
      <c r="J13" s="64">
        <v>0.14000000000000001</v>
      </c>
      <c r="K13" s="64">
        <v>28.62</v>
      </c>
      <c r="L13" s="64">
        <v>22.7</v>
      </c>
      <c r="M13" s="64">
        <v>98.65</v>
      </c>
      <c r="N13" s="64">
        <v>8.9</v>
      </c>
      <c r="O13" s="64">
        <v>0</v>
      </c>
      <c r="P13" s="64">
        <v>0.31</v>
      </c>
      <c r="Q13" s="64">
        <v>12.74</v>
      </c>
      <c r="R13" s="198"/>
      <c r="S13" s="198"/>
      <c r="T13" s="198"/>
      <c r="U13" s="198"/>
    </row>
    <row r="14" spans="1:21" s="12" customFormat="1" x14ac:dyDescent="0.25">
      <c r="A14" s="214" t="s">
        <v>1214</v>
      </c>
      <c r="B14" s="64">
        <v>3.54</v>
      </c>
      <c r="C14" s="64">
        <v>8.89</v>
      </c>
      <c r="D14" s="64">
        <v>12.44</v>
      </c>
      <c r="E14" s="64">
        <v>1.59</v>
      </c>
      <c r="F14" s="64">
        <v>6.48</v>
      </c>
      <c r="G14" s="64">
        <v>24.05</v>
      </c>
      <c r="H14" s="64">
        <v>7.76</v>
      </c>
      <c r="I14" s="64">
        <v>0.11</v>
      </c>
      <c r="J14" s="64">
        <v>0.22</v>
      </c>
      <c r="K14" s="64">
        <v>160.41</v>
      </c>
      <c r="L14" s="64">
        <v>22.68</v>
      </c>
      <c r="M14" s="64">
        <v>98.67</v>
      </c>
      <c r="N14" s="64">
        <v>8.8000000000000007</v>
      </c>
      <c r="O14" s="64">
        <v>0</v>
      </c>
      <c r="P14" s="64">
        <v>0.28000000000000003</v>
      </c>
      <c r="Q14" s="64">
        <v>13.34</v>
      </c>
      <c r="R14" s="198"/>
      <c r="S14" s="198"/>
      <c r="T14" s="198"/>
      <c r="U14" s="198"/>
    </row>
    <row r="15" spans="1:21" s="12" customFormat="1" x14ac:dyDescent="0.25">
      <c r="A15" s="214" t="s">
        <v>1215</v>
      </c>
      <c r="B15" s="64">
        <v>3.74</v>
      </c>
      <c r="C15" s="64">
        <v>8.85</v>
      </c>
      <c r="D15" s="64">
        <v>12.59</v>
      </c>
      <c r="E15" s="64">
        <v>1.45</v>
      </c>
      <c r="F15" s="64">
        <v>4.41</v>
      </c>
      <c r="G15" s="64">
        <v>24.05</v>
      </c>
      <c r="H15" s="64">
        <v>7.76</v>
      </c>
      <c r="I15" s="64">
        <v>0.11</v>
      </c>
      <c r="J15" s="64">
        <v>0.69</v>
      </c>
      <c r="K15" s="64">
        <v>150.88999999999999</v>
      </c>
      <c r="L15" s="64">
        <v>22.68</v>
      </c>
      <c r="M15" s="64">
        <v>98.68</v>
      </c>
      <c r="N15" s="64">
        <v>9</v>
      </c>
      <c r="O15" s="64">
        <v>0</v>
      </c>
      <c r="P15" s="64">
        <v>0.3</v>
      </c>
      <c r="Q15" s="64">
        <v>14.47</v>
      </c>
      <c r="R15" s="198"/>
      <c r="S15" s="198"/>
      <c r="T15" s="198"/>
      <c r="U15" s="198"/>
    </row>
    <row r="16" spans="1:21" s="12" customFormat="1" x14ac:dyDescent="0.25">
      <c r="A16" s="214" t="s">
        <v>1216</v>
      </c>
      <c r="B16" s="64">
        <v>4.1100000000000003</v>
      </c>
      <c r="C16" s="64">
        <v>8.26</v>
      </c>
      <c r="D16" s="64">
        <v>12.37</v>
      </c>
      <c r="E16" s="64">
        <v>1.58</v>
      </c>
      <c r="F16" s="64">
        <v>3.07</v>
      </c>
      <c r="G16" s="64">
        <v>22.22</v>
      </c>
      <c r="H16" s="64">
        <v>7.97</v>
      </c>
      <c r="I16" s="64">
        <v>0.12</v>
      </c>
      <c r="J16" s="64">
        <v>0.36</v>
      </c>
      <c r="K16" s="64">
        <v>164.15</v>
      </c>
      <c r="L16" s="64">
        <v>22.72</v>
      </c>
      <c r="M16" s="64">
        <v>98.68</v>
      </c>
      <c r="N16" s="64">
        <v>9.1</v>
      </c>
      <c r="O16" s="64">
        <v>0</v>
      </c>
      <c r="P16" s="64">
        <v>0.31</v>
      </c>
      <c r="Q16" s="64">
        <v>16.559999999999999</v>
      </c>
      <c r="R16" s="198"/>
      <c r="S16" s="198"/>
      <c r="T16" s="198"/>
      <c r="U16" s="198"/>
    </row>
    <row r="17" spans="1:21" s="12" customFormat="1" x14ac:dyDescent="0.25">
      <c r="A17" s="214" t="s">
        <v>1217</v>
      </c>
      <c r="B17" s="64">
        <v>4.16</v>
      </c>
      <c r="C17" s="64">
        <v>8.24</v>
      </c>
      <c r="D17" s="64">
        <v>12.39</v>
      </c>
      <c r="E17" s="64">
        <v>1.23</v>
      </c>
      <c r="F17" s="64">
        <v>3.38</v>
      </c>
      <c r="G17" s="64">
        <v>20.61</v>
      </c>
      <c r="H17" s="64">
        <v>8.06</v>
      </c>
      <c r="I17" s="64">
        <v>0.12</v>
      </c>
      <c r="J17" s="64">
        <v>0.31</v>
      </c>
      <c r="K17" s="64">
        <v>164.34</v>
      </c>
      <c r="L17" s="64">
        <v>22.73</v>
      </c>
      <c r="M17" s="64">
        <v>98.68</v>
      </c>
      <c r="N17" s="64">
        <v>9.1</v>
      </c>
      <c r="O17" s="64">
        <v>0</v>
      </c>
      <c r="P17" s="64">
        <v>0.28000000000000003</v>
      </c>
      <c r="Q17" s="64">
        <v>17.68</v>
      </c>
      <c r="R17" s="198"/>
      <c r="S17" s="198"/>
      <c r="T17" s="198"/>
      <c r="U17" s="198"/>
    </row>
    <row r="18" spans="1:21" s="12" customFormat="1" x14ac:dyDescent="0.25">
      <c r="A18" s="214" t="s">
        <v>1218</v>
      </c>
      <c r="B18" s="64">
        <v>4.12</v>
      </c>
      <c r="C18" s="64">
        <v>8.06</v>
      </c>
      <c r="D18" s="64">
        <v>12.18</v>
      </c>
      <c r="E18" s="64">
        <v>1.34</v>
      </c>
      <c r="F18" s="64">
        <v>3.04</v>
      </c>
      <c r="G18" s="64">
        <v>20.61</v>
      </c>
      <c r="H18" s="64">
        <v>8.06</v>
      </c>
      <c r="I18" s="64">
        <v>0.12</v>
      </c>
      <c r="J18" s="64">
        <v>0.13</v>
      </c>
      <c r="K18" s="64">
        <v>195.2</v>
      </c>
      <c r="L18" s="64">
        <v>22.79</v>
      </c>
      <c r="M18" s="64">
        <v>98.68</v>
      </c>
      <c r="N18" s="64">
        <v>9.1</v>
      </c>
      <c r="O18" s="64">
        <v>0</v>
      </c>
      <c r="P18" s="64">
        <v>0.28999999999999998</v>
      </c>
      <c r="Q18" s="64">
        <v>16.989999999999998</v>
      </c>
      <c r="R18" s="198"/>
      <c r="S18" s="198"/>
      <c r="T18" s="198"/>
      <c r="U18" s="198"/>
    </row>
    <row r="19" spans="1:21" s="12" customFormat="1" x14ac:dyDescent="0.25">
      <c r="A19" s="214" t="s">
        <v>1219</v>
      </c>
      <c r="B19" s="64">
        <v>4.1399999999999997</v>
      </c>
      <c r="C19" s="64">
        <v>7.68</v>
      </c>
      <c r="D19" s="64">
        <v>11.82</v>
      </c>
      <c r="E19" s="64">
        <v>1.58</v>
      </c>
      <c r="F19" s="64">
        <v>2.71</v>
      </c>
      <c r="G19" s="64">
        <v>20.61</v>
      </c>
      <c r="H19" s="64">
        <v>8.06</v>
      </c>
      <c r="I19" s="64">
        <v>0.12</v>
      </c>
      <c r="J19" s="64">
        <v>0.09</v>
      </c>
      <c r="K19" s="64">
        <v>187.31</v>
      </c>
      <c r="L19" s="64">
        <v>22.81</v>
      </c>
      <c r="M19" s="64">
        <v>98.68</v>
      </c>
      <c r="N19" s="64">
        <v>9.1</v>
      </c>
      <c r="O19" s="64">
        <v>0</v>
      </c>
      <c r="P19" s="64">
        <v>0.28999999999999998</v>
      </c>
      <c r="Q19" s="64">
        <v>16.93</v>
      </c>
      <c r="R19" s="198"/>
      <c r="S19" s="198"/>
      <c r="T19" s="198"/>
      <c r="U19" s="198"/>
    </row>
    <row r="20" spans="1:21" s="12" customFormat="1" x14ac:dyDescent="0.25">
      <c r="A20" s="214" t="s">
        <v>1220</v>
      </c>
      <c r="B20" s="64">
        <v>3.94</v>
      </c>
      <c r="C20" s="64">
        <v>7.55</v>
      </c>
      <c r="D20" s="64">
        <v>11.49</v>
      </c>
      <c r="E20" s="64">
        <v>1.24</v>
      </c>
      <c r="F20" s="64">
        <v>4.17</v>
      </c>
      <c r="G20" s="64">
        <v>20.61</v>
      </c>
      <c r="H20" s="64">
        <v>6.54</v>
      </c>
      <c r="I20" s="64">
        <v>0.12</v>
      </c>
      <c r="J20" s="64">
        <v>0.15</v>
      </c>
      <c r="K20" s="64">
        <v>190.61</v>
      </c>
      <c r="L20" s="64">
        <v>22.77</v>
      </c>
      <c r="M20" s="64">
        <v>98.68</v>
      </c>
      <c r="N20" s="64">
        <v>9.1</v>
      </c>
      <c r="O20" s="64">
        <v>0</v>
      </c>
      <c r="P20" s="64">
        <v>0.26</v>
      </c>
      <c r="Q20" s="64">
        <v>15.94</v>
      </c>
      <c r="R20" s="198"/>
      <c r="S20" s="198"/>
      <c r="T20" s="198"/>
      <c r="U20" s="198"/>
    </row>
    <row r="21" spans="1:21" s="12" customFormat="1" x14ac:dyDescent="0.25">
      <c r="A21" s="214" t="s">
        <v>1221</v>
      </c>
      <c r="B21" s="64">
        <v>4.08</v>
      </c>
      <c r="C21" s="64">
        <v>7.32</v>
      </c>
      <c r="D21" s="64">
        <v>11.4</v>
      </c>
      <c r="E21" s="64">
        <v>1.05</v>
      </c>
      <c r="F21" s="64">
        <v>2.37</v>
      </c>
      <c r="G21" s="64">
        <v>20.61</v>
      </c>
      <c r="H21" s="64">
        <v>5.93</v>
      </c>
      <c r="I21" s="64">
        <v>0.12</v>
      </c>
      <c r="J21" s="64">
        <v>0.21</v>
      </c>
      <c r="K21" s="64">
        <v>185.15</v>
      </c>
      <c r="L21" s="64">
        <v>22.73</v>
      </c>
      <c r="M21" s="64">
        <v>98.68</v>
      </c>
      <c r="N21" s="64">
        <v>9.1</v>
      </c>
      <c r="O21" s="64">
        <v>0</v>
      </c>
      <c r="P21" s="64">
        <v>0.28000000000000003</v>
      </c>
      <c r="Q21" s="64">
        <v>15.08</v>
      </c>
      <c r="R21" s="198"/>
      <c r="S21" s="198"/>
      <c r="T21" s="198"/>
      <c r="U21" s="198"/>
    </row>
    <row r="22" spans="1:21" s="12" customFormat="1" x14ac:dyDescent="0.25">
      <c r="A22" s="214" t="s">
        <v>1222</v>
      </c>
      <c r="B22" s="64">
        <v>3.92</v>
      </c>
      <c r="C22" s="64">
        <v>7.82</v>
      </c>
      <c r="D22" s="64">
        <v>11.74</v>
      </c>
      <c r="E22" s="64">
        <v>1.86</v>
      </c>
      <c r="F22" s="64">
        <v>3.15</v>
      </c>
      <c r="G22" s="64">
        <v>20.61</v>
      </c>
      <c r="H22" s="64">
        <v>5.93</v>
      </c>
      <c r="I22" s="64">
        <v>0.12</v>
      </c>
      <c r="J22" s="64">
        <v>0.31</v>
      </c>
      <c r="K22" s="64">
        <v>187.25</v>
      </c>
      <c r="L22" s="64">
        <v>22.7</v>
      </c>
      <c r="M22" s="64">
        <v>98.68</v>
      </c>
      <c r="N22" s="64">
        <v>9.1</v>
      </c>
      <c r="O22" s="64">
        <v>0</v>
      </c>
      <c r="P22" s="64">
        <v>0.25</v>
      </c>
      <c r="Q22" s="64">
        <v>15.81</v>
      </c>
      <c r="R22" s="198"/>
      <c r="S22" s="198"/>
      <c r="T22" s="198"/>
      <c r="U22" s="198"/>
    </row>
    <row r="23" spans="1:21" s="12" customFormat="1" x14ac:dyDescent="0.25">
      <c r="A23" s="214" t="s">
        <v>1223</v>
      </c>
      <c r="B23" s="64">
        <v>4</v>
      </c>
      <c r="C23" s="64">
        <v>7.74</v>
      </c>
      <c r="D23" s="64">
        <v>11.75</v>
      </c>
      <c r="E23" s="64">
        <v>1.64</v>
      </c>
      <c r="F23" s="64">
        <v>2.62</v>
      </c>
      <c r="G23" s="64">
        <v>20.61</v>
      </c>
      <c r="H23" s="64">
        <v>5.93</v>
      </c>
      <c r="I23" s="64">
        <v>0.12</v>
      </c>
      <c r="J23" s="64">
        <v>0.18</v>
      </c>
      <c r="K23" s="64">
        <v>191.24</v>
      </c>
      <c r="L23" s="64">
        <v>22.68</v>
      </c>
      <c r="M23" s="64">
        <v>98.68</v>
      </c>
      <c r="N23" s="64">
        <v>9.1</v>
      </c>
      <c r="O23" s="64">
        <v>0</v>
      </c>
      <c r="P23" s="64">
        <v>0.26</v>
      </c>
      <c r="Q23" s="64">
        <v>14.33</v>
      </c>
      <c r="R23" s="198"/>
      <c r="S23" s="198"/>
      <c r="T23" s="198"/>
      <c r="U23" s="198"/>
    </row>
    <row r="24" spans="1:21" s="12" customFormat="1" x14ac:dyDescent="0.25">
      <c r="A24" s="214" t="s">
        <v>1224</v>
      </c>
      <c r="B24" s="64">
        <v>4.03</v>
      </c>
      <c r="C24" s="64">
        <v>8.2899999999999991</v>
      </c>
      <c r="D24" s="64">
        <v>12.33</v>
      </c>
      <c r="E24" s="64">
        <v>0.28999999999999998</v>
      </c>
      <c r="F24" s="64">
        <v>4.18</v>
      </c>
      <c r="G24" s="64">
        <v>19.11</v>
      </c>
      <c r="H24" s="64">
        <v>5.85</v>
      </c>
      <c r="I24" s="64">
        <v>0.12</v>
      </c>
      <c r="J24" s="64">
        <v>0.19</v>
      </c>
      <c r="K24" s="64">
        <v>187.55</v>
      </c>
      <c r="L24" s="64">
        <v>22.67</v>
      </c>
      <c r="M24" s="64">
        <v>98.68</v>
      </c>
      <c r="N24" s="64">
        <v>9.1</v>
      </c>
      <c r="O24" s="64">
        <v>0</v>
      </c>
      <c r="P24" s="64">
        <v>0.26</v>
      </c>
      <c r="Q24" s="64">
        <v>14.18</v>
      </c>
      <c r="R24" s="198"/>
      <c r="S24" s="198"/>
      <c r="T24" s="198"/>
      <c r="U24" s="198"/>
    </row>
    <row r="25" spans="1:21" s="12" customFormat="1" x14ac:dyDescent="0.25">
      <c r="A25" s="214" t="s">
        <v>1225</v>
      </c>
      <c r="B25" s="64">
        <v>4.18</v>
      </c>
      <c r="C25" s="64">
        <v>8.17</v>
      </c>
      <c r="D25" s="64">
        <v>12.35</v>
      </c>
      <c r="E25" s="64">
        <v>0.67</v>
      </c>
      <c r="F25" s="64">
        <v>2.67</v>
      </c>
      <c r="G25" s="64">
        <v>17.79</v>
      </c>
      <c r="H25" s="64">
        <v>5.81</v>
      </c>
      <c r="I25" s="64">
        <v>0.12</v>
      </c>
      <c r="J25" s="64">
        <v>0.06</v>
      </c>
      <c r="K25" s="64">
        <v>15.47</v>
      </c>
      <c r="L25" s="64">
        <v>22.65</v>
      </c>
      <c r="M25" s="64">
        <v>98.68</v>
      </c>
      <c r="N25" s="64">
        <v>9.1</v>
      </c>
      <c r="O25" s="64">
        <v>0</v>
      </c>
      <c r="P25" s="64">
        <v>0.26</v>
      </c>
      <c r="Q25" s="64">
        <v>13.71</v>
      </c>
      <c r="R25" s="198"/>
      <c r="S25" s="198"/>
      <c r="T25" s="198"/>
      <c r="U25" s="198"/>
    </row>
    <row r="26" spans="1:21" s="12" customFormat="1" x14ac:dyDescent="0.25">
      <c r="A26" s="214" t="s">
        <v>1226</v>
      </c>
      <c r="B26" s="64">
        <v>4.17</v>
      </c>
      <c r="C26" s="64">
        <v>8.48</v>
      </c>
      <c r="D26" s="64">
        <v>12.64</v>
      </c>
      <c r="E26" s="64">
        <v>0.25</v>
      </c>
      <c r="F26" s="64">
        <v>4.63</v>
      </c>
      <c r="G26" s="64">
        <v>17.79</v>
      </c>
      <c r="H26" s="64">
        <v>5.81</v>
      </c>
      <c r="I26" s="64">
        <v>0.12</v>
      </c>
      <c r="J26" s="64">
        <v>0.05</v>
      </c>
      <c r="K26" s="64">
        <v>169.65</v>
      </c>
      <c r="L26" s="64">
        <v>22.63</v>
      </c>
      <c r="M26" s="64">
        <v>98.68</v>
      </c>
      <c r="N26" s="64">
        <v>8.8000000000000007</v>
      </c>
      <c r="O26" s="64">
        <v>0</v>
      </c>
      <c r="P26" s="64">
        <v>0.25</v>
      </c>
      <c r="Q26" s="64">
        <v>13.57</v>
      </c>
      <c r="R26" s="198"/>
      <c r="S26" s="198"/>
      <c r="T26" s="198"/>
      <c r="U26" s="198"/>
    </row>
    <row r="27" spans="1:21" s="12" customFormat="1" x14ac:dyDescent="0.25">
      <c r="A27" s="214" t="s">
        <v>1227</v>
      </c>
      <c r="B27" s="64">
        <v>4.43</v>
      </c>
      <c r="C27" s="64">
        <v>8.85</v>
      </c>
      <c r="D27" s="64">
        <v>13.28</v>
      </c>
      <c r="E27" s="64">
        <v>0.28999999999999998</v>
      </c>
      <c r="F27" s="64">
        <v>3.08</v>
      </c>
      <c r="G27" s="64">
        <v>17.79</v>
      </c>
      <c r="H27" s="64">
        <v>5.81</v>
      </c>
      <c r="I27" s="64">
        <v>0.12</v>
      </c>
      <c r="J27" s="64">
        <v>0.04</v>
      </c>
      <c r="K27" s="64">
        <v>188.95</v>
      </c>
      <c r="L27" s="64">
        <v>22.62</v>
      </c>
      <c r="M27" s="64">
        <v>98.68</v>
      </c>
      <c r="N27" s="64">
        <v>9</v>
      </c>
      <c r="O27" s="64">
        <v>0</v>
      </c>
      <c r="P27" s="64">
        <v>0.25</v>
      </c>
      <c r="Q27" s="64">
        <v>13.95</v>
      </c>
      <c r="R27" s="198"/>
      <c r="S27" s="198"/>
      <c r="T27" s="198"/>
      <c r="U27" s="198"/>
    </row>
    <row r="28" spans="1:21" s="12" customFormat="1" x14ac:dyDescent="0.25">
      <c r="A28" s="214" t="s">
        <v>1228</v>
      </c>
      <c r="B28" s="64">
        <v>4.8</v>
      </c>
      <c r="C28" s="64">
        <v>8.6</v>
      </c>
      <c r="D28" s="64">
        <v>13.4</v>
      </c>
      <c r="E28" s="64">
        <v>0.59</v>
      </c>
      <c r="F28" s="64">
        <v>1.53</v>
      </c>
      <c r="G28" s="64">
        <v>19.61</v>
      </c>
      <c r="H28" s="64">
        <v>8.52</v>
      </c>
      <c r="I28" s="64">
        <v>0.12</v>
      </c>
      <c r="J28" s="64">
        <v>0</v>
      </c>
      <c r="K28" s="64">
        <v>54.63</v>
      </c>
      <c r="L28" s="64">
        <v>22.62</v>
      </c>
      <c r="M28" s="64">
        <v>98.68</v>
      </c>
      <c r="N28" s="64">
        <v>8.9</v>
      </c>
      <c r="O28" s="64">
        <v>0</v>
      </c>
      <c r="P28" s="64">
        <v>0.27</v>
      </c>
      <c r="Q28" s="64">
        <v>14.38</v>
      </c>
      <c r="R28" s="198"/>
      <c r="S28" s="198"/>
      <c r="T28" s="198"/>
      <c r="U28" s="198"/>
    </row>
    <row r="29" spans="1:21" s="12" customFormat="1" x14ac:dyDescent="0.25">
      <c r="A29" s="214" t="s">
        <v>1229</v>
      </c>
      <c r="B29" s="64">
        <v>4.8</v>
      </c>
      <c r="C29" s="64">
        <v>8.4600000000000009</v>
      </c>
      <c r="D29" s="64">
        <v>13.26</v>
      </c>
      <c r="E29" s="64">
        <v>1</v>
      </c>
      <c r="F29" s="64">
        <v>1.71</v>
      </c>
      <c r="G29" s="64">
        <v>21.21</v>
      </c>
      <c r="H29" s="64">
        <v>9.6199999999999992</v>
      </c>
      <c r="I29" s="64">
        <v>0.12</v>
      </c>
      <c r="J29" s="64">
        <v>0.03</v>
      </c>
      <c r="K29" s="64">
        <v>52.92</v>
      </c>
      <c r="L29" s="64">
        <v>22.6</v>
      </c>
      <c r="M29" s="64">
        <v>98.68</v>
      </c>
      <c r="N29" s="64">
        <v>8.8000000000000007</v>
      </c>
      <c r="O29" s="64">
        <v>0</v>
      </c>
      <c r="P29" s="64">
        <v>0.25</v>
      </c>
      <c r="Q29" s="64">
        <v>13.54</v>
      </c>
      <c r="R29" s="198"/>
      <c r="S29" s="198"/>
      <c r="T29" s="198"/>
      <c r="U29" s="198"/>
    </row>
    <row r="30" spans="1:21" s="12" customFormat="1" x14ac:dyDescent="0.25">
      <c r="A30" s="214" t="s">
        <v>1230</v>
      </c>
      <c r="B30" s="64">
        <v>4.83</v>
      </c>
      <c r="C30" s="64">
        <v>7.94</v>
      </c>
      <c r="D30" s="64">
        <v>12.77</v>
      </c>
      <c r="E30" s="64">
        <v>0.84</v>
      </c>
      <c r="F30" s="64">
        <v>1.68</v>
      </c>
      <c r="G30" s="64">
        <v>21.21</v>
      </c>
      <c r="H30" s="64">
        <v>9.6199999999999992</v>
      </c>
      <c r="I30" s="64">
        <v>0.12</v>
      </c>
      <c r="J30" s="64">
        <v>0.19</v>
      </c>
      <c r="K30" s="64">
        <v>193.3</v>
      </c>
      <c r="L30" s="64">
        <v>22.59</v>
      </c>
      <c r="M30" s="64">
        <v>98.68</v>
      </c>
      <c r="N30" s="64">
        <v>8.8000000000000007</v>
      </c>
      <c r="O30" s="64">
        <v>0</v>
      </c>
      <c r="P30" s="64">
        <v>0.26</v>
      </c>
      <c r="Q30" s="64">
        <v>14.34</v>
      </c>
      <c r="R30" s="198"/>
      <c r="S30" s="198"/>
      <c r="T30" s="198"/>
      <c r="U30" s="198"/>
    </row>
    <row r="31" spans="1:21" s="12" customFormat="1" x14ac:dyDescent="0.25">
      <c r="A31" s="214" t="s">
        <v>1231</v>
      </c>
      <c r="B31" s="64">
        <v>4.99</v>
      </c>
      <c r="C31" s="64">
        <v>8.4700000000000006</v>
      </c>
      <c r="D31" s="64">
        <v>13.46</v>
      </c>
      <c r="E31" s="64">
        <v>0.51</v>
      </c>
      <c r="F31" s="64">
        <v>1.31</v>
      </c>
      <c r="G31" s="64">
        <v>21.21</v>
      </c>
      <c r="H31" s="64">
        <v>9.6199999999999992</v>
      </c>
      <c r="I31" s="64">
        <v>0.12</v>
      </c>
      <c r="J31" s="64">
        <v>0.11</v>
      </c>
      <c r="K31" s="64">
        <v>20.309999999999999</v>
      </c>
      <c r="L31" s="64">
        <v>22.61</v>
      </c>
      <c r="M31" s="64">
        <v>98.68</v>
      </c>
      <c r="N31" s="64">
        <v>10.5</v>
      </c>
      <c r="O31" s="64">
        <v>0</v>
      </c>
      <c r="P31" s="64">
        <v>0.26</v>
      </c>
      <c r="Q31" s="64">
        <v>17.71</v>
      </c>
      <c r="R31" s="198"/>
      <c r="S31" s="198"/>
      <c r="T31" s="198"/>
      <c r="U31" s="198"/>
    </row>
    <row r="32" spans="1:21" s="12" customFormat="1" x14ac:dyDescent="0.25">
      <c r="A32" s="214" t="s">
        <v>1232</v>
      </c>
      <c r="B32" s="64">
        <v>5.16</v>
      </c>
      <c r="C32" s="64">
        <v>9.44</v>
      </c>
      <c r="D32" s="64">
        <v>14.6</v>
      </c>
      <c r="E32" s="64">
        <v>0.48</v>
      </c>
      <c r="F32" s="64">
        <v>1.31</v>
      </c>
      <c r="G32" s="64">
        <v>20.66</v>
      </c>
      <c r="H32" s="64">
        <v>9.7899999999999991</v>
      </c>
      <c r="I32" s="64">
        <v>0.12</v>
      </c>
      <c r="J32" s="64">
        <v>0.1</v>
      </c>
      <c r="K32" s="64">
        <v>27.96</v>
      </c>
      <c r="L32" s="64">
        <v>22.72</v>
      </c>
      <c r="M32" s="64">
        <v>98.68</v>
      </c>
      <c r="N32" s="64">
        <v>20.8</v>
      </c>
      <c r="O32" s="64">
        <v>0</v>
      </c>
      <c r="P32" s="64">
        <v>0.25</v>
      </c>
      <c r="Q32" s="64">
        <v>16.88</v>
      </c>
      <c r="R32" s="198"/>
      <c r="S32" s="198"/>
      <c r="T32" s="198"/>
      <c r="U32" s="198"/>
    </row>
    <row r="33" spans="1:21" s="12" customFormat="1" x14ac:dyDescent="0.25">
      <c r="A33" s="214" t="s">
        <v>1233</v>
      </c>
      <c r="B33" s="64">
        <v>5.27</v>
      </c>
      <c r="C33" s="64">
        <v>8.48</v>
      </c>
      <c r="D33" s="64">
        <v>13.75</v>
      </c>
      <c r="E33" s="64">
        <v>0.68</v>
      </c>
      <c r="F33" s="64">
        <v>0.65</v>
      </c>
      <c r="G33" s="64">
        <v>20.18</v>
      </c>
      <c r="H33" s="64">
        <v>9.93</v>
      </c>
      <c r="I33" s="64">
        <v>0.12</v>
      </c>
      <c r="J33" s="64">
        <v>0.18</v>
      </c>
      <c r="K33" s="64">
        <v>20.91</v>
      </c>
      <c r="L33" s="64">
        <v>22.87</v>
      </c>
      <c r="M33" s="64">
        <v>98.68</v>
      </c>
      <c r="N33" s="64">
        <v>32</v>
      </c>
      <c r="O33" s="64">
        <v>0</v>
      </c>
      <c r="P33" s="64">
        <v>0.27</v>
      </c>
      <c r="Q33" s="64">
        <v>17.239999999999998</v>
      </c>
      <c r="R33" s="198"/>
      <c r="S33" s="198"/>
      <c r="T33" s="198"/>
      <c r="U33" s="198"/>
    </row>
    <row r="34" spans="1:21" s="12" customFormat="1" x14ac:dyDescent="0.25">
      <c r="A34" s="214" t="s">
        <v>1234</v>
      </c>
      <c r="B34" s="64">
        <v>6.75</v>
      </c>
      <c r="C34" s="64">
        <v>8.3699999999999992</v>
      </c>
      <c r="D34" s="64">
        <v>15.12</v>
      </c>
      <c r="E34" s="64">
        <v>0.06</v>
      </c>
      <c r="F34" s="64">
        <v>0.72</v>
      </c>
      <c r="G34" s="64">
        <v>20.18</v>
      </c>
      <c r="H34" s="64">
        <v>9.93</v>
      </c>
      <c r="I34" s="64">
        <v>0.12</v>
      </c>
      <c r="J34" s="64">
        <v>0.09</v>
      </c>
      <c r="K34" s="64">
        <v>24.7</v>
      </c>
      <c r="L34" s="64">
        <v>23.03</v>
      </c>
      <c r="M34" s="64">
        <v>98.68</v>
      </c>
      <c r="N34" s="64">
        <v>45.6</v>
      </c>
      <c r="O34" s="64">
        <v>0</v>
      </c>
      <c r="P34" s="64">
        <v>0.27</v>
      </c>
      <c r="Q34" s="64">
        <v>17.760000000000002</v>
      </c>
      <c r="R34" s="198"/>
      <c r="S34" s="198"/>
      <c r="T34" s="198"/>
      <c r="U34" s="198"/>
    </row>
    <row r="35" spans="1:21" s="12" customFormat="1" x14ac:dyDescent="0.25">
      <c r="A35" s="214" t="s">
        <v>1235</v>
      </c>
      <c r="B35" s="64">
        <v>8.8699999999999992</v>
      </c>
      <c r="C35" s="64">
        <v>11.04</v>
      </c>
      <c r="D35" s="64">
        <v>19.91</v>
      </c>
      <c r="E35" s="64">
        <v>0.8</v>
      </c>
      <c r="F35" s="64">
        <v>1.37</v>
      </c>
      <c r="G35" s="64">
        <v>20.18</v>
      </c>
      <c r="H35" s="64">
        <v>9.93</v>
      </c>
      <c r="I35" s="64">
        <v>0.12</v>
      </c>
      <c r="J35" s="64">
        <v>0.09</v>
      </c>
      <c r="K35" s="64">
        <v>14</v>
      </c>
      <c r="L35" s="64">
        <v>23.18</v>
      </c>
      <c r="M35" s="64">
        <v>98.66</v>
      </c>
      <c r="N35" s="64">
        <v>69.8</v>
      </c>
      <c r="O35" s="64">
        <v>0</v>
      </c>
      <c r="P35" s="64">
        <v>0.31</v>
      </c>
      <c r="Q35" s="64">
        <v>16.48</v>
      </c>
      <c r="R35" s="198"/>
      <c r="S35" s="198"/>
      <c r="T35" s="198"/>
      <c r="U35" s="198"/>
    </row>
    <row r="36" spans="1:21" s="12" customFormat="1" x14ac:dyDescent="0.25">
      <c r="A36" s="214" t="s">
        <v>1236</v>
      </c>
      <c r="B36" s="64">
        <v>10.78</v>
      </c>
      <c r="C36" s="64">
        <v>12.59</v>
      </c>
      <c r="D36" s="64">
        <v>23.37</v>
      </c>
      <c r="E36" s="64">
        <v>0.73</v>
      </c>
      <c r="F36" s="64">
        <v>0.48</v>
      </c>
      <c r="G36" s="64">
        <v>23.4</v>
      </c>
      <c r="H36" s="64">
        <v>7.94</v>
      </c>
      <c r="I36" s="64">
        <v>0.12</v>
      </c>
      <c r="J36" s="64">
        <v>0.12</v>
      </c>
      <c r="K36" s="64">
        <v>8.9</v>
      </c>
      <c r="L36" s="64">
        <v>23.45</v>
      </c>
      <c r="M36" s="64">
        <v>98.65</v>
      </c>
      <c r="N36" s="64">
        <v>103.1</v>
      </c>
      <c r="O36" s="64">
        <v>0</v>
      </c>
      <c r="P36" s="64">
        <v>0.33</v>
      </c>
      <c r="Q36" s="64">
        <v>16.329999999999998</v>
      </c>
      <c r="R36" s="198"/>
      <c r="S36" s="198"/>
      <c r="T36" s="198"/>
      <c r="U36" s="198"/>
    </row>
    <row r="37" spans="1:21" s="12" customFormat="1" x14ac:dyDescent="0.25">
      <c r="A37" s="214" t="s">
        <v>1237</v>
      </c>
      <c r="B37" s="64">
        <v>8.32</v>
      </c>
      <c r="C37" s="64">
        <v>10.7</v>
      </c>
      <c r="D37" s="64">
        <v>19.010000000000002</v>
      </c>
      <c r="E37" s="64">
        <v>0.69</v>
      </c>
      <c r="F37" s="64">
        <v>0.85</v>
      </c>
      <c r="G37" s="64">
        <v>26.21</v>
      </c>
      <c r="H37" s="64">
        <v>7.14</v>
      </c>
      <c r="I37" s="64">
        <v>0.12</v>
      </c>
      <c r="J37" s="64">
        <v>0.23</v>
      </c>
      <c r="K37" s="64">
        <v>26.12</v>
      </c>
      <c r="L37" s="64">
        <v>23.79</v>
      </c>
      <c r="M37" s="64">
        <v>98.63</v>
      </c>
      <c r="N37" s="64">
        <v>92.7</v>
      </c>
      <c r="O37" s="64">
        <v>0</v>
      </c>
      <c r="P37" s="64">
        <v>0.28999999999999998</v>
      </c>
      <c r="Q37" s="64">
        <v>15.59</v>
      </c>
      <c r="R37" s="198"/>
      <c r="S37" s="198"/>
      <c r="T37" s="198"/>
      <c r="U37" s="198"/>
    </row>
    <row r="38" spans="1:21" s="12" customFormat="1" x14ac:dyDescent="0.25">
      <c r="A38" s="214" t="s">
        <v>1238</v>
      </c>
      <c r="B38" s="64">
        <v>8.61</v>
      </c>
      <c r="C38" s="64">
        <v>12.05</v>
      </c>
      <c r="D38" s="64">
        <v>20.66</v>
      </c>
      <c r="E38" s="64">
        <v>0.55000000000000004</v>
      </c>
      <c r="F38" s="64">
        <v>1.01</v>
      </c>
      <c r="G38" s="64">
        <v>26.21</v>
      </c>
      <c r="H38" s="64">
        <v>7.14</v>
      </c>
      <c r="I38" s="64">
        <v>0.13</v>
      </c>
      <c r="J38" s="64">
        <v>0.2</v>
      </c>
      <c r="K38" s="64">
        <v>11.9</v>
      </c>
      <c r="L38" s="64">
        <v>24.15</v>
      </c>
      <c r="M38" s="64">
        <v>97.72</v>
      </c>
      <c r="N38" s="64">
        <v>143.5</v>
      </c>
      <c r="O38" s="64">
        <v>0</v>
      </c>
      <c r="P38" s="64">
        <v>0.37</v>
      </c>
      <c r="Q38" s="64">
        <v>15.39</v>
      </c>
      <c r="R38" s="198"/>
      <c r="S38" s="198"/>
      <c r="T38" s="198"/>
      <c r="U38" s="198"/>
    </row>
    <row r="39" spans="1:21" s="12" customFormat="1" x14ac:dyDescent="0.25">
      <c r="A39" s="214" t="s">
        <v>1239</v>
      </c>
      <c r="B39" s="64">
        <v>9.01</v>
      </c>
      <c r="C39" s="64">
        <v>11.48</v>
      </c>
      <c r="D39" s="64">
        <v>20.49</v>
      </c>
      <c r="E39" s="64">
        <v>0.63</v>
      </c>
      <c r="F39" s="64">
        <v>1.07</v>
      </c>
      <c r="G39" s="64">
        <v>26.21</v>
      </c>
      <c r="H39" s="64">
        <v>7.14</v>
      </c>
      <c r="I39" s="64">
        <v>0.12</v>
      </c>
      <c r="J39" s="64">
        <v>0.3</v>
      </c>
      <c r="K39" s="64">
        <v>17.45</v>
      </c>
      <c r="L39" s="64">
        <v>23.85</v>
      </c>
      <c r="M39" s="64">
        <v>98.52</v>
      </c>
      <c r="N39" s="64">
        <v>85.3</v>
      </c>
      <c r="O39" s="64">
        <v>0</v>
      </c>
      <c r="P39" s="64">
        <v>0.37</v>
      </c>
      <c r="Q39" s="64">
        <v>15.1</v>
      </c>
      <c r="R39" s="198"/>
      <c r="S39" s="198"/>
      <c r="T39" s="198"/>
      <c r="U39" s="198"/>
    </row>
    <row r="40" spans="1:21" s="12" customFormat="1" x14ac:dyDescent="0.25">
      <c r="A40" s="214" t="s">
        <v>1240</v>
      </c>
      <c r="B40" s="64">
        <v>8.99</v>
      </c>
      <c r="C40" s="64">
        <v>11.56</v>
      </c>
      <c r="D40" s="64">
        <v>20.55</v>
      </c>
      <c r="E40" s="64">
        <v>0.49</v>
      </c>
      <c r="F40" s="64">
        <v>0.13</v>
      </c>
      <c r="G40" s="64">
        <v>28</v>
      </c>
      <c r="H40" s="64">
        <v>9.1</v>
      </c>
      <c r="I40" s="64">
        <v>0.12</v>
      </c>
      <c r="J40" s="64">
        <v>0.27</v>
      </c>
      <c r="K40" s="64">
        <v>27.22</v>
      </c>
      <c r="L40" s="64">
        <v>23.98</v>
      </c>
      <c r="M40" s="64">
        <v>98.22</v>
      </c>
      <c r="N40" s="64">
        <v>114.6</v>
      </c>
      <c r="O40" s="64">
        <v>0</v>
      </c>
      <c r="P40" s="64">
        <v>0.39</v>
      </c>
      <c r="Q40" s="64">
        <v>14.48</v>
      </c>
      <c r="R40" s="198"/>
      <c r="S40" s="198"/>
      <c r="T40" s="198"/>
      <c r="U40" s="198"/>
    </row>
    <row r="41" spans="1:21" s="12" customFormat="1" x14ac:dyDescent="0.25">
      <c r="A41" s="214" t="s">
        <v>1241</v>
      </c>
      <c r="B41" s="64">
        <v>9.6300000000000008</v>
      </c>
      <c r="C41" s="64">
        <v>12.92</v>
      </c>
      <c r="D41" s="64">
        <v>22.56</v>
      </c>
      <c r="E41" s="64">
        <v>1.05</v>
      </c>
      <c r="F41" s="64">
        <v>0.89</v>
      </c>
      <c r="G41" s="64">
        <v>29.57</v>
      </c>
      <c r="H41" s="64">
        <v>9.89</v>
      </c>
      <c r="I41" s="64">
        <v>0.12</v>
      </c>
      <c r="J41" s="64">
        <v>0.25</v>
      </c>
      <c r="K41" s="64">
        <v>20.76</v>
      </c>
      <c r="L41" s="64">
        <v>24.19</v>
      </c>
      <c r="M41" s="64">
        <v>97.39</v>
      </c>
      <c r="N41" s="64">
        <v>134.1</v>
      </c>
      <c r="O41" s="64">
        <v>0</v>
      </c>
      <c r="P41" s="64">
        <v>0.41</v>
      </c>
      <c r="Q41" s="64">
        <v>12.63</v>
      </c>
      <c r="R41" s="198"/>
      <c r="S41" s="198"/>
      <c r="T41" s="198"/>
      <c r="U41" s="198"/>
    </row>
    <row r="42" spans="1:21" s="12" customFormat="1" x14ac:dyDescent="0.25">
      <c r="A42" s="214" t="s">
        <v>1242</v>
      </c>
      <c r="B42" s="64">
        <v>9.65</v>
      </c>
      <c r="C42" s="64">
        <v>11.65</v>
      </c>
      <c r="D42" s="64">
        <v>21.3</v>
      </c>
      <c r="E42" s="64">
        <v>1.43</v>
      </c>
      <c r="F42" s="64">
        <v>1.1499999999999999</v>
      </c>
      <c r="G42" s="64">
        <v>29.57</v>
      </c>
      <c r="H42" s="64">
        <v>9.89</v>
      </c>
      <c r="I42" s="64">
        <v>0.11</v>
      </c>
      <c r="J42" s="64">
        <v>0.24</v>
      </c>
      <c r="K42" s="64">
        <v>22.08</v>
      </c>
      <c r="L42" s="64">
        <v>24.3</v>
      </c>
      <c r="M42" s="64">
        <v>96.69</v>
      </c>
      <c r="N42" s="64">
        <v>118.7</v>
      </c>
      <c r="O42" s="64">
        <v>0</v>
      </c>
      <c r="P42" s="64">
        <v>0.43</v>
      </c>
      <c r="Q42" s="64">
        <v>10.94</v>
      </c>
      <c r="R42" s="198"/>
      <c r="S42" s="198"/>
      <c r="T42" s="198"/>
      <c r="U42" s="198"/>
    </row>
    <row r="43" spans="1:21" s="12" customFormat="1" x14ac:dyDescent="0.25">
      <c r="A43" s="214" t="s">
        <v>1243</v>
      </c>
      <c r="B43" s="64">
        <v>10.1</v>
      </c>
      <c r="C43" s="64">
        <v>12.3</v>
      </c>
      <c r="D43" s="64">
        <v>22.4</v>
      </c>
      <c r="E43" s="64">
        <v>1.58</v>
      </c>
      <c r="F43" s="64">
        <v>0.4</v>
      </c>
      <c r="G43" s="64">
        <v>29.57</v>
      </c>
      <c r="H43" s="64">
        <v>9.89</v>
      </c>
      <c r="I43" s="64">
        <v>0.12</v>
      </c>
      <c r="J43" s="64">
        <v>0.23</v>
      </c>
      <c r="K43" s="64">
        <v>20.59</v>
      </c>
      <c r="L43" s="64">
        <v>24.21</v>
      </c>
      <c r="M43" s="64">
        <v>97.41</v>
      </c>
      <c r="N43" s="64">
        <v>109.9</v>
      </c>
      <c r="O43" s="64">
        <v>0</v>
      </c>
      <c r="P43" s="64">
        <v>0.45</v>
      </c>
      <c r="Q43" s="64">
        <v>13.31</v>
      </c>
      <c r="R43" s="198"/>
      <c r="S43" s="198"/>
      <c r="T43" s="198"/>
      <c r="U43" s="198"/>
    </row>
    <row r="44" spans="1:21" s="12" customFormat="1" x14ac:dyDescent="0.25">
      <c r="A44" s="214" t="s">
        <v>1244</v>
      </c>
      <c r="B44" s="64">
        <v>10.5</v>
      </c>
      <c r="C44" s="64">
        <v>12.4</v>
      </c>
      <c r="D44" s="64">
        <v>22.9</v>
      </c>
      <c r="E44" s="64">
        <v>0.9</v>
      </c>
      <c r="F44" s="64">
        <v>0.72</v>
      </c>
      <c r="G44" s="64">
        <v>32.369999999999997</v>
      </c>
      <c r="H44" s="64">
        <v>10.32</v>
      </c>
      <c r="I44" s="64">
        <v>0.12</v>
      </c>
      <c r="J44" s="64">
        <v>0.22</v>
      </c>
      <c r="K44" s="64">
        <v>25.01</v>
      </c>
      <c r="L44" s="64">
        <v>24.4</v>
      </c>
      <c r="M44" s="64">
        <v>96.75</v>
      </c>
      <c r="N44" s="64">
        <v>181.7</v>
      </c>
      <c r="O44" s="64">
        <v>0</v>
      </c>
      <c r="P44" s="64">
        <v>0.46</v>
      </c>
      <c r="Q44" s="64">
        <v>14.33</v>
      </c>
      <c r="R44" s="198"/>
      <c r="S44" s="198"/>
      <c r="T44" s="198"/>
      <c r="U44" s="198"/>
    </row>
    <row r="45" spans="1:21" s="12" customFormat="1" x14ac:dyDescent="0.25">
      <c r="A45" s="214" t="s">
        <v>1245</v>
      </c>
      <c r="B45" s="64">
        <v>10.37</v>
      </c>
      <c r="C45" s="64">
        <v>12.42</v>
      </c>
      <c r="D45" s="64">
        <v>22.8</v>
      </c>
      <c r="E45" s="64">
        <v>0.88</v>
      </c>
      <c r="F45" s="64">
        <v>0.73</v>
      </c>
      <c r="G45" s="64">
        <v>34.82</v>
      </c>
      <c r="H45" s="64">
        <v>10.5</v>
      </c>
      <c r="I45" s="64">
        <v>0.12</v>
      </c>
      <c r="J45" s="64">
        <v>0.24</v>
      </c>
      <c r="K45" s="64">
        <v>27.56</v>
      </c>
      <c r="L45" s="64">
        <v>24.23</v>
      </c>
      <c r="M45" s="64">
        <v>97.65</v>
      </c>
      <c r="N45" s="64">
        <v>89.4</v>
      </c>
      <c r="O45" s="64">
        <v>0.2</v>
      </c>
      <c r="P45" s="64">
        <v>0.48</v>
      </c>
      <c r="Q45" s="64">
        <v>16.28</v>
      </c>
      <c r="R45" s="198"/>
      <c r="S45" s="198"/>
      <c r="T45" s="198"/>
      <c r="U45" s="198"/>
    </row>
    <row r="46" spans="1:21" s="12" customFormat="1" x14ac:dyDescent="0.25">
      <c r="A46" s="214" t="s">
        <v>1246</v>
      </c>
      <c r="B46" s="64">
        <v>9.7100000000000009</v>
      </c>
      <c r="C46" s="64">
        <v>12.54</v>
      </c>
      <c r="D46" s="64">
        <v>22.25</v>
      </c>
      <c r="E46" s="64">
        <v>1.3</v>
      </c>
      <c r="F46" s="64">
        <v>1.08</v>
      </c>
      <c r="G46" s="64">
        <v>34.82</v>
      </c>
      <c r="H46" s="64">
        <v>10.5</v>
      </c>
      <c r="I46" s="64">
        <v>0.11</v>
      </c>
      <c r="J46" s="64">
        <v>0.15</v>
      </c>
      <c r="K46" s="64">
        <v>16.690000000000001</v>
      </c>
      <c r="L46" s="64">
        <v>23.71</v>
      </c>
      <c r="M46" s="64">
        <v>98.65</v>
      </c>
      <c r="N46" s="64">
        <v>139.1</v>
      </c>
      <c r="O46" s="64">
        <v>0</v>
      </c>
      <c r="P46" s="64">
        <v>0.47</v>
      </c>
      <c r="Q46" s="64">
        <v>18.13</v>
      </c>
      <c r="R46" s="198"/>
      <c r="S46" s="198"/>
      <c r="T46" s="198"/>
      <c r="U46" s="198"/>
    </row>
    <row r="47" spans="1:21" s="12" customFormat="1" x14ac:dyDescent="0.25">
      <c r="A47" s="214" t="s">
        <v>1247</v>
      </c>
      <c r="B47" s="64">
        <v>10.74</v>
      </c>
      <c r="C47" s="64">
        <v>14.45</v>
      </c>
      <c r="D47" s="64">
        <v>25.19</v>
      </c>
      <c r="E47" s="64">
        <v>0.93</v>
      </c>
      <c r="F47" s="64">
        <v>2.17</v>
      </c>
      <c r="G47" s="64">
        <v>34.82</v>
      </c>
      <c r="H47" s="64">
        <v>10.5</v>
      </c>
      <c r="I47" s="64">
        <v>0.11</v>
      </c>
      <c r="J47" s="64">
        <v>0.14000000000000001</v>
      </c>
      <c r="K47" s="64">
        <v>15.37</v>
      </c>
      <c r="L47" s="64">
        <v>24.17</v>
      </c>
      <c r="M47" s="64">
        <v>98.63</v>
      </c>
      <c r="N47" s="64">
        <v>256.89999999999998</v>
      </c>
      <c r="O47" s="64">
        <v>0</v>
      </c>
      <c r="P47" s="64">
        <v>0.51</v>
      </c>
      <c r="Q47" s="64">
        <v>15.41</v>
      </c>
      <c r="R47" s="198"/>
      <c r="S47" s="198"/>
      <c r="T47" s="198"/>
      <c r="U47" s="198"/>
    </row>
    <row r="48" spans="1:21" s="12" customFormat="1" x14ac:dyDescent="0.25">
      <c r="A48" s="214" t="s">
        <v>1248</v>
      </c>
      <c r="B48" s="64">
        <v>12.49</v>
      </c>
      <c r="C48" s="64">
        <v>17.7</v>
      </c>
      <c r="D48" s="64">
        <v>30.19</v>
      </c>
      <c r="E48" s="64">
        <v>1.0900000000000001</v>
      </c>
      <c r="F48" s="64">
        <v>2.63</v>
      </c>
      <c r="G48" s="64">
        <v>35.479999999999997</v>
      </c>
      <c r="H48" s="64">
        <v>11.19</v>
      </c>
      <c r="I48" s="64">
        <v>0.12</v>
      </c>
      <c r="J48" s="64">
        <v>0.23</v>
      </c>
      <c r="K48" s="64">
        <v>348.43</v>
      </c>
      <c r="L48" s="64">
        <v>25.54</v>
      </c>
      <c r="M48" s="64">
        <v>95.25</v>
      </c>
      <c r="N48" s="64">
        <v>220.1</v>
      </c>
      <c r="O48" s="64">
        <v>0</v>
      </c>
      <c r="P48" s="64">
        <v>0.59</v>
      </c>
      <c r="Q48" s="64">
        <v>14.6</v>
      </c>
      <c r="R48" s="198"/>
      <c r="S48" s="198"/>
      <c r="T48" s="198"/>
      <c r="U48" s="198"/>
    </row>
    <row r="49" spans="1:21" s="12" customFormat="1" x14ac:dyDescent="0.25">
      <c r="A49" s="214" t="s">
        <v>1249</v>
      </c>
      <c r="B49" s="64">
        <v>10.56</v>
      </c>
      <c r="C49" s="64">
        <v>13.46</v>
      </c>
      <c r="D49" s="64">
        <v>24.02</v>
      </c>
      <c r="E49" s="64">
        <v>0.74</v>
      </c>
      <c r="F49" s="64">
        <v>1.23</v>
      </c>
      <c r="G49" s="64">
        <v>36.049999999999997</v>
      </c>
      <c r="H49" s="64">
        <v>11.47</v>
      </c>
      <c r="I49" s="64">
        <v>0.12</v>
      </c>
      <c r="J49" s="64">
        <v>0.22</v>
      </c>
      <c r="K49" s="64">
        <v>345.58</v>
      </c>
      <c r="L49" s="64">
        <v>25.58</v>
      </c>
      <c r="M49" s="64">
        <v>93</v>
      </c>
      <c r="N49" s="64">
        <v>137.9</v>
      </c>
      <c r="O49" s="64">
        <v>0</v>
      </c>
      <c r="P49" s="64">
        <v>0.56000000000000005</v>
      </c>
      <c r="Q49" s="64">
        <v>13.16</v>
      </c>
      <c r="R49" s="198"/>
      <c r="S49" s="198"/>
      <c r="T49" s="198"/>
      <c r="U49" s="198"/>
    </row>
    <row r="50" spans="1:21" s="12" customFormat="1" x14ac:dyDescent="0.25">
      <c r="A50" s="214" t="s">
        <v>1250</v>
      </c>
      <c r="B50" s="64">
        <v>12.29</v>
      </c>
      <c r="C50" s="64">
        <v>15.88</v>
      </c>
      <c r="D50" s="64">
        <v>28.16</v>
      </c>
      <c r="E50" s="64">
        <v>1.32</v>
      </c>
      <c r="F50" s="64">
        <v>1.44</v>
      </c>
      <c r="G50" s="64">
        <v>36.049999999999997</v>
      </c>
      <c r="H50" s="64">
        <v>11.47</v>
      </c>
      <c r="I50" s="64">
        <v>0.11</v>
      </c>
      <c r="J50" s="64">
        <v>0.27</v>
      </c>
      <c r="K50" s="64">
        <v>9.26</v>
      </c>
      <c r="L50" s="64">
        <v>25.8</v>
      </c>
      <c r="M50" s="64">
        <v>91.15</v>
      </c>
      <c r="N50" s="64">
        <v>262.10000000000002</v>
      </c>
      <c r="O50" s="64">
        <v>0</v>
      </c>
      <c r="P50" s="64">
        <v>0.6</v>
      </c>
      <c r="Q50" s="64">
        <v>12.47</v>
      </c>
      <c r="R50" s="198"/>
      <c r="S50" s="198"/>
      <c r="T50" s="198"/>
      <c r="U50" s="198"/>
    </row>
    <row r="51" spans="1:21" s="12" customFormat="1" x14ac:dyDescent="0.25">
      <c r="A51" s="214" t="s">
        <v>1251</v>
      </c>
      <c r="B51" s="64">
        <v>10.52</v>
      </c>
      <c r="C51" s="64">
        <v>17.11</v>
      </c>
      <c r="D51" s="64">
        <v>27.64</v>
      </c>
      <c r="E51" s="64">
        <v>1.22</v>
      </c>
      <c r="F51" s="64">
        <v>2.74</v>
      </c>
      <c r="G51" s="64">
        <v>36.049999999999997</v>
      </c>
      <c r="H51" s="64">
        <v>11.47</v>
      </c>
      <c r="I51" s="64">
        <v>0.11</v>
      </c>
      <c r="J51" s="64">
        <v>0.4</v>
      </c>
      <c r="K51" s="64">
        <v>334.71</v>
      </c>
      <c r="L51" s="64">
        <v>26.45</v>
      </c>
      <c r="M51" s="64">
        <v>86.32</v>
      </c>
      <c r="N51" s="64">
        <v>280.5</v>
      </c>
      <c r="O51" s="64">
        <v>0</v>
      </c>
      <c r="P51" s="64">
        <v>0.64</v>
      </c>
      <c r="Q51" s="64">
        <v>12.27</v>
      </c>
      <c r="R51" s="198"/>
      <c r="S51" s="198"/>
      <c r="T51" s="198"/>
      <c r="U51" s="198"/>
    </row>
    <row r="52" spans="1:21" s="12" customFormat="1" x14ac:dyDescent="0.25">
      <c r="A52" s="214" t="s">
        <v>1252</v>
      </c>
      <c r="B52" s="64">
        <v>9.4499999999999993</v>
      </c>
      <c r="C52" s="64">
        <v>17.850000000000001</v>
      </c>
      <c r="D52" s="64">
        <v>27.3</v>
      </c>
      <c r="E52" s="64">
        <v>2.2799999999999998</v>
      </c>
      <c r="F52" s="64">
        <v>1.97</v>
      </c>
      <c r="G52" s="64">
        <v>36.049999999999997</v>
      </c>
      <c r="H52" s="64">
        <v>11.47</v>
      </c>
      <c r="I52" s="64">
        <v>0.12</v>
      </c>
      <c r="J52" s="64">
        <v>0.36</v>
      </c>
      <c r="K52" s="64">
        <v>336.66</v>
      </c>
      <c r="L52" s="64">
        <v>27.12</v>
      </c>
      <c r="M52" s="64">
        <v>83.07</v>
      </c>
      <c r="N52" s="64">
        <v>321.10000000000002</v>
      </c>
      <c r="O52" s="64">
        <v>0</v>
      </c>
      <c r="P52" s="64">
        <v>0.66</v>
      </c>
      <c r="Q52" s="64">
        <v>15.84</v>
      </c>
      <c r="R52" s="198"/>
      <c r="S52" s="198"/>
      <c r="T52" s="198"/>
      <c r="U52" s="198"/>
    </row>
    <row r="53" spans="1:21" s="12" customFormat="1" x14ac:dyDescent="0.25">
      <c r="A53" s="214" t="s">
        <v>1253</v>
      </c>
      <c r="B53" s="64">
        <v>8.7799999999999994</v>
      </c>
      <c r="C53" s="64">
        <v>20.49</v>
      </c>
      <c r="D53" s="64">
        <v>29.27</v>
      </c>
      <c r="E53" s="64">
        <v>31.77</v>
      </c>
      <c r="F53" s="64">
        <v>2.41</v>
      </c>
      <c r="G53" s="64">
        <v>36.049999999999997</v>
      </c>
      <c r="H53" s="64">
        <v>11.47</v>
      </c>
      <c r="I53" s="64">
        <v>0.12</v>
      </c>
      <c r="J53" s="64">
        <v>0.32</v>
      </c>
      <c r="K53" s="64">
        <v>345.61</v>
      </c>
      <c r="L53" s="64">
        <v>26.97</v>
      </c>
      <c r="M53" s="64">
        <v>84.43</v>
      </c>
      <c r="N53" s="64">
        <v>264.7</v>
      </c>
      <c r="O53" s="64">
        <v>0</v>
      </c>
      <c r="P53" s="64">
        <v>0.67</v>
      </c>
      <c r="Q53" s="64">
        <v>19.64</v>
      </c>
      <c r="R53" s="198"/>
      <c r="S53" s="198"/>
      <c r="T53" s="198"/>
      <c r="U53" s="198"/>
    </row>
    <row r="54" spans="1:21" s="12" customFormat="1" x14ac:dyDescent="0.25">
      <c r="A54" s="214" t="s">
        <v>1254</v>
      </c>
      <c r="B54" s="64">
        <v>7.62</v>
      </c>
      <c r="C54" s="64">
        <v>21.02</v>
      </c>
      <c r="D54" s="64">
        <v>28.64</v>
      </c>
      <c r="E54" s="64">
        <v>137.76</v>
      </c>
      <c r="F54" s="64">
        <v>1.68</v>
      </c>
      <c r="G54" s="64">
        <v>36.049999999999997</v>
      </c>
      <c r="H54" s="64">
        <v>11.47</v>
      </c>
      <c r="I54" s="64">
        <v>0.11</v>
      </c>
      <c r="J54" s="64">
        <v>0.35</v>
      </c>
      <c r="K54" s="64">
        <v>344.77</v>
      </c>
      <c r="L54" s="64">
        <v>27.25</v>
      </c>
      <c r="M54" s="64">
        <v>83.67</v>
      </c>
      <c r="N54" s="64">
        <v>351.4</v>
      </c>
      <c r="O54" s="64">
        <v>0</v>
      </c>
      <c r="P54" s="64">
        <v>0.68</v>
      </c>
      <c r="Q54" s="64">
        <v>10.66</v>
      </c>
      <c r="R54" s="198"/>
      <c r="S54" s="198"/>
      <c r="T54" s="198"/>
      <c r="U54" s="198"/>
    </row>
    <row r="55" spans="1:21" s="12" customFormat="1" x14ac:dyDescent="0.25">
      <c r="A55" s="214" t="s">
        <v>1255</v>
      </c>
      <c r="B55" s="64">
        <v>7.19</v>
      </c>
      <c r="C55" s="64">
        <v>19.18</v>
      </c>
      <c r="D55" s="64">
        <v>26.36</v>
      </c>
      <c r="E55" s="64">
        <v>157.75</v>
      </c>
      <c r="F55" s="64">
        <v>1.78</v>
      </c>
      <c r="G55" s="64">
        <v>26.04</v>
      </c>
      <c r="H55" s="64">
        <v>8.2799999999999994</v>
      </c>
      <c r="I55" s="64">
        <v>0.11</v>
      </c>
      <c r="J55" s="64">
        <v>0.47</v>
      </c>
      <c r="K55" s="64">
        <v>319.64999999999998</v>
      </c>
      <c r="L55" s="64">
        <v>27.3</v>
      </c>
      <c r="M55" s="64">
        <v>82.55</v>
      </c>
      <c r="N55" s="64">
        <v>245</v>
      </c>
      <c r="O55" s="64">
        <v>0</v>
      </c>
      <c r="P55" s="64">
        <v>0.67</v>
      </c>
      <c r="Q55" s="64">
        <v>7.12</v>
      </c>
      <c r="R55" s="198"/>
      <c r="S55" s="198"/>
      <c r="T55" s="198"/>
      <c r="U55" s="198"/>
    </row>
    <row r="56" spans="1:21" s="12" customFormat="1" x14ac:dyDescent="0.25">
      <c r="A56" s="214" t="s">
        <v>1256</v>
      </c>
      <c r="B56" s="64">
        <v>3.1</v>
      </c>
      <c r="C56" s="64">
        <v>6.21</v>
      </c>
      <c r="D56" s="64">
        <v>9.3000000000000007</v>
      </c>
      <c r="E56" s="64">
        <v>1.53</v>
      </c>
      <c r="F56" s="64">
        <v>1.36</v>
      </c>
      <c r="G56" s="211" t="s">
        <v>40</v>
      </c>
      <c r="H56" s="211" t="s">
        <v>40</v>
      </c>
      <c r="I56" s="64">
        <v>0.11</v>
      </c>
      <c r="J56" s="64">
        <v>0.62</v>
      </c>
      <c r="K56" s="64">
        <v>331.39</v>
      </c>
      <c r="L56" s="64">
        <v>27.65</v>
      </c>
      <c r="M56" s="64">
        <v>80.64</v>
      </c>
      <c r="N56" s="64">
        <v>357.6</v>
      </c>
      <c r="O56" s="64">
        <v>0</v>
      </c>
      <c r="P56" s="64">
        <v>0.65</v>
      </c>
      <c r="Q56" s="64">
        <v>7.63</v>
      </c>
      <c r="R56" s="198"/>
      <c r="S56" s="198"/>
      <c r="T56" s="198"/>
      <c r="U56" s="198"/>
    </row>
    <row r="57" spans="1:21" s="12" customFormat="1" x14ac:dyDescent="0.25">
      <c r="A57" s="214" t="s">
        <v>1257</v>
      </c>
      <c r="B57" s="64">
        <v>67.099999999999994</v>
      </c>
      <c r="C57" s="64">
        <v>5.65</v>
      </c>
      <c r="D57" s="64">
        <v>72.55</v>
      </c>
      <c r="E57" s="64">
        <v>2.37</v>
      </c>
      <c r="F57" s="64">
        <v>2.2799999999999998</v>
      </c>
      <c r="G57" s="211" t="s">
        <v>40</v>
      </c>
      <c r="H57" s="211" t="s">
        <v>40</v>
      </c>
      <c r="I57" s="64">
        <v>0.11</v>
      </c>
      <c r="J57" s="64">
        <v>0.57999999999999996</v>
      </c>
      <c r="K57" s="64">
        <v>320.13</v>
      </c>
      <c r="L57" s="64">
        <v>27.87</v>
      </c>
      <c r="M57" s="64">
        <v>78.599999999999994</v>
      </c>
      <c r="N57" s="64">
        <v>277.7</v>
      </c>
      <c r="O57" s="64">
        <v>0</v>
      </c>
      <c r="P57" s="64">
        <v>0.64</v>
      </c>
      <c r="Q57" s="64">
        <v>6.8</v>
      </c>
      <c r="R57" s="198"/>
      <c r="S57" s="198"/>
      <c r="T57" s="198"/>
      <c r="U57" s="198"/>
    </row>
    <row r="58" spans="1:21" s="12" customFormat="1" x14ac:dyDescent="0.25">
      <c r="A58" s="214" t="s">
        <v>1258</v>
      </c>
      <c r="B58" s="64">
        <v>116.96</v>
      </c>
      <c r="C58" s="64">
        <v>10.52</v>
      </c>
      <c r="D58" s="64">
        <v>127.47</v>
      </c>
      <c r="E58" s="64">
        <v>1.87</v>
      </c>
      <c r="F58" s="64">
        <v>2.6</v>
      </c>
      <c r="G58" s="211" t="s">
        <v>40</v>
      </c>
      <c r="H58" s="211" t="s">
        <v>40</v>
      </c>
      <c r="I58" s="64">
        <v>0.11</v>
      </c>
      <c r="J58" s="64">
        <v>0.31</v>
      </c>
      <c r="K58" s="64">
        <v>350.93</v>
      </c>
      <c r="L58" s="64">
        <v>27.54</v>
      </c>
      <c r="M58" s="64">
        <v>80.25</v>
      </c>
      <c r="N58" s="64">
        <v>257.7</v>
      </c>
      <c r="O58" s="64">
        <v>0</v>
      </c>
      <c r="P58" s="64">
        <v>0.63</v>
      </c>
      <c r="Q58" s="64">
        <v>6.32</v>
      </c>
      <c r="R58" s="198"/>
      <c r="S58" s="198"/>
      <c r="T58" s="198"/>
      <c r="U58" s="198"/>
    </row>
    <row r="59" spans="1:21" s="12" customFormat="1" x14ac:dyDescent="0.25">
      <c r="A59" s="214" t="s">
        <v>1259</v>
      </c>
      <c r="B59" s="64">
        <v>118.42</v>
      </c>
      <c r="C59" s="64">
        <v>8.98</v>
      </c>
      <c r="D59" s="64">
        <v>127.41</v>
      </c>
      <c r="E59" s="64">
        <v>1.96</v>
      </c>
      <c r="F59" s="64">
        <v>5.22</v>
      </c>
      <c r="G59" s="64">
        <v>14.14</v>
      </c>
      <c r="H59" s="64">
        <v>7.71</v>
      </c>
      <c r="I59" s="64">
        <v>0.12</v>
      </c>
      <c r="J59" s="64">
        <v>0.39</v>
      </c>
      <c r="K59" s="64">
        <v>320.87</v>
      </c>
      <c r="L59" s="64">
        <v>27.3</v>
      </c>
      <c r="M59" s="64">
        <v>81.42</v>
      </c>
      <c r="N59" s="64">
        <v>184.8</v>
      </c>
      <c r="O59" s="64">
        <v>0</v>
      </c>
      <c r="P59" s="64">
        <v>0.62</v>
      </c>
      <c r="Q59" s="64">
        <v>7.15</v>
      </c>
      <c r="R59" s="198"/>
      <c r="S59" s="198"/>
      <c r="T59" s="198"/>
      <c r="U59" s="198"/>
    </row>
    <row r="60" spans="1:21" s="12" customFormat="1" x14ac:dyDescent="0.25">
      <c r="A60" s="214" t="s">
        <v>1260</v>
      </c>
      <c r="B60" s="64">
        <v>223.25</v>
      </c>
      <c r="C60" s="64">
        <v>14.68</v>
      </c>
      <c r="D60" s="64">
        <v>237.94</v>
      </c>
      <c r="E60" s="64">
        <v>2.38</v>
      </c>
      <c r="F60" s="64">
        <v>3.68</v>
      </c>
      <c r="G60" s="64">
        <v>48.96</v>
      </c>
      <c r="H60" s="64">
        <v>26.68</v>
      </c>
      <c r="I60" s="64">
        <v>0.11</v>
      </c>
      <c r="J60" s="64">
        <v>0.59</v>
      </c>
      <c r="K60" s="64">
        <v>326.68</v>
      </c>
      <c r="L60" s="64">
        <v>27.8</v>
      </c>
      <c r="M60" s="64">
        <v>79.05</v>
      </c>
      <c r="N60" s="64">
        <v>419.6</v>
      </c>
      <c r="O60" s="64">
        <v>0</v>
      </c>
      <c r="P60" s="64">
        <v>0.62</v>
      </c>
      <c r="Q60" s="64">
        <v>7.95</v>
      </c>
      <c r="R60" s="198"/>
      <c r="S60" s="198"/>
      <c r="T60" s="198"/>
      <c r="U60" s="198"/>
    </row>
    <row r="61" spans="1:21" s="12" customFormat="1" x14ac:dyDescent="0.25">
      <c r="A61" s="214" t="s">
        <v>1261</v>
      </c>
      <c r="B61" s="64">
        <v>10.11</v>
      </c>
      <c r="C61" s="64">
        <v>17.760000000000002</v>
      </c>
      <c r="D61" s="64">
        <v>27.87</v>
      </c>
      <c r="E61" s="64">
        <v>2.2400000000000002</v>
      </c>
      <c r="F61" s="64">
        <v>3.27</v>
      </c>
      <c r="G61" s="64">
        <v>48.96</v>
      </c>
      <c r="H61" s="64">
        <v>26.68</v>
      </c>
      <c r="I61" s="64">
        <v>0.11</v>
      </c>
      <c r="J61" s="64">
        <v>0.69</v>
      </c>
      <c r="K61" s="64">
        <v>317.42</v>
      </c>
      <c r="L61" s="64">
        <v>28.21</v>
      </c>
      <c r="M61" s="64">
        <v>78.34</v>
      </c>
      <c r="N61" s="64">
        <v>275.60000000000002</v>
      </c>
      <c r="O61" s="64">
        <v>0</v>
      </c>
      <c r="P61" s="64">
        <v>0.39</v>
      </c>
      <c r="Q61" s="64">
        <v>8.7200000000000006</v>
      </c>
      <c r="R61" s="198"/>
      <c r="S61" s="198"/>
      <c r="T61" s="198"/>
      <c r="U61" s="198"/>
    </row>
    <row r="62" spans="1:21" s="12" customFormat="1" x14ac:dyDescent="0.25">
      <c r="A62" s="214" t="s">
        <v>1262</v>
      </c>
      <c r="B62" s="64">
        <v>10.35</v>
      </c>
      <c r="C62" s="64">
        <v>18.05</v>
      </c>
      <c r="D62" s="64">
        <v>28.41</v>
      </c>
      <c r="E62" s="64">
        <v>2.46</v>
      </c>
      <c r="F62" s="64">
        <v>2.76</v>
      </c>
      <c r="G62" s="64">
        <v>48.96</v>
      </c>
      <c r="H62" s="64">
        <v>26.68</v>
      </c>
      <c r="I62" s="64">
        <v>0.1</v>
      </c>
      <c r="J62" s="64">
        <v>0.74</v>
      </c>
      <c r="K62" s="64">
        <v>318.72000000000003</v>
      </c>
      <c r="L62" s="64">
        <v>28.07</v>
      </c>
      <c r="M62" s="64">
        <v>77.66</v>
      </c>
      <c r="N62" s="64">
        <v>311.3</v>
      </c>
      <c r="O62" s="64">
        <v>0</v>
      </c>
      <c r="P62" s="64">
        <v>4.5</v>
      </c>
      <c r="Q62" s="64">
        <v>9.26</v>
      </c>
      <c r="R62" s="198"/>
      <c r="S62" s="198"/>
      <c r="T62" s="198"/>
      <c r="U62" s="198"/>
    </row>
    <row r="63" spans="1:21" s="12" customFormat="1" x14ac:dyDescent="0.25">
      <c r="A63" s="214" t="s">
        <v>1263</v>
      </c>
      <c r="B63" s="64">
        <v>10.19</v>
      </c>
      <c r="C63" s="64">
        <v>15.97</v>
      </c>
      <c r="D63" s="64">
        <v>26.16</v>
      </c>
      <c r="E63" s="64">
        <v>3.34</v>
      </c>
      <c r="F63" s="64">
        <v>2.19</v>
      </c>
      <c r="G63" s="64">
        <v>52.35</v>
      </c>
      <c r="H63" s="64">
        <v>25.71</v>
      </c>
      <c r="I63" s="64">
        <v>0.11</v>
      </c>
      <c r="J63" s="64">
        <v>0.37</v>
      </c>
      <c r="K63" s="64">
        <v>335.13</v>
      </c>
      <c r="L63" s="64">
        <v>27.95</v>
      </c>
      <c r="M63" s="64">
        <v>78.430000000000007</v>
      </c>
      <c r="N63" s="64">
        <v>307.8</v>
      </c>
      <c r="O63" s="64">
        <v>0</v>
      </c>
      <c r="P63" s="64">
        <v>0.56000000000000005</v>
      </c>
      <c r="Q63" s="64">
        <v>8.1300000000000008</v>
      </c>
      <c r="R63" s="198"/>
      <c r="S63" s="198"/>
      <c r="T63" s="198"/>
      <c r="U63" s="198"/>
    </row>
    <row r="64" spans="1:21" s="12" customFormat="1" x14ac:dyDescent="0.25">
      <c r="A64" s="214" t="s">
        <v>1264</v>
      </c>
      <c r="B64" s="64">
        <v>7.71</v>
      </c>
      <c r="C64" s="64">
        <v>16.690000000000001</v>
      </c>
      <c r="D64" s="64">
        <v>24.4</v>
      </c>
      <c r="E64" s="64">
        <v>2.25</v>
      </c>
      <c r="F64" s="64">
        <v>3.05</v>
      </c>
      <c r="G64" s="64">
        <v>60.71</v>
      </c>
      <c r="H64" s="64">
        <v>24.11</v>
      </c>
      <c r="I64" s="64">
        <v>0.11</v>
      </c>
      <c r="J64" s="64">
        <v>0.35</v>
      </c>
      <c r="K64" s="64">
        <v>342.59</v>
      </c>
      <c r="L64" s="64">
        <v>27.84</v>
      </c>
      <c r="M64" s="64">
        <v>78.010000000000005</v>
      </c>
      <c r="N64" s="64">
        <v>315.2</v>
      </c>
      <c r="O64" s="64">
        <v>0</v>
      </c>
      <c r="P64" s="64">
        <v>0.51</v>
      </c>
      <c r="Q64" s="64">
        <v>8.61</v>
      </c>
      <c r="R64" s="198"/>
      <c r="S64" s="198"/>
      <c r="T64" s="198"/>
      <c r="U64" s="198"/>
    </row>
    <row r="65" spans="1:21" s="12" customFormat="1" x14ac:dyDescent="0.25">
      <c r="A65" s="214" t="s">
        <v>1265</v>
      </c>
      <c r="B65" s="64">
        <v>6.06</v>
      </c>
      <c r="C65" s="64">
        <v>17.89</v>
      </c>
      <c r="D65" s="64">
        <v>23.95</v>
      </c>
      <c r="E65" s="64">
        <v>2.0499999999999998</v>
      </c>
      <c r="F65" s="64">
        <v>2.38</v>
      </c>
      <c r="G65" s="64">
        <v>60.71</v>
      </c>
      <c r="H65" s="64">
        <v>24.11</v>
      </c>
      <c r="I65" s="64">
        <v>0.11</v>
      </c>
      <c r="J65" s="64">
        <v>0.42</v>
      </c>
      <c r="K65" s="64">
        <v>338.09</v>
      </c>
      <c r="L65" s="64">
        <v>27.63</v>
      </c>
      <c r="M65" s="64">
        <v>78.040000000000006</v>
      </c>
      <c r="N65" s="64">
        <v>254.5</v>
      </c>
      <c r="O65" s="64">
        <v>0</v>
      </c>
      <c r="P65" s="64">
        <v>0.49</v>
      </c>
      <c r="Q65" s="64">
        <v>7.91</v>
      </c>
      <c r="R65" s="198"/>
      <c r="S65" s="198"/>
      <c r="T65" s="198"/>
      <c r="U65" s="198"/>
    </row>
    <row r="66" spans="1:21" s="12" customFormat="1" x14ac:dyDescent="0.25">
      <c r="A66" s="214" t="s">
        <v>1266</v>
      </c>
      <c r="B66" s="64">
        <v>6.21</v>
      </c>
      <c r="C66" s="64">
        <v>17.73</v>
      </c>
      <c r="D66" s="64">
        <v>23.94</v>
      </c>
      <c r="E66" s="64">
        <v>2.15</v>
      </c>
      <c r="F66" s="64">
        <v>1.92</v>
      </c>
      <c r="G66" s="64">
        <v>60.71</v>
      </c>
      <c r="H66" s="64">
        <v>24.11</v>
      </c>
      <c r="I66" s="64">
        <v>0.11</v>
      </c>
      <c r="J66" s="64">
        <v>0.38</v>
      </c>
      <c r="K66" s="64">
        <v>345.06</v>
      </c>
      <c r="L66" s="64">
        <v>27.95</v>
      </c>
      <c r="M66" s="64">
        <v>77.28</v>
      </c>
      <c r="N66" s="64">
        <v>381.3</v>
      </c>
      <c r="O66" s="64">
        <v>0</v>
      </c>
      <c r="P66" s="64">
        <v>0.49</v>
      </c>
      <c r="Q66" s="64">
        <v>7.08</v>
      </c>
      <c r="R66" s="198"/>
      <c r="S66" s="198"/>
      <c r="T66" s="198"/>
      <c r="U66" s="198"/>
    </row>
    <row r="67" spans="1:21" s="12" customFormat="1" x14ac:dyDescent="0.25">
      <c r="A67" s="214" t="s">
        <v>1267</v>
      </c>
      <c r="B67" s="64">
        <v>6.8</v>
      </c>
      <c r="C67" s="64">
        <v>18.73</v>
      </c>
      <c r="D67" s="64">
        <v>25.53</v>
      </c>
      <c r="E67" s="64">
        <v>2.2999999999999998</v>
      </c>
      <c r="F67" s="64">
        <v>1.84</v>
      </c>
      <c r="G67" s="64">
        <v>58.85</v>
      </c>
      <c r="H67" s="64">
        <v>21.85</v>
      </c>
      <c r="I67" s="64">
        <v>0.11</v>
      </c>
      <c r="J67" s="64">
        <v>0.3</v>
      </c>
      <c r="K67" s="64">
        <v>6.1</v>
      </c>
      <c r="L67" s="64">
        <v>27.7</v>
      </c>
      <c r="M67" s="64">
        <v>78.650000000000006</v>
      </c>
      <c r="N67" s="64">
        <v>257.10000000000002</v>
      </c>
      <c r="O67" s="64">
        <v>0</v>
      </c>
      <c r="P67" s="64">
        <v>0.49</v>
      </c>
      <c r="Q67" s="64">
        <v>6.91</v>
      </c>
      <c r="R67" s="198"/>
      <c r="S67" s="198"/>
      <c r="T67" s="198"/>
      <c r="U67" s="198"/>
    </row>
    <row r="68" spans="1:21" s="12" customFormat="1" x14ac:dyDescent="0.25">
      <c r="A68" s="214" t="s">
        <v>1268</v>
      </c>
      <c r="B68" s="64">
        <v>6.03</v>
      </c>
      <c r="C68" s="64">
        <v>17.149999999999999</v>
      </c>
      <c r="D68" s="64">
        <v>23.18</v>
      </c>
      <c r="E68" s="64">
        <v>2.27</v>
      </c>
      <c r="F68" s="64">
        <v>1.46</v>
      </c>
      <c r="G68" s="64">
        <v>54.27</v>
      </c>
      <c r="H68" s="64">
        <v>18.3</v>
      </c>
      <c r="I68" s="64">
        <v>0.11</v>
      </c>
      <c r="J68" s="64">
        <v>0.27</v>
      </c>
      <c r="K68" s="64">
        <v>21.63</v>
      </c>
      <c r="L68" s="64">
        <v>26.28</v>
      </c>
      <c r="M68" s="64">
        <v>86.79</v>
      </c>
      <c r="N68" s="64">
        <v>194.5</v>
      </c>
      <c r="O68" s="64">
        <v>0</v>
      </c>
      <c r="P68" s="64">
        <v>0.5</v>
      </c>
      <c r="Q68" s="64">
        <v>6.59</v>
      </c>
      <c r="R68" s="198"/>
      <c r="S68" s="198"/>
      <c r="T68" s="198"/>
      <c r="U68" s="198"/>
    </row>
    <row r="69" spans="1:21" s="12" customFormat="1" x14ac:dyDescent="0.25">
      <c r="A69" s="214" t="s">
        <v>1269</v>
      </c>
      <c r="B69" s="64">
        <v>5.99</v>
      </c>
      <c r="C69" s="64">
        <v>16.59</v>
      </c>
      <c r="D69" s="64">
        <v>22.58</v>
      </c>
      <c r="E69" s="64">
        <v>1.92</v>
      </c>
      <c r="F69" s="64">
        <v>1.86</v>
      </c>
      <c r="G69" s="64">
        <v>54.27</v>
      </c>
      <c r="H69" s="64">
        <v>18.3</v>
      </c>
      <c r="I69" s="64">
        <v>0.11</v>
      </c>
      <c r="J69" s="64">
        <v>0.28000000000000003</v>
      </c>
      <c r="K69" s="64">
        <v>20.21</v>
      </c>
      <c r="L69" s="64">
        <v>26.05</v>
      </c>
      <c r="M69" s="64">
        <v>88.14</v>
      </c>
      <c r="N69" s="64">
        <v>212.5</v>
      </c>
      <c r="O69" s="64">
        <v>0</v>
      </c>
      <c r="P69" s="64">
        <v>0.55000000000000004</v>
      </c>
      <c r="Q69" s="64">
        <v>6.58</v>
      </c>
      <c r="R69" s="198"/>
      <c r="S69" s="198"/>
      <c r="T69" s="198"/>
      <c r="U69" s="198"/>
    </row>
    <row r="70" spans="1:21" s="12" customFormat="1" x14ac:dyDescent="0.25">
      <c r="A70" s="214" t="s">
        <v>1270</v>
      </c>
      <c r="B70" s="64">
        <v>9.2799999999999994</v>
      </c>
      <c r="C70" s="64">
        <v>24.44</v>
      </c>
      <c r="D70" s="64">
        <v>33.72</v>
      </c>
      <c r="E70" s="64">
        <v>2.69</v>
      </c>
      <c r="F70" s="64">
        <v>5.51</v>
      </c>
      <c r="G70" s="64">
        <v>54.27</v>
      </c>
      <c r="H70" s="64">
        <v>18.3</v>
      </c>
      <c r="I70" s="64">
        <v>0.11</v>
      </c>
      <c r="J70" s="64">
        <v>0.3</v>
      </c>
      <c r="K70" s="64">
        <v>359.14</v>
      </c>
      <c r="L70" s="64">
        <v>26.84</v>
      </c>
      <c r="M70" s="64">
        <v>85.06</v>
      </c>
      <c r="N70" s="64">
        <v>255.1</v>
      </c>
      <c r="O70" s="64">
        <v>0</v>
      </c>
      <c r="P70" s="64">
        <v>0.69</v>
      </c>
      <c r="Q70" s="64">
        <v>9.68</v>
      </c>
      <c r="R70" s="198"/>
      <c r="S70" s="198"/>
      <c r="T70" s="198"/>
      <c r="U70" s="198"/>
    </row>
    <row r="71" spans="1:21" s="12" customFormat="1" x14ac:dyDescent="0.25">
      <c r="A71" s="214" t="s">
        <v>1271</v>
      </c>
      <c r="B71" s="64">
        <v>8.7899999999999991</v>
      </c>
      <c r="C71" s="64">
        <v>33.479999999999997</v>
      </c>
      <c r="D71" s="64">
        <v>42.27</v>
      </c>
      <c r="E71" s="64">
        <v>2.61</v>
      </c>
      <c r="F71" s="64">
        <v>4.45</v>
      </c>
      <c r="G71" s="64">
        <v>49.79</v>
      </c>
      <c r="H71" s="64">
        <v>17.21</v>
      </c>
      <c r="I71" s="64">
        <v>0.11</v>
      </c>
      <c r="J71" s="64">
        <v>0.38</v>
      </c>
      <c r="K71" s="64">
        <v>335.72</v>
      </c>
      <c r="L71" s="64">
        <v>27.43</v>
      </c>
      <c r="M71" s="64">
        <v>80.53</v>
      </c>
      <c r="N71" s="64">
        <v>211.7</v>
      </c>
      <c r="O71" s="64">
        <v>0</v>
      </c>
      <c r="P71" s="64">
        <v>0.74</v>
      </c>
      <c r="Q71" s="64">
        <v>13.64</v>
      </c>
      <c r="R71" s="198"/>
      <c r="S71" s="198"/>
      <c r="T71" s="198"/>
      <c r="U71" s="198"/>
    </row>
    <row r="72" spans="1:21" s="12" customFormat="1" x14ac:dyDescent="0.25">
      <c r="A72" s="214" t="s">
        <v>1272</v>
      </c>
      <c r="B72" s="64">
        <v>7.46</v>
      </c>
      <c r="C72" s="64">
        <v>29.16</v>
      </c>
      <c r="D72" s="64">
        <v>36.61</v>
      </c>
      <c r="E72" s="64">
        <v>0.92</v>
      </c>
      <c r="F72" s="64">
        <v>1.7</v>
      </c>
      <c r="G72" s="64">
        <v>38.75</v>
      </c>
      <c r="H72" s="64">
        <v>15.49</v>
      </c>
      <c r="I72" s="64">
        <v>0.1</v>
      </c>
      <c r="J72" s="64">
        <v>0.26</v>
      </c>
      <c r="K72" s="64">
        <v>348.93</v>
      </c>
      <c r="L72" s="64">
        <v>27.17</v>
      </c>
      <c r="M72" s="64">
        <v>82.19</v>
      </c>
      <c r="N72" s="64">
        <v>166.9</v>
      </c>
      <c r="O72" s="64">
        <v>0</v>
      </c>
      <c r="P72" s="64">
        <v>0.71</v>
      </c>
      <c r="Q72" s="64">
        <v>13.36</v>
      </c>
      <c r="R72" s="198"/>
      <c r="S72" s="198"/>
      <c r="T72" s="198"/>
      <c r="U72" s="198"/>
    </row>
    <row r="73" spans="1:21" s="12" customFormat="1" x14ac:dyDescent="0.25">
      <c r="A73" s="214" t="s">
        <v>1273</v>
      </c>
      <c r="B73" s="64">
        <v>6.66</v>
      </c>
      <c r="C73" s="64">
        <v>23.67</v>
      </c>
      <c r="D73" s="64">
        <v>30.33</v>
      </c>
      <c r="E73" s="64">
        <v>0.73</v>
      </c>
      <c r="F73" s="64">
        <v>3.88</v>
      </c>
      <c r="G73" s="64">
        <v>38.75</v>
      </c>
      <c r="H73" s="64">
        <v>15.49</v>
      </c>
      <c r="I73" s="64">
        <v>0.1</v>
      </c>
      <c r="J73" s="64">
        <v>0.21</v>
      </c>
      <c r="K73" s="64">
        <v>354.72</v>
      </c>
      <c r="L73" s="64">
        <v>26.69</v>
      </c>
      <c r="M73" s="64">
        <v>83.14</v>
      </c>
      <c r="N73" s="64">
        <v>155.69999999999999</v>
      </c>
      <c r="O73" s="64">
        <v>0</v>
      </c>
      <c r="P73" s="64">
        <v>0.67</v>
      </c>
      <c r="Q73" s="64">
        <v>11.52</v>
      </c>
      <c r="R73" s="198"/>
      <c r="S73" s="198"/>
      <c r="T73" s="198"/>
      <c r="U73" s="198"/>
    </row>
    <row r="74" spans="1:21" s="12" customFormat="1" x14ac:dyDescent="0.25">
      <c r="A74" s="214" t="s">
        <v>1274</v>
      </c>
      <c r="B74" s="64">
        <v>6.5</v>
      </c>
      <c r="C74" s="64">
        <v>20.21</v>
      </c>
      <c r="D74" s="64">
        <v>26.72</v>
      </c>
      <c r="E74" s="64">
        <v>0.93</v>
      </c>
      <c r="F74" s="64">
        <v>1.75</v>
      </c>
      <c r="G74" s="64">
        <v>38.75</v>
      </c>
      <c r="H74" s="64">
        <v>15.49</v>
      </c>
      <c r="I74" s="64">
        <v>0.1</v>
      </c>
      <c r="J74" s="64">
        <v>0.31</v>
      </c>
      <c r="K74" s="64">
        <v>346.69</v>
      </c>
      <c r="L74" s="64">
        <v>26.8</v>
      </c>
      <c r="M74" s="64">
        <v>81.95</v>
      </c>
      <c r="N74" s="64">
        <v>141.6</v>
      </c>
      <c r="O74" s="64">
        <v>0</v>
      </c>
      <c r="P74" s="64">
        <v>0.67</v>
      </c>
      <c r="Q74" s="64">
        <v>11.91</v>
      </c>
      <c r="R74" s="198"/>
      <c r="S74" s="198"/>
      <c r="T74" s="198"/>
      <c r="U74" s="198"/>
    </row>
    <row r="75" spans="1:21" s="12" customFormat="1" x14ac:dyDescent="0.25">
      <c r="A75" s="214" t="s">
        <v>1275</v>
      </c>
      <c r="B75" s="64">
        <v>9.1300000000000008</v>
      </c>
      <c r="C75" s="64">
        <v>22.1</v>
      </c>
      <c r="D75" s="64">
        <v>31.23</v>
      </c>
      <c r="E75" s="64">
        <v>1.38</v>
      </c>
      <c r="F75" s="64">
        <v>1.46</v>
      </c>
      <c r="G75" s="64">
        <v>39.75</v>
      </c>
      <c r="H75" s="64">
        <v>16.09</v>
      </c>
      <c r="I75" s="64">
        <v>0.1</v>
      </c>
      <c r="J75" s="64">
        <v>0.49</v>
      </c>
      <c r="K75" s="64">
        <v>324.18</v>
      </c>
      <c r="L75" s="64">
        <v>27</v>
      </c>
      <c r="M75" s="64">
        <v>80.849999999999994</v>
      </c>
      <c r="N75" s="64">
        <v>112.6</v>
      </c>
      <c r="O75" s="64">
        <v>0</v>
      </c>
      <c r="P75" s="64">
        <v>0.68</v>
      </c>
      <c r="Q75" s="64">
        <v>11.51</v>
      </c>
      <c r="R75" s="198"/>
      <c r="S75" s="198"/>
      <c r="T75" s="198"/>
      <c r="U75" s="198"/>
    </row>
    <row r="76" spans="1:21" s="12" customFormat="1" x14ac:dyDescent="0.25">
      <c r="A76" s="214" t="s">
        <v>1276</v>
      </c>
      <c r="B76" s="64">
        <v>9.69</v>
      </c>
      <c r="C76" s="64">
        <v>20.96</v>
      </c>
      <c r="D76" s="64">
        <v>30.65</v>
      </c>
      <c r="E76" s="64">
        <v>0.56999999999999995</v>
      </c>
      <c r="F76" s="64">
        <v>1.94</v>
      </c>
      <c r="G76" s="64">
        <v>42.21</v>
      </c>
      <c r="H76" s="64">
        <v>17.04</v>
      </c>
      <c r="I76" s="64">
        <v>0.1</v>
      </c>
      <c r="J76" s="64">
        <v>0.35</v>
      </c>
      <c r="K76" s="64">
        <v>335.46</v>
      </c>
      <c r="L76" s="64">
        <v>26.9</v>
      </c>
      <c r="M76" s="64">
        <v>79.97</v>
      </c>
      <c r="N76" s="64">
        <v>96.8</v>
      </c>
      <c r="O76" s="64">
        <v>0</v>
      </c>
      <c r="P76" s="64">
        <v>0.69</v>
      </c>
      <c r="Q76" s="64">
        <v>10.38</v>
      </c>
      <c r="R76" s="198"/>
      <c r="S76" s="198"/>
      <c r="T76" s="198"/>
      <c r="U76" s="198"/>
    </row>
    <row r="77" spans="1:21" s="12" customFormat="1" x14ac:dyDescent="0.25">
      <c r="A77" s="214" t="s">
        <v>1277</v>
      </c>
      <c r="B77" s="64">
        <v>9.35</v>
      </c>
      <c r="C77" s="64">
        <v>18.809999999999999</v>
      </c>
      <c r="D77" s="64">
        <v>28.17</v>
      </c>
      <c r="E77" s="64">
        <v>0.5</v>
      </c>
      <c r="F77" s="64">
        <v>2.27</v>
      </c>
      <c r="G77" s="64">
        <v>42.21</v>
      </c>
      <c r="H77" s="64">
        <v>17.04</v>
      </c>
      <c r="I77" s="64">
        <v>0.11</v>
      </c>
      <c r="J77" s="64">
        <v>0.33</v>
      </c>
      <c r="K77" s="64">
        <v>359.93</v>
      </c>
      <c r="L77" s="64">
        <v>26.59</v>
      </c>
      <c r="M77" s="64">
        <v>80.25</v>
      </c>
      <c r="N77" s="64">
        <v>75.2</v>
      </c>
      <c r="O77" s="64">
        <v>0</v>
      </c>
      <c r="P77" s="64">
        <v>0.67</v>
      </c>
      <c r="Q77" s="64">
        <v>9.3699999999999992</v>
      </c>
      <c r="R77" s="198"/>
      <c r="S77" s="198"/>
      <c r="T77" s="198"/>
      <c r="U77" s="198"/>
    </row>
    <row r="78" spans="1:21" s="12" customFormat="1" x14ac:dyDescent="0.25">
      <c r="A78" s="214" t="s">
        <v>1278</v>
      </c>
      <c r="B78" s="64">
        <v>9.48</v>
      </c>
      <c r="C78" s="64">
        <v>20.05</v>
      </c>
      <c r="D78" s="64">
        <v>29.53</v>
      </c>
      <c r="E78" s="64">
        <v>0.51</v>
      </c>
      <c r="F78" s="64">
        <v>2.56</v>
      </c>
      <c r="G78" s="64">
        <v>42.21</v>
      </c>
      <c r="H78" s="64">
        <v>17.04</v>
      </c>
      <c r="I78" s="64">
        <v>0.11</v>
      </c>
      <c r="J78" s="64">
        <v>0.23</v>
      </c>
      <c r="K78" s="64">
        <v>345.16</v>
      </c>
      <c r="L78" s="64">
        <v>26.22</v>
      </c>
      <c r="M78" s="64">
        <v>83.32</v>
      </c>
      <c r="N78" s="64">
        <v>55.7</v>
      </c>
      <c r="O78" s="64">
        <v>0</v>
      </c>
      <c r="P78" s="64">
        <v>0.68</v>
      </c>
      <c r="Q78" s="64">
        <v>8.77</v>
      </c>
      <c r="R78" s="198"/>
      <c r="S78" s="198"/>
      <c r="T78" s="198"/>
      <c r="U78" s="198"/>
    </row>
    <row r="79" spans="1:21" s="12" customFormat="1" x14ac:dyDescent="0.25">
      <c r="A79" s="214" t="s">
        <v>1279</v>
      </c>
      <c r="B79" s="64">
        <v>8.77</v>
      </c>
      <c r="C79" s="64">
        <v>19.100000000000001</v>
      </c>
      <c r="D79" s="64">
        <v>27.87</v>
      </c>
      <c r="E79" s="64">
        <v>0.47</v>
      </c>
      <c r="F79" s="64">
        <v>1.79</v>
      </c>
      <c r="G79" s="64">
        <v>43.51</v>
      </c>
      <c r="H79" s="64">
        <v>17.11</v>
      </c>
      <c r="I79" s="64">
        <v>0.11</v>
      </c>
      <c r="J79" s="64">
        <v>0.13</v>
      </c>
      <c r="K79" s="64">
        <v>19.899999999999999</v>
      </c>
      <c r="L79" s="64">
        <v>25.67</v>
      </c>
      <c r="M79" s="64">
        <v>86.22</v>
      </c>
      <c r="N79" s="64">
        <v>31</v>
      </c>
      <c r="O79" s="64">
        <v>0</v>
      </c>
      <c r="P79" s="64">
        <v>0.69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1280</v>
      </c>
      <c r="B80" s="64">
        <v>8.6</v>
      </c>
      <c r="C80" s="64">
        <v>19.670000000000002</v>
      </c>
      <c r="D80" s="64">
        <v>28.27</v>
      </c>
      <c r="E80" s="64">
        <v>0.74</v>
      </c>
      <c r="F80" s="64">
        <v>1.1399999999999999</v>
      </c>
      <c r="G80" s="64">
        <v>46.72</v>
      </c>
      <c r="H80" s="64">
        <v>17.399999999999999</v>
      </c>
      <c r="I80" s="64">
        <v>0.11</v>
      </c>
      <c r="J80" s="64">
        <v>0.18</v>
      </c>
      <c r="K80" s="64">
        <v>25.69</v>
      </c>
      <c r="L80" s="64">
        <v>25.51</v>
      </c>
      <c r="M80" s="64">
        <v>85.92</v>
      </c>
      <c r="N80" s="64">
        <v>16.600000000000001</v>
      </c>
      <c r="O80" s="64">
        <v>0</v>
      </c>
      <c r="P80" s="64">
        <v>0.72</v>
      </c>
      <c r="Q80" s="64">
        <v>9.3699999999999992</v>
      </c>
      <c r="R80" s="198"/>
      <c r="S80" s="198"/>
      <c r="T80" s="198"/>
      <c r="U80" s="198"/>
    </row>
    <row r="81" spans="1:26" s="12" customFormat="1" x14ac:dyDescent="0.25">
      <c r="A81" s="214" t="s">
        <v>1281</v>
      </c>
      <c r="B81" s="64">
        <v>11.54</v>
      </c>
      <c r="C81" s="64">
        <v>20.39</v>
      </c>
      <c r="D81" s="64">
        <v>31.93</v>
      </c>
      <c r="E81" s="64">
        <v>0.91</v>
      </c>
      <c r="F81" s="64">
        <v>1</v>
      </c>
      <c r="G81" s="64">
        <v>46.72</v>
      </c>
      <c r="H81" s="64">
        <v>17.399999999999999</v>
      </c>
      <c r="I81" s="64">
        <v>0.11</v>
      </c>
      <c r="J81" s="64">
        <v>0.2</v>
      </c>
      <c r="K81" s="64">
        <v>20.73</v>
      </c>
      <c r="L81" s="64">
        <v>25.37</v>
      </c>
      <c r="M81" s="64">
        <v>87.03</v>
      </c>
      <c r="N81" s="64">
        <v>10.4</v>
      </c>
      <c r="O81" s="64">
        <v>0</v>
      </c>
      <c r="P81" s="64">
        <v>0.81</v>
      </c>
      <c r="Q81" s="64">
        <v>9.0500000000000007</v>
      </c>
      <c r="R81" s="198"/>
      <c r="S81" s="198"/>
      <c r="T81" s="198"/>
      <c r="U81" s="198"/>
    </row>
    <row r="82" spans="1:26" s="12" customFormat="1" x14ac:dyDescent="0.25">
      <c r="A82" s="214" t="s">
        <v>1282</v>
      </c>
      <c r="B82" s="64">
        <v>10.24</v>
      </c>
      <c r="C82" s="64">
        <v>20.64</v>
      </c>
      <c r="D82" s="64">
        <v>30.88</v>
      </c>
      <c r="E82" s="64">
        <v>1.07</v>
      </c>
      <c r="F82" s="64">
        <v>2.6</v>
      </c>
      <c r="G82" s="64">
        <v>46.72</v>
      </c>
      <c r="H82" s="64">
        <v>17.399999999999999</v>
      </c>
      <c r="I82" s="64">
        <v>0.11</v>
      </c>
      <c r="J82" s="64">
        <v>0.19</v>
      </c>
      <c r="K82" s="64">
        <v>23.45</v>
      </c>
      <c r="L82" s="64">
        <v>25.07</v>
      </c>
      <c r="M82" s="64">
        <v>90.82</v>
      </c>
      <c r="N82" s="64">
        <v>9.3000000000000007</v>
      </c>
      <c r="O82" s="64">
        <v>0</v>
      </c>
      <c r="P82" s="64">
        <v>0.84</v>
      </c>
      <c r="Q82" s="64">
        <v>9.8699999999999992</v>
      </c>
      <c r="R82" s="198"/>
      <c r="S82" s="198"/>
      <c r="T82" s="198"/>
      <c r="U82" s="198"/>
    </row>
    <row r="83" spans="1:26" s="12" customFormat="1" x14ac:dyDescent="0.25">
      <c r="A83" s="214" t="s">
        <v>1283</v>
      </c>
      <c r="B83" s="64">
        <v>11.11</v>
      </c>
      <c r="C83" s="64">
        <v>20.46</v>
      </c>
      <c r="D83" s="64">
        <v>31.56</v>
      </c>
      <c r="E83" s="64">
        <v>1.1399999999999999</v>
      </c>
      <c r="F83" s="64">
        <v>1.59</v>
      </c>
      <c r="G83" s="64">
        <v>48.65</v>
      </c>
      <c r="H83" s="64">
        <v>16.16</v>
      </c>
      <c r="I83" s="64">
        <v>0.11</v>
      </c>
      <c r="J83" s="64">
        <v>0.14000000000000001</v>
      </c>
      <c r="K83" s="64">
        <v>31.7</v>
      </c>
      <c r="L83" s="64">
        <v>24.78</v>
      </c>
      <c r="M83" s="64">
        <v>95.08</v>
      </c>
      <c r="N83" s="64">
        <v>9.1</v>
      </c>
      <c r="O83" s="64">
        <v>0</v>
      </c>
      <c r="P83" s="64">
        <v>0.88</v>
      </c>
      <c r="Q83" s="64">
        <v>11.57</v>
      </c>
      <c r="R83" s="198"/>
      <c r="S83" s="198"/>
      <c r="T83" s="198"/>
      <c r="U83" s="198"/>
    </row>
    <row r="84" spans="1:26" s="12" customFormat="1" x14ac:dyDescent="0.25">
      <c r="A84" s="214" t="s">
        <v>1284</v>
      </c>
      <c r="B84" s="64">
        <v>11.4</v>
      </c>
      <c r="C84" s="64">
        <v>26.38</v>
      </c>
      <c r="D84" s="64">
        <v>37.78</v>
      </c>
      <c r="E84" s="64">
        <v>1.34</v>
      </c>
      <c r="F84" s="64">
        <v>4.21</v>
      </c>
      <c r="G84" s="64">
        <v>53.4</v>
      </c>
      <c r="H84" s="64">
        <v>14.13</v>
      </c>
      <c r="I84" s="64">
        <v>0.11</v>
      </c>
      <c r="J84" s="64">
        <v>0.06</v>
      </c>
      <c r="K84" s="64">
        <v>6.05</v>
      </c>
      <c r="L84" s="64">
        <v>24.63</v>
      </c>
      <c r="M84" s="64">
        <v>96.4</v>
      </c>
      <c r="N84" s="64">
        <v>8.9</v>
      </c>
      <c r="O84" s="64">
        <v>0</v>
      </c>
      <c r="P84" s="64">
        <v>0.94</v>
      </c>
      <c r="Q84" s="64">
        <v>12.03</v>
      </c>
      <c r="R84" s="198"/>
      <c r="S84" s="198"/>
      <c r="T84" s="198"/>
      <c r="U84" s="198"/>
    </row>
    <row r="85" spans="1:26" s="12" customFormat="1" x14ac:dyDescent="0.25">
      <c r="A85" s="214" t="s">
        <v>1285</v>
      </c>
      <c r="B85" s="64">
        <v>9.17</v>
      </c>
      <c r="C85" s="64">
        <v>21.44</v>
      </c>
      <c r="D85" s="64">
        <v>30.62</v>
      </c>
      <c r="E85" s="64">
        <v>1.51</v>
      </c>
      <c r="F85" s="64">
        <v>4.3600000000000003</v>
      </c>
      <c r="G85" s="64">
        <v>53.4</v>
      </c>
      <c r="H85" s="64">
        <v>14.13</v>
      </c>
      <c r="I85" s="64">
        <v>0.11</v>
      </c>
      <c r="J85" s="64">
        <v>7.0000000000000007E-2</v>
      </c>
      <c r="K85" s="64">
        <v>19.62</v>
      </c>
      <c r="L85" s="64">
        <v>24.52</v>
      </c>
      <c r="M85" s="64">
        <v>96.9</v>
      </c>
      <c r="N85" s="64">
        <v>8.9</v>
      </c>
      <c r="O85" s="64">
        <v>0</v>
      </c>
      <c r="P85" s="64">
        <v>0.81</v>
      </c>
      <c r="Q85" s="64">
        <v>12.33</v>
      </c>
      <c r="R85" s="198"/>
      <c r="S85" s="198"/>
      <c r="T85" s="198"/>
      <c r="U85" s="198"/>
    </row>
    <row r="86" spans="1:26" s="12" customFormat="1" x14ac:dyDescent="0.25">
      <c r="A86" s="214" t="s">
        <v>1286</v>
      </c>
      <c r="B86" s="64">
        <v>7.99</v>
      </c>
      <c r="C86" s="64">
        <v>20.8</v>
      </c>
      <c r="D86" s="64">
        <v>28.79</v>
      </c>
      <c r="E86" s="64">
        <v>1.1499999999999999</v>
      </c>
      <c r="F86" s="64">
        <v>4.33</v>
      </c>
      <c r="G86" s="64">
        <v>53.4</v>
      </c>
      <c r="H86" s="64">
        <v>14.13</v>
      </c>
      <c r="I86" s="64">
        <v>0.11</v>
      </c>
      <c r="J86" s="64">
        <v>0.03</v>
      </c>
      <c r="K86" s="64">
        <v>7.99</v>
      </c>
      <c r="L86" s="64">
        <v>24.45</v>
      </c>
      <c r="M86" s="64">
        <v>97.9</v>
      </c>
      <c r="N86" s="64">
        <v>9</v>
      </c>
      <c r="O86" s="64">
        <v>0</v>
      </c>
      <c r="P86" s="64">
        <v>0.77</v>
      </c>
      <c r="Q86" s="64">
        <v>12.82</v>
      </c>
      <c r="R86" s="198"/>
      <c r="S86" s="198"/>
      <c r="T86" s="198"/>
      <c r="U86" s="198"/>
    </row>
    <row r="87" spans="1:26" s="12" customFormat="1" x14ac:dyDescent="0.25">
      <c r="A87" s="214" t="s">
        <v>1287</v>
      </c>
      <c r="B87" s="64">
        <v>11.07</v>
      </c>
      <c r="C87" s="64">
        <v>19.510000000000002</v>
      </c>
      <c r="D87" s="64">
        <v>30.58</v>
      </c>
      <c r="E87" s="64">
        <v>0.98</v>
      </c>
      <c r="F87" s="64">
        <v>2.1800000000000002</v>
      </c>
      <c r="G87" s="64">
        <v>52.55</v>
      </c>
      <c r="H87" s="64">
        <v>15.72</v>
      </c>
      <c r="I87" s="64">
        <v>0.11</v>
      </c>
      <c r="J87" s="64">
        <v>0.14000000000000001</v>
      </c>
      <c r="K87" s="64">
        <v>16.54</v>
      </c>
      <c r="L87" s="64">
        <v>24.43</v>
      </c>
      <c r="M87" s="64">
        <v>98.1</v>
      </c>
      <c r="N87" s="64">
        <v>8.8000000000000007</v>
      </c>
      <c r="O87" s="64">
        <v>0</v>
      </c>
      <c r="P87" s="64">
        <v>0.87</v>
      </c>
      <c r="Q87" s="64">
        <v>12.21</v>
      </c>
      <c r="R87" s="198"/>
      <c r="S87" s="198"/>
      <c r="T87" s="198"/>
      <c r="U87" s="198"/>
    </row>
    <row r="88" spans="1:26" s="12" customFormat="1" x14ac:dyDescent="0.25">
      <c r="A88" s="214" t="s">
        <v>1288</v>
      </c>
      <c r="B88" s="64">
        <v>11.2</v>
      </c>
      <c r="C88" s="64">
        <v>17.91</v>
      </c>
      <c r="D88" s="64">
        <v>29.11</v>
      </c>
      <c r="E88" s="64">
        <v>0.22</v>
      </c>
      <c r="F88" s="64">
        <v>2.72</v>
      </c>
      <c r="G88" s="64">
        <v>50.44</v>
      </c>
      <c r="H88" s="64">
        <v>18.23</v>
      </c>
      <c r="I88" s="64">
        <v>0.11</v>
      </c>
      <c r="J88" s="64">
        <v>0.11</v>
      </c>
      <c r="K88" s="64">
        <v>28.19</v>
      </c>
      <c r="L88" s="64">
        <v>24.43</v>
      </c>
      <c r="M88" s="64">
        <v>98.25</v>
      </c>
      <c r="N88" s="64">
        <v>8.8000000000000007</v>
      </c>
      <c r="O88" s="64">
        <v>0</v>
      </c>
      <c r="P88" s="64">
        <v>0.95</v>
      </c>
      <c r="Q88" s="64">
        <v>10.91</v>
      </c>
      <c r="R88" s="198"/>
      <c r="S88" s="198"/>
      <c r="T88" s="198"/>
      <c r="U88" s="198"/>
    </row>
    <row r="89" spans="1:26" s="12" customFormat="1" x14ac:dyDescent="0.25">
      <c r="A89" s="214" t="s">
        <v>1289</v>
      </c>
      <c r="B89" s="64">
        <v>10.82</v>
      </c>
      <c r="C89" s="64">
        <v>17.34</v>
      </c>
      <c r="D89" s="64">
        <v>28.15</v>
      </c>
      <c r="E89" s="64">
        <v>0.64</v>
      </c>
      <c r="F89" s="64">
        <v>0.87</v>
      </c>
      <c r="G89" s="64">
        <v>50.44</v>
      </c>
      <c r="H89" s="64">
        <v>18.23</v>
      </c>
      <c r="I89" s="64">
        <v>0.12</v>
      </c>
      <c r="J89" s="64">
        <v>0</v>
      </c>
      <c r="K89" s="64">
        <v>76.25</v>
      </c>
      <c r="L89" s="64">
        <v>24.34</v>
      </c>
      <c r="M89" s="64">
        <v>98.61</v>
      </c>
      <c r="N89" s="64">
        <v>8.8000000000000007</v>
      </c>
      <c r="O89" s="64">
        <v>0</v>
      </c>
      <c r="P89" s="64">
        <v>0.88</v>
      </c>
      <c r="Q89" s="64">
        <v>10.41</v>
      </c>
      <c r="R89" s="198"/>
      <c r="S89" s="198"/>
      <c r="T89" s="198"/>
      <c r="U89" s="198"/>
    </row>
    <row r="90" spans="1:26" s="12" customFormat="1" x14ac:dyDescent="0.25">
      <c r="A90" s="214" t="s">
        <v>1290</v>
      </c>
      <c r="B90" s="64">
        <v>11.42</v>
      </c>
      <c r="C90" s="64">
        <v>20.97</v>
      </c>
      <c r="D90" s="64">
        <v>32.39</v>
      </c>
      <c r="E90" s="64">
        <v>0.82</v>
      </c>
      <c r="F90" s="64">
        <v>4.08</v>
      </c>
      <c r="G90" s="64">
        <v>50.44</v>
      </c>
      <c r="H90" s="64">
        <v>18.23</v>
      </c>
      <c r="I90" s="64">
        <v>0.12</v>
      </c>
      <c r="J90" s="64">
        <v>0.2</v>
      </c>
      <c r="K90" s="64">
        <v>176.32</v>
      </c>
      <c r="L90" s="64">
        <v>24.19</v>
      </c>
      <c r="M90" s="64">
        <v>98.65</v>
      </c>
      <c r="N90" s="64">
        <v>8.8000000000000007</v>
      </c>
      <c r="O90" s="64">
        <v>0</v>
      </c>
      <c r="P90" s="64">
        <v>0.72</v>
      </c>
      <c r="Q90" s="64">
        <v>11.54</v>
      </c>
      <c r="R90" s="198"/>
      <c r="S90" s="198"/>
      <c r="T90" s="198"/>
      <c r="U90" s="198"/>
    </row>
    <row r="91" spans="1:26" s="12" customFormat="1" x14ac:dyDescent="0.25">
      <c r="A91" s="214" t="s">
        <v>1291</v>
      </c>
      <c r="B91" s="64">
        <v>8.57</v>
      </c>
      <c r="C91" s="64">
        <v>18.510000000000002</v>
      </c>
      <c r="D91" s="64">
        <v>27.08</v>
      </c>
      <c r="E91" s="64">
        <v>0.87</v>
      </c>
      <c r="F91" s="64">
        <v>5.14</v>
      </c>
      <c r="G91" s="64">
        <v>50.66</v>
      </c>
      <c r="H91" s="64">
        <v>18.05</v>
      </c>
      <c r="I91" s="64">
        <v>0.12</v>
      </c>
      <c r="J91" s="64">
        <v>0.22</v>
      </c>
      <c r="K91" s="64">
        <v>170.63</v>
      </c>
      <c r="L91" s="64">
        <v>24.05</v>
      </c>
      <c r="M91" s="64">
        <v>98.65</v>
      </c>
      <c r="N91" s="64">
        <v>8.8000000000000007</v>
      </c>
      <c r="O91" s="64">
        <v>0</v>
      </c>
      <c r="P91" s="64">
        <v>0.68</v>
      </c>
      <c r="Q91" s="64">
        <v>10.69</v>
      </c>
      <c r="R91" s="198"/>
      <c r="S91" s="198"/>
      <c r="T91" s="198"/>
      <c r="U91" s="198"/>
    </row>
    <row r="92" spans="1:26" s="12" customFormat="1" x14ac:dyDescent="0.25">
      <c r="A92" s="214" t="s">
        <v>1292</v>
      </c>
      <c r="B92" s="64">
        <v>8.49</v>
      </c>
      <c r="C92" s="64">
        <v>14.89</v>
      </c>
      <c r="D92" s="64">
        <v>23.37</v>
      </c>
      <c r="E92" s="64">
        <v>1.19</v>
      </c>
      <c r="F92" s="64">
        <v>1.97</v>
      </c>
      <c r="G92" s="64">
        <v>51.2</v>
      </c>
      <c r="H92" s="64">
        <v>17.760000000000002</v>
      </c>
      <c r="I92" s="64">
        <v>0.11</v>
      </c>
      <c r="J92" s="64">
        <v>7.0000000000000007E-2</v>
      </c>
      <c r="K92" s="64">
        <v>19.96</v>
      </c>
      <c r="L92" s="64">
        <v>24.01</v>
      </c>
      <c r="M92" s="64">
        <v>98.65</v>
      </c>
      <c r="N92" s="64">
        <v>8.6999999999999993</v>
      </c>
      <c r="O92" s="64">
        <v>0</v>
      </c>
      <c r="P92" s="64">
        <v>0.78</v>
      </c>
      <c r="Q92" s="64">
        <v>11.4</v>
      </c>
      <c r="R92" s="198"/>
      <c r="S92" s="198"/>
      <c r="T92" s="198"/>
      <c r="U92" s="198"/>
    </row>
    <row r="93" spans="1:26" s="12" customFormat="1" x14ac:dyDescent="0.25">
      <c r="A93" s="214" t="s">
        <v>1293</v>
      </c>
      <c r="B93" s="64">
        <v>9.34</v>
      </c>
      <c r="C93" s="64">
        <v>13.79</v>
      </c>
      <c r="D93" s="64">
        <v>23.13</v>
      </c>
      <c r="E93" s="64">
        <v>1.85</v>
      </c>
      <c r="F93" s="64">
        <v>2.08</v>
      </c>
      <c r="G93" s="64">
        <v>51.2</v>
      </c>
      <c r="H93" s="64">
        <v>17.760000000000002</v>
      </c>
      <c r="I93" s="64">
        <v>0.11</v>
      </c>
      <c r="J93" s="64">
        <v>0.19</v>
      </c>
      <c r="K93" s="64">
        <v>33.69</v>
      </c>
      <c r="L93" s="64">
        <v>24.05</v>
      </c>
      <c r="M93" s="64">
        <v>98.31</v>
      </c>
      <c r="N93" s="64">
        <v>8.8000000000000007</v>
      </c>
      <c r="O93" s="64">
        <v>0</v>
      </c>
      <c r="P93" s="64">
        <v>0.79</v>
      </c>
      <c r="Q93" s="64">
        <v>12.88</v>
      </c>
      <c r="R93" s="198"/>
      <c r="S93" s="198"/>
      <c r="T93" s="198"/>
      <c r="U93" s="198"/>
    </row>
    <row r="94" spans="1:26" s="12" customFormat="1" x14ac:dyDescent="0.25">
      <c r="A94" s="214" t="s">
        <v>1294</v>
      </c>
      <c r="B94" s="64">
        <v>9.7899999999999991</v>
      </c>
      <c r="C94" s="64">
        <v>15.69</v>
      </c>
      <c r="D94" s="64">
        <v>25.48</v>
      </c>
      <c r="E94" s="64">
        <v>1.06</v>
      </c>
      <c r="F94" s="64">
        <v>2.0499999999999998</v>
      </c>
      <c r="G94" s="64">
        <v>51.2</v>
      </c>
      <c r="H94" s="64">
        <v>17.760000000000002</v>
      </c>
      <c r="I94" s="64">
        <v>0.11</v>
      </c>
      <c r="J94" s="64">
        <v>0.18</v>
      </c>
      <c r="K94" s="64">
        <v>25.41</v>
      </c>
      <c r="L94" s="64">
        <v>24.01</v>
      </c>
      <c r="M94" s="64">
        <v>96.51</v>
      </c>
      <c r="N94" s="64">
        <v>8.9</v>
      </c>
      <c r="O94" s="64">
        <v>0</v>
      </c>
      <c r="P94" s="64">
        <v>0.8</v>
      </c>
      <c r="Q94" s="64">
        <v>14.83</v>
      </c>
      <c r="R94" s="198"/>
      <c r="S94" s="198"/>
      <c r="T94" s="198"/>
      <c r="U94" s="198"/>
    </row>
    <row r="95" spans="1:26" s="12" customFormat="1" x14ac:dyDescent="0.25">
      <c r="A95" s="214" t="s">
        <v>1295</v>
      </c>
      <c r="B95" s="64">
        <v>9.67</v>
      </c>
      <c r="C95" s="64">
        <v>17.89</v>
      </c>
      <c r="D95" s="64">
        <v>27.56</v>
      </c>
      <c r="E95" s="64">
        <v>1.1499999999999999</v>
      </c>
      <c r="F95" s="64">
        <v>1.96</v>
      </c>
      <c r="G95" s="64">
        <v>50.43</v>
      </c>
      <c r="H95" s="64">
        <v>15.69</v>
      </c>
      <c r="I95" s="64">
        <v>0.11</v>
      </c>
      <c r="J95" s="64">
        <v>0.15</v>
      </c>
      <c r="K95" s="64">
        <v>25.92</v>
      </c>
      <c r="L95" s="64">
        <v>23.92</v>
      </c>
      <c r="M95" s="64">
        <v>96.33</v>
      </c>
      <c r="N95" s="64">
        <v>9</v>
      </c>
      <c r="O95" s="64">
        <v>0</v>
      </c>
      <c r="P95" s="64">
        <v>0.78</v>
      </c>
      <c r="Q95" s="64">
        <v>15.96</v>
      </c>
      <c r="R95" s="198"/>
      <c r="S95" s="198"/>
      <c r="T95" s="198"/>
      <c r="U95" s="198"/>
    </row>
    <row r="96" spans="1:26" s="12" customFormat="1" x14ac:dyDescent="0.25">
      <c r="A96" s="214" t="s">
        <v>1296</v>
      </c>
      <c r="B96" s="64">
        <v>9.94</v>
      </c>
      <c r="C96" s="64">
        <v>16.850000000000001</v>
      </c>
      <c r="D96" s="64">
        <v>26.79</v>
      </c>
      <c r="E96" s="64">
        <v>1.58</v>
      </c>
      <c r="F96" s="64">
        <v>1.47</v>
      </c>
      <c r="G96" s="64">
        <v>48.53</v>
      </c>
      <c r="H96" s="64">
        <v>12.43</v>
      </c>
      <c r="I96" s="64">
        <v>0.11</v>
      </c>
      <c r="J96" s="64">
        <v>0.21</v>
      </c>
      <c r="K96" s="64">
        <v>25.06</v>
      </c>
      <c r="L96" s="64">
        <v>23.96</v>
      </c>
      <c r="M96" s="64">
        <v>96.12</v>
      </c>
      <c r="N96" s="64">
        <v>9</v>
      </c>
      <c r="O96" s="64">
        <v>0</v>
      </c>
      <c r="P96" s="64">
        <v>0.81</v>
      </c>
      <c r="Q96" s="64">
        <v>16.510000000000002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1297</v>
      </c>
      <c r="B97" s="64">
        <v>11.1</v>
      </c>
      <c r="C97" s="64">
        <v>14.71</v>
      </c>
      <c r="D97" s="64">
        <v>25.81</v>
      </c>
      <c r="E97" s="64">
        <v>1.1299999999999999</v>
      </c>
      <c r="F97" s="64">
        <v>1.38</v>
      </c>
      <c r="G97" s="64">
        <v>48.53</v>
      </c>
      <c r="H97" s="64">
        <v>12.43</v>
      </c>
      <c r="I97" s="64">
        <v>0.12</v>
      </c>
      <c r="J97" s="64">
        <v>0.24</v>
      </c>
      <c r="K97" s="64">
        <v>31.25</v>
      </c>
      <c r="L97" s="64">
        <v>24.03</v>
      </c>
      <c r="M97" s="64">
        <v>94.85</v>
      </c>
      <c r="N97" s="64">
        <v>9.1</v>
      </c>
      <c r="O97" s="64">
        <v>0</v>
      </c>
      <c r="P97" s="64">
        <v>0.79</v>
      </c>
      <c r="Q97" s="64">
        <v>17.010000000000002</v>
      </c>
      <c r="R97" s="198"/>
      <c r="S97" s="198"/>
      <c r="T97" s="198"/>
      <c r="U97" s="198"/>
    </row>
    <row r="98" spans="1:33" s="12" customFormat="1" x14ac:dyDescent="0.25">
      <c r="A98" s="214" t="s">
        <v>1298</v>
      </c>
      <c r="B98" s="64">
        <v>9.67</v>
      </c>
      <c r="C98" s="64">
        <v>13.2</v>
      </c>
      <c r="D98" s="64">
        <v>22.87</v>
      </c>
      <c r="E98" s="64">
        <v>1.08</v>
      </c>
      <c r="F98" s="64">
        <v>1.17</v>
      </c>
      <c r="G98" s="64">
        <v>48.53</v>
      </c>
      <c r="H98" s="64">
        <v>12.43</v>
      </c>
      <c r="I98" s="64">
        <v>0.12</v>
      </c>
      <c r="J98" s="64">
        <v>0.21</v>
      </c>
      <c r="K98" s="64">
        <v>22.39</v>
      </c>
      <c r="L98" s="64">
        <v>23.94</v>
      </c>
      <c r="M98" s="64">
        <v>94.75</v>
      </c>
      <c r="N98" s="64">
        <v>9.1</v>
      </c>
      <c r="O98" s="64">
        <v>0</v>
      </c>
      <c r="P98" s="64">
        <v>0.76</v>
      </c>
      <c r="Q98" s="64">
        <v>17.27</v>
      </c>
      <c r="R98" s="198"/>
      <c r="S98" s="198"/>
      <c r="T98" s="198"/>
      <c r="U98" s="198"/>
    </row>
    <row r="99" spans="1:33" s="12" customFormat="1" x14ac:dyDescent="0.25">
      <c r="A99" s="214" t="s">
        <v>1299</v>
      </c>
      <c r="B99" s="64">
        <v>9.0399999999999991</v>
      </c>
      <c r="C99" s="64">
        <v>12.39</v>
      </c>
      <c r="D99" s="64">
        <v>21.42</v>
      </c>
      <c r="E99" s="64">
        <v>0.79</v>
      </c>
      <c r="F99" s="64">
        <v>1.06</v>
      </c>
      <c r="G99" s="64">
        <v>46.72</v>
      </c>
      <c r="H99" s="64">
        <v>11.45</v>
      </c>
      <c r="I99" s="64">
        <v>0.12</v>
      </c>
      <c r="J99" s="64">
        <v>0.23</v>
      </c>
      <c r="K99" s="64">
        <v>31.05</v>
      </c>
      <c r="L99" s="64">
        <v>23.84</v>
      </c>
      <c r="M99" s="64">
        <v>95.66</v>
      </c>
      <c r="N99" s="64">
        <v>9.1</v>
      </c>
      <c r="O99" s="64">
        <v>0</v>
      </c>
      <c r="P99" s="64">
        <v>0.73</v>
      </c>
      <c r="Q99" s="64">
        <v>16.11</v>
      </c>
      <c r="R99" s="198"/>
      <c r="S99" s="198"/>
      <c r="T99" s="198"/>
      <c r="U99" s="198"/>
    </row>
    <row r="100" spans="1:33" s="12" customFormat="1" x14ac:dyDescent="0.25">
      <c r="A100" s="214" t="s">
        <v>1300</v>
      </c>
      <c r="B100" s="64">
        <v>8.36</v>
      </c>
      <c r="C100" s="64">
        <v>11.82</v>
      </c>
      <c r="D100" s="64">
        <v>20.18</v>
      </c>
      <c r="E100" s="64">
        <v>0.85</v>
      </c>
      <c r="F100" s="64">
        <v>1.21</v>
      </c>
      <c r="G100" s="64">
        <v>42.26</v>
      </c>
      <c r="H100" s="64">
        <v>9.91</v>
      </c>
      <c r="I100" s="64">
        <v>0.12</v>
      </c>
      <c r="J100" s="64">
        <v>0.26</v>
      </c>
      <c r="K100" s="64">
        <v>31.45</v>
      </c>
      <c r="L100" s="64">
        <v>23.73</v>
      </c>
      <c r="M100" s="64">
        <v>96.77</v>
      </c>
      <c r="N100" s="64">
        <v>9.1</v>
      </c>
      <c r="O100" s="64">
        <v>0</v>
      </c>
      <c r="P100" s="64">
        <v>0.71</v>
      </c>
      <c r="Q100" s="64">
        <v>14.76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1301</v>
      </c>
      <c r="B101" s="64">
        <v>7.75</v>
      </c>
      <c r="C101" s="64">
        <v>11.93</v>
      </c>
      <c r="D101" s="64">
        <v>19.68</v>
      </c>
      <c r="E101" s="64">
        <v>1.08</v>
      </c>
      <c r="F101" s="64">
        <v>1.07</v>
      </c>
      <c r="G101" s="64">
        <v>42.26</v>
      </c>
      <c r="H101" s="64">
        <v>9.91</v>
      </c>
      <c r="I101" s="64">
        <v>0.12</v>
      </c>
      <c r="J101" s="64">
        <v>0.17</v>
      </c>
      <c r="K101" s="64">
        <v>35.159999999999997</v>
      </c>
      <c r="L101" s="64">
        <v>23.61</v>
      </c>
      <c r="M101" s="64">
        <v>97.94</v>
      </c>
      <c r="N101" s="64">
        <v>9</v>
      </c>
      <c r="O101" s="64">
        <v>0</v>
      </c>
      <c r="P101" s="64">
        <v>0.68</v>
      </c>
      <c r="Q101" s="64">
        <v>15.78</v>
      </c>
      <c r="R101" s="198"/>
      <c r="S101" s="198"/>
      <c r="T101" s="198"/>
      <c r="U101" s="198"/>
    </row>
    <row r="102" spans="1:33" s="12" customFormat="1" x14ac:dyDescent="0.25">
      <c r="A102" s="214" t="s">
        <v>1302</v>
      </c>
      <c r="B102" s="64">
        <v>7.26</v>
      </c>
      <c r="C102" s="64">
        <v>12.26</v>
      </c>
      <c r="D102" s="64">
        <v>19.52</v>
      </c>
      <c r="E102" s="64">
        <v>0.81</v>
      </c>
      <c r="F102" s="64">
        <v>1.87</v>
      </c>
      <c r="G102" s="64">
        <v>42.26</v>
      </c>
      <c r="H102" s="64">
        <v>9.91</v>
      </c>
      <c r="I102" s="64">
        <v>0.12</v>
      </c>
      <c r="J102" s="64">
        <v>0.19</v>
      </c>
      <c r="K102" s="64">
        <v>30.79</v>
      </c>
      <c r="L102" s="64">
        <v>23.55</v>
      </c>
      <c r="M102" s="64">
        <v>98.46</v>
      </c>
      <c r="N102" s="64">
        <v>9</v>
      </c>
      <c r="O102" s="64">
        <v>0</v>
      </c>
      <c r="P102" s="64">
        <v>0.63</v>
      </c>
      <c r="Q102" s="64">
        <v>15.2</v>
      </c>
      <c r="R102" s="198"/>
      <c r="S102" s="198"/>
      <c r="T102" s="198"/>
      <c r="U102" s="198"/>
    </row>
    <row r="103" spans="1:33" s="12" customFormat="1" x14ac:dyDescent="0.25">
      <c r="A103" s="214" t="s">
        <v>1303</v>
      </c>
      <c r="B103" s="64">
        <v>7.12</v>
      </c>
      <c r="C103" s="64">
        <v>11.65</v>
      </c>
      <c r="D103" s="64">
        <v>18.77</v>
      </c>
      <c r="E103" s="64">
        <v>1.27</v>
      </c>
      <c r="F103" s="64">
        <v>1.1599999999999999</v>
      </c>
      <c r="G103" s="64">
        <v>40.090000000000003</v>
      </c>
      <c r="H103" s="64">
        <v>10.67</v>
      </c>
      <c r="I103" s="64">
        <v>0.11</v>
      </c>
      <c r="J103" s="64">
        <v>0.13</v>
      </c>
      <c r="K103" s="64">
        <v>33.51</v>
      </c>
      <c r="L103" s="64">
        <v>23.48</v>
      </c>
      <c r="M103" s="64">
        <v>98.57</v>
      </c>
      <c r="N103" s="64">
        <v>8.9</v>
      </c>
      <c r="O103" s="64">
        <v>0</v>
      </c>
      <c r="P103" s="64">
        <v>0.64</v>
      </c>
      <c r="Q103" s="64">
        <v>15.29</v>
      </c>
      <c r="R103" s="198"/>
      <c r="S103" s="198"/>
      <c r="T103" s="198"/>
      <c r="U103" s="198"/>
    </row>
    <row r="104" spans="1:33" s="12" customFormat="1" x14ac:dyDescent="0.25">
      <c r="A104" s="214" t="s">
        <v>1304</v>
      </c>
      <c r="B104" s="64">
        <v>6.71</v>
      </c>
      <c r="C104" s="64">
        <v>11.49</v>
      </c>
      <c r="D104" s="64">
        <v>18.2</v>
      </c>
      <c r="E104" s="64">
        <v>1.07</v>
      </c>
      <c r="F104" s="64">
        <v>1.27</v>
      </c>
      <c r="G104" s="64">
        <v>34.78</v>
      </c>
      <c r="H104" s="64">
        <v>13.48</v>
      </c>
      <c r="I104" s="64">
        <v>0.12</v>
      </c>
      <c r="J104" s="64">
        <v>0.17</v>
      </c>
      <c r="K104" s="64">
        <v>27.6</v>
      </c>
      <c r="L104" s="64">
        <v>23.38</v>
      </c>
      <c r="M104" s="64">
        <v>98.65</v>
      </c>
      <c r="N104" s="64">
        <v>8.8000000000000007</v>
      </c>
      <c r="O104" s="64">
        <v>0</v>
      </c>
      <c r="P104" s="64">
        <v>0.57999999999999996</v>
      </c>
      <c r="Q104" s="64">
        <v>15.44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</v>
      </c>
      <c r="C106" s="67">
        <f>MIN(C9:C104)</f>
        <v>5.65</v>
      </c>
      <c r="D106" s="67">
        <f t="shared" ref="D106:Q106" si="0">MIN(D9:D104)</f>
        <v>9.3000000000000007</v>
      </c>
      <c r="E106" s="67">
        <f t="shared" si="0"/>
        <v>0.06</v>
      </c>
      <c r="F106" s="67">
        <f t="shared" si="0"/>
        <v>0.13</v>
      </c>
      <c r="G106" s="67">
        <f t="shared" si="0"/>
        <v>14.14</v>
      </c>
      <c r="H106" s="67">
        <f t="shared" si="0"/>
        <v>5.81</v>
      </c>
      <c r="I106" s="67">
        <f t="shared" si="0"/>
        <v>0.1</v>
      </c>
      <c r="J106" s="67">
        <f t="shared" si="0"/>
        <v>0</v>
      </c>
      <c r="K106" s="67">
        <f t="shared" si="0"/>
        <v>6.05</v>
      </c>
      <c r="L106" s="67">
        <f t="shared" si="0"/>
        <v>22.59</v>
      </c>
      <c r="M106" s="67">
        <f t="shared" si="0"/>
        <v>77.28</v>
      </c>
      <c r="N106" s="67">
        <f t="shared" si="0"/>
        <v>8.6999999999999993</v>
      </c>
      <c r="O106" s="67">
        <f t="shared" si="0"/>
        <v>0</v>
      </c>
      <c r="P106" s="67">
        <f t="shared" si="0"/>
        <v>0.25</v>
      </c>
      <c r="Q106" s="67">
        <f t="shared" si="0"/>
        <v>6.32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223.25</v>
      </c>
      <c r="C107" s="66">
        <f t="shared" ref="C107:Q107" si="1">MAX(C9:C104)</f>
        <v>33.479999999999997</v>
      </c>
      <c r="D107" s="66">
        <f t="shared" si="1"/>
        <v>237.94</v>
      </c>
      <c r="E107" s="66">
        <f t="shared" si="1"/>
        <v>157.75</v>
      </c>
      <c r="F107" s="66">
        <f t="shared" si="1"/>
        <v>6.48</v>
      </c>
      <c r="G107" s="66">
        <f t="shared" si="1"/>
        <v>60.71</v>
      </c>
      <c r="H107" s="66">
        <f t="shared" si="1"/>
        <v>26.68</v>
      </c>
      <c r="I107" s="66">
        <f t="shared" si="1"/>
        <v>0.13</v>
      </c>
      <c r="J107" s="66">
        <f t="shared" si="1"/>
        <v>0.74</v>
      </c>
      <c r="K107" s="66">
        <f t="shared" si="1"/>
        <v>359.93</v>
      </c>
      <c r="L107" s="66">
        <f t="shared" si="1"/>
        <v>28.21</v>
      </c>
      <c r="M107" s="66">
        <f t="shared" si="1"/>
        <v>98.68</v>
      </c>
      <c r="N107" s="66">
        <f t="shared" si="1"/>
        <v>419.6</v>
      </c>
      <c r="O107" s="66">
        <f t="shared" si="1"/>
        <v>0.2</v>
      </c>
      <c r="P107" s="66">
        <f t="shared" si="1"/>
        <v>4.5</v>
      </c>
      <c r="Q107" s="66">
        <f t="shared" si="1"/>
        <v>19.64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12.893333333333331</v>
      </c>
      <c r="C108" s="67">
        <f t="shared" ref="C108:Q108" si="2">AVERAGE(C9:C104)</f>
        <v>14.337708333333339</v>
      </c>
      <c r="D108" s="67">
        <f t="shared" si="2"/>
        <v>27.228854166666665</v>
      </c>
      <c r="E108" s="67">
        <f t="shared" si="2"/>
        <v>4.5930208333333331</v>
      </c>
      <c r="F108" s="67">
        <f t="shared" si="2"/>
        <v>2.2065625000000004</v>
      </c>
      <c r="G108" s="67">
        <f t="shared" si="2"/>
        <v>36.702043010752696</v>
      </c>
      <c r="H108" s="67">
        <f t="shared" si="2"/>
        <v>12.894623655913986</v>
      </c>
      <c r="I108" s="67">
        <f t="shared" si="2"/>
        <v>0.11427083333333322</v>
      </c>
      <c r="J108" s="67">
        <f t="shared" si="2"/>
        <v>0.23770833333333338</v>
      </c>
      <c r="K108" s="67">
        <f t="shared" si="2"/>
        <v>138.41041666666663</v>
      </c>
      <c r="L108" s="67">
        <f t="shared" si="2"/>
        <v>24.713750000000019</v>
      </c>
      <c r="M108" s="67">
        <f t="shared" si="2"/>
        <v>92.575208333333308</v>
      </c>
      <c r="N108" s="67">
        <f t="shared" si="2"/>
        <v>99.683333333333323</v>
      </c>
      <c r="O108" s="67">
        <f t="shared" si="2"/>
        <v>2.0833333333333333E-3</v>
      </c>
      <c r="P108" s="67">
        <f t="shared" si="2"/>
        <v>0.57989583333333339</v>
      </c>
      <c r="Q108" s="67">
        <f t="shared" si="2"/>
        <v>12.8021875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27.573528177227359</v>
      </c>
      <c r="C109" s="67">
        <f t="shared" ref="C109:Q109" si="3">STDEV(C9:C104)</f>
        <v>5.5701133843069099</v>
      </c>
      <c r="D109" s="67">
        <f t="shared" si="3"/>
        <v>27.887935058572197</v>
      </c>
      <c r="E109" s="67">
        <f t="shared" si="3"/>
        <v>21.280901896192066</v>
      </c>
      <c r="F109" s="67">
        <f t="shared" si="3"/>
        <v>1.2661785258053166</v>
      </c>
      <c r="G109" s="67">
        <f t="shared" si="3"/>
        <v>13.031519945312844</v>
      </c>
      <c r="H109" s="67">
        <f t="shared" si="3"/>
        <v>5.3621887888086714</v>
      </c>
      <c r="I109" s="67">
        <f t="shared" si="3"/>
        <v>6.281935951459993E-3</v>
      </c>
      <c r="J109" s="67">
        <f t="shared" si="3"/>
        <v>0.15061613226426168</v>
      </c>
      <c r="K109" s="67">
        <f t="shared" si="3"/>
        <v>137.95089291725037</v>
      </c>
      <c r="L109" s="67">
        <f t="shared" si="3"/>
        <v>1.8299423344380068</v>
      </c>
      <c r="M109" s="67">
        <f t="shared" si="3"/>
        <v>7.7821888382405042</v>
      </c>
      <c r="N109" s="67">
        <f t="shared" si="3"/>
        <v>116.18721975797393</v>
      </c>
      <c r="O109" s="67">
        <f t="shared" si="3"/>
        <v>2.0412414523193152E-2</v>
      </c>
      <c r="P109" s="67">
        <f t="shared" si="3"/>
        <v>0.4530214234312982</v>
      </c>
      <c r="Q109" s="67">
        <f t="shared" si="3"/>
        <v>3.2963581828643562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1305</v>
      </c>
      <c r="B9" s="64">
        <v>6.21</v>
      </c>
      <c r="C9" s="64">
        <v>10.89</v>
      </c>
      <c r="D9" s="64">
        <v>17.11</v>
      </c>
      <c r="E9" s="64">
        <v>1.69</v>
      </c>
      <c r="F9" s="64">
        <v>2.5499999999999998</v>
      </c>
      <c r="G9" s="64">
        <v>34.78</v>
      </c>
      <c r="H9" s="64">
        <v>13.48</v>
      </c>
      <c r="I9" s="64">
        <v>0.12</v>
      </c>
      <c r="J9" s="64">
        <v>0.11</v>
      </c>
      <c r="K9" s="64">
        <v>33.53</v>
      </c>
      <c r="L9" s="64">
        <v>23.35</v>
      </c>
      <c r="M9" s="64">
        <v>98.65</v>
      </c>
      <c r="N9" s="64">
        <v>8.8000000000000007</v>
      </c>
      <c r="O9" s="64">
        <v>0</v>
      </c>
      <c r="P9" s="64">
        <v>0.57999999999999996</v>
      </c>
      <c r="Q9" s="64">
        <v>19.41</v>
      </c>
      <c r="R9" s="198"/>
      <c r="S9" s="198"/>
      <c r="T9" s="198"/>
      <c r="U9" s="198"/>
    </row>
    <row r="10" spans="1:21" s="12" customFormat="1" x14ac:dyDescent="0.25">
      <c r="A10" s="214" t="s">
        <v>1306</v>
      </c>
      <c r="B10" s="64">
        <v>5.95</v>
      </c>
      <c r="C10" s="64">
        <v>11.51</v>
      </c>
      <c r="D10" s="64">
        <v>17.46</v>
      </c>
      <c r="E10" s="64">
        <v>1.89</v>
      </c>
      <c r="F10" s="64">
        <v>1.28</v>
      </c>
      <c r="G10" s="64">
        <v>34.78</v>
      </c>
      <c r="H10" s="64">
        <v>13.48</v>
      </c>
      <c r="I10" s="64">
        <v>0.12</v>
      </c>
      <c r="J10" s="64">
        <v>0.22</v>
      </c>
      <c r="K10" s="64">
        <v>16.7</v>
      </c>
      <c r="L10" s="64">
        <v>23.29</v>
      </c>
      <c r="M10" s="64">
        <v>98.65</v>
      </c>
      <c r="N10" s="64">
        <v>8.8000000000000007</v>
      </c>
      <c r="O10" s="64">
        <v>0</v>
      </c>
      <c r="P10" s="64">
        <v>0.56000000000000005</v>
      </c>
      <c r="Q10" s="64">
        <v>22.67</v>
      </c>
      <c r="R10" s="198"/>
      <c r="S10" s="198"/>
      <c r="T10" s="198"/>
      <c r="U10" s="198"/>
    </row>
    <row r="11" spans="1:21" s="12" customFormat="1" x14ac:dyDescent="0.25">
      <c r="A11" s="214" t="s">
        <v>1307</v>
      </c>
      <c r="B11" s="64">
        <v>5.88</v>
      </c>
      <c r="C11" s="64">
        <v>10.81</v>
      </c>
      <c r="D11" s="64">
        <v>16.690000000000001</v>
      </c>
      <c r="E11" s="64">
        <v>2.38</v>
      </c>
      <c r="F11" s="64">
        <v>0.88</v>
      </c>
      <c r="G11" s="64">
        <v>34.520000000000003</v>
      </c>
      <c r="H11" s="64">
        <v>14.13</v>
      </c>
      <c r="I11" s="64">
        <v>0.11</v>
      </c>
      <c r="J11" s="64">
        <v>0.22</v>
      </c>
      <c r="K11" s="64">
        <v>29.04</v>
      </c>
      <c r="L11" s="64">
        <v>23.28</v>
      </c>
      <c r="M11" s="64">
        <v>98.65</v>
      </c>
      <c r="N11" s="64">
        <v>8.8000000000000007</v>
      </c>
      <c r="O11" s="64">
        <v>0</v>
      </c>
      <c r="P11" s="64">
        <v>0.54</v>
      </c>
      <c r="Q11" s="64">
        <v>24.18</v>
      </c>
      <c r="R11" s="198"/>
      <c r="S11" s="198"/>
      <c r="T11" s="198"/>
      <c r="U11" s="198"/>
    </row>
    <row r="12" spans="1:21" s="12" customFormat="1" x14ac:dyDescent="0.25">
      <c r="A12" s="214" t="s">
        <v>1308</v>
      </c>
      <c r="B12" s="64">
        <v>5.62</v>
      </c>
      <c r="C12" s="64">
        <v>10.57</v>
      </c>
      <c r="D12" s="64">
        <v>16.190000000000001</v>
      </c>
      <c r="E12" s="64">
        <v>2.77</v>
      </c>
      <c r="F12" s="64">
        <v>1.29</v>
      </c>
      <c r="G12" s="64">
        <v>33.89</v>
      </c>
      <c r="H12" s="64">
        <v>15.14</v>
      </c>
      <c r="I12" s="64">
        <v>0.12</v>
      </c>
      <c r="J12" s="64">
        <v>0.15</v>
      </c>
      <c r="K12" s="64">
        <v>19.98</v>
      </c>
      <c r="L12" s="64">
        <v>23.23</v>
      </c>
      <c r="M12" s="64">
        <v>98.66</v>
      </c>
      <c r="N12" s="64">
        <v>8.8000000000000007</v>
      </c>
      <c r="O12" s="64">
        <v>0</v>
      </c>
      <c r="P12" s="64">
        <v>0.51</v>
      </c>
      <c r="Q12" s="64">
        <v>23.27</v>
      </c>
      <c r="R12" s="198"/>
      <c r="S12" s="198"/>
      <c r="T12" s="198"/>
      <c r="U12" s="198"/>
    </row>
    <row r="13" spans="1:21" s="12" customFormat="1" x14ac:dyDescent="0.25">
      <c r="A13" s="214" t="s">
        <v>1309</v>
      </c>
      <c r="B13" s="64">
        <v>5.53</v>
      </c>
      <c r="C13" s="64">
        <v>10.02</v>
      </c>
      <c r="D13" s="64">
        <v>15.55</v>
      </c>
      <c r="E13" s="64">
        <v>1.5</v>
      </c>
      <c r="F13" s="64">
        <v>1.1499999999999999</v>
      </c>
      <c r="G13" s="64">
        <v>33.89</v>
      </c>
      <c r="H13" s="64">
        <v>15.14</v>
      </c>
      <c r="I13" s="64">
        <v>0.12</v>
      </c>
      <c r="J13" s="64">
        <v>0.18</v>
      </c>
      <c r="K13" s="64">
        <v>20.73</v>
      </c>
      <c r="L13" s="64">
        <v>23.15</v>
      </c>
      <c r="M13" s="64">
        <v>98.7</v>
      </c>
      <c r="N13" s="64">
        <v>8.8000000000000007</v>
      </c>
      <c r="O13" s="64">
        <v>0</v>
      </c>
      <c r="P13" s="64">
        <v>0.49</v>
      </c>
      <c r="Q13" s="64">
        <v>24.14</v>
      </c>
      <c r="R13" s="198"/>
      <c r="S13" s="198"/>
      <c r="T13" s="198"/>
      <c r="U13" s="198"/>
    </row>
    <row r="14" spans="1:21" s="12" customFormat="1" x14ac:dyDescent="0.25">
      <c r="A14" s="214" t="s">
        <v>1310</v>
      </c>
      <c r="B14" s="64">
        <v>5.39</v>
      </c>
      <c r="C14" s="64">
        <v>9.89</v>
      </c>
      <c r="D14" s="64">
        <v>15.29</v>
      </c>
      <c r="E14" s="64">
        <v>2.0099999999999998</v>
      </c>
      <c r="F14" s="64">
        <v>0.38</v>
      </c>
      <c r="G14" s="64">
        <v>33.89</v>
      </c>
      <c r="H14" s="64">
        <v>15.14</v>
      </c>
      <c r="I14" s="64">
        <v>0.12</v>
      </c>
      <c r="J14" s="64">
        <v>0.19</v>
      </c>
      <c r="K14" s="64">
        <v>29.67</v>
      </c>
      <c r="L14" s="64">
        <v>23.15</v>
      </c>
      <c r="M14" s="64">
        <v>98.7</v>
      </c>
      <c r="N14" s="64">
        <v>8.6999999999999993</v>
      </c>
      <c r="O14" s="64">
        <v>0</v>
      </c>
      <c r="P14" s="64">
        <v>0.48</v>
      </c>
      <c r="Q14" s="64">
        <v>27.47</v>
      </c>
      <c r="R14" s="198"/>
      <c r="S14" s="198"/>
      <c r="T14" s="198"/>
      <c r="U14" s="198"/>
    </row>
    <row r="15" spans="1:21" s="12" customFormat="1" x14ac:dyDescent="0.25">
      <c r="A15" s="214" t="s">
        <v>1311</v>
      </c>
      <c r="B15" s="64">
        <v>5.13</v>
      </c>
      <c r="C15" s="64">
        <v>9.36</v>
      </c>
      <c r="D15" s="64">
        <v>14.48</v>
      </c>
      <c r="E15" s="64">
        <v>1.93</v>
      </c>
      <c r="F15" s="64">
        <v>1.67</v>
      </c>
      <c r="G15" s="64">
        <v>32.39</v>
      </c>
      <c r="H15" s="64">
        <v>13.93</v>
      </c>
      <c r="I15" s="64">
        <v>0.12</v>
      </c>
      <c r="J15" s="64">
        <v>0.16</v>
      </c>
      <c r="K15" s="64">
        <v>26.62</v>
      </c>
      <c r="L15" s="64">
        <v>23.04</v>
      </c>
      <c r="M15" s="64">
        <v>98.7</v>
      </c>
      <c r="N15" s="64">
        <v>8.8000000000000007</v>
      </c>
      <c r="O15" s="64">
        <v>0</v>
      </c>
      <c r="P15" s="64">
        <v>0.43</v>
      </c>
      <c r="Q15" s="64">
        <v>25.98</v>
      </c>
      <c r="R15" s="198"/>
      <c r="S15" s="198"/>
      <c r="T15" s="198"/>
      <c r="U15" s="198"/>
    </row>
    <row r="16" spans="1:21" s="12" customFormat="1" x14ac:dyDescent="0.25">
      <c r="A16" s="214" t="s">
        <v>1312</v>
      </c>
      <c r="B16" s="64">
        <v>4.96</v>
      </c>
      <c r="C16" s="64">
        <v>8.92</v>
      </c>
      <c r="D16" s="64">
        <v>13.87</v>
      </c>
      <c r="E16" s="64">
        <v>1.67</v>
      </c>
      <c r="F16" s="64">
        <v>0.74</v>
      </c>
      <c r="G16" s="64">
        <v>28.69</v>
      </c>
      <c r="H16" s="64">
        <v>11.94</v>
      </c>
      <c r="I16" s="64">
        <v>0.12</v>
      </c>
      <c r="J16" s="64">
        <v>0.17</v>
      </c>
      <c r="K16" s="64">
        <v>30.17</v>
      </c>
      <c r="L16" s="64">
        <v>22.97</v>
      </c>
      <c r="M16" s="64">
        <v>98.7</v>
      </c>
      <c r="N16" s="64">
        <v>8.8000000000000007</v>
      </c>
      <c r="O16" s="64">
        <v>0</v>
      </c>
      <c r="P16" s="64">
        <v>0.43</v>
      </c>
      <c r="Q16" s="64">
        <v>23.72</v>
      </c>
      <c r="R16" s="198"/>
      <c r="S16" s="198"/>
      <c r="T16" s="198"/>
      <c r="U16" s="198"/>
    </row>
    <row r="17" spans="1:21" s="12" customFormat="1" x14ac:dyDescent="0.25">
      <c r="A17" s="214" t="s">
        <v>1313</v>
      </c>
      <c r="B17" s="64">
        <v>4.9000000000000004</v>
      </c>
      <c r="C17" s="64">
        <v>8.81</v>
      </c>
      <c r="D17" s="64">
        <v>13.71</v>
      </c>
      <c r="E17" s="64">
        <v>1.68</v>
      </c>
      <c r="F17" s="64">
        <v>0.49</v>
      </c>
      <c r="G17" s="64">
        <v>28.69</v>
      </c>
      <c r="H17" s="64">
        <v>11.94</v>
      </c>
      <c r="I17" s="64">
        <v>0.12</v>
      </c>
      <c r="J17" s="64">
        <v>0.19</v>
      </c>
      <c r="K17" s="64">
        <v>34.17</v>
      </c>
      <c r="L17" s="64">
        <v>22.96</v>
      </c>
      <c r="M17" s="64">
        <v>98.7</v>
      </c>
      <c r="N17" s="64">
        <v>8.8000000000000007</v>
      </c>
      <c r="O17" s="64">
        <v>0</v>
      </c>
      <c r="P17" s="64">
        <v>0.43</v>
      </c>
      <c r="Q17" s="64">
        <v>18.54</v>
      </c>
      <c r="R17" s="198"/>
      <c r="S17" s="198"/>
      <c r="T17" s="198"/>
      <c r="U17" s="198"/>
    </row>
    <row r="18" spans="1:21" s="12" customFormat="1" x14ac:dyDescent="0.25">
      <c r="A18" s="214" t="s">
        <v>1314</v>
      </c>
      <c r="B18" s="64">
        <v>4.8600000000000003</v>
      </c>
      <c r="C18" s="64">
        <v>8.8000000000000007</v>
      </c>
      <c r="D18" s="64">
        <v>13.66</v>
      </c>
      <c r="E18" s="64">
        <v>1.91</v>
      </c>
      <c r="F18" s="64">
        <v>0.85</v>
      </c>
      <c r="G18" s="64">
        <v>28.69</v>
      </c>
      <c r="H18" s="64">
        <v>11.94</v>
      </c>
      <c r="I18" s="64">
        <v>0.12</v>
      </c>
      <c r="J18" s="64">
        <v>0.14000000000000001</v>
      </c>
      <c r="K18" s="64">
        <v>45.81</v>
      </c>
      <c r="L18" s="64">
        <v>22.87</v>
      </c>
      <c r="M18" s="64">
        <v>98.7</v>
      </c>
      <c r="N18" s="64">
        <v>8.8000000000000007</v>
      </c>
      <c r="O18" s="64">
        <v>0</v>
      </c>
      <c r="P18" s="64">
        <v>0.43</v>
      </c>
      <c r="Q18" s="64">
        <v>10.65</v>
      </c>
      <c r="R18" s="198"/>
      <c r="S18" s="198"/>
      <c r="T18" s="198"/>
      <c r="U18" s="198"/>
    </row>
    <row r="19" spans="1:21" s="12" customFormat="1" x14ac:dyDescent="0.25">
      <c r="A19" s="214" t="s">
        <v>1315</v>
      </c>
      <c r="B19" s="64">
        <v>4.8</v>
      </c>
      <c r="C19" s="64">
        <v>8.89</v>
      </c>
      <c r="D19" s="64">
        <v>13.69</v>
      </c>
      <c r="E19" s="64">
        <v>1.61</v>
      </c>
      <c r="F19" s="64">
        <v>0.78</v>
      </c>
      <c r="G19" s="64">
        <v>29.6</v>
      </c>
      <c r="H19" s="64">
        <v>12.34</v>
      </c>
      <c r="I19" s="64">
        <v>0.12</v>
      </c>
      <c r="J19" s="64">
        <v>0.16</v>
      </c>
      <c r="K19" s="64">
        <v>34.14</v>
      </c>
      <c r="L19" s="64">
        <v>22.82</v>
      </c>
      <c r="M19" s="64">
        <v>98.7</v>
      </c>
      <c r="N19" s="64">
        <v>8.6999999999999993</v>
      </c>
      <c r="O19" s="64">
        <v>0</v>
      </c>
      <c r="P19" s="64">
        <v>0.44</v>
      </c>
      <c r="Q19" s="64">
        <v>8.41</v>
      </c>
      <c r="R19" s="198"/>
      <c r="S19" s="198"/>
      <c r="T19" s="198"/>
      <c r="U19" s="198"/>
    </row>
    <row r="20" spans="1:21" s="12" customFormat="1" x14ac:dyDescent="0.25">
      <c r="A20" s="214" t="s">
        <v>1316</v>
      </c>
      <c r="B20" s="64">
        <v>4.6500000000000004</v>
      </c>
      <c r="C20" s="64">
        <v>9.0299999999999994</v>
      </c>
      <c r="D20" s="64">
        <v>13.68</v>
      </c>
      <c r="E20" s="64">
        <v>1.41</v>
      </c>
      <c r="F20" s="64">
        <v>1.07</v>
      </c>
      <c r="G20" s="64">
        <v>31.84</v>
      </c>
      <c r="H20" s="64">
        <v>13.01</v>
      </c>
      <c r="I20" s="64">
        <v>0.12</v>
      </c>
      <c r="J20" s="64">
        <v>0.17</v>
      </c>
      <c r="K20" s="64">
        <v>45.42</v>
      </c>
      <c r="L20" s="64">
        <v>22.79</v>
      </c>
      <c r="M20" s="64">
        <v>98.7</v>
      </c>
      <c r="N20" s="64">
        <v>8.6999999999999993</v>
      </c>
      <c r="O20" s="64">
        <v>0</v>
      </c>
      <c r="P20" s="64">
        <v>0.44</v>
      </c>
      <c r="Q20" s="64">
        <v>6.68</v>
      </c>
      <c r="R20" s="198"/>
      <c r="S20" s="198"/>
      <c r="T20" s="198"/>
      <c r="U20" s="198"/>
    </row>
    <row r="21" spans="1:21" s="12" customFormat="1" x14ac:dyDescent="0.25">
      <c r="A21" s="214" t="s">
        <v>1317</v>
      </c>
      <c r="B21" s="64">
        <v>4.71</v>
      </c>
      <c r="C21" s="64">
        <v>9.64</v>
      </c>
      <c r="D21" s="64">
        <v>14.35</v>
      </c>
      <c r="E21" s="64">
        <v>1.84</v>
      </c>
      <c r="F21" s="64">
        <v>1.21</v>
      </c>
      <c r="G21" s="64">
        <v>31.84</v>
      </c>
      <c r="H21" s="64">
        <v>13.01</v>
      </c>
      <c r="I21" s="64">
        <v>0.12</v>
      </c>
      <c r="J21" s="64">
        <v>0.17</v>
      </c>
      <c r="K21" s="64">
        <v>12.78</v>
      </c>
      <c r="L21" s="64">
        <v>22.83</v>
      </c>
      <c r="M21" s="64">
        <v>98.7</v>
      </c>
      <c r="N21" s="64">
        <v>8.8000000000000007</v>
      </c>
      <c r="O21" s="64">
        <v>0</v>
      </c>
      <c r="P21" s="64">
        <v>0.47</v>
      </c>
      <c r="Q21" s="64">
        <v>7.68</v>
      </c>
      <c r="R21" s="198"/>
      <c r="S21" s="198"/>
      <c r="T21" s="198"/>
      <c r="U21" s="198"/>
    </row>
    <row r="22" spans="1:21" s="12" customFormat="1" x14ac:dyDescent="0.25">
      <c r="A22" s="214" t="s">
        <v>1318</v>
      </c>
      <c r="B22" s="64">
        <v>4.8600000000000003</v>
      </c>
      <c r="C22" s="64">
        <v>10.199999999999999</v>
      </c>
      <c r="D22" s="64">
        <v>15.07</v>
      </c>
      <c r="E22" s="64">
        <v>1.87</v>
      </c>
      <c r="F22" s="64">
        <v>0.7</v>
      </c>
      <c r="G22" s="64">
        <v>31.84</v>
      </c>
      <c r="H22" s="64">
        <v>13.01</v>
      </c>
      <c r="I22" s="64">
        <v>0.12</v>
      </c>
      <c r="J22" s="64">
        <v>0.15</v>
      </c>
      <c r="K22" s="64">
        <v>30.76</v>
      </c>
      <c r="L22" s="64">
        <v>22.99</v>
      </c>
      <c r="M22" s="64">
        <v>98.7</v>
      </c>
      <c r="N22" s="64">
        <v>8.8000000000000007</v>
      </c>
      <c r="O22" s="64">
        <v>0</v>
      </c>
      <c r="P22" s="64">
        <v>0.47</v>
      </c>
      <c r="Q22" s="64">
        <v>9.51</v>
      </c>
      <c r="R22" s="198"/>
      <c r="S22" s="198"/>
      <c r="T22" s="198"/>
      <c r="U22" s="198"/>
    </row>
    <row r="23" spans="1:21" s="12" customFormat="1" x14ac:dyDescent="0.25">
      <c r="A23" s="214" t="s">
        <v>1319</v>
      </c>
      <c r="B23" s="64">
        <v>4.87</v>
      </c>
      <c r="C23" s="64">
        <v>10.45</v>
      </c>
      <c r="D23" s="64">
        <v>15.32</v>
      </c>
      <c r="E23" s="64">
        <v>2.13</v>
      </c>
      <c r="F23" s="64">
        <v>1.34</v>
      </c>
      <c r="G23" s="64">
        <v>31.26</v>
      </c>
      <c r="H23" s="64">
        <v>12.26</v>
      </c>
      <c r="I23" s="64">
        <v>0.12</v>
      </c>
      <c r="J23" s="64">
        <v>0.14000000000000001</v>
      </c>
      <c r="K23" s="64">
        <v>23.14</v>
      </c>
      <c r="L23" s="64">
        <v>22.9</v>
      </c>
      <c r="M23" s="64">
        <v>98.7</v>
      </c>
      <c r="N23" s="64">
        <v>8.9</v>
      </c>
      <c r="O23" s="64">
        <v>0</v>
      </c>
      <c r="P23" s="64">
        <v>0.49</v>
      </c>
      <c r="Q23" s="64">
        <v>10.17</v>
      </c>
      <c r="R23" s="198"/>
      <c r="S23" s="198"/>
      <c r="T23" s="198"/>
      <c r="U23" s="198"/>
    </row>
    <row r="24" spans="1:21" s="12" customFormat="1" x14ac:dyDescent="0.25">
      <c r="A24" s="214" t="s">
        <v>1320</v>
      </c>
      <c r="B24" s="64">
        <v>5.0999999999999996</v>
      </c>
      <c r="C24" s="64">
        <v>9.69</v>
      </c>
      <c r="D24" s="64">
        <v>14.79</v>
      </c>
      <c r="E24" s="64">
        <v>1.57</v>
      </c>
      <c r="F24" s="64">
        <v>0.86</v>
      </c>
      <c r="G24" s="64">
        <v>29.85</v>
      </c>
      <c r="H24" s="64">
        <v>11.03</v>
      </c>
      <c r="I24" s="64">
        <v>0.11</v>
      </c>
      <c r="J24" s="64">
        <v>0.14000000000000001</v>
      </c>
      <c r="K24" s="64">
        <v>32.92</v>
      </c>
      <c r="L24" s="64">
        <v>22.84</v>
      </c>
      <c r="M24" s="64">
        <v>98.7</v>
      </c>
      <c r="N24" s="64">
        <v>8.8000000000000007</v>
      </c>
      <c r="O24" s="64">
        <v>0</v>
      </c>
      <c r="P24" s="64">
        <v>0.47</v>
      </c>
      <c r="Q24" s="64">
        <v>10.83</v>
      </c>
      <c r="R24" s="198"/>
      <c r="S24" s="198"/>
      <c r="T24" s="198"/>
      <c r="U24" s="198"/>
    </row>
    <row r="25" spans="1:21" s="12" customFormat="1" x14ac:dyDescent="0.25">
      <c r="A25" s="214" t="s">
        <v>1321</v>
      </c>
      <c r="B25" s="64">
        <v>5.13</v>
      </c>
      <c r="C25" s="64">
        <v>9.56</v>
      </c>
      <c r="D25" s="64">
        <v>14.69</v>
      </c>
      <c r="E25" s="64">
        <v>2.39</v>
      </c>
      <c r="F25" s="64">
        <v>0.66</v>
      </c>
      <c r="G25" s="64">
        <v>29.85</v>
      </c>
      <c r="H25" s="64">
        <v>11.03</v>
      </c>
      <c r="I25" s="64">
        <v>0.11</v>
      </c>
      <c r="J25" s="64">
        <v>0.14000000000000001</v>
      </c>
      <c r="K25" s="64">
        <v>11.56</v>
      </c>
      <c r="L25" s="64">
        <v>22.77</v>
      </c>
      <c r="M25" s="64">
        <v>98.7</v>
      </c>
      <c r="N25" s="64">
        <v>8.9</v>
      </c>
      <c r="O25" s="64">
        <v>0</v>
      </c>
      <c r="P25" s="64">
        <v>0.46</v>
      </c>
      <c r="Q25" s="64">
        <v>11.25</v>
      </c>
      <c r="R25" s="198"/>
      <c r="S25" s="198"/>
      <c r="T25" s="198"/>
      <c r="U25" s="198"/>
    </row>
    <row r="26" spans="1:21" s="12" customFormat="1" x14ac:dyDescent="0.25">
      <c r="A26" s="214" t="s">
        <v>1322</v>
      </c>
      <c r="B26" s="64">
        <v>5.27</v>
      </c>
      <c r="C26" s="64">
        <v>8.98</v>
      </c>
      <c r="D26" s="64">
        <v>14.24</v>
      </c>
      <c r="E26" s="64">
        <v>2.6</v>
      </c>
      <c r="F26" s="64">
        <v>0.41</v>
      </c>
      <c r="G26" s="64">
        <v>29.85</v>
      </c>
      <c r="H26" s="64">
        <v>11.03</v>
      </c>
      <c r="I26" s="64">
        <v>0.12</v>
      </c>
      <c r="J26" s="64">
        <v>0.13</v>
      </c>
      <c r="K26" s="64">
        <v>25.3</v>
      </c>
      <c r="L26" s="64">
        <v>22.66</v>
      </c>
      <c r="M26" s="64">
        <v>98.7</v>
      </c>
      <c r="N26" s="64">
        <v>8.8000000000000007</v>
      </c>
      <c r="O26" s="64">
        <v>0</v>
      </c>
      <c r="P26" s="64">
        <v>0.45</v>
      </c>
      <c r="Q26" s="64">
        <v>10.54</v>
      </c>
      <c r="R26" s="198"/>
      <c r="S26" s="198"/>
      <c r="T26" s="198"/>
      <c r="U26" s="198"/>
    </row>
    <row r="27" spans="1:21" s="12" customFormat="1" x14ac:dyDescent="0.25">
      <c r="A27" s="214" t="s">
        <v>1323</v>
      </c>
      <c r="B27" s="64">
        <v>5.3</v>
      </c>
      <c r="C27" s="64">
        <v>8.2899999999999991</v>
      </c>
      <c r="D27" s="64">
        <v>13.59</v>
      </c>
      <c r="E27" s="64">
        <v>2.31</v>
      </c>
      <c r="F27" s="64">
        <v>0.79</v>
      </c>
      <c r="G27" s="64">
        <v>29.36</v>
      </c>
      <c r="H27" s="64">
        <v>10.97</v>
      </c>
      <c r="I27" s="64">
        <v>0.12</v>
      </c>
      <c r="J27" s="64">
        <v>0.18</v>
      </c>
      <c r="K27" s="64">
        <v>33.590000000000003</v>
      </c>
      <c r="L27" s="64">
        <v>22.68</v>
      </c>
      <c r="M27" s="64">
        <v>98.7</v>
      </c>
      <c r="N27" s="64">
        <v>8.9</v>
      </c>
      <c r="O27" s="64">
        <v>0</v>
      </c>
      <c r="P27" s="64">
        <v>0.43</v>
      </c>
      <c r="Q27" s="64">
        <v>8.92</v>
      </c>
      <c r="R27" s="198"/>
      <c r="S27" s="198"/>
      <c r="T27" s="198"/>
      <c r="U27" s="198"/>
    </row>
    <row r="28" spans="1:21" s="12" customFormat="1" x14ac:dyDescent="0.25">
      <c r="A28" s="214" t="s">
        <v>1324</v>
      </c>
      <c r="B28" s="64">
        <v>5.36</v>
      </c>
      <c r="C28" s="64">
        <v>8.4499999999999993</v>
      </c>
      <c r="D28" s="64">
        <v>13.8</v>
      </c>
      <c r="E28" s="64">
        <v>1.78</v>
      </c>
      <c r="F28" s="64">
        <v>0.77</v>
      </c>
      <c r="G28" s="64">
        <v>28.16</v>
      </c>
      <c r="H28" s="64">
        <v>10.87</v>
      </c>
      <c r="I28" s="64">
        <v>0.12</v>
      </c>
      <c r="J28" s="64">
        <v>0.15</v>
      </c>
      <c r="K28" s="64">
        <v>17.86</v>
      </c>
      <c r="L28" s="64">
        <v>22.6</v>
      </c>
      <c r="M28" s="64">
        <v>98.7</v>
      </c>
      <c r="N28" s="64">
        <v>8.9</v>
      </c>
      <c r="O28" s="64">
        <v>0</v>
      </c>
      <c r="P28" s="64">
        <v>0.44</v>
      </c>
      <c r="Q28" s="64">
        <v>9.2799999999999994</v>
      </c>
      <c r="R28" s="198"/>
      <c r="S28" s="198"/>
      <c r="T28" s="198"/>
      <c r="U28" s="198"/>
    </row>
    <row r="29" spans="1:21" s="12" customFormat="1" x14ac:dyDescent="0.25">
      <c r="A29" s="214" t="s">
        <v>1325</v>
      </c>
      <c r="B29" s="64">
        <v>5.36</v>
      </c>
      <c r="C29" s="64">
        <v>8.84</v>
      </c>
      <c r="D29" s="64">
        <v>14.2</v>
      </c>
      <c r="E29" s="64">
        <v>2.0699999999999998</v>
      </c>
      <c r="F29" s="64">
        <v>0.3</v>
      </c>
      <c r="G29" s="64">
        <v>28.16</v>
      </c>
      <c r="H29" s="64">
        <v>10.87</v>
      </c>
      <c r="I29" s="64">
        <v>0.12</v>
      </c>
      <c r="J29" s="64">
        <v>0.16</v>
      </c>
      <c r="K29" s="64">
        <v>20.37</v>
      </c>
      <c r="L29" s="64">
        <v>22.58</v>
      </c>
      <c r="M29" s="64">
        <v>98.7</v>
      </c>
      <c r="N29" s="64">
        <v>8.8000000000000007</v>
      </c>
      <c r="O29" s="64">
        <v>0</v>
      </c>
      <c r="P29" s="64">
        <v>0.42</v>
      </c>
      <c r="Q29" s="64">
        <v>9.64</v>
      </c>
      <c r="R29" s="198"/>
      <c r="S29" s="198"/>
      <c r="T29" s="198"/>
      <c r="U29" s="198"/>
    </row>
    <row r="30" spans="1:21" s="12" customFormat="1" x14ac:dyDescent="0.25">
      <c r="A30" s="214" t="s">
        <v>1326</v>
      </c>
      <c r="B30" s="64">
        <v>5.43</v>
      </c>
      <c r="C30" s="64">
        <v>8.3800000000000008</v>
      </c>
      <c r="D30" s="64">
        <v>13.81</v>
      </c>
      <c r="E30" s="64">
        <v>2.02</v>
      </c>
      <c r="F30" s="64">
        <v>0.95</v>
      </c>
      <c r="G30" s="64">
        <v>28.16</v>
      </c>
      <c r="H30" s="64">
        <v>10.87</v>
      </c>
      <c r="I30" s="64">
        <v>0.11</v>
      </c>
      <c r="J30" s="64">
        <v>0.19</v>
      </c>
      <c r="K30" s="64">
        <v>30.82</v>
      </c>
      <c r="L30" s="64">
        <v>22.58</v>
      </c>
      <c r="M30" s="64">
        <v>98.7</v>
      </c>
      <c r="N30" s="64">
        <v>8.8000000000000007</v>
      </c>
      <c r="O30" s="64">
        <v>0</v>
      </c>
      <c r="P30" s="64">
        <v>0.43</v>
      </c>
      <c r="Q30" s="64">
        <v>8.18</v>
      </c>
      <c r="R30" s="198"/>
      <c r="S30" s="198"/>
      <c r="T30" s="198"/>
      <c r="U30" s="198"/>
    </row>
    <row r="31" spans="1:21" s="12" customFormat="1" x14ac:dyDescent="0.25">
      <c r="A31" s="214" t="s">
        <v>1327</v>
      </c>
      <c r="B31" s="64">
        <v>5.97</v>
      </c>
      <c r="C31" s="64">
        <v>8.31</v>
      </c>
      <c r="D31" s="64">
        <v>14.28</v>
      </c>
      <c r="E31" s="64">
        <v>2</v>
      </c>
      <c r="F31" s="64">
        <v>0.3</v>
      </c>
      <c r="G31" s="64">
        <v>27.75</v>
      </c>
      <c r="H31" s="64">
        <v>10.59</v>
      </c>
      <c r="I31" s="64">
        <v>0.12</v>
      </c>
      <c r="J31" s="64">
        <v>0.16</v>
      </c>
      <c r="K31" s="64">
        <v>21.87</v>
      </c>
      <c r="L31" s="64">
        <v>22.73</v>
      </c>
      <c r="M31" s="64">
        <v>98.7</v>
      </c>
      <c r="N31" s="64">
        <v>10.6</v>
      </c>
      <c r="O31" s="64">
        <v>0</v>
      </c>
      <c r="P31" s="64">
        <v>0.41</v>
      </c>
      <c r="Q31" s="64">
        <v>8.68</v>
      </c>
      <c r="R31" s="198"/>
      <c r="S31" s="198"/>
      <c r="T31" s="198"/>
      <c r="U31" s="198"/>
    </row>
    <row r="32" spans="1:21" s="12" customFormat="1" x14ac:dyDescent="0.25">
      <c r="A32" s="214" t="s">
        <v>1328</v>
      </c>
      <c r="B32" s="64">
        <v>6.35</v>
      </c>
      <c r="C32" s="64">
        <v>8.33</v>
      </c>
      <c r="D32" s="64">
        <v>14.68</v>
      </c>
      <c r="E32" s="64">
        <v>2.3199999999999998</v>
      </c>
      <c r="F32" s="64">
        <v>1.2</v>
      </c>
      <c r="G32" s="64">
        <v>26.74</v>
      </c>
      <c r="H32" s="64">
        <v>9.44</v>
      </c>
      <c r="I32" s="64">
        <v>0.12</v>
      </c>
      <c r="J32" s="64">
        <v>0.17</v>
      </c>
      <c r="K32" s="64">
        <v>33.97</v>
      </c>
      <c r="L32" s="64">
        <v>22.77</v>
      </c>
      <c r="M32" s="64">
        <v>98.7</v>
      </c>
      <c r="N32" s="64">
        <v>20.8</v>
      </c>
      <c r="O32" s="64">
        <v>0</v>
      </c>
      <c r="P32" s="64">
        <v>0.43</v>
      </c>
      <c r="Q32" s="64">
        <v>7.7</v>
      </c>
      <c r="R32" s="198"/>
      <c r="S32" s="198"/>
      <c r="T32" s="198"/>
      <c r="U32" s="198"/>
    </row>
    <row r="33" spans="1:21" s="12" customFormat="1" x14ac:dyDescent="0.25">
      <c r="A33" s="214" t="s">
        <v>1329</v>
      </c>
      <c r="B33" s="64">
        <v>6.53</v>
      </c>
      <c r="C33" s="64">
        <v>9.7100000000000009</v>
      </c>
      <c r="D33" s="64">
        <v>16.239999999999998</v>
      </c>
      <c r="E33" s="64">
        <v>2.4900000000000002</v>
      </c>
      <c r="F33" s="64">
        <v>0.45</v>
      </c>
      <c r="G33" s="64">
        <v>26.74</v>
      </c>
      <c r="H33" s="64">
        <v>9.44</v>
      </c>
      <c r="I33" s="64">
        <v>0.12</v>
      </c>
      <c r="J33" s="64">
        <v>0.08</v>
      </c>
      <c r="K33" s="64">
        <v>19.95</v>
      </c>
      <c r="L33" s="64">
        <v>22.71</v>
      </c>
      <c r="M33" s="64">
        <v>98.7</v>
      </c>
      <c r="N33" s="64">
        <v>38.700000000000003</v>
      </c>
      <c r="O33" s="64">
        <v>0</v>
      </c>
      <c r="P33" s="64">
        <v>0.44</v>
      </c>
      <c r="Q33" s="64">
        <v>10.14</v>
      </c>
      <c r="R33" s="198"/>
      <c r="S33" s="198"/>
      <c r="T33" s="198"/>
      <c r="U33" s="198"/>
    </row>
    <row r="34" spans="1:21" s="12" customFormat="1" x14ac:dyDescent="0.25">
      <c r="A34" s="214" t="s">
        <v>1330</v>
      </c>
      <c r="B34" s="64">
        <v>7.72</v>
      </c>
      <c r="C34" s="64">
        <v>10.4</v>
      </c>
      <c r="D34" s="64">
        <v>18.13</v>
      </c>
      <c r="E34" s="64">
        <v>2.2999999999999998</v>
      </c>
      <c r="F34" s="64">
        <v>0.78</v>
      </c>
      <c r="G34" s="64">
        <v>26.74</v>
      </c>
      <c r="H34" s="64">
        <v>9.44</v>
      </c>
      <c r="I34" s="64">
        <v>0.12</v>
      </c>
      <c r="J34" s="64">
        <v>7.0000000000000007E-2</v>
      </c>
      <c r="K34" s="64">
        <v>18</v>
      </c>
      <c r="L34" s="64">
        <v>22.81</v>
      </c>
      <c r="M34" s="64">
        <v>98.7</v>
      </c>
      <c r="N34" s="64">
        <v>48.9</v>
      </c>
      <c r="O34" s="64">
        <v>0</v>
      </c>
      <c r="P34" s="64">
        <v>0.46</v>
      </c>
      <c r="Q34" s="64">
        <v>11.18</v>
      </c>
      <c r="R34" s="198"/>
      <c r="S34" s="198"/>
      <c r="T34" s="198"/>
      <c r="U34" s="198"/>
    </row>
    <row r="35" spans="1:21" s="12" customFormat="1" x14ac:dyDescent="0.25">
      <c r="A35" s="214" t="s">
        <v>1331</v>
      </c>
      <c r="B35" s="64">
        <v>7.76</v>
      </c>
      <c r="C35" s="64">
        <v>10.47</v>
      </c>
      <c r="D35" s="64">
        <v>18.23</v>
      </c>
      <c r="E35" s="64">
        <v>2.7</v>
      </c>
      <c r="F35" s="64">
        <v>1.2</v>
      </c>
      <c r="G35" s="64">
        <v>28.56</v>
      </c>
      <c r="H35" s="64">
        <v>8.51</v>
      </c>
      <c r="I35" s="64">
        <v>0.12</v>
      </c>
      <c r="J35" s="64">
        <v>0.06</v>
      </c>
      <c r="K35" s="64">
        <v>23.21</v>
      </c>
      <c r="L35" s="64">
        <v>22.99</v>
      </c>
      <c r="M35" s="64">
        <v>98.7</v>
      </c>
      <c r="N35" s="64">
        <v>63.9</v>
      </c>
      <c r="O35" s="64">
        <v>0</v>
      </c>
      <c r="P35" s="64">
        <v>0.46</v>
      </c>
      <c r="Q35" s="64">
        <v>11.73</v>
      </c>
      <c r="R35" s="198"/>
      <c r="S35" s="198"/>
      <c r="T35" s="198"/>
      <c r="U35" s="198"/>
    </row>
    <row r="36" spans="1:21" s="12" customFormat="1" x14ac:dyDescent="0.25">
      <c r="A36" s="214" t="s">
        <v>1332</v>
      </c>
      <c r="B36" s="64">
        <v>11.64</v>
      </c>
      <c r="C36" s="64">
        <v>14.06</v>
      </c>
      <c r="D36" s="64">
        <v>25.7</v>
      </c>
      <c r="E36" s="64">
        <v>2.81</v>
      </c>
      <c r="F36" s="64">
        <v>1.77</v>
      </c>
      <c r="G36" s="64">
        <v>33.020000000000003</v>
      </c>
      <c r="H36" s="64">
        <v>6.98</v>
      </c>
      <c r="I36" s="64">
        <v>0.12</v>
      </c>
      <c r="J36" s="64">
        <v>0.05</v>
      </c>
      <c r="K36" s="64">
        <v>162.69</v>
      </c>
      <c r="L36" s="64">
        <v>23.27</v>
      </c>
      <c r="M36" s="64">
        <v>98.68</v>
      </c>
      <c r="N36" s="64">
        <v>57.2</v>
      </c>
      <c r="O36" s="64">
        <v>0</v>
      </c>
      <c r="P36" s="64">
        <v>0.52</v>
      </c>
      <c r="Q36" s="64">
        <v>12.55</v>
      </c>
      <c r="R36" s="198"/>
      <c r="S36" s="198"/>
      <c r="T36" s="198"/>
      <c r="U36" s="198"/>
    </row>
    <row r="37" spans="1:21" s="12" customFormat="1" x14ac:dyDescent="0.25">
      <c r="A37" s="214" t="s">
        <v>1333</v>
      </c>
      <c r="B37" s="64">
        <v>11.6</v>
      </c>
      <c r="C37" s="64">
        <v>15.4</v>
      </c>
      <c r="D37" s="64">
        <v>27</v>
      </c>
      <c r="E37" s="64">
        <v>2.5</v>
      </c>
      <c r="F37" s="64">
        <v>0.39</v>
      </c>
      <c r="G37" s="64">
        <v>33.020000000000003</v>
      </c>
      <c r="H37" s="64">
        <v>6.98</v>
      </c>
      <c r="I37" s="64">
        <v>0.12</v>
      </c>
      <c r="J37" s="64">
        <v>0.05</v>
      </c>
      <c r="K37" s="64">
        <v>345.33</v>
      </c>
      <c r="L37" s="64">
        <v>23.27</v>
      </c>
      <c r="M37" s="64">
        <v>98.67</v>
      </c>
      <c r="N37" s="64">
        <v>51.1</v>
      </c>
      <c r="O37" s="64">
        <v>0</v>
      </c>
      <c r="P37" s="64">
        <v>0.49</v>
      </c>
      <c r="Q37" s="64">
        <v>13.69</v>
      </c>
      <c r="R37" s="198"/>
      <c r="S37" s="198"/>
      <c r="T37" s="198"/>
      <c r="U37" s="198"/>
    </row>
    <row r="38" spans="1:21" s="12" customFormat="1" x14ac:dyDescent="0.25">
      <c r="A38" s="214" t="s">
        <v>1334</v>
      </c>
      <c r="B38" s="64">
        <v>12.39</v>
      </c>
      <c r="C38" s="64">
        <v>12.97</v>
      </c>
      <c r="D38" s="64">
        <v>25.36</v>
      </c>
      <c r="E38" s="64">
        <v>2.5299999999999998</v>
      </c>
      <c r="F38" s="64">
        <v>0.47</v>
      </c>
      <c r="G38" s="64">
        <v>33.020000000000003</v>
      </c>
      <c r="H38" s="64">
        <v>6.98</v>
      </c>
      <c r="I38" s="64">
        <v>0.12</v>
      </c>
      <c r="J38" s="64">
        <v>0.08</v>
      </c>
      <c r="K38" s="64">
        <v>8.65</v>
      </c>
      <c r="L38" s="64">
        <v>23.51</v>
      </c>
      <c r="M38" s="64">
        <v>98.65</v>
      </c>
      <c r="N38" s="64">
        <v>92.8</v>
      </c>
      <c r="O38" s="64">
        <v>0</v>
      </c>
      <c r="P38" s="64">
        <v>0.55000000000000004</v>
      </c>
      <c r="Q38" s="64">
        <v>13.1</v>
      </c>
      <c r="R38" s="198"/>
      <c r="S38" s="198"/>
      <c r="T38" s="198"/>
      <c r="U38" s="198"/>
    </row>
    <row r="39" spans="1:21" s="12" customFormat="1" x14ac:dyDescent="0.25">
      <c r="A39" s="214" t="s">
        <v>1335</v>
      </c>
      <c r="B39" s="64">
        <v>12.35</v>
      </c>
      <c r="C39" s="64">
        <v>12.65</v>
      </c>
      <c r="D39" s="64">
        <v>24.99</v>
      </c>
      <c r="E39" s="64">
        <v>2.88</v>
      </c>
      <c r="F39" s="64">
        <v>1.62</v>
      </c>
      <c r="G39" s="64">
        <v>33.24</v>
      </c>
      <c r="H39" s="64">
        <v>7.37</v>
      </c>
      <c r="I39" s="64">
        <v>0.12</v>
      </c>
      <c r="J39" s="64">
        <v>0.14000000000000001</v>
      </c>
      <c r="K39" s="64">
        <v>22.59</v>
      </c>
      <c r="L39" s="64">
        <v>24.03</v>
      </c>
      <c r="M39" s="64">
        <v>98.19</v>
      </c>
      <c r="N39" s="64">
        <v>118.3</v>
      </c>
      <c r="O39" s="64">
        <v>0</v>
      </c>
      <c r="P39" s="64">
        <v>0.56000000000000005</v>
      </c>
      <c r="Q39" s="64">
        <v>11.74</v>
      </c>
      <c r="R39" s="198"/>
      <c r="S39" s="198"/>
      <c r="T39" s="198"/>
      <c r="U39" s="198"/>
    </row>
    <row r="40" spans="1:21" s="12" customFormat="1" x14ac:dyDescent="0.25">
      <c r="A40" s="214" t="s">
        <v>1336</v>
      </c>
      <c r="B40" s="64">
        <v>11.56</v>
      </c>
      <c r="C40" s="64">
        <v>11.54</v>
      </c>
      <c r="D40" s="64">
        <v>23.1</v>
      </c>
      <c r="E40" s="64">
        <v>0.46</v>
      </c>
      <c r="F40" s="64">
        <v>0.91</v>
      </c>
      <c r="G40" s="64">
        <v>33.78</v>
      </c>
      <c r="H40" s="64">
        <v>8.02</v>
      </c>
      <c r="I40" s="64">
        <v>0.12</v>
      </c>
      <c r="J40" s="64">
        <v>0.14000000000000001</v>
      </c>
      <c r="K40" s="64">
        <v>357.23</v>
      </c>
      <c r="L40" s="64">
        <v>24.32</v>
      </c>
      <c r="M40" s="64">
        <v>96.36</v>
      </c>
      <c r="N40" s="64">
        <v>132.30000000000001</v>
      </c>
      <c r="O40" s="64">
        <v>0</v>
      </c>
      <c r="P40" s="64">
        <v>0.56999999999999995</v>
      </c>
      <c r="Q40" s="64">
        <v>11.83</v>
      </c>
      <c r="R40" s="198"/>
      <c r="S40" s="198"/>
      <c r="T40" s="198"/>
      <c r="U40" s="198"/>
    </row>
    <row r="41" spans="1:21" s="12" customFormat="1" x14ac:dyDescent="0.25">
      <c r="A41" s="214" t="s">
        <v>1337</v>
      </c>
      <c r="B41" s="64">
        <v>11.7</v>
      </c>
      <c r="C41" s="64">
        <v>11.16</v>
      </c>
      <c r="D41" s="64">
        <v>22.85</v>
      </c>
      <c r="E41" s="64">
        <v>1.45</v>
      </c>
      <c r="F41" s="64">
        <v>0.7</v>
      </c>
      <c r="G41" s="64">
        <v>33.78</v>
      </c>
      <c r="H41" s="64">
        <v>8.02</v>
      </c>
      <c r="I41" s="64">
        <v>0.12</v>
      </c>
      <c r="J41" s="64">
        <v>0.16</v>
      </c>
      <c r="K41" s="64">
        <v>2.96</v>
      </c>
      <c r="L41" s="64">
        <v>24.52</v>
      </c>
      <c r="M41" s="64">
        <v>94.73</v>
      </c>
      <c r="N41" s="64">
        <v>160.1</v>
      </c>
      <c r="O41" s="64">
        <v>0</v>
      </c>
      <c r="P41" s="64">
        <v>0.57999999999999996</v>
      </c>
      <c r="Q41" s="64">
        <v>12.06</v>
      </c>
      <c r="R41" s="198"/>
      <c r="S41" s="198"/>
      <c r="T41" s="198"/>
      <c r="U41" s="198"/>
    </row>
    <row r="42" spans="1:21" s="12" customFormat="1" x14ac:dyDescent="0.25">
      <c r="A42" s="214" t="s">
        <v>1338</v>
      </c>
      <c r="B42" s="64">
        <v>11.89</v>
      </c>
      <c r="C42" s="64">
        <v>10.83</v>
      </c>
      <c r="D42" s="64">
        <v>22.73</v>
      </c>
      <c r="E42" s="64">
        <v>1.24</v>
      </c>
      <c r="F42" s="64">
        <v>0.75</v>
      </c>
      <c r="G42" s="64">
        <v>33.78</v>
      </c>
      <c r="H42" s="64">
        <v>8.02</v>
      </c>
      <c r="I42" s="64">
        <v>0.12</v>
      </c>
      <c r="J42" s="64">
        <v>0.2</v>
      </c>
      <c r="K42" s="64">
        <v>12.87</v>
      </c>
      <c r="L42" s="64">
        <v>24.68</v>
      </c>
      <c r="M42" s="64">
        <v>93.64</v>
      </c>
      <c r="N42" s="64">
        <v>107.6</v>
      </c>
      <c r="O42" s="64">
        <v>0</v>
      </c>
      <c r="P42" s="64">
        <v>0.62</v>
      </c>
      <c r="Q42" s="64">
        <v>11.43</v>
      </c>
      <c r="R42" s="198"/>
      <c r="S42" s="198"/>
      <c r="T42" s="198"/>
      <c r="U42" s="198"/>
    </row>
    <row r="43" spans="1:21" s="12" customFormat="1" x14ac:dyDescent="0.25">
      <c r="A43" s="214" t="s">
        <v>1339</v>
      </c>
      <c r="B43" s="64">
        <v>14.87</v>
      </c>
      <c r="C43" s="64">
        <v>14.26</v>
      </c>
      <c r="D43" s="64">
        <v>29.13</v>
      </c>
      <c r="E43" s="64">
        <v>1.72</v>
      </c>
      <c r="F43" s="64">
        <v>2.11</v>
      </c>
      <c r="G43" s="64">
        <v>37.28</v>
      </c>
      <c r="H43" s="64">
        <v>9.69</v>
      </c>
      <c r="I43" s="64">
        <v>0.12</v>
      </c>
      <c r="J43" s="64">
        <v>0.22</v>
      </c>
      <c r="K43" s="64">
        <v>323.08</v>
      </c>
      <c r="L43" s="64">
        <v>25.19</v>
      </c>
      <c r="M43" s="64">
        <v>92.35</v>
      </c>
      <c r="N43" s="64">
        <v>154.19999999999999</v>
      </c>
      <c r="O43" s="64">
        <v>0</v>
      </c>
      <c r="P43" s="64">
        <v>0.69</v>
      </c>
      <c r="Q43" s="64">
        <v>11.71</v>
      </c>
      <c r="R43" s="198"/>
      <c r="S43" s="198"/>
      <c r="T43" s="198"/>
      <c r="U43" s="198"/>
    </row>
    <row r="44" spans="1:21" s="12" customFormat="1" x14ac:dyDescent="0.25">
      <c r="A44" s="214" t="s">
        <v>1340</v>
      </c>
      <c r="B44" s="64">
        <v>14.3</v>
      </c>
      <c r="C44" s="64">
        <v>13.32</v>
      </c>
      <c r="D44" s="64">
        <v>27.62</v>
      </c>
      <c r="E44" s="64">
        <v>1.51</v>
      </c>
      <c r="F44" s="64">
        <v>1.61</v>
      </c>
      <c r="G44" s="64">
        <v>45.88</v>
      </c>
      <c r="H44" s="64">
        <v>12.43</v>
      </c>
      <c r="I44" s="64">
        <v>0.12</v>
      </c>
      <c r="J44" s="64">
        <v>0.26</v>
      </c>
      <c r="K44" s="64">
        <v>336.44</v>
      </c>
      <c r="L44" s="64">
        <v>25.8</v>
      </c>
      <c r="M44" s="64">
        <v>88.12</v>
      </c>
      <c r="N44" s="64">
        <v>189.4</v>
      </c>
      <c r="O44" s="64">
        <v>0</v>
      </c>
      <c r="P44" s="64">
        <v>0.66</v>
      </c>
      <c r="Q44" s="64">
        <v>11.05</v>
      </c>
      <c r="R44" s="198"/>
      <c r="S44" s="198"/>
      <c r="T44" s="198"/>
      <c r="U44" s="198"/>
    </row>
    <row r="45" spans="1:21" s="12" customFormat="1" x14ac:dyDescent="0.25">
      <c r="A45" s="214" t="s">
        <v>1341</v>
      </c>
      <c r="B45" s="64">
        <v>13.6</v>
      </c>
      <c r="C45" s="64">
        <v>12.61</v>
      </c>
      <c r="D45" s="64">
        <v>26.21</v>
      </c>
      <c r="E45" s="64">
        <v>1.45</v>
      </c>
      <c r="F45" s="64">
        <v>1.77</v>
      </c>
      <c r="G45" s="64">
        <v>45.88</v>
      </c>
      <c r="H45" s="64">
        <v>12.43</v>
      </c>
      <c r="I45" s="64">
        <v>0.11</v>
      </c>
      <c r="J45" s="64">
        <v>0.35</v>
      </c>
      <c r="K45" s="64">
        <v>322.02</v>
      </c>
      <c r="L45" s="64">
        <v>26.14</v>
      </c>
      <c r="M45" s="64">
        <v>85.81</v>
      </c>
      <c r="N45" s="64">
        <v>200.1</v>
      </c>
      <c r="O45" s="64">
        <v>0</v>
      </c>
      <c r="P45" s="64">
        <v>0.67</v>
      </c>
      <c r="Q45" s="64">
        <v>13.05</v>
      </c>
      <c r="R45" s="198"/>
      <c r="S45" s="198"/>
      <c r="T45" s="198"/>
      <c r="U45" s="198"/>
    </row>
    <row r="46" spans="1:21" s="12" customFormat="1" x14ac:dyDescent="0.25">
      <c r="A46" s="214" t="s">
        <v>1342</v>
      </c>
      <c r="B46" s="64">
        <v>13.75</v>
      </c>
      <c r="C46" s="64">
        <v>12.92</v>
      </c>
      <c r="D46" s="64">
        <v>26.67</v>
      </c>
      <c r="E46" s="64">
        <v>1.68</v>
      </c>
      <c r="F46" s="64">
        <v>0.91</v>
      </c>
      <c r="G46" s="64">
        <v>45.88</v>
      </c>
      <c r="H46" s="64">
        <v>12.43</v>
      </c>
      <c r="I46" s="64">
        <v>0.12</v>
      </c>
      <c r="J46" s="64">
        <v>0.32</v>
      </c>
      <c r="K46" s="64">
        <v>331.34</v>
      </c>
      <c r="L46" s="64">
        <v>26.82</v>
      </c>
      <c r="M46" s="64">
        <v>83.35</v>
      </c>
      <c r="N46" s="64">
        <v>298</v>
      </c>
      <c r="O46" s="64">
        <v>0</v>
      </c>
      <c r="P46" s="64">
        <v>0.69</v>
      </c>
      <c r="Q46" s="64">
        <v>14.16</v>
      </c>
      <c r="R46" s="198"/>
      <c r="S46" s="198"/>
      <c r="T46" s="198"/>
      <c r="U46" s="198"/>
    </row>
    <row r="47" spans="1:21" s="12" customFormat="1" x14ac:dyDescent="0.25">
      <c r="A47" s="214" t="s">
        <v>1343</v>
      </c>
      <c r="B47" s="64">
        <v>13.61</v>
      </c>
      <c r="C47" s="64">
        <v>12.25</v>
      </c>
      <c r="D47" s="64">
        <v>25.87</v>
      </c>
      <c r="E47" s="64">
        <v>2.08</v>
      </c>
      <c r="F47" s="64">
        <v>1.4</v>
      </c>
      <c r="G47" s="64">
        <v>48.35</v>
      </c>
      <c r="H47" s="64">
        <v>13.42</v>
      </c>
      <c r="I47" s="64">
        <v>0.12</v>
      </c>
      <c r="J47" s="64">
        <v>0.39</v>
      </c>
      <c r="K47" s="64">
        <v>332.13</v>
      </c>
      <c r="L47" s="64">
        <v>27.91</v>
      </c>
      <c r="M47" s="64">
        <v>77.42</v>
      </c>
      <c r="N47" s="64">
        <v>445.1</v>
      </c>
      <c r="O47" s="64">
        <v>0</v>
      </c>
      <c r="P47" s="64">
        <v>0.69</v>
      </c>
      <c r="Q47" s="64">
        <v>14.57</v>
      </c>
      <c r="R47" s="198"/>
      <c r="S47" s="198"/>
      <c r="T47" s="198"/>
      <c r="U47" s="198"/>
    </row>
    <row r="48" spans="1:21" s="12" customFormat="1" x14ac:dyDescent="0.25">
      <c r="A48" s="214" t="s">
        <v>1344</v>
      </c>
      <c r="B48" s="64">
        <v>13.2</v>
      </c>
      <c r="C48" s="64">
        <v>12.44</v>
      </c>
      <c r="D48" s="64">
        <v>25.63</v>
      </c>
      <c r="E48" s="64">
        <v>1.57</v>
      </c>
      <c r="F48" s="64">
        <v>1.0900000000000001</v>
      </c>
      <c r="G48" s="64">
        <v>54.42</v>
      </c>
      <c r="H48" s="64">
        <v>14.98</v>
      </c>
      <c r="I48" s="64">
        <v>0.12</v>
      </c>
      <c r="J48" s="64">
        <v>0.34</v>
      </c>
      <c r="K48" s="64">
        <v>341.63</v>
      </c>
      <c r="L48" s="64">
        <v>28.37</v>
      </c>
      <c r="M48" s="64">
        <v>73.760000000000005</v>
      </c>
      <c r="N48" s="64">
        <v>432</v>
      </c>
      <c r="O48" s="64">
        <v>0</v>
      </c>
      <c r="P48" s="64">
        <v>0.69</v>
      </c>
      <c r="Q48" s="64">
        <v>14.5</v>
      </c>
      <c r="R48" s="198"/>
      <c r="S48" s="198"/>
      <c r="T48" s="198"/>
      <c r="U48" s="198"/>
    </row>
    <row r="49" spans="1:21" s="12" customFormat="1" x14ac:dyDescent="0.25">
      <c r="A49" s="214" t="s">
        <v>1345</v>
      </c>
      <c r="B49" s="64">
        <v>12.46</v>
      </c>
      <c r="C49" s="64">
        <v>13.08</v>
      </c>
      <c r="D49" s="64">
        <v>25.54</v>
      </c>
      <c r="E49" s="64">
        <v>1.64</v>
      </c>
      <c r="F49" s="64">
        <v>0.52</v>
      </c>
      <c r="G49" s="64">
        <v>54.42</v>
      </c>
      <c r="H49" s="64">
        <v>14.98</v>
      </c>
      <c r="I49" s="64">
        <v>0.12</v>
      </c>
      <c r="J49" s="64">
        <v>0.43</v>
      </c>
      <c r="K49" s="64">
        <v>335.13</v>
      </c>
      <c r="L49" s="64">
        <v>29.37</v>
      </c>
      <c r="M49" s="64">
        <v>70.58</v>
      </c>
      <c r="N49" s="64">
        <v>694</v>
      </c>
      <c r="O49" s="64">
        <v>0</v>
      </c>
      <c r="P49" s="64">
        <v>0.69</v>
      </c>
      <c r="Q49" s="64">
        <v>14.25</v>
      </c>
      <c r="R49" s="198"/>
      <c r="S49" s="198"/>
      <c r="T49" s="198"/>
      <c r="U49" s="198"/>
    </row>
    <row r="50" spans="1:21" s="12" customFormat="1" x14ac:dyDescent="0.25">
      <c r="A50" s="214" t="s">
        <v>1346</v>
      </c>
      <c r="B50" s="64">
        <v>11.93</v>
      </c>
      <c r="C50" s="64">
        <v>13.63</v>
      </c>
      <c r="D50" s="64">
        <v>25.56</v>
      </c>
      <c r="E50" s="64">
        <v>1.64</v>
      </c>
      <c r="F50" s="64">
        <v>0.77</v>
      </c>
      <c r="G50" s="64">
        <v>54.42</v>
      </c>
      <c r="H50" s="64">
        <v>14.98</v>
      </c>
      <c r="I50" s="64">
        <v>0.12</v>
      </c>
      <c r="J50" s="64">
        <v>0.39</v>
      </c>
      <c r="K50" s="64">
        <v>338.83</v>
      </c>
      <c r="L50" s="64">
        <v>29.94</v>
      </c>
      <c r="M50" s="64">
        <v>67.94</v>
      </c>
      <c r="N50" s="64">
        <v>518.4</v>
      </c>
      <c r="O50" s="64">
        <v>0</v>
      </c>
      <c r="P50" s="64">
        <v>0.66</v>
      </c>
      <c r="Q50" s="64">
        <v>12.8</v>
      </c>
      <c r="R50" s="198"/>
      <c r="S50" s="198"/>
      <c r="T50" s="198"/>
      <c r="U50" s="198"/>
    </row>
    <row r="51" spans="1:21" s="12" customFormat="1" x14ac:dyDescent="0.25">
      <c r="A51" s="214" t="s">
        <v>1347</v>
      </c>
      <c r="B51" s="64">
        <v>11.09</v>
      </c>
      <c r="C51" s="64">
        <v>14.46</v>
      </c>
      <c r="D51" s="64">
        <v>25.54</v>
      </c>
      <c r="E51" s="64">
        <v>1.67</v>
      </c>
      <c r="F51" s="64">
        <v>1.69</v>
      </c>
      <c r="G51" s="64">
        <v>53.69</v>
      </c>
      <c r="H51" s="64">
        <v>13.87</v>
      </c>
      <c r="I51" s="64">
        <v>0.12</v>
      </c>
      <c r="J51" s="64">
        <v>0.88</v>
      </c>
      <c r="K51" s="64">
        <v>320.17</v>
      </c>
      <c r="L51" s="64">
        <v>29.9</v>
      </c>
      <c r="M51" s="64">
        <v>69.290000000000006</v>
      </c>
      <c r="N51" s="64">
        <v>617.6</v>
      </c>
      <c r="O51" s="64">
        <v>0</v>
      </c>
      <c r="P51" s="64">
        <v>0.65</v>
      </c>
      <c r="Q51" s="64">
        <v>11.1</v>
      </c>
      <c r="R51" s="198"/>
      <c r="S51" s="198"/>
      <c r="T51" s="198"/>
      <c r="U51" s="198"/>
    </row>
    <row r="52" spans="1:21" s="12" customFormat="1" x14ac:dyDescent="0.25">
      <c r="A52" s="214" t="s">
        <v>1348</v>
      </c>
      <c r="B52" s="64">
        <v>10.57</v>
      </c>
      <c r="C52" s="64">
        <v>14.74</v>
      </c>
      <c r="D52" s="64">
        <v>25.31</v>
      </c>
      <c r="E52" s="64">
        <v>1.32</v>
      </c>
      <c r="F52" s="64">
        <v>1.74</v>
      </c>
      <c r="G52" s="64">
        <v>51.87</v>
      </c>
      <c r="H52" s="64">
        <v>12.04</v>
      </c>
      <c r="I52" s="64">
        <v>0.11</v>
      </c>
      <c r="J52" s="64">
        <v>0.93</v>
      </c>
      <c r="K52" s="64">
        <v>322.33999999999997</v>
      </c>
      <c r="L52" s="64">
        <v>31.44</v>
      </c>
      <c r="M52" s="64">
        <v>64.64</v>
      </c>
      <c r="N52" s="64">
        <v>912.1</v>
      </c>
      <c r="O52" s="64">
        <v>0</v>
      </c>
      <c r="P52" s="64">
        <v>0.66</v>
      </c>
      <c r="Q52" s="64">
        <v>10.39</v>
      </c>
      <c r="R52" s="198"/>
      <c r="S52" s="198"/>
      <c r="T52" s="198"/>
      <c r="U52" s="198"/>
    </row>
    <row r="53" spans="1:21" s="12" customFormat="1" x14ac:dyDescent="0.25">
      <c r="A53" s="214" t="s">
        <v>1349</v>
      </c>
      <c r="B53" s="64">
        <v>11.12</v>
      </c>
      <c r="C53" s="64">
        <v>15.27</v>
      </c>
      <c r="D53" s="64">
        <v>26.4</v>
      </c>
      <c r="E53" s="64">
        <v>1.2</v>
      </c>
      <c r="F53" s="64">
        <v>1.45</v>
      </c>
      <c r="G53" s="64">
        <v>51.87</v>
      </c>
      <c r="H53" s="64">
        <v>12.04</v>
      </c>
      <c r="I53" s="64">
        <v>0.12</v>
      </c>
      <c r="J53" s="64">
        <v>0.87</v>
      </c>
      <c r="K53" s="64">
        <v>318.91000000000003</v>
      </c>
      <c r="L53" s="64">
        <v>32.26</v>
      </c>
      <c r="M53" s="64">
        <v>61.29</v>
      </c>
      <c r="N53" s="64">
        <v>603.1</v>
      </c>
      <c r="O53" s="64">
        <v>0</v>
      </c>
      <c r="P53" s="64">
        <v>0.65</v>
      </c>
      <c r="Q53" s="64">
        <v>10.68</v>
      </c>
      <c r="R53" s="198"/>
      <c r="S53" s="198"/>
      <c r="T53" s="198"/>
      <c r="U53" s="198"/>
    </row>
    <row r="54" spans="1:21" s="12" customFormat="1" x14ac:dyDescent="0.25">
      <c r="A54" s="214" t="s">
        <v>1350</v>
      </c>
      <c r="B54" s="64">
        <v>10.69</v>
      </c>
      <c r="C54" s="64">
        <v>15.59</v>
      </c>
      <c r="D54" s="64">
        <v>26.28</v>
      </c>
      <c r="E54" s="64">
        <v>1.18</v>
      </c>
      <c r="F54" s="64">
        <v>1.87</v>
      </c>
      <c r="G54" s="64">
        <v>51.87</v>
      </c>
      <c r="H54" s="64">
        <v>12.04</v>
      </c>
      <c r="I54" s="64">
        <v>0.11</v>
      </c>
      <c r="J54" s="64">
        <v>0.83</v>
      </c>
      <c r="K54" s="64">
        <v>320.41000000000003</v>
      </c>
      <c r="L54" s="64">
        <v>31.11</v>
      </c>
      <c r="M54" s="64">
        <v>64.11</v>
      </c>
      <c r="N54" s="64">
        <v>548</v>
      </c>
      <c r="O54" s="64">
        <v>0</v>
      </c>
      <c r="P54" s="64">
        <v>0.65</v>
      </c>
      <c r="Q54" s="64">
        <v>9.67</v>
      </c>
      <c r="R54" s="198"/>
      <c r="S54" s="198"/>
      <c r="T54" s="198"/>
      <c r="U54" s="198"/>
    </row>
    <row r="55" spans="1:21" s="12" customFormat="1" x14ac:dyDescent="0.25">
      <c r="A55" s="214" t="s">
        <v>1351</v>
      </c>
      <c r="B55" s="64">
        <v>10.49</v>
      </c>
      <c r="C55" s="64">
        <v>15.33</v>
      </c>
      <c r="D55" s="64">
        <v>25.82</v>
      </c>
      <c r="E55" s="64">
        <v>1.99</v>
      </c>
      <c r="F55" s="64">
        <v>1.52</v>
      </c>
      <c r="G55" s="64">
        <v>52.38</v>
      </c>
      <c r="H55" s="64">
        <v>12.4</v>
      </c>
      <c r="I55" s="64">
        <v>0.12</v>
      </c>
      <c r="J55" s="64">
        <v>0.94</v>
      </c>
      <c r="K55" s="64">
        <v>316.04000000000002</v>
      </c>
      <c r="L55" s="64">
        <v>31.54</v>
      </c>
      <c r="M55" s="64">
        <v>62.56</v>
      </c>
      <c r="N55" s="64">
        <v>630.9</v>
      </c>
      <c r="O55" s="64">
        <v>0</v>
      </c>
      <c r="P55" s="64">
        <v>0.65</v>
      </c>
      <c r="Q55" s="64">
        <v>10.27</v>
      </c>
      <c r="R55" s="198"/>
      <c r="S55" s="198"/>
      <c r="T55" s="198"/>
      <c r="U55" s="198"/>
    </row>
    <row r="56" spans="1:21" s="12" customFormat="1" x14ac:dyDescent="0.25">
      <c r="A56" s="214" t="s">
        <v>1352</v>
      </c>
      <c r="B56" s="64">
        <v>10.24</v>
      </c>
      <c r="C56" s="64">
        <v>15.78</v>
      </c>
      <c r="D56" s="64">
        <v>26.02</v>
      </c>
      <c r="E56" s="64">
        <v>0.72</v>
      </c>
      <c r="F56" s="64">
        <v>2.04</v>
      </c>
      <c r="G56" s="64">
        <v>53.64</v>
      </c>
      <c r="H56" s="64">
        <v>13.86</v>
      </c>
      <c r="I56" s="64">
        <v>0.12</v>
      </c>
      <c r="J56" s="64">
        <v>1.05</v>
      </c>
      <c r="K56" s="64">
        <v>320.35000000000002</v>
      </c>
      <c r="L56" s="64">
        <v>30.77</v>
      </c>
      <c r="M56" s="64">
        <v>62.89</v>
      </c>
      <c r="N56" s="64">
        <v>329.6</v>
      </c>
      <c r="O56" s="64">
        <v>0</v>
      </c>
      <c r="P56" s="64">
        <v>0.64</v>
      </c>
      <c r="Q56" s="64">
        <v>10.62</v>
      </c>
      <c r="R56" s="198"/>
      <c r="S56" s="198"/>
      <c r="T56" s="198"/>
      <c r="U56" s="198"/>
    </row>
    <row r="57" spans="1:21" s="12" customFormat="1" x14ac:dyDescent="0.25">
      <c r="A57" s="214" t="s">
        <v>1353</v>
      </c>
      <c r="B57" s="64">
        <v>10.82</v>
      </c>
      <c r="C57" s="64">
        <v>16.07</v>
      </c>
      <c r="D57" s="64">
        <v>26.89</v>
      </c>
      <c r="E57" s="64">
        <v>1.19</v>
      </c>
      <c r="F57" s="64">
        <v>1.76</v>
      </c>
      <c r="G57" s="64">
        <v>53.64</v>
      </c>
      <c r="H57" s="64">
        <v>13.86</v>
      </c>
      <c r="I57" s="64">
        <v>0.12</v>
      </c>
      <c r="J57" s="64">
        <v>0.65</v>
      </c>
      <c r="K57" s="64">
        <v>318.83999999999997</v>
      </c>
      <c r="L57" s="64">
        <v>29.47</v>
      </c>
      <c r="M57" s="64">
        <v>67.62</v>
      </c>
      <c r="N57" s="64">
        <v>339.3</v>
      </c>
      <c r="O57" s="64">
        <v>0</v>
      </c>
      <c r="P57" s="64">
        <v>0.63</v>
      </c>
      <c r="Q57" s="64">
        <v>11.06</v>
      </c>
      <c r="R57" s="198"/>
      <c r="S57" s="198"/>
      <c r="T57" s="198"/>
      <c r="U57" s="198"/>
    </row>
    <row r="58" spans="1:21" s="12" customFormat="1" x14ac:dyDescent="0.25">
      <c r="A58" s="214" t="s">
        <v>1354</v>
      </c>
      <c r="B58" s="64">
        <v>10.220000000000001</v>
      </c>
      <c r="C58" s="64">
        <v>15.3</v>
      </c>
      <c r="D58" s="64">
        <v>25.51</v>
      </c>
      <c r="E58" s="64">
        <v>0.94</v>
      </c>
      <c r="F58" s="64">
        <v>1.68</v>
      </c>
      <c r="G58" s="64">
        <v>53.64</v>
      </c>
      <c r="H58" s="64">
        <v>13.86</v>
      </c>
      <c r="I58" s="64">
        <v>0.12</v>
      </c>
      <c r="J58" s="64">
        <v>0.59</v>
      </c>
      <c r="K58" s="64">
        <v>324.20999999999998</v>
      </c>
      <c r="L58" s="64">
        <v>29.31</v>
      </c>
      <c r="M58" s="64">
        <v>70.02</v>
      </c>
      <c r="N58" s="64">
        <v>402.7</v>
      </c>
      <c r="O58" s="64">
        <v>0</v>
      </c>
      <c r="P58" s="64">
        <v>0.62</v>
      </c>
      <c r="Q58" s="64">
        <v>11.01</v>
      </c>
      <c r="R58" s="198"/>
      <c r="S58" s="198"/>
      <c r="T58" s="198"/>
      <c r="U58" s="198"/>
    </row>
    <row r="59" spans="1:21" s="12" customFormat="1" x14ac:dyDescent="0.25">
      <c r="A59" s="214" t="s">
        <v>1355</v>
      </c>
      <c r="B59" s="64">
        <v>9.32</v>
      </c>
      <c r="C59" s="64">
        <v>14.95</v>
      </c>
      <c r="D59" s="64">
        <v>24.26</v>
      </c>
      <c r="E59" s="64">
        <v>0.84</v>
      </c>
      <c r="F59" s="64">
        <v>1.52</v>
      </c>
      <c r="G59" s="64">
        <v>53.94</v>
      </c>
      <c r="H59" s="64">
        <v>13.08</v>
      </c>
      <c r="I59" s="64">
        <v>0.12</v>
      </c>
      <c r="J59" s="64">
        <v>0.5</v>
      </c>
      <c r="K59" s="64">
        <v>333.19</v>
      </c>
      <c r="L59" s="64">
        <v>29.35</v>
      </c>
      <c r="M59" s="64">
        <v>69.13</v>
      </c>
      <c r="N59" s="64">
        <v>632.1</v>
      </c>
      <c r="O59" s="64">
        <v>0</v>
      </c>
      <c r="P59" s="64">
        <v>0.61</v>
      </c>
      <c r="Q59" s="64">
        <v>10.61</v>
      </c>
      <c r="R59" s="198"/>
      <c r="S59" s="198"/>
      <c r="T59" s="198"/>
      <c r="U59" s="198"/>
    </row>
    <row r="60" spans="1:21" s="12" customFormat="1" x14ac:dyDescent="0.25">
      <c r="A60" s="214" t="s">
        <v>1356</v>
      </c>
      <c r="B60" s="64">
        <v>9.33</v>
      </c>
      <c r="C60" s="64">
        <v>15.2</v>
      </c>
      <c r="D60" s="64">
        <v>24.53</v>
      </c>
      <c r="E60" s="64">
        <v>1.19</v>
      </c>
      <c r="F60" s="64">
        <v>1.52</v>
      </c>
      <c r="G60" s="64">
        <v>54.68</v>
      </c>
      <c r="H60" s="64">
        <v>11.81</v>
      </c>
      <c r="I60" s="64">
        <v>0.12</v>
      </c>
      <c r="J60" s="64">
        <v>0.43</v>
      </c>
      <c r="K60" s="64">
        <v>339.03</v>
      </c>
      <c r="L60" s="64">
        <v>29.39</v>
      </c>
      <c r="M60" s="64">
        <v>68.05</v>
      </c>
      <c r="N60" s="64">
        <v>360.9</v>
      </c>
      <c r="O60" s="64">
        <v>0</v>
      </c>
      <c r="P60" s="64">
        <v>0.57999999999999996</v>
      </c>
      <c r="Q60" s="64">
        <v>10.25</v>
      </c>
      <c r="R60" s="198"/>
      <c r="S60" s="198"/>
      <c r="T60" s="198"/>
      <c r="U60" s="198"/>
    </row>
    <row r="61" spans="1:21" s="12" customFormat="1" x14ac:dyDescent="0.25">
      <c r="A61" s="214" t="s">
        <v>1357</v>
      </c>
      <c r="B61" s="64">
        <v>9.5399999999999991</v>
      </c>
      <c r="C61" s="64">
        <v>13.5</v>
      </c>
      <c r="D61" s="64">
        <v>23.04</v>
      </c>
      <c r="E61" s="64">
        <v>1.04</v>
      </c>
      <c r="F61" s="64">
        <v>1.29</v>
      </c>
      <c r="G61" s="64">
        <v>54.68</v>
      </c>
      <c r="H61" s="64">
        <v>11.81</v>
      </c>
      <c r="I61" s="64">
        <v>0.12</v>
      </c>
      <c r="J61" s="64">
        <v>0.7</v>
      </c>
      <c r="K61" s="64">
        <v>320.20999999999998</v>
      </c>
      <c r="L61" s="64">
        <v>28.86</v>
      </c>
      <c r="M61" s="64">
        <v>70.3</v>
      </c>
      <c r="N61" s="64">
        <v>332.4</v>
      </c>
      <c r="O61" s="64">
        <v>0</v>
      </c>
      <c r="P61" s="64">
        <v>0.53</v>
      </c>
      <c r="Q61" s="64">
        <v>9.58</v>
      </c>
      <c r="R61" s="198"/>
      <c r="S61" s="198"/>
      <c r="T61" s="198"/>
      <c r="U61" s="198"/>
    </row>
    <row r="62" spans="1:21" s="12" customFormat="1" x14ac:dyDescent="0.25">
      <c r="A62" s="214" t="s">
        <v>1358</v>
      </c>
      <c r="B62" s="64">
        <v>7.88</v>
      </c>
      <c r="C62" s="64">
        <v>16.829999999999998</v>
      </c>
      <c r="D62" s="64">
        <v>24.71</v>
      </c>
      <c r="E62" s="64">
        <v>0.81</v>
      </c>
      <c r="F62" s="64">
        <v>1.57</v>
      </c>
      <c r="G62" s="64">
        <v>54.68</v>
      </c>
      <c r="H62" s="64">
        <v>11.81</v>
      </c>
      <c r="I62" s="64">
        <v>0.11</v>
      </c>
      <c r="J62" s="64">
        <v>0.5</v>
      </c>
      <c r="K62" s="64">
        <v>329.96</v>
      </c>
      <c r="L62" s="64">
        <v>28.56</v>
      </c>
      <c r="M62" s="64">
        <v>72.14</v>
      </c>
      <c r="N62" s="64">
        <v>341.2</v>
      </c>
      <c r="O62" s="64">
        <v>0</v>
      </c>
      <c r="P62" s="64">
        <v>0.55000000000000004</v>
      </c>
      <c r="Q62" s="64">
        <v>8.32</v>
      </c>
      <c r="R62" s="198"/>
      <c r="S62" s="198"/>
      <c r="T62" s="198"/>
      <c r="U62" s="198"/>
    </row>
    <row r="63" spans="1:21" s="12" customFormat="1" x14ac:dyDescent="0.25">
      <c r="A63" s="214" t="s">
        <v>1359</v>
      </c>
      <c r="B63" s="64">
        <v>7.03</v>
      </c>
      <c r="C63" s="64">
        <v>15.15</v>
      </c>
      <c r="D63" s="64">
        <v>22.17</v>
      </c>
      <c r="E63" s="64">
        <v>0.9</v>
      </c>
      <c r="F63" s="64">
        <v>2</v>
      </c>
      <c r="G63" s="64">
        <v>53.86</v>
      </c>
      <c r="H63" s="64">
        <v>19.350000000000001</v>
      </c>
      <c r="I63" s="64">
        <v>0.12</v>
      </c>
      <c r="J63" s="64">
        <v>0.45</v>
      </c>
      <c r="K63" s="64">
        <v>344.83</v>
      </c>
      <c r="L63" s="64">
        <v>28.69</v>
      </c>
      <c r="M63" s="64">
        <v>70.98</v>
      </c>
      <c r="N63" s="64">
        <v>451.6</v>
      </c>
      <c r="O63" s="64">
        <v>0</v>
      </c>
      <c r="P63" s="64">
        <v>0.53</v>
      </c>
      <c r="Q63" s="64">
        <v>7.24</v>
      </c>
      <c r="R63" s="198"/>
      <c r="S63" s="198"/>
      <c r="T63" s="198"/>
      <c r="U63" s="198"/>
    </row>
    <row r="64" spans="1:21" s="12" customFormat="1" x14ac:dyDescent="0.25">
      <c r="A64" s="214" t="s">
        <v>1360</v>
      </c>
      <c r="B64" s="64">
        <v>6.29</v>
      </c>
      <c r="C64" s="64">
        <v>14.45</v>
      </c>
      <c r="D64" s="64">
        <v>20.74</v>
      </c>
      <c r="E64" s="64">
        <v>1.08</v>
      </c>
      <c r="F64" s="64">
        <v>1.97</v>
      </c>
      <c r="G64" s="64">
        <v>51.83</v>
      </c>
      <c r="H64" s="64">
        <v>31.71</v>
      </c>
      <c r="I64" s="64">
        <v>0.12</v>
      </c>
      <c r="J64" s="64">
        <v>0.78</v>
      </c>
      <c r="K64" s="64">
        <v>314.66000000000003</v>
      </c>
      <c r="L64" s="64">
        <v>29.49</v>
      </c>
      <c r="M64" s="64">
        <v>68.3</v>
      </c>
      <c r="N64" s="64">
        <v>429.1</v>
      </c>
      <c r="O64" s="64">
        <v>0</v>
      </c>
      <c r="P64" s="64">
        <v>0.51</v>
      </c>
      <c r="Q64" s="64">
        <v>6.4</v>
      </c>
      <c r="R64" s="198"/>
      <c r="S64" s="198"/>
      <c r="T64" s="198"/>
      <c r="U64" s="198"/>
    </row>
    <row r="65" spans="1:21" s="12" customFormat="1" x14ac:dyDescent="0.25">
      <c r="A65" s="214" t="s">
        <v>1361</v>
      </c>
      <c r="B65" s="64">
        <v>5.99</v>
      </c>
      <c r="C65" s="64">
        <v>14.26</v>
      </c>
      <c r="D65" s="64">
        <v>20.25</v>
      </c>
      <c r="E65" s="64">
        <v>0.87</v>
      </c>
      <c r="F65" s="64">
        <v>2.2000000000000002</v>
      </c>
      <c r="G65" s="64">
        <v>51.83</v>
      </c>
      <c r="H65" s="64">
        <v>31.71</v>
      </c>
      <c r="I65" s="64">
        <v>0.12</v>
      </c>
      <c r="J65" s="64">
        <v>0.91</v>
      </c>
      <c r="K65" s="64">
        <v>317.64</v>
      </c>
      <c r="L65" s="64">
        <v>29.62</v>
      </c>
      <c r="M65" s="64">
        <v>67.58</v>
      </c>
      <c r="N65" s="64">
        <v>420.5</v>
      </c>
      <c r="O65" s="64">
        <v>0</v>
      </c>
      <c r="P65" s="64">
        <v>0.51</v>
      </c>
      <c r="Q65" s="64">
        <v>6.42</v>
      </c>
      <c r="R65" s="198"/>
      <c r="S65" s="198"/>
      <c r="T65" s="198"/>
      <c r="U65" s="198"/>
    </row>
    <row r="66" spans="1:21" s="12" customFormat="1" x14ac:dyDescent="0.25">
      <c r="A66" s="214" t="s">
        <v>1362</v>
      </c>
      <c r="B66" s="64">
        <v>6.7</v>
      </c>
      <c r="C66" s="64">
        <v>14.56</v>
      </c>
      <c r="D66" s="64">
        <v>21.26</v>
      </c>
      <c r="E66" s="64">
        <v>0.91</v>
      </c>
      <c r="F66" s="64">
        <v>1.45</v>
      </c>
      <c r="G66" s="64">
        <v>51.83</v>
      </c>
      <c r="H66" s="64">
        <v>31.71</v>
      </c>
      <c r="I66" s="64">
        <v>0.13</v>
      </c>
      <c r="J66" s="64">
        <v>0.88</v>
      </c>
      <c r="K66" s="64">
        <v>317.23</v>
      </c>
      <c r="L66" s="64">
        <v>30.04</v>
      </c>
      <c r="M66" s="64">
        <v>66.5</v>
      </c>
      <c r="N66" s="64">
        <v>447.6</v>
      </c>
      <c r="O66" s="64">
        <v>0</v>
      </c>
      <c r="P66" s="64">
        <v>0.5</v>
      </c>
      <c r="Q66" s="64">
        <v>8.26</v>
      </c>
      <c r="R66" s="198"/>
      <c r="S66" s="198"/>
      <c r="T66" s="198"/>
      <c r="U66" s="198"/>
    </row>
    <row r="67" spans="1:21" s="12" customFormat="1" x14ac:dyDescent="0.25">
      <c r="A67" s="214" t="s">
        <v>1363</v>
      </c>
      <c r="B67" s="64">
        <v>6.79</v>
      </c>
      <c r="C67" s="64">
        <v>14.46</v>
      </c>
      <c r="D67" s="64">
        <v>21.24</v>
      </c>
      <c r="E67" s="64">
        <v>0.56000000000000005</v>
      </c>
      <c r="F67" s="64">
        <v>1.93</v>
      </c>
      <c r="G67" s="64">
        <v>51.76</v>
      </c>
      <c r="H67" s="64">
        <v>29.21</v>
      </c>
      <c r="I67" s="64">
        <v>0.12</v>
      </c>
      <c r="J67" s="64">
        <v>0.77</v>
      </c>
      <c r="K67" s="64">
        <v>314.08</v>
      </c>
      <c r="L67" s="64">
        <v>29.92</v>
      </c>
      <c r="M67" s="64">
        <v>66.7</v>
      </c>
      <c r="N67" s="64">
        <v>354.9</v>
      </c>
      <c r="O67" s="64">
        <v>0</v>
      </c>
      <c r="P67" s="64">
        <v>0.49</v>
      </c>
      <c r="Q67" s="64">
        <v>8.01</v>
      </c>
      <c r="R67" s="198"/>
      <c r="S67" s="198"/>
      <c r="T67" s="198"/>
      <c r="U67" s="198"/>
    </row>
    <row r="68" spans="1:21" s="12" customFormat="1" x14ac:dyDescent="0.25">
      <c r="A68" s="214" t="s">
        <v>1364</v>
      </c>
      <c r="B68" s="64">
        <v>6.57</v>
      </c>
      <c r="C68" s="64">
        <v>14.71</v>
      </c>
      <c r="D68" s="64">
        <v>21.28</v>
      </c>
      <c r="E68" s="64">
        <v>0.65</v>
      </c>
      <c r="F68" s="64">
        <v>2.2400000000000002</v>
      </c>
      <c r="G68" s="64">
        <v>51.58</v>
      </c>
      <c r="H68" s="64">
        <v>25.12</v>
      </c>
      <c r="I68" s="64">
        <v>0.11</v>
      </c>
      <c r="J68" s="64">
        <v>0.59</v>
      </c>
      <c r="K68" s="64">
        <v>328.16</v>
      </c>
      <c r="L68" s="64">
        <v>28.8</v>
      </c>
      <c r="M68" s="64">
        <v>70.81</v>
      </c>
      <c r="N68" s="64">
        <v>190</v>
      </c>
      <c r="O68" s="64">
        <v>0</v>
      </c>
      <c r="P68" s="64">
        <v>0.49</v>
      </c>
      <c r="Q68" s="64">
        <v>8.1999999999999993</v>
      </c>
      <c r="R68" s="198"/>
      <c r="S68" s="198"/>
      <c r="T68" s="198"/>
      <c r="U68" s="198"/>
    </row>
    <row r="69" spans="1:21" s="12" customFormat="1" x14ac:dyDescent="0.25">
      <c r="A69" s="214" t="s">
        <v>1365</v>
      </c>
      <c r="B69" s="64">
        <v>7.79</v>
      </c>
      <c r="C69" s="64">
        <v>15.79</v>
      </c>
      <c r="D69" s="64">
        <v>23.58</v>
      </c>
      <c r="E69" s="64">
        <v>0.8</v>
      </c>
      <c r="F69" s="64">
        <v>2.35</v>
      </c>
      <c r="G69" s="64">
        <v>51.58</v>
      </c>
      <c r="H69" s="64">
        <v>25.12</v>
      </c>
      <c r="I69" s="64">
        <v>0.12</v>
      </c>
      <c r="J69" s="64">
        <v>0.76</v>
      </c>
      <c r="K69" s="64">
        <v>317.58</v>
      </c>
      <c r="L69" s="64">
        <v>28.42</v>
      </c>
      <c r="M69" s="64">
        <v>72.37</v>
      </c>
      <c r="N69" s="64">
        <v>195.2</v>
      </c>
      <c r="O69" s="64">
        <v>0</v>
      </c>
      <c r="P69" s="64">
        <v>0.48</v>
      </c>
      <c r="Q69" s="64">
        <v>8.86</v>
      </c>
      <c r="R69" s="198"/>
      <c r="S69" s="198"/>
      <c r="T69" s="198"/>
      <c r="U69" s="198"/>
    </row>
    <row r="70" spans="1:21" s="12" customFormat="1" x14ac:dyDescent="0.25">
      <c r="A70" s="214" t="s">
        <v>1366</v>
      </c>
      <c r="B70" s="64">
        <v>7.89</v>
      </c>
      <c r="C70" s="64">
        <v>15.81</v>
      </c>
      <c r="D70" s="64">
        <v>23.7</v>
      </c>
      <c r="E70" s="64">
        <v>1.26</v>
      </c>
      <c r="F70" s="64">
        <v>1.07</v>
      </c>
      <c r="G70" s="64">
        <v>51.58</v>
      </c>
      <c r="H70" s="64">
        <v>25.12</v>
      </c>
      <c r="I70" s="64">
        <v>0.12</v>
      </c>
      <c r="J70" s="64">
        <v>0.38</v>
      </c>
      <c r="K70" s="64">
        <v>345</v>
      </c>
      <c r="L70" s="64">
        <v>28.11</v>
      </c>
      <c r="M70" s="64">
        <v>74.53</v>
      </c>
      <c r="N70" s="64">
        <v>156.80000000000001</v>
      </c>
      <c r="O70" s="64">
        <v>0</v>
      </c>
      <c r="P70" s="64">
        <v>0.49</v>
      </c>
      <c r="Q70" s="64">
        <v>9.2799999999999994</v>
      </c>
      <c r="R70" s="198"/>
      <c r="S70" s="198"/>
      <c r="T70" s="198"/>
      <c r="U70" s="198"/>
    </row>
    <row r="71" spans="1:21" s="12" customFormat="1" x14ac:dyDescent="0.25">
      <c r="A71" s="214" t="s">
        <v>1367</v>
      </c>
      <c r="B71" s="64">
        <v>6.98</v>
      </c>
      <c r="C71" s="64">
        <v>15.65</v>
      </c>
      <c r="D71" s="64">
        <v>22.63</v>
      </c>
      <c r="E71" s="64">
        <v>0.99</v>
      </c>
      <c r="F71" s="64">
        <v>1.47</v>
      </c>
      <c r="G71" s="64">
        <v>50.39</v>
      </c>
      <c r="H71" s="64">
        <v>23.23</v>
      </c>
      <c r="I71" s="64">
        <v>0.11</v>
      </c>
      <c r="J71" s="64">
        <v>0.25</v>
      </c>
      <c r="K71" s="64">
        <v>12.89</v>
      </c>
      <c r="L71" s="64">
        <v>26.7</v>
      </c>
      <c r="M71" s="64">
        <v>81.709999999999994</v>
      </c>
      <c r="N71" s="64">
        <v>122.1</v>
      </c>
      <c r="O71" s="64">
        <v>0</v>
      </c>
      <c r="P71" s="64">
        <v>0.49</v>
      </c>
      <c r="Q71" s="64">
        <v>9.3800000000000008</v>
      </c>
      <c r="R71" s="198"/>
      <c r="S71" s="198"/>
      <c r="T71" s="198"/>
      <c r="U71" s="198"/>
    </row>
    <row r="72" spans="1:21" s="12" customFormat="1" x14ac:dyDescent="0.25">
      <c r="A72" s="214" t="s">
        <v>1368</v>
      </c>
      <c r="B72" s="64">
        <v>6.6</v>
      </c>
      <c r="C72" s="64">
        <v>15.45</v>
      </c>
      <c r="D72" s="64">
        <v>22.05</v>
      </c>
      <c r="E72" s="64">
        <v>0.41</v>
      </c>
      <c r="F72" s="64">
        <v>1.86</v>
      </c>
      <c r="G72" s="64">
        <v>47.45</v>
      </c>
      <c r="H72" s="64">
        <v>20.12</v>
      </c>
      <c r="I72" s="64">
        <v>0.12</v>
      </c>
      <c r="J72" s="64">
        <v>0.24</v>
      </c>
      <c r="K72" s="64">
        <v>17.07</v>
      </c>
      <c r="L72" s="64">
        <v>26.39</v>
      </c>
      <c r="M72" s="64">
        <v>82.93</v>
      </c>
      <c r="N72" s="64">
        <v>135.4</v>
      </c>
      <c r="O72" s="64">
        <v>0</v>
      </c>
      <c r="P72" s="64">
        <v>0.51</v>
      </c>
      <c r="Q72" s="64">
        <v>9.83</v>
      </c>
      <c r="R72" s="198"/>
      <c r="S72" s="198"/>
      <c r="T72" s="198"/>
      <c r="U72" s="198"/>
    </row>
    <row r="73" spans="1:21" s="12" customFormat="1" x14ac:dyDescent="0.25">
      <c r="A73" s="214" t="s">
        <v>1369</v>
      </c>
      <c r="B73" s="64">
        <v>6.16</v>
      </c>
      <c r="C73" s="64">
        <v>15.22</v>
      </c>
      <c r="D73" s="64">
        <v>21.38</v>
      </c>
      <c r="E73" s="64">
        <v>0.5</v>
      </c>
      <c r="F73" s="64">
        <v>1.36</v>
      </c>
      <c r="G73" s="64">
        <v>47.45</v>
      </c>
      <c r="H73" s="64">
        <v>20.12</v>
      </c>
      <c r="I73" s="64">
        <v>0.12</v>
      </c>
      <c r="J73" s="64">
        <v>0.27</v>
      </c>
      <c r="K73" s="64">
        <v>27.07</v>
      </c>
      <c r="L73" s="64">
        <v>26.16</v>
      </c>
      <c r="M73" s="64">
        <v>84.99</v>
      </c>
      <c r="N73" s="64">
        <v>107.6</v>
      </c>
      <c r="O73" s="64">
        <v>0</v>
      </c>
      <c r="P73" s="64">
        <v>0.56000000000000005</v>
      </c>
      <c r="Q73" s="64">
        <v>9.66</v>
      </c>
      <c r="R73" s="198"/>
      <c r="S73" s="198"/>
      <c r="T73" s="198"/>
      <c r="U73" s="198"/>
    </row>
    <row r="74" spans="1:21" s="12" customFormat="1" x14ac:dyDescent="0.25">
      <c r="A74" s="214" t="s">
        <v>1370</v>
      </c>
      <c r="B74" s="64">
        <v>5.95</v>
      </c>
      <c r="C74" s="64">
        <v>15.38</v>
      </c>
      <c r="D74" s="64">
        <v>21.33</v>
      </c>
      <c r="E74" s="64">
        <v>0.4</v>
      </c>
      <c r="F74" s="64">
        <v>1.41</v>
      </c>
      <c r="G74" s="64">
        <v>47.45</v>
      </c>
      <c r="H74" s="64">
        <v>20.12</v>
      </c>
      <c r="I74" s="64">
        <v>0.11</v>
      </c>
      <c r="J74" s="64">
        <v>0.27</v>
      </c>
      <c r="K74" s="64">
        <v>16.64</v>
      </c>
      <c r="L74" s="64">
        <v>26.07</v>
      </c>
      <c r="M74" s="64">
        <v>86.29</v>
      </c>
      <c r="N74" s="64">
        <v>67.099999999999994</v>
      </c>
      <c r="O74" s="64">
        <v>0</v>
      </c>
      <c r="P74" s="64">
        <v>0.61</v>
      </c>
      <c r="Q74" s="64">
        <v>8.93</v>
      </c>
      <c r="R74" s="198"/>
      <c r="S74" s="198"/>
      <c r="T74" s="198"/>
      <c r="U74" s="198"/>
    </row>
    <row r="75" spans="1:21" s="12" customFormat="1" x14ac:dyDescent="0.25">
      <c r="A75" s="214" t="s">
        <v>1371</v>
      </c>
      <c r="B75" s="64">
        <v>6.78</v>
      </c>
      <c r="C75" s="64">
        <v>16.84</v>
      </c>
      <c r="D75" s="64">
        <v>23.62</v>
      </c>
      <c r="E75" s="64">
        <v>0.25</v>
      </c>
      <c r="F75" s="64">
        <v>2.56</v>
      </c>
      <c r="G75" s="64">
        <v>48.77</v>
      </c>
      <c r="H75" s="64">
        <v>19.25</v>
      </c>
      <c r="I75" s="64">
        <v>0.12</v>
      </c>
      <c r="J75" s="64">
        <v>0.14000000000000001</v>
      </c>
      <c r="K75" s="64">
        <v>8.43</v>
      </c>
      <c r="L75" s="64">
        <v>26.08</v>
      </c>
      <c r="M75" s="64">
        <v>87.56</v>
      </c>
      <c r="N75" s="64">
        <v>42.3</v>
      </c>
      <c r="O75" s="64">
        <v>0</v>
      </c>
      <c r="P75" s="64">
        <v>0.65</v>
      </c>
      <c r="Q75" s="64">
        <v>8.52</v>
      </c>
      <c r="R75" s="198"/>
      <c r="S75" s="198"/>
      <c r="T75" s="198"/>
      <c r="U75" s="198"/>
    </row>
    <row r="76" spans="1:21" s="12" customFormat="1" x14ac:dyDescent="0.25">
      <c r="A76" s="214" t="s">
        <v>1372</v>
      </c>
      <c r="B76" s="64">
        <v>6.75</v>
      </c>
      <c r="C76" s="64">
        <v>17.010000000000002</v>
      </c>
      <c r="D76" s="64">
        <v>23.76</v>
      </c>
      <c r="E76" s="64">
        <v>0.44</v>
      </c>
      <c r="F76" s="64">
        <v>1.56</v>
      </c>
      <c r="G76" s="64">
        <v>52.02</v>
      </c>
      <c r="H76" s="64">
        <v>17.86</v>
      </c>
      <c r="I76" s="64">
        <v>0.11</v>
      </c>
      <c r="J76" s="64">
        <v>0.12</v>
      </c>
      <c r="K76" s="64">
        <v>351.37</v>
      </c>
      <c r="L76" s="64">
        <v>26.01</v>
      </c>
      <c r="M76" s="64">
        <v>87.32</v>
      </c>
      <c r="N76" s="64">
        <v>30.7</v>
      </c>
      <c r="O76" s="64">
        <v>0</v>
      </c>
      <c r="P76" s="64">
        <v>0.64</v>
      </c>
      <c r="Q76" s="64">
        <v>9.42</v>
      </c>
      <c r="R76" s="198"/>
      <c r="S76" s="198"/>
      <c r="T76" s="198"/>
      <c r="U76" s="198"/>
    </row>
    <row r="77" spans="1:21" s="12" customFormat="1" x14ac:dyDescent="0.25">
      <c r="A77" s="214" t="s">
        <v>1373</v>
      </c>
      <c r="B77" s="64">
        <v>7.72</v>
      </c>
      <c r="C77" s="64">
        <v>16.440000000000001</v>
      </c>
      <c r="D77" s="64">
        <v>24.16</v>
      </c>
      <c r="E77" s="64">
        <v>0.61</v>
      </c>
      <c r="F77" s="64">
        <v>1.22</v>
      </c>
      <c r="G77" s="64">
        <v>52.02</v>
      </c>
      <c r="H77" s="64">
        <v>17.86</v>
      </c>
      <c r="I77" s="64">
        <v>0.11</v>
      </c>
      <c r="J77" s="64">
        <v>0.16</v>
      </c>
      <c r="K77" s="64">
        <v>23.51</v>
      </c>
      <c r="L77" s="64">
        <v>25.92</v>
      </c>
      <c r="M77" s="64">
        <v>87.15</v>
      </c>
      <c r="N77" s="64">
        <v>27.3</v>
      </c>
      <c r="O77" s="64">
        <v>0</v>
      </c>
      <c r="P77" s="64">
        <v>0.64</v>
      </c>
      <c r="Q77" s="64">
        <v>11.23</v>
      </c>
      <c r="R77" s="198"/>
      <c r="S77" s="198"/>
      <c r="T77" s="198"/>
      <c r="U77" s="198"/>
    </row>
    <row r="78" spans="1:21" s="12" customFormat="1" x14ac:dyDescent="0.25">
      <c r="A78" s="214" t="s">
        <v>1374</v>
      </c>
      <c r="B78" s="64">
        <v>6.76</v>
      </c>
      <c r="C78" s="64">
        <v>17.7</v>
      </c>
      <c r="D78" s="64">
        <v>24.46</v>
      </c>
      <c r="E78" s="64">
        <v>0.52</v>
      </c>
      <c r="F78" s="64">
        <v>4.55</v>
      </c>
      <c r="G78" s="64">
        <v>52.02</v>
      </c>
      <c r="H78" s="64">
        <v>17.86</v>
      </c>
      <c r="I78" s="64">
        <v>0.11</v>
      </c>
      <c r="J78" s="64">
        <v>0</v>
      </c>
      <c r="K78" s="64">
        <v>47.05</v>
      </c>
      <c r="L78" s="64">
        <v>25.79</v>
      </c>
      <c r="M78" s="64">
        <v>89.43</v>
      </c>
      <c r="N78" s="64">
        <v>17.100000000000001</v>
      </c>
      <c r="O78" s="64">
        <v>0</v>
      </c>
      <c r="P78" s="64">
        <v>0.71</v>
      </c>
      <c r="Q78" s="64">
        <v>10.9</v>
      </c>
      <c r="R78" s="198"/>
      <c r="S78" s="198"/>
      <c r="T78" s="198"/>
      <c r="U78" s="198"/>
    </row>
    <row r="79" spans="1:21" s="12" customFormat="1" x14ac:dyDescent="0.25">
      <c r="A79" s="214" t="s">
        <v>1375</v>
      </c>
      <c r="B79" s="64">
        <v>6.05</v>
      </c>
      <c r="C79" s="64">
        <v>16.899999999999999</v>
      </c>
      <c r="D79" s="64">
        <v>22.95</v>
      </c>
      <c r="E79" s="64">
        <v>0.89</v>
      </c>
      <c r="F79" s="64">
        <v>8.5500000000000007</v>
      </c>
      <c r="G79" s="64">
        <v>52.18</v>
      </c>
      <c r="H79" s="64">
        <v>17.93</v>
      </c>
      <c r="I79" s="64">
        <v>0.12</v>
      </c>
      <c r="J79" s="64">
        <v>0.18</v>
      </c>
      <c r="K79" s="64">
        <v>170.12</v>
      </c>
      <c r="L79" s="64">
        <v>25.63</v>
      </c>
      <c r="M79" s="64">
        <v>91.18</v>
      </c>
      <c r="N79" s="64">
        <v>11.3</v>
      </c>
      <c r="O79" s="64">
        <v>0</v>
      </c>
      <c r="P79" s="64">
        <v>0.61</v>
      </c>
      <c r="Q79" s="64">
        <v>10.48</v>
      </c>
      <c r="R79" s="198"/>
      <c r="S79" s="198"/>
      <c r="T79" s="198"/>
      <c r="U79" s="198"/>
    </row>
    <row r="80" spans="1:21" s="12" customFormat="1" x14ac:dyDescent="0.25">
      <c r="A80" s="214" t="s">
        <v>1376</v>
      </c>
      <c r="B80" s="64">
        <v>7.59</v>
      </c>
      <c r="C80" s="64">
        <v>22.43</v>
      </c>
      <c r="D80" s="64">
        <v>30.01</v>
      </c>
      <c r="E80" s="64">
        <v>1.19</v>
      </c>
      <c r="F80" s="64">
        <v>7.14</v>
      </c>
      <c r="G80" s="64">
        <v>52.57</v>
      </c>
      <c r="H80" s="64">
        <v>18.21</v>
      </c>
      <c r="I80" s="64">
        <v>0.11</v>
      </c>
      <c r="J80" s="64">
        <v>0.2</v>
      </c>
      <c r="K80" s="64">
        <v>162.04</v>
      </c>
      <c r="L80" s="64">
        <v>25.49</v>
      </c>
      <c r="M80" s="64">
        <v>93.36</v>
      </c>
      <c r="N80" s="64">
        <v>9.6999999999999993</v>
      </c>
      <c r="O80" s="64">
        <v>0</v>
      </c>
      <c r="P80" s="64">
        <v>0.55000000000000004</v>
      </c>
      <c r="Q80" s="64">
        <v>11.81</v>
      </c>
      <c r="R80" s="198"/>
      <c r="S80" s="198"/>
      <c r="T80" s="198"/>
      <c r="U80" s="198"/>
    </row>
    <row r="81" spans="1:26" s="12" customFormat="1" x14ac:dyDescent="0.25">
      <c r="A81" s="214" t="s">
        <v>1377</v>
      </c>
      <c r="B81" s="64">
        <v>6.66</v>
      </c>
      <c r="C81" s="64">
        <v>19.809999999999999</v>
      </c>
      <c r="D81" s="64">
        <v>26.48</v>
      </c>
      <c r="E81" s="64">
        <v>0.71</v>
      </c>
      <c r="F81" s="64">
        <v>5.56</v>
      </c>
      <c r="G81" s="64">
        <v>52.57</v>
      </c>
      <c r="H81" s="64">
        <v>18.21</v>
      </c>
      <c r="I81" s="64">
        <v>0.11</v>
      </c>
      <c r="J81" s="64">
        <v>0.26</v>
      </c>
      <c r="K81" s="64">
        <v>204.39</v>
      </c>
      <c r="L81" s="64">
        <v>25.37</v>
      </c>
      <c r="M81" s="64">
        <v>94.42</v>
      </c>
      <c r="N81" s="64">
        <v>8.3000000000000007</v>
      </c>
      <c r="O81" s="64">
        <v>0</v>
      </c>
      <c r="P81" s="64">
        <v>0.55000000000000004</v>
      </c>
      <c r="Q81" s="64">
        <v>13</v>
      </c>
      <c r="R81" s="198"/>
      <c r="S81" s="198"/>
      <c r="T81" s="198"/>
      <c r="U81" s="198"/>
    </row>
    <row r="82" spans="1:26" s="12" customFormat="1" x14ac:dyDescent="0.25">
      <c r="A82" s="214" t="s">
        <v>1378</v>
      </c>
      <c r="B82" s="64">
        <v>6.41</v>
      </c>
      <c r="C82" s="64">
        <v>17.309999999999999</v>
      </c>
      <c r="D82" s="64">
        <v>23.72</v>
      </c>
      <c r="E82" s="64">
        <v>1.29</v>
      </c>
      <c r="F82" s="64">
        <v>5.7</v>
      </c>
      <c r="G82" s="64">
        <v>52.57</v>
      </c>
      <c r="H82" s="64">
        <v>18.21</v>
      </c>
      <c r="I82" s="64">
        <v>0.11</v>
      </c>
      <c r="J82" s="64">
        <v>0.49</v>
      </c>
      <c r="K82" s="64">
        <v>142.29</v>
      </c>
      <c r="L82" s="64">
        <v>25.24</v>
      </c>
      <c r="M82" s="64">
        <v>95.79</v>
      </c>
      <c r="N82" s="64">
        <v>7.6</v>
      </c>
      <c r="O82" s="64">
        <v>0</v>
      </c>
      <c r="P82" s="64">
        <v>0.55000000000000004</v>
      </c>
      <c r="Q82" s="64">
        <v>13.83</v>
      </c>
      <c r="R82" s="198"/>
      <c r="S82" s="198"/>
      <c r="T82" s="198"/>
      <c r="U82" s="198"/>
    </row>
    <row r="83" spans="1:26" s="12" customFormat="1" x14ac:dyDescent="0.25">
      <c r="A83" s="214" t="s">
        <v>1379</v>
      </c>
      <c r="B83" s="64">
        <v>8.0399999999999991</v>
      </c>
      <c r="C83" s="64">
        <v>18.36</v>
      </c>
      <c r="D83" s="64">
        <v>26.4</v>
      </c>
      <c r="E83" s="64">
        <v>0.7</v>
      </c>
      <c r="F83" s="64">
        <v>5.57</v>
      </c>
      <c r="G83" s="64">
        <v>50.48</v>
      </c>
      <c r="H83" s="64">
        <v>17.329999999999998</v>
      </c>
      <c r="I83" s="64">
        <v>0.11</v>
      </c>
      <c r="J83" s="64">
        <v>0.43</v>
      </c>
      <c r="K83" s="64">
        <v>163.38</v>
      </c>
      <c r="L83" s="64">
        <v>25.15</v>
      </c>
      <c r="M83" s="64">
        <v>96.95</v>
      </c>
      <c r="N83" s="64">
        <v>7.6</v>
      </c>
      <c r="O83" s="64">
        <v>0</v>
      </c>
      <c r="P83" s="64">
        <v>0.56999999999999995</v>
      </c>
      <c r="Q83" s="64">
        <v>14.53</v>
      </c>
      <c r="R83" s="198"/>
      <c r="S83" s="198"/>
      <c r="T83" s="198"/>
      <c r="U83" s="198"/>
    </row>
    <row r="84" spans="1:26" s="12" customFormat="1" x14ac:dyDescent="0.25">
      <c r="A84" s="214" t="s">
        <v>1380</v>
      </c>
      <c r="B84" s="64">
        <v>7.26</v>
      </c>
      <c r="C84" s="64">
        <v>15.08</v>
      </c>
      <c r="D84" s="64">
        <v>22.34</v>
      </c>
      <c r="E84" s="64">
        <v>1.42</v>
      </c>
      <c r="F84" s="64">
        <v>4.1500000000000004</v>
      </c>
      <c r="G84" s="64">
        <v>45.33</v>
      </c>
      <c r="H84" s="64">
        <v>15.88</v>
      </c>
      <c r="I84" s="64">
        <v>0.11</v>
      </c>
      <c r="J84" s="64">
        <v>7.0000000000000007E-2</v>
      </c>
      <c r="K84" s="64">
        <v>173.9</v>
      </c>
      <c r="L84" s="64">
        <v>25.09</v>
      </c>
      <c r="M84" s="64">
        <v>97.61</v>
      </c>
      <c r="N84" s="64">
        <v>7.6</v>
      </c>
      <c r="O84" s="64">
        <v>0</v>
      </c>
      <c r="P84" s="64">
        <v>0.59</v>
      </c>
      <c r="Q84" s="64">
        <v>15.48</v>
      </c>
      <c r="R84" s="198"/>
      <c r="S84" s="198"/>
      <c r="T84" s="198"/>
      <c r="U84" s="198"/>
    </row>
    <row r="85" spans="1:26" s="12" customFormat="1" x14ac:dyDescent="0.25">
      <c r="A85" s="214" t="s">
        <v>1381</v>
      </c>
      <c r="B85" s="64">
        <v>6.81</v>
      </c>
      <c r="C85" s="64">
        <v>14.75</v>
      </c>
      <c r="D85" s="64">
        <v>21.56</v>
      </c>
      <c r="E85" s="64">
        <v>1.29</v>
      </c>
      <c r="F85" s="64">
        <v>5.71</v>
      </c>
      <c r="G85" s="64">
        <v>45.33</v>
      </c>
      <c r="H85" s="64">
        <v>15.88</v>
      </c>
      <c r="I85" s="64">
        <v>0.11</v>
      </c>
      <c r="J85" s="64">
        <v>7.0000000000000007E-2</v>
      </c>
      <c r="K85" s="64">
        <v>159.13</v>
      </c>
      <c r="L85" s="64">
        <v>25.04</v>
      </c>
      <c r="M85" s="64">
        <v>97.65</v>
      </c>
      <c r="N85" s="64">
        <v>7.6</v>
      </c>
      <c r="O85" s="64">
        <v>0</v>
      </c>
      <c r="P85" s="64">
        <v>0.55000000000000004</v>
      </c>
      <c r="Q85" s="64">
        <v>14.71</v>
      </c>
      <c r="R85" s="198"/>
      <c r="S85" s="198"/>
      <c r="T85" s="198"/>
      <c r="U85" s="198"/>
    </row>
    <row r="86" spans="1:26" s="12" customFormat="1" x14ac:dyDescent="0.25">
      <c r="A86" s="214" t="s">
        <v>1382</v>
      </c>
      <c r="B86" s="64">
        <v>6.14</v>
      </c>
      <c r="C86" s="64">
        <v>15.04</v>
      </c>
      <c r="D86" s="64">
        <v>21.18</v>
      </c>
      <c r="E86" s="64">
        <v>1.06</v>
      </c>
      <c r="F86" s="64">
        <v>5.75</v>
      </c>
      <c r="G86" s="64">
        <v>45.33</v>
      </c>
      <c r="H86" s="64">
        <v>15.88</v>
      </c>
      <c r="I86" s="64">
        <v>0.11</v>
      </c>
      <c r="J86" s="64">
        <v>0.17</v>
      </c>
      <c r="K86" s="64">
        <v>157.86000000000001</v>
      </c>
      <c r="L86" s="64">
        <v>25.11</v>
      </c>
      <c r="M86" s="64">
        <v>96.28</v>
      </c>
      <c r="N86" s="64">
        <v>7.4</v>
      </c>
      <c r="O86" s="64">
        <v>0</v>
      </c>
      <c r="P86" s="64">
        <v>0.56999999999999995</v>
      </c>
      <c r="Q86" s="64">
        <v>13.44</v>
      </c>
      <c r="R86" s="198"/>
      <c r="S86" s="198"/>
      <c r="T86" s="198"/>
      <c r="U86" s="198"/>
    </row>
    <row r="87" spans="1:26" s="12" customFormat="1" x14ac:dyDescent="0.25">
      <c r="A87" s="214" t="s">
        <v>1383</v>
      </c>
      <c r="B87" s="64">
        <v>6.42</v>
      </c>
      <c r="C87" s="64">
        <v>14.02</v>
      </c>
      <c r="D87" s="64">
        <v>20.440000000000001</v>
      </c>
      <c r="E87" s="64">
        <v>1.1499999999999999</v>
      </c>
      <c r="F87" s="64">
        <v>3.28</v>
      </c>
      <c r="G87" s="64">
        <v>45.43</v>
      </c>
      <c r="H87" s="64">
        <v>15.4</v>
      </c>
      <c r="I87" s="64">
        <v>0.11</v>
      </c>
      <c r="J87" s="64">
        <v>0.12</v>
      </c>
      <c r="K87" s="64">
        <v>152.38</v>
      </c>
      <c r="L87" s="64">
        <v>25</v>
      </c>
      <c r="M87" s="64">
        <v>97.46</v>
      </c>
      <c r="N87" s="64">
        <v>6.9</v>
      </c>
      <c r="O87" s="64">
        <v>0</v>
      </c>
      <c r="P87" s="64">
        <v>0.59</v>
      </c>
      <c r="Q87" s="64">
        <v>13.18</v>
      </c>
      <c r="R87" s="198"/>
      <c r="S87" s="198"/>
      <c r="T87" s="198"/>
      <c r="U87" s="198"/>
    </row>
    <row r="88" spans="1:26" s="12" customFormat="1" x14ac:dyDescent="0.25">
      <c r="A88" s="214" t="s">
        <v>1384</v>
      </c>
      <c r="B88" s="64">
        <v>6.5</v>
      </c>
      <c r="C88" s="64">
        <v>12.87</v>
      </c>
      <c r="D88" s="64">
        <v>19.37</v>
      </c>
      <c r="E88" s="64">
        <v>1.23</v>
      </c>
      <c r="F88" s="64">
        <v>1.52</v>
      </c>
      <c r="G88" s="64">
        <v>45.7</v>
      </c>
      <c r="H88" s="64">
        <v>14.62</v>
      </c>
      <c r="I88" s="64">
        <v>0.11</v>
      </c>
      <c r="J88" s="64">
        <v>0.11</v>
      </c>
      <c r="K88" s="64">
        <v>15.91</v>
      </c>
      <c r="L88" s="64">
        <v>24.72</v>
      </c>
      <c r="M88" s="64">
        <v>98.58</v>
      </c>
      <c r="N88" s="64">
        <v>7</v>
      </c>
      <c r="O88" s="64">
        <v>0.2</v>
      </c>
      <c r="P88" s="64">
        <v>0.63</v>
      </c>
      <c r="Q88" s="64">
        <v>14.76</v>
      </c>
      <c r="R88" s="198"/>
      <c r="S88" s="198"/>
      <c r="T88" s="198"/>
      <c r="U88" s="198"/>
    </row>
    <row r="89" spans="1:26" s="12" customFormat="1" x14ac:dyDescent="0.25">
      <c r="A89" s="214" t="s">
        <v>1385</v>
      </c>
      <c r="B89" s="64">
        <v>6.1</v>
      </c>
      <c r="C89" s="64">
        <v>13.56</v>
      </c>
      <c r="D89" s="64">
        <v>19.66</v>
      </c>
      <c r="E89" s="64">
        <v>1.55</v>
      </c>
      <c r="F89" s="64">
        <v>2.76</v>
      </c>
      <c r="G89" s="64">
        <v>45.7</v>
      </c>
      <c r="H89" s="64">
        <v>14.62</v>
      </c>
      <c r="I89" s="64">
        <v>0.12</v>
      </c>
      <c r="J89" s="64">
        <v>0.05</v>
      </c>
      <c r="K89" s="64">
        <v>7.15</v>
      </c>
      <c r="L89" s="64">
        <v>24.3</v>
      </c>
      <c r="M89" s="64">
        <v>98.67</v>
      </c>
      <c r="N89" s="64">
        <v>8.3000000000000007</v>
      </c>
      <c r="O89" s="64">
        <v>0.4</v>
      </c>
      <c r="P89" s="64">
        <v>0.59</v>
      </c>
      <c r="Q89" s="64">
        <v>13.74</v>
      </c>
      <c r="R89" s="198"/>
      <c r="S89" s="198"/>
      <c r="T89" s="198"/>
      <c r="U89" s="198"/>
    </row>
    <row r="90" spans="1:26" s="12" customFormat="1" x14ac:dyDescent="0.25">
      <c r="A90" s="214" t="s">
        <v>1386</v>
      </c>
      <c r="B90" s="64">
        <v>6.21</v>
      </c>
      <c r="C90" s="64">
        <v>12.13</v>
      </c>
      <c r="D90" s="64">
        <v>18.350000000000001</v>
      </c>
      <c r="E90" s="64">
        <v>1.28</v>
      </c>
      <c r="F90" s="64">
        <v>2.38</v>
      </c>
      <c r="G90" s="64">
        <v>45.7</v>
      </c>
      <c r="H90" s="64">
        <v>14.62</v>
      </c>
      <c r="I90" s="64">
        <v>0.12</v>
      </c>
      <c r="J90" s="64">
        <v>7.0000000000000007E-2</v>
      </c>
      <c r="K90" s="64">
        <v>45.91</v>
      </c>
      <c r="L90" s="64">
        <v>23.85</v>
      </c>
      <c r="M90" s="64">
        <v>98.69</v>
      </c>
      <c r="N90" s="64">
        <v>9.4</v>
      </c>
      <c r="O90" s="64">
        <v>0.4</v>
      </c>
      <c r="P90" s="64">
        <v>0.59</v>
      </c>
      <c r="Q90" s="64">
        <v>12.97</v>
      </c>
      <c r="R90" s="198"/>
      <c r="S90" s="198"/>
      <c r="T90" s="198"/>
      <c r="U90" s="198"/>
    </row>
    <row r="91" spans="1:26" s="12" customFormat="1" x14ac:dyDescent="0.25">
      <c r="A91" s="214" t="s">
        <v>1387</v>
      </c>
      <c r="B91" s="64">
        <v>5.85</v>
      </c>
      <c r="C91" s="64">
        <v>14.01</v>
      </c>
      <c r="D91" s="64">
        <v>19.850000000000001</v>
      </c>
      <c r="E91" s="64">
        <v>1.62</v>
      </c>
      <c r="F91" s="64">
        <v>4.2</v>
      </c>
      <c r="G91" s="64">
        <v>43.97</v>
      </c>
      <c r="H91" s="64">
        <v>14.67</v>
      </c>
      <c r="I91" s="64">
        <v>0.11</v>
      </c>
      <c r="J91" s="64">
        <v>7.0000000000000007E-2</v>
      </c>
      <c r="K91" s="64">
        <v>79.290000000000006</v>
      </c>
      <c r="L91" s="64">
        <v>23.48</v>
      </c>
      <c r="M91" s="64">
        <v>98.7</v>
      </c>
      <c r="N91" s="64">
        <v>9.3000000000000007</v>
      </c>
      <c r="O91" s="64">
        <v>0.8</v>
      </c>
      <c r="P91" s="64">
        <v>0.54</v>
      </c>
      <c r="Q91" s="64">
        <v>13.78</v>
      </c>
      <c r="R91" s="198"/>
      <c r="S91" s="198"/>
      <c r="T91" s="198"/>
      <c r="U91" s="198"/>
    </row>
    <row r="92" spans="1:26" s="12" customFormat="1" x14ac:dyDescent="0.25">
      <c r="A92" s="214" t="s">
        <v>1388</v>
      </c>
      <c r="B92" s="64">
        <v>6.1</v>
      </c>
      <c r="C92" s="64">
        <v>12.64</v>
      </c>
      <c r="D92" s="64">
        <v>18.739999999999998</v>
      </c>
      <c r="E92" s="64">
        <v>1.29</v>
      </c>
      <c r="F92" s="64">
        <v>1.68</v>
      </c>
      <c r="G92" s="64">
        <v>39.729999999999997</v>
      </c>
      <c r="H92" s="64">
        <v>14.76</v>
      </c>
      <c r="I92" s="64">
        <v>0.11</v>
      </c>
      <c r="J92" s="64">
        <v>0.22</v>
      </c>
      <c r="K92" s="64">
        <v>23.23</v>
      </c>
      <c r="L92" s="64">
        <v>23.28</v>
      </c>
      <c r="M92" s="64">
        <v>98.7</v>
      </c>
      <c r="N92" s="64">
        <v>9.3000000000000007</v>
      </c>
      <c r="O92" s="64">
        <v>0.2</v>
      </c>
      <c r="P92" s="64">
        <v>0.59</v>
      </c>
      <c r="Q92" s="64">
        <v>14.46</v>
      </c>
      <c r="R92" s="198"/>
      <c r="S92" s="198"/>
      <c r="T92" s="198"/>
      <c r="U92" s="198"/>
    </row>
    <row r="93" spans="1:26" s="12" customFormat="1" x14ac:dyDescent="0.25">
      <c r="A93" s="214" t="s">
        <v>1389</v>
      </c>
      <c r="B93" s="64">
        <v>7.51</v>
      </c>
      <c r="C93" s="64">
        <v>13.61</v>
      </c>
      <c r="D93" s="64">
        <v>21.11</v>
      </c>
      <c r="E93" s="64">
        <v>1.65</v>
      </c>
      <c r="F93" s="64">
        <v>1.88</v>
      </c>
      <c r="G93" s="64">
        <v>39.729999999999997</v>
      </c>
      <c r="H93" s="64">
        <v>14.76</v>
      </c>
      <c r="I93" s="64">
        <v>0.12</v>
      </c>
      <c r="J93" s="64">
        <v>0.24</v>
      </c>
      <c r="K93" s="64">
        <v>25.59</v>
      </c>
      <c r="L93" s="64">
        <v>23.18</v>
      </c>
      <c r="M93" s="64">
        <v>98.7</v>
      </c>
      <c r="N93" s="64">
        <v>9.1999999999999993</v>
      </c>
      <c r="O93" s="64">
        <v>0.2</v>
      </c>
      <c r="P93" s="64">
        <v>0.6</v>
      </c>
      <c r="Q93" s="64">
        <v>15.34</v>
      </c>
      <c r="R93" s="198"/>
      <c r="S93" s="198"/>
      <c r="T93" s="198"/>
      <c r="U93" s="198"/>
    </row>
    <row r="94" spans="1:26" s="12" customFormat="1" x14ac:dyDescent="0.25">
      <c r="A94" s="214" t="s">
        <v>1390</v>
      </c>
      <c r="B94" s="64">
        <v>7</v>
      </c>
      <c r="C94" s="64">
        <v>12.68</v>
      </c>
      <c r="D94" s="64">
        <v>19.68</v>
      </c>
      <c r="E94" s="64">
        <v>1.87</v>
      </c>
      <c r="F94" s="64">
        <v>2.0499999999999998</v>
      </c>
      <c r="G94" s="64">
        <v>39.729999999999997</v>
      </c>
      <c r="H94" s="64">
        <v>14.76</v>
      </c>
      <c r="I94" s="64">
        <v>0.13</v>
      </c>
      <c r="J94" s="64">
        <v>0.22</v>
      </c>
      <c r="K94" s="64">
        <v>25.19</v>
      </c>
      <c r="L94" s="64">
        <v>23</v>
      </c>
      <c r="M94" s="64">
        <v>98.71</v>
      </c>
      <c r="N94" s="64">
        <v>8.6</v>
      </c>
      <c r="O94" s="64">
        <v>0</v>
      </c>
      <c r="P94" s="64">
        <v>0.59</v>
      </c>
      <c r="Q94" s="64">
        <v>15.67</v>
      </c>
      <c r="R94" s="198"/>
      <c r="S94" s="198"/>
      <c r="T94" s="198"/>
      <c r="U94" s="198"/>
    </row>
    <row r="95" spans="1:26" s="12" customFormat="1" x14ac:dyDescent="0.25">
      <c r="A95" s="214" t="s">
        <v>1391</v>
      </c>
      <c r="B95" s="64">
        <v>7.7</v>
      </c>
      <c r="C95" s="64">
        <v>13.58</v>
      </c>
      <c r="D95" s="64">
        <v>21.28</v>
      </c>
      <c r="E95" s="64">
        <v>1.55</v>
      </c>
      <c r="F95" s="64">
        <v>1.98</v>
      </c>
      <c r="G95" s="64">
        <v>37.35</v>
      </c>
      <c r="H95" s="64">
        <v>14.68</v>
      </c>
      <c r="I95" s="64">
        <v>0.12</v>
      </c>
      <c r="J95" s="64">
        <v>0.17</v>
      </c>
      <c r="K95" s="64">
        <v>25.48</v>
      </c>
      <c r="L95" s="64">
        <v>22.96</v>
      </c>
      <c r="M95" s="64">
        <v>98.72</v>
      </c>
      <c r="N95" s="64">
        <v>9.1</v>
      </c>
      <c r="O95" s="64">
        <v>0.2</v>
      </c>
      <c r="P95" s="64">
        <v>0.6</v>
      </c>
      <c r="Q95" s="64">
        <v>15.84</v>
      </c>
      <c r="R95" s="198"/>
      <c r="S95" s="198"/>
      <c r="T95" s="198"/>
      <c r="U95" s="198"/>
    </row>
    <row r="96" spans="1:26" s="12" customFormat="1" x14ac:dyDescent="0.25">
      <c r="A96" s="214" t="s">
        <v>1392</v>
      </c>
      <c r="B96" s="64">
        <v>7.35</v>
      </c>
      <c r="C96" s="64">
        <v>13.67</v>
      </c>
      <c r="D96" s="64">
        <v>21.02</v>
      </c>
      <c r="E96" s="64">
        <v>1.77</v>
      </c>
      <c r="F96" s="64">
        <v>2.09</v>
      </c>
      <c r="G96" s="64">
        <v>31.47</v>
      </c>
      <c r="H96" s="64">
        <v>14.49</v>
      </c>
      <c r="I96" s="64">
        <v>0.11</v>
      </c>
      <c r="J96" s="64">
        <v>0.11</v>
      </c>
      <c r="K96" s="64">
        <v>9.6999999999999993</v>
      </c>
      <c r="L96" s="64">
        <v>22.95</v>
      </c>
      <c r="M96" s="64">
        <v>98.71</v>
      </c>
      <c r="N96" s="64">
        <v>9.1</v>
      </c>
      <c r="O96" s="64">
        <v>0</v>
      </c>
      <c r="P96" s="64">
        <v>0.59</v>
      </c>
      <c r="Q96" s="64">
        <v>15.77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1393</v>
      </c>
      <c r="B97" s="64">
        <v>7.46</v>
      </c>
      <c r="C97" s="64">
        <v>13.4</v>
      </c>
      <c r="D97" s="64">
        <v>20.87</v>
      </c>
      <c r="E97" s="64">
        <v>1.08</v>
      </c>
      <c r="F97" s="64">
        <v>1.95</v>
      </c>
      <c r="G97" s="64">
        <v>31.47</v>
      </c>
      <c r="H97" s="64">
        <v>14.49</v>
      </c>
      <c r="I97" s="64">
        <v>0.12</v>
      </c>
      <c r="J97" s="64">
        <v>0.19</v>
      </c>
      <c r="K97" s="64">
        <v>21.52</v>
      </c>
      <c r="L97" s="64">
        <v>22.92</v>
      </c>
      <c r="M97" s="64">
        <v>98.71</v>
      </c>
      <c r="N97" s="64">
        <v>9.1999999999999993</v>
      </c>
      <c r="O97" s="64">
        <v>0</v>
      </c>
      <c r="P97" s="64">
        <v>0.57999999999999996</v>
      </c>
      <c r="Q97" s="64">
        <v>14.19</v>
      </c>
      <c r="R97" s="198"/>
      <c r="S97" s="198"/>
      <c r="T97" s="198"/>
      <c r="U97" s="198"/>
    </row>
    <row r="98" spans="1:33" s="12" customFormat="1" x14ac:dyDescent="0.25">
      <c r="A98" s="214" t="s">
        <v>1394</v>
      </c>
      <c r="B98" s="64">
        <v>7.18</v>
      </c>
      <c r="C98" s="64">
        <v>11.74</v>
      </c>
      <c r="D98" s="64">
        <v>18.920000000000002</v>
      </c>
      <c r="E98" s="64">
        <v>1.1499999999999999</v>
      </c>
      <c r="F98" s="64">
        <v>1.46</v>
      </c>
      <c r="G98" s="64">
        <v>31.47</v>
      </c>
      <c r="H98" s="64">
        <v>14.49</v>
      </c>
      <c r="I98" s="64">
        <v>0.12</v>
      </c>
      <c r="J98" s="64">
        <v>0.22</v>
      </c>
      <c r="K98" s="64">
        <v>13.31</v>
      </c>
      <c r="L98" s="64">
        <v>22.87</v>
      </c>
      <c r="M98" s="64">
        <v>98.7</v>
      </c>
      <c r="N98" s="64">
        <v>9.3000000000000007</v>
      </c>
      <c r="O98" s="64">
        <v>0.2</v>
      </c>
      <c r="P98" s="64">
        <v>0.56999999999999995</v>
      </c>
      <c r="Q98" s="64">
        <v>13.43</v>
      </c>
      <c r="R98" s="198"/>
      <c r="S98" s="198"/>
      <c r="T98" s="198"/>
      <c r="U98" s="198"/>
    </row>
    <row r="99" spans="1:33" s="12" customFormat="1" x14ac:dyDescent="0.25">
      <c r="A99" s="214" t="s">
        <v>1395</v>
      </c>
      <c r="B99" s="64">
        <v>8.27</v>
      </c>
      <c r="C99" s="64">
        <v>11.4</v>
      </c>
      <c r="D99" s="64">
        <v>19.66</v>
      </c>
      <c r="E99" s="64">
        <v>1.54</v>
      </c>
      <c r="F99" s="64">
        <v>1.65</v>
      </c>
      <c r="G99" s="64">
        <v>29.39</v>
      </c>
      <c r="H99" s="64">
        <v>13.8</v>
      </c>
      <c r="I99" s="64">
        <v>0.12</v>
      </c>
      <c r="J99" s="64">
        <v>0.19</v>
      </c>
      <c r="K99" s="64">
        <v>23.19</v>
      </c>
      <c r="L99" s="64">
        <v>22.8</v>
      </c>
      <c r="M99" s="64">
        <v>98.7</v>
      </c>
      <c r="N99" s="64">
        <v>9.1</v>
      </c>
      <c r="O99" s="64">
        <v>0.4</v>
      </c>
      <c r="P99" s="64">
        <v>0.54</v>
      </c>
      <c r="Q99" s="64">
        <v>13.17</v>
      </c>
      <c r="R99" s="198"/>
      <c r="S99" s="198"/>
      <c r="T99" s="198"/>
      <c r="U99" s="198"/>
    </row>
    <row r="100" spans="1:33" s="12" customFormat="1" x14ac:dyDescent="0.25">
      <c r="A100" s="214" t="s">
        <v>1396</v>
      </c>
      <c r="B100" s="64">
        <v>7.4</v>
      </c>
      <c r="C100" s="64">
        <v>11.43</v>
      </c>
      <c r="D100" s="64">
        <v>18.84</v>
      </c>
      <c r="E100" s="64">
        <v>1.05</v>
      </c>
      <c r="F100" s="64">
        <v>1.43</v>
      </c>
      <c r="G100" s="64">
        <v>24.25</v>
      </c>
      <c r="H100" s="64">
        <v>12.67</v>
      </c>
      <c r="I100" s="64">
        <v>0.12</v>
      </c>
      <c r="J100" s="64">
        <v>0.13</v>
      </c>
      <c r="K100" s="64">
        <v>15.19</v>
      </c>
      <c r="L100" s="64">
        <v>22.72</v>
      </c>
      <c r="M100" s="64">
        <v>98.72</v>
      </c>
      <c r="N100" s="64">
        <v>9.1</v>
      </c>
      <c r="O100" s="64">
        <v>0.2</v>
      </c>
      <c r="P100" s="64">
        <v>0.56000000000000005</v>
      </c>
      <c r="Q100" s="64">
        <v>12.47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1397</v>
      </c>
      <c r="B101" s="64">
        <v>7.61</v>
      </c>
      <c r="C101" s="64">
        <v>12.45</v>
      </c>
      <c r="D101" s="64">
        <v>20.05</v>
      </c>
      <c r="E101" s="64">
        <v>1.52</v>
      </c>
      <c r="F101" s="64">
        <v>1.99</v>
      </c>
      <c r="G101" s="64">
        <v>24.25</v>
      </c>
      <c r="H101" s="64">
        <v>12.67</v>
      </c>
      <c r="I101" s="64">
        <v>0.12</v>
      </c>
      <c r="J101" s="64">
        <v>0.15</v>
      </c>
      <c r="K101" s="64">
        <v>3.77</v>
      </c>
      <c r="L101" s="64">
        <v>22.64</v>
      </c>
      <c r="M101" s="64">
        <v>98.73</v>
      </c>
      <c r="N101" s="64">
        <v>9.1999999999999993</v>
      </c>
      <c r="O101" s="64">
        <v>0.2</v>
      </c>
      <c r="P101" s="64">
        <v>0.56000000000000005</v>
      </c>
      <c r="Q101" s="64">
        <v>12.42</v>
      </c>
      <c r="R101" s="198"/>
      <c r="S101" s="198"/>
      <c r="T101" s="198"/>
      <c r="U101" s="198"/>
    </row>
    <row r="102" spans="1:33" s="12" customFormat="1" x14ac:dyDescent="0.25">
      <c r="A102" s="214" t="s">
        <v>1398</v>
      </c>
      <c r="B102" s="64">
        <v>7.93</v>
      </c>
      <c r="C102" s="64">
        <v>11.76</v>
      </c>
      <c r="D102" s="64">
        <v>19.690000000000001</v>
      </c>
      <c r="E102" s="64">
        <v>1.52</v>
      </c>
      <c r="F102" s="64">
        <v>1.75</v>
      </c>
      <c r="G102" s="64">
        <v>24.25</v>
      </c>
      <c r="H102" s="64">
        <v>12.67</v>
      </c>
      <c r="I102" s="64">
        <v>0.12</v>
      </c>
      <c r="J102" s="64">
        <v>0.16</v>
      </c>
      <c r="K102" s="64">
        <v>10.67</v>
      </c>
      <c r="L102" s="64">
        <v>22.58</v>
      </c>
      <c r="M102" s="64">
        <v>98.73</v>
      </c>
      <c r="N102" s="64">
        <v>9.1</v>
      </c>
      <c r="O102" s="64">
        <v>0</v>
      </c>
      <c r="P102" s="64">
        <v>0.56999999999999995</v>
      </c>
      <c r="Q102" s="64">
        <v>11.8</v>
      </c>
      <c r="R102" s="198"/>
      <c r="S102" s="198"/>
      <c r="T102" s="198"/>
      <c r="U102" s="198"/>
    </row>
    <row r="103" spans="1:33" s="12" customFormat="1" x14ac:dyDescent="0.25">
      <c r="A103" s="214" t="s">
        <v>1399</v>
      </c>
      <c r="B103" s="64">
        <v>7.49</v>
      </c>
      <c r="C103" s="64">
        <v>11.95</v>
      </c>
      <c r="D103" s="64">
        <v>19.440000000000001</v>
      </c>
      <c r="E103" s="64">
        <v>0.52</v>
      </c>
      <c r="F103" s="64">
        <v>1.62</v>
      </c>
      <c r="G103" s="64">
        <v>24.23</v>
      </c>
      <c r="H103" s="64">
        <v>12.1</v>
      </c>
      <c r="I103" s="64">
        <v>0.12</v>
      </c>
      <c r="J103" s="64">
        <v>0.17</v>
      </c>
      <c r="K103" s="64">
        <v>12.91</v>
      </c>
      <c r="L103" s="64">
        <v>22.58</v>
      </c>
      <c r="M103" s="64">
        <v>98.73</v>
      </c>
      <c r="N103" s="64">
        <v>9</v>
      </c>
      <c r="O103" s="64">
        <v>0</v>
      </c>
      <c r="P103" s="64">
        <v>0.61</v>
      </c>
      <c r="Q103" s="64">
        <v>13.34</v>
      </c>
      <c r="R103" s="198"/>
      <c r="S103" s="198"/>
      <c r="T103" s="198"/>
      <c r="U103" s="198"/>
    </row>
    <row r="104" spans="1:33" s="12" customFormat="1" x14ac:dyDescent="0.25">
      <c r="A104" s="214" t="s">
        <v>1400</v>
      </c>
      <c r="B104" s="64">
        <v>7.33</v>
      </c>
      <c r="C104" s="64">
        <v>11.35</v>
      </c>
      <c r="D104" s="64">
        <v>18.68</v>
      </c>
      <c r="E104" s="64">
        <v>0.45</v>
      </c>
      <c r="F104" s="64">
        <v>0.55000000000000004</v>
      </c>
      <c r="G104" s="64">
        <v>24.18</v>
      </c>
      <c r="H104" s="64">
        <v>9.9499999999999993</v>
      </c>
      <c r="I104" s="64">
        <v>0.12</v>
      </c>
      <c r="J104" s="64">
        <v>0.23</v>
      </c>
      <c r="K104" s="64">
        <v>9.5299999999999994</v>
      </c>
      <c r="L104" s="64">
        <v>22.64</v>
      </c>
      <c r="M104" s="64">
        <v>98.73</v>
      </c>
      <c r="N104" s="64">
        <v>9.1</v>
      </c>
      <c r="O104" s="64">
        <v>0</v>
      </c>
      <c r="P104" s="64">
        <v>0.6</v>
      </c>
      <c r="Q104" s="64">
        <v>13.72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4.6500000000000004</v>
      </c>
      <c r="C106" s="67">
        <f>MIN(C9:C104)</f>
        <v>8.2899999999999991</v>
      </c>
      <c r="D106" s="67">
        <f t="shared" ref="D106:Q106" si="0">MIN(D9:D104)</f>
        <v>13.59</v>
      </c>
      <c r="E106" s="67">
        <f t="shared" si="0"/>
        <v>0.25</v>
      </c>
      <c r="F106" s="67">
        <f t="shared" si="0"/>
        <v>0.3</v>
      </c>
      <c r="G106" s="67">
        <f t="shared" si="0"/>
        <v>24.18</v>
      </c>
      <c r="H106" s="67">
        <f t="shared" si="0"/>
        <v>6.98</v>
      </c>
      <c r="I106" s="67">
        <f t="shared" si="0"/>
        <v>0.11</v>
      </c>
      <c r="J106" s="67">
        <f t="shared" si="0"/>
        <v>0</v>
      </c>
      <c r="K106" s="67">
        <f t="shared" si="0"/>
        <v>2.96</v>
      </c>
      <c r="L106" s="67">
        <f t="shared" si="0"/>
        <v>22.58</v>
      </c>
      <c r="M106" s="67">
        <f t="shared" si="0"/>
        <v>61.29</v>
      </c>
      <c r="N106" s="67">
        <f t="shared" si="0"/>
        <v>6.9</v>
      </c>
      <c r="O106" s="67">
        <f t="shared" si="0"/>
        <v>0</v>
      </c>
      <c r="P106" s="67">
        <f t="shared" si="0"/>
        <v>0.41</v>
      </c>
      <c r="Q106" s="67">
        <f t="shared" si="0"/>
        <v>6.4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14.87</v>
      </c>
      <c r="C107" s="66">
        <f t="shared" ref="C107:Q107" si="1">MAX(C9:C104)</f>
        <v>22.43</v>
      </c>
      <c r="D107" s="66">
        <f t="shared" si="1"/>
        <v>30.01</v>
      </c>
      <c r="E107" s="66">
        <f t="shared" si="1"/>
        <v>2.88</v>
      </c>
      <c r="F107" s="66">
        <f t="shared" si="1"/>
        <v>8.5500000000000007</v>
      </c>
      <c r="G107" s="66">
        <f t="shared" si="1"/>
        <v>54.68</v>
      </c>
      <c r="H107" s="66">
        <f t="shared" si="1"/>
        <v>31.71</v>
      </c>
      <c r="I107" s="66">
        <f t="shared" si="1"/>
        <v>0.13</v>
      </c>
      <c r="J107" s="66">
        <f t="shared" si="1"/>
        <v>1.05</v>
      </c>
      <c r="K107" s="66">
        <f t="shared" si="1"/>
        <v>357.23</v>
      </c>
      <c r="L107" s="66">
        <f t="shared" si="1"/>
        <v>32.26</v>
      </c>
      <c r="M107" s="66">
        <f t="shared" si="1"/>
        <v>98.73</v>
      </c>
      <c r="N107" s="66">
        <f t="shared" si="1"/>
        <v>912.1</v>
      </c>
      <c r="O107" s="66">
        <f t="shared" si="1"/>
        <v>0.8</v>
      </c>
      <c r="P107" s="66">
        <f t="shared" si="1"/>
        <v>0.71</v>
      </c>
      <c r="Q107" s="66">
        <f t="shared" si="1"/>
        <v>27.47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7.8425000000000002</v>
      </c>
      <c r="C108" s="67">
        <f t="shared" ref="C108:Q108" si="2">AVERAGE(C9:C104)</f>
        <v>13.022395833333336</v>
      </c>
      <c r="D108" s="67">
        <f t="shared" si="2"/>
        <v>20.864270833333332</v>
      </c>
      <c r="E108" s="67">
        <f t="shared" si="2"/>
        <v>1.4539583333333346</v>
      </c>
      <c r="F108" s="67">
        <f t="shared" si="2"/>
        <v>1.8441666666666672</v>
      </c>
      <c r="G108" s="67">
        <f t="shared" si="2"/>
        <v>40.823333333333316</v>
      </c>
      <c r="H108" s="67">
        <f t="shared" si="2"/>
        <v>14.556145833333339</v>
      </c>
      <c r="I108" s="67">
        <f t="shared" si="2"/>
        <v>0.11749999999999988</v>
      </c>
      <c r="J108" s="67">
        <f t="shared" si="2"/>
        <v>0.29375000000000001</v>
      </c>
      <c r="K108" s="67">
        <f t="shared" si="2"/>
        <v>136.82187500000001</v>
      </c>
      <c r="L108" s="67">
        <f t="shared" si="2"/>
        <v>25.314999999999987</v>
      </c>
      <c r="M108" s="67">
        <f t="shared" si="2"/>
        <v>89.258124999999964</v>
      </c>
      <c r="N108" s="67">
        <f t="shared" si="2"/>
        <v>140.61250000000004</v>
      </c>
      <c r="O108" s="67">
        <f t="shared" si="2"/>
        <v>3.5416666666666673E-2</v>
      </c>
      <c r="P108" s="67">
        <f t="shared" si="2"/>
        <v>0.55302083333333363</v>
      </c>
      <c r="Q108" s="67">
        <f t="shared" si="2"/>
        <v>12.442395833333331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2.6321554105453457</v>
      </c>
      <c r="C109" s="67">
        <f t="shared" ref="C109:Q109" si="3">STDEV(C9:C104)</f>
        <v>2.8700587724741777</v>
      </c>
      <c r="D109" s="67">
        <f t="shared" si="3"/>
        <v>4.416843537090763</v>
      </c>
      <c r="E109" s="67">
        <f t="shared" si="3"/>
        <v>0.63014030044555269</v>
      </c>
      <c r="F109" s="67">
        <f t="shared" si="3"/>
        <v>1.5012350471084357</v>
      </c>
      <c r="G109" s="67">
        <f t="shared" si="3"/>
        <v>10.444000309083778</v>
      </c>
      <c r="H109" s="67">
        <f t="shared" si="3"/>
        <v>5.1164285178734366</v>
      </c>
      <c r="I109" s="67">
        <f t="shared" si="3"/>
        <v>4.8122650318578762E-3</v>
      </c>
      <c r="J109" s="67">
        <f t="shared" si="3"/>
        <v>0.25088579914081693</v>
      </c>
      <c r="K109" s="67">
        <f t="shared" si="3"/>
        <v>140.48621316370853</v>
      </c>
      <c r="L109" s="67">
        <f t="shared" si="3"/>
        <v>2.7949763203969478</v>
      </c>
      <c r="M109" s="67">
        <f t="shared" si="3"/>
        <v>12.745449822748974</v>
      </c>
      <c r="N109" s="67">
        <f t="shared" si="3"/>
        <v>204.73490960392238</v>
      </c>
      <c r="O109" s="67">
        <f t="shared" si="3"/>
        <v>0.11605730586918704</v>
      </c>
      <c r="P109" s="67">
        <f t="shared" si="3"/>
        <v>7.911510324459535E-2</v>
      </c>
      <c r="Q109" s="67">
        <f t="shared" si="3"/>
        <v>4.2588606691885786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1401</v>
      </c>
      <c r="B9" s="64">
        <v>6.91</v>
      </c>
      <c r="C9" s="64">
        <v>10.79</v>
      </c>
      <c r="D9" s="64">
        <v>17.7</v>
      </c>
      <c r="E9" s="64">
        <v>0.85</v>
      </c>
      <c r="F9" s="64">
        <v>0.75</v>
      </c>
      <c r="G9" s="64">
        <v>24.18</v>
      </c>
      <c r="H9" s="64">
        <v>9.9499999999999993</v>
      </c>
      <c r="I9" s="64">
        <v>0.12</v>
      </c>
      <c r="J9" s="64">
        <v>0.33</v>
      </c>
      <c r="K9" s="64">
        <v>16.989999999999998</v>
      </c>
      <c r="L9" s="64">
        <v>22.67</v>
      </c>
      <c r="M9" s="64">
        <v>98.72</v>
      </c>
      <c r="N9" s="64">
        <v>9.1</v>
      </c>
      <c r="O9" s="64">
        <v>0</v>
      </c>
      <c r="P9" s="64">
        <v>0.56999999999999995</v>
      </c>
      <c r="Q9" s="64">
        <v>13.23</v>
      </c>
      <c r="R9" s="198"/>
      <c r="S9" s="198"/>
      <c r="T9" s="198"/>
      <c r="U9" s="198"/>
    </row>
    <row r="10" spans="1:21" s="12" customFormat="1" x14ac:dyDescent="0.25">
      <c r="A10" s="214" t="s">
        <v>1402</v>
      </c>
      <c r="B10" s="64">
        <v>6.17</v>
      </c>
      <c r="C10" s="64">
        <v>11.08</v>
      </c>
      <c r="D10" s="64">
        <v>17.25</v>
      </c>
      <c r="E10" s="64">
        <v>1.29</v>
      </c>
      <c r="F10" s="64">
        <v>0.84</v>
      </c>
      <c r="G10" s="64">
        <v>24.18</v>
      </c>
      <c r="H10" s="64">
        <v>9.9499999999999993</v>
      </c>
      <c r="I10" s="64">
        <v>0.12</v>
      </c>
      <c r="J10" s="64">
        <v>0.34</v>
      </c>
      <c r="K10" s="64">
        <v>21.68</v>
      </c>
      <c r="L10" s="64">
        <v>22.68</v>
      </c>
      <c r="M10" s="64">
        <v>98.71</v>
      </c>
      <c r="N10" s="64">
        <v>9.1999999999999993</v>
      </c>
      <c r="O10" s="64">
        <v>0</v>
      </c>
      <c r="P10" s="64">
        <v>0.55000000000000004</v>
      </c>
      <c r="Q10" s="64">
        <v>12.75</v>
      </c>
      <c r="R10" s="198"/>
      <c r="S10" s="198"/>
      <c r="T10" s="198"/>
      <c r="U10" s="198"/>
    </row>
    <row r="11" spans="1:21" s="12" customFormat="1" x14ac:dyDescent="0.25">
      <c r="A11" s="214" t="s">
        <v>1403</v>
      </c>
      <c r="B11" s="64">
        <v>5.57</v>
      </c>
      <c r="C11" s="64">
        <v>11.2</v>
      </c>
      <c r="D11" s="64">
        <v>16.77</v>
      </c>
      <c r="E11" s="64">
        <v>0.57999999999999996</v>
      </c>
      <c r="F11" s="64">
        <v>0.78</v>
      </c>
      <c r="G11" s="64">
        <v>24.16</v>
      </c>
      <c r="H11" s="64">
        <v>11.18</v>
      </c>
      <c r="I11" s="64">
        <v>0.12</v>
      </c>
      <c r="J11" s="64">
        <v>0.28999999999999998</v>
      </c>
      <c r="K11" s="64">
        <v>25.42</v>
      </c>
      <c r="L11" s="64">
        <v>22.66</v>
      </c>
      <c r="M11" s="64">
        <v>98.72</v>
      </c>
      <c r="N11" s="64">
        <v>9.1999999999999993</v>
      </c>
      <c r="O11" s="64">
        <v>0</v>
      </c>
      <c r="P11" s="64">
        <v>0.53</v>
      </c>
      <c r="Q11" s="64">
        <v>12.28</v>
      </c>
      <c r="R11" s="198"/>
      <c r="S11" s="198"/>
      <c r="T11" s="198"/>
      <c r="U11" s="198"/>
    </row>
    <row r="12" spans="1:21" s="12" customFormat="1" x14ac:dyDescent="0.25">
      <c r="A12" s="214" t="s">
        <v>1404</v>
      </c>
      <c r="B12" s="64">
        <v>4.96</v>
      </c>
      <c r="C12" s="64">
        <v>11.54</v>
      </c>
      <c r="D12" s="64">
        <v>16.5</v>
      </c>
      <c r="E12" s="64">
        <v>0.51</v>
      </c>
      <c r="F12" s="64">
        <v>0.7</v>
      </c>
      <c r="G12" s="64">
        <v>24.12</v>
      </c>
      <c r="H12" s="64">
        <v>13.13</v>
      </c>
      <c r="I12" s="64">
        <v>0.12</v>
      </c>
      <c r="J12" s="64">
        <v>0.32</v>
      </c>
      <c r="K12" s="64">
        <v>22.89</v>
      </c>
      <c r="L12" s="64">
        <v>22.69</v>
      </c>
      <c r="M12" s="64">
        <v>98.71</v>
      </c>
      <c r="N12" s="64">
        <v>9.4</v>
      </c>
      <c r="O12" s="64">
        <v>0</v>
      </c>
      <c r="P12" s="64">
        <v>0.48</v>
      </c>
      <c r="Q12" s="64">
        <v>10.99</v>
      </c>
      <c r="R12" s="198"/>
      <c r="S12" s="198"/>
      <c r="T12" s="198"/>
      <c r="U12" s="198"/>
    </row>
    <row r="13" spans="1:21" s="12" customFormat="1" x14ac:dyDescent="0.25">
      <c r="A13" s="214" t="s">
        <v>1405</v>
      </c>
      <c r="B13" s="64">
        <v>4.45</v>
      </c>
      <c r="C13" s="64">
        <v>11.17</v>
      </c>
      <c r="D13" s="64">
        <v>15.62</v>
      </c>
      <c r="E13" s="64">
        <v>0.38</v>
      </c>
      <c r="F13" s="64">
        <v>1.04</v>
      </c>
      <c r="G13" s="64">
        <v>24.12</v>
      </c>
      <c r="H13" s="64">
        <v>13.13</v>
      </c>
      <c r="I13" s="64">
        <v>0.12</v>
      </c>
      <c r="J13" s="64">
        <v>0.32</v>
      </c>
      <c r="K13" s="64">
        <v>13.98</v>
      </c>
      <c r="L13" s="64">
        <v>22.74</v>
      </c>
      <c r="M13" s="64">
        <v>98.7</v>
      </c>
      <c r="N13" s="64">
        <v>9.5</v>
      </c>
      <c r="O13" s="64">
        <v>0</v>
      </c>
      <c r="P13" s="64">
        <v>0.42</v>
      </c>
      <c r="Q13" s="64">
        <v>8.66</v>
      </c>
      <c r="R13" s="198"/>
      <c r="S13" s="198"/>
      <c r="T13" s="198"/>
      <c r="U13" s="198"/>
    </row>
    <row r="14" spans="1:21" s="12" customFormat="1" x14ac:dyDescent="0.25">
      <c r="A14" s="214" t="s">
        <v>1406</v>
      </c>
      <c r="B14" s="64">
        <v>4.22</v>
      </c>
      <c r="C14" s="64">
        <v>10.77</v>
      </c>
      <c r="D14" s="64">
        <v>15</v>
      </c>
      <c r="E14" s="64">
        <v>0.45</v>
      </c>
      <c r="F14" s="64">
        <v>1.37</v>
      </c>
      <c r="G14" s="64">
        <v>24.12</v>
      </c>
      <c r="H14" s="64">
        <v>13.13</v>
      </c>
      <c r="I14" s="64">
        <v>0.12</v>
      </c>
      <c r="J14" s="64">
        <v>0.13</v>
      </c>
      <c r="K14" s="64">
        <v>19.260000000000002</v>
      </c>
      <c r="L14" s="64">
        <v>22.69</v>
      </c>
      <c r="M14" s="64">
        <v>98.71</v>
      </c>
      <c r="N14" s="64">
        <v>9.6</v>
      </c>
      <c r="O14" s="64">
        <v>0</v>
      </c>
      <c r="P14" s="64">
        <v>0.44</v>
      </c>
      <c r="Q14" s="64">
        <v>8.0399999999999991</v>
      </c>
      <c r="R14" s="198"/>
      <c r="S14" s="198"/>
      <c r="T14" s="198"/>
      <c r="U14" s="198"/>
    </row>
    <row r="15" spans="1:21" s="12" customFormat="1" x14ac:dyDescent="0.25">
      <c r="A15" s="214" t="s">
        <v>1407</v>
      </c>
      <c r="B15" s="64">
        <v>3.99</v>
      </c>
      <c r="C15" s="64">
        <v>12.22</v>
      </c>
      <c r="D15" s="64">
        <v>16.22</v>
      </c>
      <c r="E15" s="64">
        <v>0.18</v>
      </c>
      <c r="F15" s="64">
        <v>1.8</v>
      </c>
      <c r="G15" s="64">
        <v>22.81</v>
      </c>
      <c r="H15" s="64">
        <v>11.72</v>
      </c>
      <c r="I15" s="64">
        <v>0.11</v>
      </c>
      <c r="J15" s="64">
        <v>0.15</v>
      </c>
      <c r="K15" s="64">
        <v>9.86</v>
      </c>
      <c r="L15" s="64">
        <v>22.69</v>
      </c>
      <c r="M15" s="64">
        <v>98.72</v>
      </c>
      <c r="N15" s="64">
        <v>9.3000000000000007</v>
      </c>
      <c r="O15" s="64">
        <v>0</v>
      </c>
      <c r="P15" s="64">
        <v>0.39</v>
      </c>
      <c r="Q15" s="64">
        <v>8.19</v>
      </c>
      <c r="R15" s="198"/>
      <c r="S15" s="198"/>
      <c r="T15" s="198"/>
      <c r="U15" s="198"/>
    </row>
    <row r="16" spans="1:21" s="12" customFormat="1" x14ac:dyDescent="0.25">
      <c r="A16" s="214" t="s">
        <v>1408</v>
      </c>
      <c r="B16" s="64">
        <v>4.17</v>
      </c>
      <c r="C16" s="64">
        <v>10.83</v>
      </c>
      <c r="D16" s="64">
        <v>15</v>
      </c>
      <c r="E16" s="64">
        <v>0.18</v>
      </c>
      <c r="F16" s="64">
        <v>1.04</v>
      </c>
      <c r="G16" s="64">
        <v>19.57</v>
      </c>
      <c r="H16" s="64">
        <v>9.41</v>
      </c>
      <c r="I16" s="64">
        <v>0.11</v>
      </c>
      <c r="J16" s="64">
        <v>0.53</v>
      </c>
      <c r="K16" s="64">
        <v>328.14</v>
      </c>
      <c r="L16" s="64">
        <v>22.7</v>
      </c>
      <c r="M16" s="64">
        <v>98.71</v>
      </c>
      <c r="N16" s="64">
        <v>9.8000000000000007</v>
      </c>
      <c r="O16" s="64">
        <v>0</v>
      </c>
      <c r="P16" s="64">
        <v>0.42</v>
      </c>
      <c r="Q16" s="64">
        <v>7.7</v>
      </c>
      <c r="R16" s="198"/>
      <c r="S16" s="198"/>
      <c r="T16" s="198"/>
      <c r="U16" s="198"/>
    </row>
    <row r="17" spans="1:21" s="12" customFormat="1" x14ac:dyDescent="0.25">
      <c r="A17" s="214" t="s">
        <v>1409</v>
      </c>
      <c r="B17" s="64">
        <v>4.26</v>
      </c>
      <c r="C17" s="64">
        <v>9.99</v>
      </c>
      <c r="D17" s="64">
        <v>14.25</v>
      </c>
      <c r="E17" s="64">
        <v>0.19</v>
      </c>
      <c r="F17" s="64">
        <v>1.37</v>
      </c>
      <c r="G17" s="64">
        <v>19.57</v>
      </c>
      <c r="H17" s="64">
        <v>9.41</v>
      </c>
      <c r="I17" s="64">
        <v>0.12</v>
      </c>
      <c r="J17" s="64">
        <v>0.67</v>
      </c>
      <c r="K17" s="64">
        <v>322.52999999999997</v>
      </c>
      <c r="L17" s="64">
        <v>22.61</v>
      </c>
      <c r="M17" s="64">
        <v>98.7</v>
      </c>
      <c r="N17" s="64">
        <v>10.3</v>
      </c>
      <c r="O17" s="64">
        <v>0</v>
      </c>
      <c r="P17" s="64">
        <v>0.38</v>
      </c>
      <c r="Q17" s="64">
        <v>8.4600000000000009</v>
      </c>
      <c r="R17" s="198"/>
      <c r="S17" s="198"/>
      <c r="T17" s="198"/>
      <c r="U17" s="198"/>
    </row>
    <row r="18" spans="1:21" s="12" customFormat="1" x14ac:dyDescent="0.25">
      <c r="A18" s="214" t="s">
        <v>1410</v>
      </c>
      <c r="B18" s="64">
        <v>4.1900000000000004</v>
      </c>
      <c r="C18" s="64">
        <v>9.34</v>
      </c>
      <c r="D18" s="64">
        <v>13.52</v>
      </c>
      <c r="E18" s="64">
        <v>0.53</v>
      </c>
      <c r="F18" s="64">
        <v>5.52</v>
      </c>
      <c r="G18" s="64">
        <v>19.57</v>
      </c>
      <c r="H18" s="64">
        <v>9.41</v>
      </c>
      <c r="I18" s="64">
        <v>0.11</v>
      </c>
      <c r="J18" s="64">
        <v>0.39</v>
      </c>
      <c r="K18" s="64">
        <v>321.43</v>
      </c>
      <c r="L18" s="64">
        <v>22.43</v>
      </c>
      <c r="M18" s="64">
        <v>98.71</v>
      </c>
      <c r="N18" s="64">
        <v>9.6</v>
      </c>
      <c r="O18" s="64">
        <v>0</v>
      </c>
      <c r="P18" s="64">
        <v>0.35</v>
      </c>
      <c r="Q18" s="64">
        <v>7.26</v>
      </c>
      <c r="R18" s="198"/>
      <c r="S18" s="198"/>
      <c r="T18" s="198"/>
      <c r="U18" s="198"/>
    </row>
    <row r="19" spans="1:21" s="12" customFormat="1" x14ac:dyDescent="0.25">
      <c r="A19" s="214" t="s">
        <v>1411</v>
      </c>
      <c r="B19" s="64">
        <v>4.6100000000000003</v>
      </c>
      <c r="C19" s="64">
        <v>9.2899999999999991</v>
      </c>
      <c r="D19" s="64">
        <v>13.9</v>
      </c>
      <c r="E19" s="64">
        <v>0.22</v>
      </c>
      <c r="F19" s="64">
        <v>2.06</v>
      </c>
      <c r="G19" s="64">
        <v>19.47</v>
      </c>
      <c r="H19" s="64">
        <v>9.3800000000000008</v>
      </c>
      <c r="I19" s="64">
        <v>0.11</v>
      </c>
      <c r="J19" s="64">
        <v>0.95</v>
      </c>
      <c r="K19" s="64">
        <v>320.37</v>
      </c>
      <c r="L19" s="64">
        <v>22.25</v>
      </c>
      <c r="M19" s="64">
        <v>98.69</v>
      </c>
      <c r="N19" s="64">
        <v>10.6</v>
      </c>
      <c r="O19" s="64">
        <v>0</v>
      </c>
      <c r="P19" s="64">
        <v>0.37</v>
      </c>
      <c r="Q19" s="64">
        <v>7.78</v>
      </c>
      <c r="R19" s="198"/>
      <c r="S19" s="198"/>
      <c r="T19" s="198"/>
      <c r="U19" s="198"/>
    </row>
    <row r="20" spans="1:21" s="12" customFormat="1" x14ac:dyDescent="0.25">
      <c r="A20" s="214" t="s">
        <v>1412</v>
      </c>
      <c r="B20" s="64">
        <v>4.7300000000000004</v>
      </c>
      <c r="C20" s="64">
        <v>9.01</v>
      </c>
      <c r="D20" s="64">
        <v>13.74</v>
      </c>
      <c r="E20" s="64">
        <v>0.48</v>
      </c>
      <c r="F20" s="64">
        <v>2.71</v>
      </c>
      <c r="G20" s="64">
        <v>19.22</v>
      </c>
      <c r="H20" s="64">
        <v>9.33</v>
      </c>
      <c r="I20" s="64">
        <v>0.11</v>
      </c>
      <c r="J20" s="64">
        <v>0.18</v>
      </c>
      <c r="K20" s="64">
        <v>348.4</v>
      </c>
      <c r="L20" s="64">
        <v>22.08</v>
      </c>
      <c r="M20" s="64">
        <v>98.71</v>
      </c>
      <c r="N20" s="64">
        <v>9.8000000000000007</v>
      </c>
      <c r="O20" s="64">
        <v>0</v>
      </c>
      <c r="P20" s="64">
        <v>0.35</v>
      </c>
      <c r="Q20" s="64">
        <v>8.64</v>
      </c>
      <c r="R20" s="198"/>
      <c r="S20" s="198"/>
      <c r="T20" s="198"/>
      <c r="U20" s="198"/>
    </row>
    <row r="21" spans="1:21" s="12" customFormat="1" x14ac:dyDescent="0.25">
      <c r="A21" s="214" t="s">
        <v>1413</v>
      </c>
      <c r="B21" s="64">
        <v>4.75</v>
      </c>
      <c r="C21" s="64">
        <v>8.89</v>
      </c>
      <c r="D21" s="64">
        <v>13.64</v>
      </c>
      <c r="E21" s="64">
        <v>0.63</v>
      </c>
      <c r="F21" s="64">
        <v>2.59</v>
      </c>
      <c r="G21" s="64">
        <v>19.22</v>
      </c>
      <c r="H21" s="64">
        <v>9.33</v>
      </c>
      <c r="I21" s="64">
        <v>0.12</v>
      </c>
      <c r="J21" s="64">
        <v>0.2</v>
      </c>
      <c r="K21" s="64">
        <v>356.95</v>
      </c>
      <c r="L21" s="64">
        <v>22.08</v>
      </c>
      <c r="M21" s="64">
        <v>98.68</v>
      </c>
      <c r="N21" s="64">
        <v>9.9</v>
      </c>
      <c r="O21" s="64">
        <v>0</v>
      </c>
      <c r="P21" s="64">
        <v>0.36</v>
      </c>
      <c r="Q21" s="64">
        <v>9.32</v>
      </c>
      <c r="R21" s="198"/>
      <c r="S21" s="198"/>
      <c r="T21" s="198"/>
      <c r="U21" s="198"/>
    </row>
    <row r="22" spans="1:21" s="12" customFormat="1" x14ac:dyDescent="0.25">
      <c r="A22" s="214" t="s">
        <v>1414</v>
      </c>
      <c r="B22" s="64">
        <v>4.59</v>
      </c>
      <c r="C22" s="64">
        <v>8.9499999999999993</v>
      </c>
      <c r="D22" s="64">
        <v>13.54</v>
      </c>
      <c r="E22" s="64">
        <v>0.61</v>
      </c>
      <c r="F22" s="64">
        <v>5.44</v>
      </c>
      <c r="G22" s="64">
        <v>19.22</v>
      </c>
      <c r="H22" s="64">
        <v>9.33</v>
      </c>
      <c r="I22" s="64">
        <v>0.12</v>
      </c>
      <c r="J22" s="64">
        <v>0.13</v>
      </c>
      <c r="K22" s="64">
        <v>337.68</v>
      </c>
      <c r="L22" s="64">
        <v>21.83</v>
      </c>
      <c r="M22" s="64">
        <v>98.71</v>
      </c>
      <c r="N22" s="64">
        <v>9.6999999999999993</v>
      </c>
      <c r="O22" s="64">
        <v>0</v>
      </c>
      <c r="P22" s="64">
        <v>0.33</v>
      </c>
      <c r="Q22" s="64">
        <v>9.89</v>
      </c>
      <c r="R22" s="198"/>
      <c r="S22" s="198"/>
      <c r="T22" s="198"/>
      <c r="U22" s="198"/>
    </row>
    <row r="23" spans="1:21" s="12" customFormat="1" x14ac:dyDescent="0.25">
      <c r="A23" s="214" t="s">
        <v>1415</v>
      </c>
      <c r="B23" s="64">
        <v>4.7300000000000004</v>
      </c>
      <c r="C23" s="64">
        <v>8.6</v>
      </c>
      <c r="D23" s="64">
        <v>13.33</v>
      </c>
      <c r="E23" s="64">
        <v>0.77</v>
      </c>
      <c r="F23" s="64">
        <v>1.79</v>
      </c>
      <c r="G23" s="64">
        <v>17.989999999999998</v>
      </c>
      <c r="H23" s="64">
        <v>9.02</v>
      </c>
      <c r="I23" s="64">
        <v>0.12</v>
      </c>
      <c r="J23" s="64">
        <v>0.16</v>
      </c>
      <c r="K23" s="64">
        <v>338.27</v>
      </c>
      <c r="L23" s="64">
        <v>21.71</v>
      </c>
      <c r="M23" s="64">
        <v>98.73</v>
      </c>
      <c r="N23" s="64">
        <v>9.1999999999999993</v>
      </c>
      <c r="O23" s="64">
        <v>0</v>
      </c>
      <c r="P23" s="64">
        <v>0.35</v>
      </c>
      <c r="Q23" s="64">
        <v>10.26</v>
      </c>
      <c r="R23" s="198"/>
      <c r="S23" s="198"/>
      <c r="T23" s="198"/>
      <c r="U23" s="198"/>
    </row>
    <row r="24" spans="1:21" s="12" customFormat="1" x14ac:dyDescent="0.25">
      <c r="A24" s="214" t="s">
        <v>1416</v>
      </c>
      <c r="B24" s="64">
        <v>5.44</v>
      </c>
      <c r="C24" s="64">
        <v>8.11</v>
      </c>
      <c r="D24" s="64">
        <v>13.55</v>
      </c>
      <c r="E24" s="64">
        <v>2.0499999999999998</v>
      </c>
      <c r="F24" s="64">
        <v>1.45</v>
      </c>
      <c r="G24" s="64">
        <v>14.98</v>
      </c>
      <c r="H24" s="64">
        <v>8.51</v>
      </c>
      <c r="I24" s="64">
        <v>0.12</v>
      </c>
      <c r="J24" s="64">
        <v>0.15</v>
      </c>
      <c r="K24" s="64">
        <v>332.93</v>
      </c>
      <c r="L24" s="64">
        <v>21.76</v>
      </c>
      <c r="M24" s="64">
        <v>98.72</v>
      </c>
      <c r="N24" s="64">
        <v>9.1999999999999993</v>
      </c>
      <c r="O24" s="64">
        <v>0</v>
      </c>
      <c r="P24" s="64">
        <v>0.33</v>
      </c>
      <c r="Q24" s="64">
        <v>9.1199999999999992</v>
      </c>
      <c r="R24" s="198"/>
      <c r="S24" s="198"/>
      <c r="T24" s="198"/>
      <c r="U24" s="198"/>
    </row>
    <row r="25" spans="1:21" s="12" customFormat="1" x14ac:dyDescent="0.25">
      <c r="A25" s="214" t="s">
        <v>1417</v>
      </c>
      <c r="B25" s="64">
        <v>4.92</v>
      </c>
      <c r="C25" s="64">
        <v>7.65</v>
      </c>
      <c r="D25" s="64">
        <v>12.57</v>
      </c>
      <c r="E25" s="64">
        <v>2.5</v>
      </c>
      <c r="F25" s="64">
        <v>1.67</v>
      </c>
      <c r="G25" s="64">
        <v>14.98</v>
      </c>
      <c r="H25" s="64">
        <v>8.51</v>
      </c>
      <c r="I25" s="64">
        <v>0.12</v>
      </c>
      <c r="J25" s="64">
        <v>0.13</v>
      </c>
      <c r="K25" s="64">
        <v>16.899999999999999</v>
      </c>
      <c r="L25" s="64">
        <v>21.82</v>
      </c>
      <c r="M25" s="64">
        <v>98.72</v>
      </c>
      <c r="N25" s="64">
        <v>9.1999999999999993</v>
      </c>
      <c r="O25" s="64">
        <v>0</v>
      </c>
      <c r="P25" s="64">
        <v>0.34</v>
      </c>
      <c r="Q25" s="64">
        <v>8.16</v>
      </c>
      <c r="R25" s="198"/>
      <c r="S25" s="198"/>
      <c r="T25" s="198"/>
      <c r="U25" s="198"/>
    </row>
    <row r="26" spans="1:21" s="12" customFormat="1" x14ac:dyDescent="0.25">
      <c r="A26" s="214" t="s">
        <v>1418</v>
      </c>
      <c r="B26" s="64">
        <v>4.67</v>
      </c>
      <c r="C26" s="64">
        <v>8.4700000000000006</v>
      </c>
      <c r="D26" s="64">
        <v>13.15</v>
      </c>
      <c r="E26" s="64">
        <v>2.97</v>
      </c>
      <c r="F26" s="64">
        <v>0.36</v>
      </c>
      <c r="G26" s="64">
        <v>14.98</v>
      </c>
      <c r="H26" s="64">
        <v>8.51</v>
      </c>
      <c r="I26" s="64">
        <v>0.12</v>
      </c>
      <c r="J26" s="64">
        <v>0.16</v>
      </c>
      <c r="K26" s="64">
        <v>28.22</v>
      </c>
      <c r="L26" s="64">
        <v>21.92</v>
      </c>
      <c r="M26" s="64">
        <v>98.73</v>
      </c>
      <c r="N26" s="64">
        <v>9.1</v>
      </c>
      <c r="O26" s="64">
        <v>0</v>
      </c>
      <c r="P26" s="64">
        <v>0.33</v>
      </c>
      <c r="Q26" s="64">
        <v>9.5</v>
      </c>
      <c r="R26" s="198"/>
      <c r="S26" s="198"/>
      <c r="T26" s="198"/>
      <c r="U26" s="198"/>
    </row>
    <row r="27" spans="1:21" s="12" customFormat="1" x14ac:dyDescent="0.25">
      <c r="A27" s="214" t="s">
        <v>1419</v>
      </c>
      <c r="B27" s="64">
        <v>4.58</v>
      </c>
      <c r="C27" s="64">
        <v>8.65</v>
      </c>
      <c r="D27" s="64">
        <v>13.24</v>
      </c>
      <c r="E27" s="64">
        <v>2.2000000000000002</v>
      </c>
      <c r="F27" s="64">
        <v>0.92</v>
      </c>
      <c r="G27" s="64">
        <v>15.02</v>
      </c>
      <c r="H27" s="64">
        <v>8</v>
      </c>
      <c r="I27" s="64">
        <v>0.13</v>
      </c>
      <c r="J27" s="64">
        <v>0.2</v>
      </c>
      <c r="K27" s="64">
        <v>5.95</v>
      </c>
      <c r="L27" s="64">
        <v>22.09</v>
      </c>
      <c r="M27" s="64">
        <v>98.72</v>
      </c>
      <c r="N27" s="64">
        <v>9.1</v>
      </c>
      <c r="O27" s="64">
        <v>0</v>
      </c>
      <c r="P27" s="64">
        <v>0.32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1420</v>
      </c>
      <c r="B28" s="64">
        <v>4.6500000000000004</v>
      </c>
      <c r="C28" s="64">
        <v>8.9</v>
      </c>
      <c r="D28" s="64">
        <v>13.55</v>
      </c>
      <c r="E28" s="64">
        <v>2.0099999999999998</v>
      </c>
      <c r="F28" s="64">
        <v>0.89</v>
      </c>
      <c r="G28" s="64">
        <v>15.13</v>
      </c>
      <c r="H28" s="64">
        <v>7.16</v>
      </c>
      <c r="I28" s="64">
        <v>0.12</v>
      </c>
      <c r="J28" s="64">
        <v>0.18</v>
      </c>
      <c r="K28" s="64">
        <v>4.74</v>
      </c>
      <c r="L28" s="64">
        <v>22.1</v>
      </c>
      <c r="M28" s="64">
        <v>98.73</v>
      </c>
      <c r="N28" s="64">
        <v>9.1</v>
      </c>
      <c r="O28" s="64">
        <v>0</v>
      </c>
      <c r="P28" s="64">
        <v>0.33</v>
      </c>
      <c r="Q28" s="64">
        <v>8.3000000000000007</v>
      </c>
      <c r="R28" s="198"/>
      <c r="S28" s="198"/>
      <c r="T28" s="198"/>
      <c r="U28" s="198"/>
    </row>
    <row r="29" spans="1:21" s="12" customFormat="1" x14ac:dyDescent="0.25">
      <c r="A29" s="214" t="s">
        <v>1421</v>
      </c>
      <c r="B29" s="64">
        <v>4.68</v>
      </c>
      <c r="C29" s="64">
        <v>9.06</v>
      </c>
      <c r="D29" s="64">
        <v>13.74</v>
      </c>
      <c r="E29" s="64">
        <v>2.44</v>
      </c>
      <c r="F29" s="64">
        <v>0.96</v>
      </c>
      <c r="G29" s="64">
        <v>15.13</v>
      </c>
      <c r="H29" s="64">
        <v>7.16</v>
      </c>
      <c r="I29" s="64">
        <v>0.12</v>
      </c>
      <c r="J29" s="64">
        <v>0.26</v>
      </c>
      <c r="K29" s="64">
        <v>338.82</v>
      </c>
      <c r="L29" s="64">
        <v>22.18</v>
      </c>
      <c r="M29" s="64">
        <v>98.73</v>
      </c>
      <c r="N29" s="64">
        <v>9.1</v>
      </c>
      <c r="O29" s="64">
        <v>0</v>
      </c>
      <c r="P29" s="64">
        <v>0.3</v>
      </c>
      <c r="Q29" s="64">
        <v>8.0399999999999991</v>
      </c>
      <c r="R29" s="198"/>
      <c r="S29" s="198"/>
      <c r="T29" s="198"/>
      <c r="U29" s="198"/>
    </row>
    <row r="30" spans="1:21" s="12" customFormat="1" x14ac:dyDescent="0.25">
      <c r="A30" s="214" t="s">
        <v>1422</v>
      </c>
      <c r="B30" s="64">
        <v>5.27</v>
      </c>
      <c r="C30" s="64">
        <v>10.68</v>
      </c>
      <c r="D30" s="64">
        <v>15.94</v>
      </c>
      <c r="E30" s="64">
        <v>2.4300000000000002</v>
      </c>
      <c r="F30" s="64">
        <v>1.26</v>
      </c>
      <c r="G30" s="64">
        <v>15.13</v>
      </c>
      <c r="H30" s="64">
        <v>7.16</v>
      </c>
      <c r="I30" s="64">
        <v>0.12</v>
      </c>
      <c r="J30" s="64">
        <v>0.24</v>
      </c>
      <c r="K30" s="64">
        <v>353.29</v>
      </c>
      <c r="L30" s="64">
        <v>22.17</v>
      </c>
      <c r="M30" s="64">
        <v>98.73</v>
      </c>
      <c r="N30" s="64">
        <v>9.3000000000000007</v>
      </c>
      <c r="O30" s="64">
        <v>0</v>
      </c>
      <c r="P30" s="64">
        <v>0.31</v>
      </c>
      <c r="Q30" s="64">
        <v>7.87</v>
      </c>
      <c r="R30" s="198"/>
      <c r="S30" s="198"/>
      <c r="T30" s="198"/>
      <c r="U30" s="198"/>
    </row>
    <row r="31" spans="1:21" s="12" customFormat="1" x14ac:dyDescent="0.25">
      <c r="A31" s="214" t="s">
        <v>1423</v>
      </c>
      <c r="B31" s="64">
        <v>5.4</v>
      </c>
      <c r="C31" s="64">
        <v>10.66</v>
      </c>
      <c r="D31" s="64">
        <v>16.059999999999999</v>
      </c>
      <c r="E31" s="64">
        <v>2.87</v>
      </c>
      <c r="F31" s="64">
        <v>1.45</v>
      </c>
      <c r="G31" s="64">
        <v>16.07</v>
      </c>
      <c r="H31" s="64">
        <v>7.17</v>
      </c>
      <c r="I31" s="64">
        <v>0.11</v>
      </c>
      <c r="J31" s="64">
        <v>0.24</v>
      </c>
      <c r="K31" s="64">
        <v>342.9</v>
      </c>
      <c r="L31" s="64">
        <v>22.22</v>
      </c>
      <c r="M31" s="64">
        <v>98.73</v>
      </c>
      <c r="N31" s="64">
        <v>10.6</v>
      </c>
      <c r="O31" s="64">
        <v>0</v>
      </c>
      <c r="P31" s="64">
        <v>0.32</v>
      </c>
      <c r="Q31" s="64">
        <v>8.9700000000000006</v>
      </c>
      <c r="R31" s="198"/>
      <c r="S31" s="198"/>
      <c r="T31" s="198"/>
      <c r="U31" s="198"/>
    </row>
    <row r="32" spans="1:21" s="12" customFormat="1" x14ac:dyDescent="0.25">
      <c r="A32" s="214" t="s">
        <v>1424</v>
      </c>
      <c r="B32" s="64">
        <v>5.82</v>
      </c>
      <c r="C32" s="64">
        <v>10.37</v>
      </c>
      <c r="D32" s="64">
        <v>16.190000000000001</v>
      </c>
      <c r="E32" s="64">
        <v>2.42</v>
      </c>
      <c r="F32" s="64">
        <v>1.21</v>
      </c>
      <c r="G32" s="64">
        <v>18.39</v>
      </c>
      <c r="H32" s="64">
        <v>7.18</v>
      </c>
      <c r="I32" s="64">
        <v>0.12</v>
      </c>
      <c r="J32" s="64">
        <v>0.21</v>
      </c>
      <c r="K32" s="64">
        <v>349.34</v>
      </c>
      <c r="L32" s="64">
        <v>22.27</v>
      </c>
      <c r="M32" s="64">
        <v>98.73</v>
      </c>
      <c r="N32" s="64">
        <v>18.399999999999999</v>
      </c>
      <c r="O32" s="64">
        <v>0</v>
      </c>
      <c r="P32" s="64">
        <v>0.31</v>
      </c>
      <c r="Q32" s="64">
        <v>9.2100000000000009</v>
      </c>
      <c r="R32" s="198"/>
      <c r="S32" s="198"/>
      <c r="T32" s="198"/>
      <c r="U32" s="198"/>
    </row>
    <row r="33" spans="1:21" s="12" customFormat="1" x14ac:dyDescent="0.25">
      <c r="A33" s="214" t="s">
        <v>1425</v>
      </c>
      <c r="B33" s="64">
        <v>8.76</v>
      </c>
      <c r="C33" s="64">
        <v>13.25</v>
      </c>
      <c r="D33" s="64">
        <v>22.02</v>
      </c>
      <c r="E33" s="64">
        <v>2.76</v>
      </c>
      <c r="F33" s="64">
        <v>1.27</v>
      </c>
      <c r="G33" s="64">
        <v>18.39</v>
      </c>
      <c r="H33" s="64">
        <v>7.18</v>
      </c>
      <c r="I33" s="64">
        <v>0.12</v>
      </c>
      <c r="J33" s="64">
        <v>0.21</v>
      </c>
      <c r="K33" s="64">
        <v>329.43</v>
      </c>
      <c r="L33" s="64">
        <v>22.31</v>
      </c>
      <c r="M33" s="64">
        <v>98.73</v>
      </c>
      <c r="N33" s="64">
        <v>31.4</v>
      </c>
      <c r="O33" s="64">
        <v>0</v>
      </c>
      <c r="P33" s="64">
        <v>0.34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4" t="s">
        <v>1426</v>
      </c>
      <c r="B34" s="64">
        <v>7.53</v>
      </c>
      <c r="C34" s="64">
        <v>11.63</v>
      </c>
      <c r="D34" s="64">
        <v>19.170000000000002</v>
      </c>
      <c r="E34" s="64">
        <v>2.69</v>
      </c>
      <c r="F34" s="64">
        <v>0.98</v>
      </c>
      <c r="G34" s="64">
        <v>18.39</v>
      </c>
      <c r="H34" s="64">
        <v>7.18</v>
      </c>
      <c r="I34" s="64">
        <v>0.12</v>
      </c>
      <c r="J34" s="64">
        <v>0.31</v>
      </c>
      <c r="K34" s="64">
        <v>327.45</v>
      </c>
      <c r="L34" s="64">
        <v>22.56</v>
      </c>
      <c r="M34" s="64">
        <v>98.71</v>
      </c>
      <c r="N34" s="64">
        <v>47.7</v>
      </c>
      <c r="O34" s="64">
        <v>0</v>
      </c>
      <c r="P34" s="64">
        <v>0.33</v>
      </c>
      <c r="Q34" s="64">
        <v>10.35</v>
      </c>
      <c r="R34" s="198"/>
      <c r="S34" s="198"/>
      <c r="T34" s="198"/>
      <c r="U34" s="198"/>
    </row>
    <row r="35" spans="1:21" s="12" customFormat="1" x14ac:dyDescent="0.25">
      <c r="A35" s="214" t="s">
        <v>1427</v>
      </c>
      <c r="B35" s="64">
        <v>7.47</v>
      </c>
      <c r="C35" s="64">
        <v>10.67</v>
      </c>
      <c r="D35" s="64">
        <v>18.14</v>
      </c>
      <c r="E35" s="64">
        <v>2.94</v>
      </c>
      <c r="F35" s="64">
        <v>0.65</v>
      </c>
      <c r="G35" s="64">
        <v>18.86</v>
      </c>
      <c r="H35" s="64">
        <v>6.62</v>
      </c>
      <c r="I35" s="64">
        <v>0.12</v>
      </c>
      <c r="J35" s="64">
        <v>0.53</v>
      </c>
      <c r="K35" s="64">
        <v>317.2</v>
      </c>
      <c r="L35" s="64">
        <v>22.75</v>
      </c>
      <c r="M35" s="64">
        <v>98.68</v>
      </c>
      <c r="N35" s="64">
        <v>59.7</v>
      </c>
      <c r="O35" s="64">
        <v>0</v>
      </c>
      <c r="P35" s="64">
        <v>0.34</v>
      </c>
      <c r="Q35" s="64">
        <v>10.44</v>
      </c>
      <c r="R35" s="198"/>
      <c r="S35" s="198"/>
      <c r="T35" s="198"/>
      <c r="U35" s="198"/>
    </row>
    <row r="36" spans="1:21" s="12" customFormat="1" x14ac:dyDescent="0.25">
      <c r="A36" s="214" t="s">
        <v>1428</v>
      </c>
      <c r="B36" s="64">
        <v>7.69</v>
      </c>
      <c r="C36" s="64">
        <v>9.76</v>
      </c>
      <c r="D36" s="64">
        <v>17.440000000000001</v>
      </c>
      <c r="E36" s="64">
        <v>2.88</v>
      </c>
      <c r="F36" s="64">
        <v>1.07</v>
      </c>
      <c r="G36" s="64">
        <v>20</v>
      </c>
      <c r="H36" s="64">
        <v>5.71</v>
      </c>
      <c r="I36" s="64">
        <v>0.12</v>
      </c>
      <c r="J36" s="64">
        <v>0.39</v>
      </c>
      <c r="K36" s="64">
        <v>322.51</v>
      </c>
      <c r="L36" s="64">
        <v>22.92</v>
      </c>
      <c r="M36" s="64">
        <v>98.68</v>
      </c>
      <c r="N36" s="64">
        <v>67.099999999999994</v>
      </c>
      <c r="O36" s="64">
        <v>0</v>
      </c>
      <c r="P36" s="64">
        <v>0.34</v>
      </c>
      <c r="Q36" s="64">
        <v>8.93</v>
      </c>
      <c r="R36" s="198"/>
      <c r="S36" s="198"/>
      <c r="T36" s="198"/>
      <c r="U36" s="198"/>
    </row>
    <row r="37" spans="1:21" s="12" customFormat="1" x14ac:dyDescent="0.25">
      <c r="A37" s="214" t="s">
        <v>1429</v>
      </c>
      <c r="B37" s="64">
        <v>7.99</v>
      </c>
      <c r="C37" s="64">
        <v>9.84</v>
      </c>
      <c r="D37" s="64">
        <v>17.829999999999998</v>
      </c>
      <c r="E37" s="64">
        <v>2.77</v>
      </c>
      <c r="F37" s="64">
        <v>0.86</v>
      </c>
      <c r="G37" s="64">
        <v>20</v>
      </c>
      <c r="H37" s="64">
        <v>5.71</v>
      </c>
      <c r="I37" s="64">
        <v>0.12</v>
      </c>
      <c r="J37" s="64">
        <v>0.48</v>
      </c>
      <c r="K37" s="64">
        <v>316.05</v>
      </c>
      <c r="L37" s="64">
        <v>23.04</v>
      </c>
      <c r="M37" s="64">
        <v>98.67</v>
      </c>
      <c r="N37" s="64">
        <v>73.900000000000006</v>
      </c>
      <c r="O37" s="64">
        <v>0</v>
      </c>
      <c r="P37" s="64">
        <v>0.35</v>
      </c>
      <c r="Q37" s="64">
        <v>9.4</v>
      </c>
      <c r="R37" s="198"/>
      <c r="S37" s="198"/>
      <c r="T37" s="198"/>
      <c r="U37" s="198"/>
    </row>
    <row r="38" spans="1:21" s="12" customFormat="1" x14ac:dyDescent="0.25">
      <c r="A38" s="214" t="s">
        <v>1430</v>
      </c>
      <c r="B38" s="64">
        <v>9.11</v>
      </c>
      <c r="C38" s="64">
        <v>12.48</v>
      </c>
      <c r="D38" s="64">
        <v>21.59</v>
      </c>
      <c r="E38" s="64">
        <v>2.5499999999999998</v>
      </c>
      <c r="F38" s="64">
        <v>0.81</v>
      </c>
      <c r="G38" s="64">
        <v>20</v>
      </c>
      <c r="H38" s="64">
        <v>5.71</v>
      </c>
      <c r="I38" s="64">
        <v>0.12</v>
      </c>
      <c r="J38" s="64">
        <v>0.51</v>
      </c>
      <c r="K38" s="64">
        <v>312.64</v>
      </c>
      <c r="L38" s="64">
        <v>23.29</v>
      </c>
      <c r="M38" s="64">
        <v>98.43</v>
      </c>
      <c r="N38" s="64">
        <v>110.3</v>
      </c>
      <c r="O38" s="64">
        <v>0</v>
      </c>
      <c r="P38" s="64">
        <v>0.37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4" t="s">
        <v>1431</v>
      </c>
      <c r="B39" s="64">
        <v>10.38</v>
      </c>
      <c r="C39" s="64">
        <v>10.34</v>
      </c>
      <c r="D39" s="64">
        <v>20.72</v>
      </c>
      <c r="E39" s="64">
        <v>2.74</v>
      </c>
      <c r="F39" s="64">
        <v>0.89</v>
      </c>
      <c r="G39" s="64">
        <v>24.19</v>
      </c>
      <c r="H39" s="64">
        <v>6.1</v>
      </c>
      <c r="I39" s="64">
        <v>0.12</v>
      </c>
      <c r="J39" s="64">
        <v>0.59</v>
      </c>
      <c r="K39" s="64">
        <v>319.5</v>
      </c>
      <c r="L39" s="64">
        <v>23.72</v>
      </c>
      <c r="M39" s="64">
        <v>97.16</v>
      </c>
      <c r="N39" s="64">
        <v>123.2</v>
      </c>
      <c r="O39" s="64">
        <v>0</v>
      </c>
      <c r="P39" s="64">
        <v>0.39</v>
      </c>
      <c r="Q39" s="64">
        <v>9.5500000000000007</v>
      </c>
      <c r="R39" s="198"/>
      <c r="S39" s="198"/>
      <c r="T39" s="198"/>
      <c r="U39" s="198"/>
    </row>
    <row r="40" spans="1:21" s="12" customFormat="1" x14ac:dyDescent="0.25">
      <c r="A40" s="214" t="s">
        <v>1432</v>
      </c>
      <c r="B40" s="64">
        <v>11.53</v>
      </c>
      <c r="C40" s="64">
        <v>9.6199999999999992</v>
      </c>
      <c r="D40" s="64">
        <v>21.14</v>
      </c>
      <c r="E40" s="64">
        <v>0.39</v>
      </c>
      <c r="F40" s="64">
        <v>0.72</v>
      </c>
      <c r="G40" s="64">
        <v>34.49</v>
      </c>
      <c r="H40" s="64">
        <v>6.76</v>
      </c>
      <c r="I40" s="64">
        <v>0.12</v>
      </c>
      <c r="J40" s="64">
        <v>0.54</v>
      </c>
      <c r="K40" s="64">
        <v>315.52999999999997</v>
      </c>
      <c r="L40" s="64">
        <v>23.95</v>
      </c>
      <c r="M40" s="64">
        <v>95.71</v>
      </c>
      <c r="N40" s="64">
        <v>138.5</v>
      </c>
      <c r="O40" s="64">
        <v>0</v>
      </c>
      <c r="P40" s="64">
        <v>0.39</v>
      </c>
      <c r="Q40" s="64">
        <v>9.57</v>
      </c>
      <c r="R40" s="198"/>
      <c r="S40" s="198"/>
      <c r="T40" s="198"/>
      <c r="U40" s="198"/>
    </row>
    <row r="41" spans="1:21" s="12" customFormat="1" x14ac:dyDescent="0.25">
      <c r="A41" s="214" t="s">
        <v>1433</v>
      </c>
      <c r="B41" s="64">
        <v>11.75</v>
      </c>
      <c r="C41" s="64">
        <v>10.6</v>
      </c>
      <c r="D41" s="64">
        <v>22.35</v>
      </c>
      <c r="E41" s="64">
        <v>2.0099999999999998</v>
      </c>
      <c r="F41" s="64">
        <v>0.82</v>
      </c>
      <c r="G41" s="64">
        <v>34.49</v>
      </c>
      <c r="H41" s="64">
        <v>6.76</v>
      </c>
      <c r="I41" s="64">
        <v>0.12</v>
      </c>
      <c r="J41" s="64">
        <v>0.6</v>
      </c>
      <c r="K41" s="64">
        <v>315.57</v>
      </c>
      <c r="L41" s="64">
        <v>24.52</v>
      </c>
      <c r="M41" s="64">
        <v>92.62</v>
      </c>
      <c r="N41" s="64">
        <v>237.9</v>
      </c>
      <c r="O41" s="64">
        <v>0</v>
      </c>
      <c r="P41" s="64">
        <v>0.42</v>
      </c>
      <c r="Q41" s="64">
        <v>10.23</v>
      </c>
      <c r="R41" s="198"/>
      <c r="S41" s="198"/>
      <c r="T41" s="198"/>
      <c r="U41" s="198"/>
    </row>
    <row r="42" spans="1:21" s="12" customFormat="1" x14ac:dyDescent="0.25">
      <c r="A42" s="214" t="s">
        <v>1434</v>
      </c>
      <c r="B42" s="64">
        <v>12.51</v>
      </c>
      <c r="C42" s="64">
        <v>14.31</v>
      </c>
      <c r="D42" s="64">
        <v>26.82</v>
      </c>
      <c r="E42" s="64">
        <v>1.74</v>
      </c>
      <c r="F42" s="64">
        <v>1.27</v>
      </c>
      <c r="G42" s="64">
        <v>34.49</v>
      </c>
      <c r="H42" s="64">
        <v>6.76</v>
      </c>
      <c r="I42" s="64">
        <v>0.12</v>
      </c>
      <c r="J42" s="64">
        <v>0.95</v>
      </c>
      <c r="K42" s="64">
        <v>319.70999999999998</v>
      </c>
      <c r="L42" s="64">
        <v>26.4</v>
      </c>
      <c r="M42" s="64">
        <v>84.69</v>
      </c>
      <c r="N42" s="64">
        <v>405.1</v>
      </c>
      <c r="O42" s="64">
        <v>0</v>
      </c>
      <c r="P42" s="64">
        <v>0.43</v>
      </c>
      <c r="Q42" s="64">
        <v>11.49</v>
      </c>
      <c r="R42" s="198"/>
      <c r="S42" s="198"/>
      <c r="T42" s="198"/>
      <c r="U42" s="198"/>
    </row>
    <row r="43" spans="1:21" s="12" customFormat="1" x14ac:dyDescent="0.25">
      <c r="A43" s="214" t="s">
        <v>1435</v>
      </c>
      <c r="B43" s="64">
        <v>12.72</v>
      </c>
      <c r="C43" s="64">
        <v>13.18</v>
      </c>
      <c r="D43" s="64">
        <v>25.89</v>
      </c>
      <c r="E43" s="64">
        <v>1.24</v>
      </c>
      <c r="F43" s="64">
        <v>1.3</v>
      </c>
      <c r="G43" s="64">
        <v>36.5</v>
      </c>
      <c r="H43" s="64">
        <v>9.08</v>
      </c>
      <c r="I43" s="64">
        <v>0.12</v>
      </c>
      <c r="J43" s="64">
        <v>0.82</v>
      </c>
      <c r="K43" s="64">
        <v>321.62</v>
      </c>
      <c r="L43" s="64">
        <v>27.32</v>
      </c>
      <c r="M43" s="64">
        <v>78.89</v>
      </c>
      <c r="N43" s="64">
        <v>341.4</v>
      </c>
      <c r="O43" s="64">
        <v>0</v>
      </c>
      <c r="P43" s="64">
        <v>0.44</v>
      </c>
      <c r="Q43" s="64">
        <v>12.07</v>
      </c>
      <c r="R43" s="198"/>
      <c r="S43" s="198"/>
      <c r="T43" s="198"/>
      <c r="U43" s="198"/>
    </row>
    <row r="44" spans="1:21" s="12" customFormat="1" x14ac:dyDescent="0.25">
      <c r="A44" s="214" t="s">
        <v>1436</v>
      </c>
      <c r="B44" s="64">
        <v>13.35</v>
      </c>
      <c r="C44" s="64">
        <v>11.31</v>
      </c>
      <c r="D44" s="64">
        <v>24.66</v>
      </c>
      <c r="E44" s="64">
        <v>1.42</v>
      </c>
      <c r="F44" s="64">
        <v>1.86</v>
      </c>
      <c r="G44" s="64">
        <v>41.45</v>
      </c>
      <c r="H44" s="64">
        <v>12.88</v>
      </c>
      <c r="I44" s="64">
        <v>0.12</v>
      </c>
      <c r="J44" s="64">
        <v>1.01</v>
      </c>
      <c r="K44" s="64">
        <v>326.27</v>
      </c>
      <c r="L44" s="64">
        <v>27.93</v>
      </c>
      <c r="M44" s="64">
        <v>76.400000000000006</v>
      </c>
      <c r="N44" s="64">
        <v>439.5</v>
      </c>
      <c r="O44" s="64">
        <v>0</v>
      </c>
      <c r="P44" s="64">
        <v>0.46</v>
      </c>
      <c r="Q44" s="64">
        <v>12.76</v>
      </c>
      <c r="R44" s="198"/>
      <c r="S44" s="198"/>
      <c r="T44" s="198"/>
      <c r="U44" s="198"/>
    </row>
    <row r="45" spans="1:21" s="12" customFormat="1" x14ac:dyDescent="0.25">
      <c r="A45" s="214" t="s">
        <v>1437</v>
      </c>
      <c r="B45" s="64">
        <v>13.38</v>
      </c>
      <c r="C45" s="64">
        <v>12.02</v>
      </c>
      <c r="D45" s="64">
        <v>25.41</v>
      </c>
      <c r="E45" s="64">
        <v>1.44</v>
      </c>
      <c r="F45" s="64">
        <v>2.0099999999999998</v>
      </c>
      <c r="G45" s="64">
        <v>41.45</v>
      </c>
      <c r="H45" s="64">
        <v>12.88</v>
      </c>
      <c r="I45" s="64">
        <v>0.12</v>
      </c>
      <c r="J45" s="64">
        <v>1.02</v>
      </c>
      <c r="K45" s="64">
        <v>332.93</v>
      </c>
      <c r="L45" s="64">
        <v>28.38</v>
      </c>
      <c r="M45" s="64">
        <v>73.78</v>
      </c>
      <c r="N45" s="64">
        <v>296.10000000000002</v>
      </c>
      <c r="O45" s="64">
        <v>0</v>
      </c>
      <c r="P45" s="64">
        <v>0.47</v>
      </c>
      <c r="Q45" s="64">
        <v>13.46</v>
      </c>
      <c r="R45" s="198"/>
      <c r="S45" s="198"/>
      <c r="T45" s="198"/>
      <c r="U45" s="198"/>
    </row>
    <row r="46" spans="1:21" s="12" customFormat="1" x14ac:dyDescent="0.25">
      <c r="A46" s="214" t="s">
        <v>1438</v>
      </c>
      <c r="B46" s="64">
        <v>13.25</v>
      </c>
      <c r="C46" s="64">
        <v>13.05</v>
      </c>
      <c r="D46" s="64">
        <v>26.3</v>
      </c>
      <c r="E46" s="64">
        <v>2.7</v>
      </c>
      <c r="F46" s="64">
        <v>1.65</v>
      </c>
      <c r="G46" s="64">
        <v>41.45</v>
      </c>
      <c r="H46" s="64">
        <v>12.88</v>
      </c>
      <c r="I46" s="64">
        <v>0.12</v>
      </c>
      <c r="J46" s="64">
        <v>0.94</v>
      </c>
      <c r="K46" s="64">
        <v>325.27</v>
      </c>
      <c r="L46" s="64">
        <v>27.28</v>
      </c>
      <c r="M46" s="64">
        <v>77.31</v>
      </c>
      <c r="N46" s="64">
        <v>181.2</v>
      </c>
      <c r="O46" s="64">
        <v>0</v>
      </c>
      <c r="P46" s="64">
        <v>0.47</v>
      </c>
      <c r="Q46" s="64">
        <v>14.35</v>
      </c>
      <c r="R46" s="198"/>
      <c r="S46" s="198"/>
      <c r="T46" s="198"/>
      <c r="U46" s="198"/>
    </row>
    <row r="47" spans="1:21" s="12" customFormat="1" x14ac:dyDescent="0.25">
      <c r="A47" s="214" t="s">
        <v>1439</v>
      </c>
      <c r="B47" s="64">
        <v>13.53</v>
      </c>
      <c r="C47" s="64">
        <v>12.23</v>
      </c>
      <c r="D47" s="64">
        <v>25.76</v>
      </c>
      <c r="E47" s="64">
        <v>1.75</v>
      </c>
      <c r="F47" s="64">
        <v>1.34</v>
      </c>
      <c r="G47" s="64">
        <v>43.83</v>
      </c>
      <c r="H47" s="64">
        <v>11.51</v>
      </c>
      <c r="I47" s="64">
        <v>0.12</v>
      </c>
      <c r="J47" s="64">
        <v>0.51</v>
      </c>
      <c r="K47" s="64">
        <v>334.68</v>
      </c>
      <c r="L47" s="64">
        <v>26.99</v>
      </c>
      <c r="M47" s="64">
        <v>78.75</v>
      </c>
      <c r="N47" s="64">
        <v>311.3</v>
      </c>
      <c r="O47" s="64">
        <v>0</v>
      </c>
      <c r="P47" s="64">
        <v>0.49</v>
      </c>
      <c r="Q47" s="64">
        <v>14.88</v>
      </c>
      <c r="R47" s="198"/>
      <c r="S47" s="198"/>
      <c r="T47" s="198"/>
      <c r="U47" s="198"/>
    </row>
    <row r="48" spans="1:21" s="12" customFormat="1" x14ac:dyDescent="0.25">
      <c r="A48" s="214" t="s">
        <v>1440</v>
      </c>
      <c r="B48" s="64">
        <v>13.21</v>
      </c>
      <c r="C48" s="64">
        <v>13.64</v>
      </c>
      <c r="D48" s="64">
        <v>26.85</v>
      </c>
      <c r="E48" s="64">
        <v>1.71</v>
      </c>
      <c r="F48" s="64">
        <v>1.53</v>
      </c>
      <c r="G48" s="64">
        <v>49.67</v>
      </c>
      <c r="H48" s="64">
        <v>9.27</v>
      </c>
      <c r="I48" s="64">
        <v>0.12</v>
      </c>
      <c r="J48" s="64">
        <v>0.47</v>
      </c>
      <c r="K48" s="64">
        <v>326.49</v>
      </c>
      <c r="L48" s="64">
        <v>27.7</v>
      </c>
      <c r="M48" s="64">
        <v>76.86</v>
      </c>
      <c r="N48" s="64">
        <v>394.3</v>
      </c>
      <c r="O48" s="64">
        <v>0</v>
      </c>
      <c r="P48" s="64">
        <v>0.51</v>
      </c>
      <c r="Q48" s="64">
        <v>13.41</v>
      </c>
      <c r="R48" s="198"/>
      <c r="S48" s="198"/>
      <c r="T48" s="198"/>
      <c r="U48" s="198"/>
    </row>
    <row r="49" spans="1:21" s="12" customFormat="1" x14ac:dyDescent="0.25">
      <c r="A49" s="214" t="s">
        <v>1441</v>
      </c>
      <c r="B49" s="64">
        <v>12.75</v>
      </c>
      <c r="C49" s="64">
        <v>12.69</v>
      </c>
      <c r="D49" s="64">
        <v>25.43</v>
      </c>
      <c r="E49" s="64">
        <v>1.2</v>
      </c>
      <c r="F49" s="64">
        <v>1.28</v>
      </c>
      <c r="G49" s="64">
        <v>49.67</v>
      </c>
      <c r="H49" s="64">
        <v>9.27</v>
      </c>
      <c r="I49" s="64">
        <v>0.12</v>
      </c>
      <c r="J49" s="64">
        <v>0.45</v>
      </c>
      <c r="K49" s="64">
        <v>320.39</v>
      </c>
      <c r="L49" s="64">
        <v>28.56</v>
      </c>
      <c r="M49" s="64">
        <v>73.94</v>
      </c>
      <c r="N49" s="64">
        <v>417</v>
      </c>
      <c r="O49" s="64">
        <v>0</v>
      </c>
      <c r="P49" s="64">
        <v>0.51</v>
      </c>
      <c r="Q49" s="64">
        <v>12.69</v>
      </c>
      <c r="R49" s="198"/>
      <c r="S49" s="198"/>
      <c r="T49" s="198"/>
      <c r="U49" s="198"/>
    </row>
    <row r="50" spans="1:21" s="12" customFormat="1" x14ac:dyDescent="0.25">
      <c r="A50" s="214" t="s">
        <v>1442</v>
      </c>
      <c r="B50" s="64">
        <v>12.07</v>
      </c>
      <c r="C50" s="64">
        <v>12.98</v>
      </c>
      <c r="D50" s="64">
        <v>25.05</v>
      </c>
      <c r="E50" s="64">
        <v>1.2</v>
      </c>
      <c r="F50" s="64">
        <v>1.1100000000000001</v>
      </c>
      <c r="G50" s="64">
        <v>49.67</v>
      </c>
      <c r="H50" s="64">
        <v>9.27</v>
      </c>
      <c r="I50" s="64">
        <v>0.12</v>
      </c>
      <c r="J50" s="64">
        <v>0.78</v>
      </c>
      <c r="K50" s="64">
        <v>324.08999999999997</v>
      </c>
      <c r="L50" s="64">
        <v>29.31</v>
      </c>
      <c r="M50" s="64">
        <v>70.3</v>
      </c>
      <c r="N50" s="64">
        <v>547.1</v>
      </c>
      <c r="O50" s="64">
        <v>0</v>
      </c>
      <c r="P50" s="64">
        <v>0.54</v>
      </c>
      <c r="Q50" s="64">
        <v>14.35</v>
      </c>
      <c r="R50" s="198"/>
      <c r="S50" s="198"/>
      <c r="T50" s="198"/>
      <c r="U50" s="198"/>
    </row>
    <row r="51" spans="1:21" s="12" customFormat="1" x14ac:dyDescent="0.25">
      <c r="A51" s="214" t="s">
        <v>1443</v>
      </c>
      <c r="B51" s="64">
        <v>12.12</v>
      </c>
      <c r="C51" s="64">
        <v>16.55</v>
      </c>
      <c r="D51" s="64">
        <v>28.67</v>
      </c>
      <c r="E51" s="64">
        <v>1.73</v>
      </c>
      <c r="F51" s="64">
        <v>2.4300000000000002</v>
      </c>
      <c r="G51" s="64">
        <v>50.57</v>
      </c>
      <c r="H51" s="64">
        <v>12.38</v>
      </c>
      <c r="I51" s="64">
        <v>0.12</v>
      </c>
      <c r="J51" s="64">
        <v>0.81</v>
      </c>
      <c r="K51" s="64">
        <v>324.52999999999997</v>
      </c>
      <c r="L51" s="64">
        <v>29.95</v>
      </c>
      <c r="M51" s="64">
        <v>68.17</v>
      </c>
      <c r="N51" s="64">
        <v>444.2</v>
      </c>
      <c r="O51" s="64">
        <v>0</v>
      </c>
      <c r="P51" s="64">
        <v>0.62</v>
      </c>
      <c r="Q51" s="64">
        <v>14.07</v>
      </c>
      <c r="R51" s="198"/>
      <c r="S51" s="198"/>
      <c r="T51" s="198"/>
      <c r="U51" s="198"/>
    </row>
    <row r="52" spans="1:21" s="12" customFormat="1" x14ac:dyDescent="0.25">
      <c r="A52" s="214" t="s">
        <v>1444</v>
      </c>
      <c r="B52" s="64">
        <v>11.43</v>
      </c>
      <c r="C52" s="64">
        <v>21.75</v>
      </c>
      <c r="D52" s="64">
        <v>33.18</v>
      </c>
      <c r="E52" s="64">
        <v>1.22</v>
      </c>
      <c r="F52" s="64">
        <v>2.4700000000000002</v>
      </c>
      <c r="G52" s="64">
        <v>52.76</v>
      </c>
      <c r="H52" s="64">
        <v>17.489999999999998</v>
      </c>
      <c r="I52" s="64">
        <v>0.12</v>
      </c>
      <c r="J52" s="64">
        <v>0.74</v>
      </c>
      <c r="K52" s="64">
        <v>322.87</v>
      </c>
      <c r="L52" s="64">
        <v>29.92</v>
      </c>
      <c r="M52" s="64">
        <v>67.38</v>
      </c>
      <c r="N52" s="64">
        <v>450.7</v>
      </c>
      <c r="O52" s="64">
        <v>0</v>
      </c>
      <c r="P52" s="64">
        <v>0.69</v>
      </c>
      <c r="Q52" s="64">
        <v>14.06</v>
      </c>
      <c r="R52" s="198"/>
      <c r="S52" s="198"/>
      <c r="T52" s="198"/>
      <c r="U52" s="198"/>
    </row>
    <row r="53" spans="1:21" s="12" customFormat="1" x14ac:dyDescent="0.25">
      <c r="A53" s="214" t="s">
        <v>1445</v>
      </c>
      <c r="B53" s="64">
        <v>10.66</v>
      </c>
      <c r="C53" s="64">
        <v>22.69</v>
      </c>
      <c r="D53" s="64">
        <v>33.35</v>
      </c>
      <c r="E53" s="64">
        <v>1.1499999999999999</v>
      </c>
      <c r="F53" s="64">
        <v>3.53</v>
      </c>
      <c r="G53" s="64">
        <v>52.76</v>
      </c>
      <c r="H53" s="64">
        <v>17.489999999999998</v>
      </c>
      <c r="I53" s="64">
        <v>0.12</v>
      </c>
      <c r="J53" s="64">
        <v>0.77</v>
      </c>
      <c r="K53" s="64">
        <v>318.16000000000003</v>
      </c>
      <c r="L53" s="64">
        <v>30.16</v>
      </c>
      <c r="M53" s="64">
        <v>67.67</v>
      </c>
      <c r="N53" s="64">
        <v>506.7</v>
      </c>
      <c r="O53" s="64">
        <v>0</v>
      </c>
      <c r="P53" s="64">
        <v>0.68</v>
      </c>
      <c r="Q53" s="64">
        <v>13.14</v>
      </c>
      <c r="R53" s="198"/>
      <c r="S53" s="198"/>
      <c r="T53" s="198"/>
      <c r="U53" s="198"/>
    </row>
    <row r="54" spans="1:21" s="12" customFormat="1" x14ac:dyDescent="0.25">
      <c r="A54" s="214" t="s">
        <v>1446</v>
      </c>
      <c r="B54" s="64">
        <v>10.82</v>
      </c>
      <c r="C54" s="64">
        <v>19.170000000000002</v>
      </c>
      <c r="D54" s="64">
        <v>29.99</v>
      </c>
      <c r="E54" s="64">
        <v>1.19</v>
      </c>
      <c r="F54" s="64">
        <v>3.1</v>
      </c>
      <c r="G54" s="64">
        <v>52.76</v>
      </c>
      <c r="H54" s="64">
        <v>17.489999999999998</v>
      </c>
      <c r="I54" s="64">
        <v>0.11</v>
      </c>
      <c r="J54" s="64">
        <v>0.6</v>
      </c>
      <c r="K54" s="64">
        <v>316.37</v>
      </c>
      <c r="L54" s="64">
        <v>30.16</v>
      </c>
      <c r="M54" s="64">
        <v>67.680000000000007</v>
      </c>
      <c r="N54" s="64">
        <v>532.6</v>
      </c>
      <c r="O54" s="64">
        <v>0</v>
      </c>
      <c r="P54" s="64">
        <v>0.69</v>
      </c>
      <c r="Q54" s="64">
        <v>13.2</v>
      </c>
      <c r="R54" s="198"/>
      <c r="S54" s="198"/>
      <c r="T54" s="198"/>
      <c r="U54" s="198"/>
    </row>
    <row r="55" spans="1:21" s="12" customFormat="1" x14ac:dyDescent="0.25">
      <c r="A55" s="214" t="s">
        <v>1447</v>
      </c>
      <c r="B55" s="64">
        <v>10.46</v>
      </c>
      <c r="C55" s="64">
        <v>18.350000000000001</v>
      </c>
      <c r="D55" s="64">
        <v>28.81</v>
      </c>
      <c r="E55" s="64">
        <v>0.77</v>
      </c>
      <c r="F55" s="64">
        <v>6.72</v>
      </c>
      <c r="G55" s="64">
        <v>54.12</v>
      </c>
      <c r="H55" s="64">
        <v>16.39</v>
      </c>
      <c r="I55" s="64">
        <v>0.12</v>
      </c>
      <c r="J55" s="64">
        <v>0.53</v>
      </c>
      <c r="K55" s="64">
        <v>327.61</v>
      </c>
      <c r="L55" s="64">
        <v>30.32</v>
      </c>
      <c r="M55" s="64">
        <v>67.010000000000005</v>
      </c>
      <c r="N55" s="64">
        <v>393.4</v>
      </c>
      <c r="O55" s="64">
        <v>0</v>
      </c>
      <c r="P55" s="64">
        <v>0.64</v>
      </c>
      <c r="Q55" s="64">
        <v>13.21</v>
      </c>
      <c r="R55" s="198"/>
      <c r="S55" s="198"/>
      <c r="T55" s="198"/>
      <c r="U55" s="198"/>
    </row>
    <row r="56" spans="1:21" s="12" customFormat="1" x14ac:dyDescent="0.25">
      <c r="A56" s="214" t="s">
        <v>1448</v>
      </c>
      <c r="B56" s="64">
        <v>11.14</v>
      </c>
      <c r="C56" s="64">
        <v>21.27</v>
      </c>
      <c r="D56" s="64">
        <v>32.42</v>
      </c>
      <c r="E56" s="64">
        <v>1.48</v>
      </c>
      <c r="F56" s="64">
        <v>3.31</v>
      </c>
      <c r="G56" s="64">
        <v>57.47</v>
      </c>
      <c r="H56" s="64">
        <v>11.9</v>
      </c>
      <c r="I56" s="64">
        <v>0.12</v>
      </c>
      <c r="J56" s="64">
        <v>0.67</v>
      </c>
      <c r="K56" s="64">
        <v>328.93</v>
      </c>
      <c r="L56" s="64">
        <v>29.36</v>
      </c>
      <c r="M56" s="64">
        <v>70.349999999999994</v>
      </c>
      <c r="N56" s="64">
        <v>156.6</v>
      </c>
      <c r="O56" s="64">
        <v>0</v>
      </c>
      <c r="P56" s="64">
        <v>0.64</v>
      </c>
      <c r="Q56" s="64">
        <v>14.07</v>
      </c>
      <c r="R56" s="198"/>
      <c r="S56" s="198"/>
      <c r="T56" s="198"/>
      <c r="U56" s="198"/>
    </row>
    <row r="57" spans="1:21" s="12" customFormat="1" x14ac:dyDescent="0.25">
      <c r="A57" s="214" t="s">
        <v>1449</v>
      </c>
      <c r="B57" s="64">
        <v>8.58</v>
      </c>
      <c r="C57" s="64">
        <v>19.18</v>
      </c>
      <c r="D57" s="64">
        <v>27.76</v>
      </c>
      <c r="E57" s="64">
        <v>2.2400000000000002</v>
      </c>
      <c r="F57" s="64">
        <v>1.68</v>
      </c>
      <c r="G57" s="64">
        <v>57.47</v>
      </c>
      <c r="H57" s="64">
        <v>11.9</v>
      </c>
      <c r="I57" s="64">
        <v>0.11</v>
      </c>
      <c r="J57" s="64">
        <v>0.53</v>
      </c>
      <c r="K57" s="64">
        <v>323.7</v>
      </c>
      <c r="L57" s="64">
        <v>28.33</v>
      </c>
      <c r="M57" s="64">
        <v>74.239999999999995</v>
      </c>
      <c r="N57" s="64">
        <v>187.9</v>
      </c>
      <c r="O57" s="64">
        <v>0</v>
      </c>
      <c r="P57" s="64">
        <v>0.64</v>
      </c>
      <c r="Q57" s="64">
        <v>14.22</v>
      </c>
      <c r="R57" s="198"/>
      <c r="S57" s="198"/>
      <c r="T57" s="198"/>
      <c r="U57" s="198"/>
    </row>
    <row r="58" spans="1:21" s="12" customFormat="1" x14ac:dyDescent="0.25">
      <c r="A58" s="214" t="s">
        <v>1450</v>
      </c>
      <c r="B58" s="64">
        <v>8.7100000000000009</v>
      </c>
      <c r="C58" s="64">
        <v>17.68</v>
      </c>
      <c r="D58" s="64">
        <v>26.39</v>
      </c>
      <c r="E58" s="64">
        <v>2.38</v>
      </c>
      <c r="F58" s="64">
        <v>1.8</v>
      </c>
      <c r="G58" s="64">
        <v>57.47</v>
      </c>
      <c r="H58" s="64">
        <v>11.9</v>
      </c>
      <c r="I58" s="64">
        <v>0.11</v>
      </c>
      <c r="J58" s="64">
        <v>0.86</v>
      </c>
      <c r="K58" s="64">
        <v>325.55</v>
      </c>
      <c r="L58" s="64">
        <v>28.91</v>
      </c>
      <c r="M58" s="64">
        <v>73.16</v>
      </c>
      <c r="N58" s="64">
        <v>516.4</v>
      </c>
      <c r="O58" s="64">
        <v>0</v>
      </c>
      <c r="P58" s="64">
        <v>0.61</v>
      </c>
      <c r="Q58" s="64">
        <v>14.66</v>
      </c>
      <c r="R58" s="198"/>
      <c r="S58" s="198"/>
      <c r="T58" s="198"/>
      <c r="U58" s="198"/>
    </row>
    <row r="59" spans="1:21" s="12" customFormat="1" x14ac:dyDescent="0.25">
      <c r="A59" s="214" t="s">
        <v>1451</v>
      </c>
      <c r="B59" s="64">
        <v>8.67</v>
      </c>
      <c r="C59" s="64">
        <v>14.93</v>
      </c>
      <c r="D59" s="64">
        <v>23.6</v>
      </c>
      <c r="E59" s="64">
        <v>2.41</v>
      </c>
      <c r="F59" s="64">
        <v>3.32</v>
      </c>
      <c r="G59" s="64">
        <v>58.54</v>
      </c>
      <c r="H59" s="64">
        <v>14.61</v>
      </c>
      <c r="I59" s="64">
        <v>0.11</v>
      </c>
      <c r="J59" s="64">
        <v>1.03</v>
      </c>
      <c r="K59" s="64">
        <v>324.89999999999998</v>
      </c>
      <c r="L59" s="64">
        <v>29.67</v>
      </c>
      <c r="M59" s="64">
        <v>69.680000000000007</v>
      </c>
      <c r="N59" s="64">
        <v>535</v>
      </c>
      <c r="O59" s="64">
        <v>0</v>
      </c>
      <c r="P59" s="64">
        <v>0.61</v>
      </c>
      <c r="Q59" s="64">
        <v>13.73</v>
      </c>
      <c r="R59" s="198"/>
      <c r="S59" s="198"/>
      <c r="T59" s="198"/>
      <c r="U59" s="198"/>
    </row>
    <row r="60" spans="1:21" s="12" customFormat="1" x14ac:dyDescent="0.25">
      <c r="A60" s="214" t="s">
        <v>1452</v>
      </c>
      <c r="B60" s="64">
        <v>8.8800000000000008</v>
      </c>
      <c r="C60" s="64">
        <v>15.53</v>
      </c>
      <c r="D60" s="64">
        <v>24.41</v>
      </c>
      <c r="E60" s="64">
        <v>2.29</v>
      </c>
      <c r="F60" s="64">
        <v>4.09</v>
      </c>
      <c r="G60" s="64">
        <v>61.16</v>
      </c>
      <c r="H60" s="64">
        <v>18.89</v>
      </c>
      <c r="I60" s="64">
        <v>0.12</v>
      </c>
      <c r="J60" s="64">
        <v>0.77</v>
      </c>
      <c r="K60" s="64">
        <v>324.24</v>
      </c>
      <c r="L60" s="64">
        <v>30.44</v>
      </c>
      <c r="M60" s="64">
        <v>65.58</v>
      </c>
      <c r="N60" s="64">
        <v>348.5</v>
      </c>
      <c r="O60" s="64">
        <v>0</v>
      </c>
      <c r="P60" s="64">
        <v>0.63</v>
      </c>
      <c r="Q60" s="64">
        <v>12.57</v>
      </c>
      <c r="R60" s="198"/>
      <c r="S60" s="198"/>
      <c r="T60" s="198"/>
      <c r="U60" s="198"/>
    </row>
    <row r="61" spans="1:21" s="12" customFormat="1" x14ac:dyDescent="0.25">
      <c r="A61" s="214" t="s">
        <v>1453</v>
      </c>
      <c r="B61" s="64">
        <v>9.6999999999999993</v>
      </c>
      <c r="C61" s="64">
        <v>17.52</v>
      </c>
      <c r="D61" s="64">
        <v>27.21</v>
      </c>
      <c r="E61" s="64">
        <v>2.12</v>
      </c>
      <c r="F61" s="64">
        <v>3.21</v>
      </c>
      <c r="G61" s="64">
        <v>61.16</v>
      </c>
      <c r="H61" s="64">
        <v>18.89</v>
      </c>
      <c r="I61" s="64">
        <v>0.12</v>
      </c>
      <c r="J61" s="64">
        <v>0.47</v>
      </c>
      <c r="K61" s="64">
        <v>321.69</v>
      </c>
      <c r="L61" s="64">
        <v>30.06</v>
      </c>
      <c r="M61" s="64">
        <v>67.11</v>
      </c>
      <c r="N61" s="64">
        <v>299.3</v>
      </c>
      <c r="O61" s="64">
        <v>0</v>
      </c>
      <c r="P61" s="64">
        <v>0.59</v>
      </c>
      <c r="Q61" s="64">
        <v>12.63</v>
      </c>
      <c r="R61" s="198"/>
      <c r="S61" s="198"/>
      <c r="T61" s="198"/>
      <c r="U61" s="198"/>
    </row>
    <row r="62" spans="1:21" s="12" customFormat="1" x14ac:dyDescent="0.25">
      <c r="A62" s="214" t="s">
        <v>1454</v>
      </c>
      <c r="B62" s="64">
        <v>9.4499999999999993</v>
      </c>
      <c r="C62" s="64">
        <v>18.43</v>
      </c>
      <c r="D62" s="64">
        <v>27.88</v>
      </c>
      <c r="E62" s="64">
        <v>2.21</v>
      </c>
      <c r="F62" s="64">
        <v>3.17</v>
      </c>
      <c r="G62" s="64">
        <v>61.16</v>
      </c>
      <c r="H62" s="64">
        <v>18.89</v>
      </c>
      <c r="I62" s="64">
        <v>0.12</v>
      </c>
      <c r="J62" s="64">
        <v>1.22</v>
      </c>
      <c r="K62" s="64">
        <v>324.70999999999998</v>
      </c>
      <c r="L62" s="64">
        <v>29.56</v>
      </c>
      <c r="M62" s="64">
        <v>69.09</v>
      </c>
      <c r="N62" s="64">
        <v>316.3</v>
      </c>
      <c r="O62" s="64">
        <v>0</v>
      </c>
      <c r="P62" s="64">
        <v>0.6</v>
      </c>
      <c r="Q62" s="64">
        <v>12.75</v>
      </c>
      <c r="R62" s="198"/>
      <c r="S62" s="198"/>
      <c r="T62" s="198"/>
      <c r="U62" s="198"/>
    </row>
    <row r="63" spans="1:21" s="12" customFormat="1" x14ac:dyDescent="0.25">
      <c r="A63" s="214" t="s">
        <v>1455</v>
      </c>
      <c r="B63" s="64">
        <v>10.44</v>
      </c>
      <c r="C63" s="64">
        <v>21.66</v>
      </c>
      <c r="D63" s="64">
        <v>32.1</v>
      </c>
      <c r="E63" s="64">
        <v>2.2000000000000002</v>
      </c>
      <c r="F63" s="64">
        <v>3.64</v>
      </c>
      <c r="G63" s="64">
        <v>61.43</v>
      </c>
      <c r="H63" s="64">
        <v>17.66</v>
      </c>
      <c r="I63" s="64">
        <v>0.11</v>
      </c>
      <c r="J63" s="64">
        <v>0.52</v>
      </c>
      <c r="K63" s="64">
        <v>321.02</v>
      </c>
      <c r="L63" s="64">
        <v>29.67</v>
      </c>
      <c r="M63" s="64">
        <v>70.73</v>
      </c>
      <c r="N63" s="64">
        <v>320.5</v>
      </c>
      <c r="O63" s="64">
        <v>0</v>
      </c>
      <c r="P63" s="64">
        <v>0.56999999999999995</v>
      </c>
      <c r="Q63" s="64">
        <v>15.11</v>
      </c>
      <c r="R63" s="198"/>
      <c r="S63" s="198"/>
      <c r="T63" s="198"/>
      <c r="U63" s="198"/>
    </row>
    <row r="64" spans="1:21" s="12" customFormat="1" x14ac:dyDescent="0.25">
      <c r="A64" s="214" t="s">
        <v>1456</v>
      </c>
      <c r="B64" s="64">
        <v>10.63</v>
      </c>
      <c r="C64" s="64">
        <v>21.02</v>
      </c>
      <c r="D64" s="64">
        <v>31.65</v>
      </c>
      <c r="E64" s="64">
        <v>2.2599999999999998</v>
      </c>
      <c r="F64" s="64">
        <v>2.76</v>
      </c>
      <c r="G64" s="64">
        <v>62.07</v>
      </c>
      <c r="H64" s="64">
        <v>15.64</v>
      </c>
      <c r="I64" s="64">
        <v>0.11</v>
      </c>
      <c r="J64" s="64">
        <v>0.68</v>
      </c>
      <c r="K64" s="64">
        <v>315.2</v>
      </c>
      <c r="L64" s="64">
        <v>29.81</v>
      </c>
      <c r="M64" s="64">
        <v>70.61</v>
      </c>
      <c r="N64" s="64">
        <v>254.4</v>
      </c>
      <c r="O64" s="64">
        <v>0</v>
      </c>
      <c r="P64" s="64">
        <v>0.59</v>
      </c>
      <c r="Q64" s="64">
        <v>18.03</v>
      </c>
      <c r="R64" s="198"/>
      <c r="S64" s="198"/>
      <c r="T64" s="198"/>
      <c r="U64" s="198"/>
    </row>
    <row r="65" spans="1:21" s="12" customFormat="1" x14ac:dyDescent="0.25">
      <c r="A65" s="214" t="s">
        <v>1457</v>
      </c>
      <c r="B65" s="64">
        <v>10.06</v>
      </c>
      <c r="C65" s="64">
        <v>19.100000000000001</v>
      </c>
      <c r="D65" s="64">
        <v>29.16</v>
      </c>
      <c r="E65" s="64">
        <v>2.16</v>
      </c>
      <c r="F65" s="64">
        <v>1.87</v>
      </c>
      <c r="G65" s="64">
        <v>62.07</v>
      </c>
      <c r="H65" s="64">
        <v>15.64</v>
      </c>
      <c r="I65" s="64">
        <v>0.11</v>
      </c>
      <c r="J65" s="64">
        <v>0.26</v>
      </c>
      <c r="K65" s="64">
        <v>16.09</v>
      </c>
      <c r="L65" s="64">
        <v>28.42</v>
      </c>
      <c r="M65" s="64">
        <v>78.3</v>
      </c>
      <c r="N65" s="64">
        <v>152</v>
      </c>
      <c r="O65" s="64">
        <v>0</v>
      </c>
      <c r="P65" s="64">
        <v>0.57999999999999996</v>
      </c>
      <c r="Q65" s="64">
        <v>19.600000000000001</v>
      </c>
      <c r="R65" s="198"/>
      <c r="S65" s="198"/>
      <c r="T65" s="198"/>
      <c r="U65" s="198"/>
    </row>
    <row r="66" spans="1:21" s="12" customFormat="1" x14ac:dyDescent="0.25">
      <c r="A66" s="214" t="s">
        <v>1458</v>
      </c>
      <c r="B66" s="64">
        <v>9.84</v>
      </c>
      <c r="C66" s="64">
        <v>19.25</v>
      </c>
      <c r="D66" s="64">
        <v>29.09</v>
      </c>
      <c r="E66" s="64">
        <v>2.04</v>
      </c>
      <c r="F66" s="64">
        <v>1.79</v>
      </c>
      <c r="G66" s="64">
        <v>62.07</v>
      </c>
      <c r="H66" s="64">
        <v>15.64</v>
      </c>
      <c r="I66" s="64">
        <v>0.11</v>
      </c>
      <c r="J66" s="64">
        <v>0.32</v>
      </c>
      <c r="K66" s="64">
        <v>0.82</v>
      </c>
      <c r="L66" s="64">
        <v>27.59</v>
      </c>
      <c r="M66" s="64">
        <v>83.09</v>
      </c>
      <c r="N66" s="64">
        <v>268.10000000000002</v>
      </c>
      <c r="O66" s="64">
        <v>0</v>
      </c>
      <c r="P66" s="64">
        <v>0.57999999999999996</v>
      </c>
      <c r="Q66" s="64">
        <v>21.22</v>
      </c>
      <c r="R66" s="198"/>
      <c r="S66" s="198"/>
      <c r="T66" s="198"/>
      <c r="U66" s="198"/>
    </row>
    <row r="67" spans="1:21" s="12" customFormat="1" x14ac:dyDescent="0.25">
      <c r="A67" s="214" t="s">
        <v>1459</v>
      </c>
      <c r="B67" s="64">
        <v>8.85</v>
      </c>
      <c r="C67" s="64">
        <v>17.28</v>
      </c>
      <c r="D67" s="64">
        <v>26.12</v>
      </c>
      <c r="E67" s="64">
        <v>2.16</v>
      </c>
      <c r="F67" s="64">
        <v>1.33</v>
      </c>
      <c r="G67" s="64">
        <v>61.45</v>
      </c>
      <c r="H67" s="64">
        <v>16.079999999999998</v>
      </c>
      <c r="I67" s="64">
        <v>0.11</v>
      </c>
      <c r="J67" s="64">
        <v>0.33</v>
      </c>
      <c r="K67" s="64">
        <v>24.25</v>
      </c>
      <c r="L67" s="64">
        <v>27.57</v>
      </c>
      <c r="M67" s="64">
        <v>82.36</v>
      </c>
      <c r="N67" s="64">
        <v>302.7</v>
      </c>
      <c r="O67" s="64">
        <v>0</v>
      </c>
      <c r="P67" s="64">
        <v>0.55000000000000004</v>
      </c>
      <c r="Q67" s="64">
        <v>21.93</v>
      </c>
      <c r="R67" s="198"/>
      <c r="S67" s="198"/>
      <c r="T67" s="198"/>
      <c r="U67" s="198"/>
    </row>
    <row r="68" spans="1:21" s="12" customFormat="1" x14ac:dyDescent="0.25">
      <c r="A68" s="214" t="s">
        <v>1460</v>
      </c>
      <c r="B68" s="64">
        <v>7.89</v>
      </c>
      <c r="C68" s="64">
        <v>16.84</v>
      </c>
      <c r="D68" s="64">
        <v>24.73</v>
      </c>
      <c r="E68" s="64">
        <v>1.98</v>
      </c>
      <c r="F68" s="64">
        <v>1.45</v>
      </c>
      <c r="G68" s="64">
        <v>59.93</v>
      </c>
      <c r="H68" s="64">
        <v>16.79</v>
      </c>
      <c r="I68" s="64">
        <v>0.13</v>
      </c>
      <c r="J68" s="64">
        <v>0.35</v>
      </c>
      <c r="K68" s="64">
        <v>16.440000000000001</v>
      </c>
      <c r="L68" s="64">
        <v>27.37</v>
      </c>
      <c r="M68" s="64">
        <v>83.97</v>
      </c>
      <c r="N68" s="64">
        <v>284.7</v>
      </c>
      <c r="O68" s="64">
        <v>0</v>
      </c>
      <c r="P68" s="64">
        <v>0.54</v>
      </c>
      <c r="Q68" s="64">
        <v>23.25</v>
      </c>
      <c r="R68" s="198"/>
      <c r="S68" s="198"/>
      <c r="T68" s="198"/>
      <c r="U68" s="198"/>
    </row>
    <row r="69" spans="1:21" s="12" customFormat="1" x14ac:dyDescent="0.25">
      <c r="A69" s="214" t="s">
        <v>1461</v>
      </c>
      <c r="B69" s="64">
        <v>7.23</v>
      </c>
      <c r="C69" s="64">
        <v>15.66</v>
      </c>
      <c r="D69" s="64">
        <v>22.9</v>
      </c>
      <c r="E69" s="64">
        <v>2.11</v>
      </c>
      <c r="F69" s="64">
        <v>1.38</v>
      </c>
      <c r="G69" s="64">
        <v>59.93</v>
      </c>
      <c r="H69" s="64">
        <v>16.79</v>
      </c>
      <c r="I69" s="64">
        <v>0.11</v>
      </c>
      <c r="J69" s="64">
        <v>0.22</v>
      </c>
      <c r="K69" s="64">
        <v>24.98</v>
      </c>
      <c r="L69" s="64">
        <v>27.14</v>
      </c>
      <c r="M69" s="64">
        <v>86.16</v>
      </c>
      <c r="N69" s="64">
        <v>121.3</v>
      </c>
      <c r="O69" s="64">
        <v>0</v>
      </c>
      <c r="P69" s="64">
        <v>0.52</v>
      </c>
      <c r="Q69" s="64">
        <v>23.73</v>
      </c>
      <c r="R69" s="198"/>
      <c r="S69" s="198"/>
      <c r="T69" s="198"/>
      <c r="U69" s="198"/>
    </row>
    <row r="70" spans="1:21" s="12" customFormat="1" x14ac:dyDescent="0.25">
      <c r="A70" s="214" t="s">
        <v>1462</v>
      </c>
      <c r="B70" s="64">
        <v>6.6</v>
      </c>
      <c r="C70" s="64">
        <v>14.33</v>
      </c>
      <c r="D70" s="64">
        <v>20.93</v>
      </c>
      <c r="E70" s="64">
        <v>2</v>
      </c>
      <c r="F70" s="64">
        <v>1.91</v>
      </c>
      <c r="G70" s="64">
        <v>59.93</v>
      </c>
      <c r="H70" s="64">
        <v>16.79</v>
      </c>
      <c r="I70" s="64">
        <v>0.11</v>
      </c>
      <c r="J70" s="64">
        <v>0.01</v>
      </c>
      <c r="K70" s="64">
        <v>129.04</v>
      </c>
      <c r="L70" s="64">
        <v>26.07</v>
      </c>
      <c r="M70" s="64">
        <v>92.21</v>
      </c>
      <c r="N70" s="64">
        <v>98.7</v>
      </c>
      <c r="O70" s="64">
        <v>0</v>
      </c>
      <c r="P70" s="64">
        <v>0.49</v>
      </c>
      <c r="Q70" s="64">
        <v>23.84</v>
      </c>
      <c r="R70" s="198"/>
      <c r="S70" s="198"/>
      <c r="T70" s="198"/>
      <c r="U70" s="198"/>
    </row>
    <row r="71" spans="1:21" s="12" customFormat="1" x14ac:dyDescent="0.25">
      <c r="A71" s="214" t="s">
        <v>1463</v>
      </c>
      <c r="B71" s="64">
        <v>5.99</v>
      </c>
      <c r="C71" s="64">
        <v>13.26</v>
      </c>
      <c r="D71" s="64">
        <v>19.239999999999998</v>
      </c>
      <c r="E71" s="64">
        <v>1.97</v>
      </c>
      <c r="F71" s="64">
        <v>3.1</v>
      </c>
      <c r="G71" s="64">
        <v>58.16</v>
      </c>
      <c r="H71" s="64">
        <v>17.760000000000002</v>
      </c>
      <c r="I71" s="64">
        <v>0.11</v>
      </c>
      <c r="J71" s="64">
        <v>0.06</v>
      </c>
      <c r="K71" s="64">
        <v>51.22</v>
      </c>
      <c r="L71" s="64">
        <v>25.94</v>
      </c>
      <c r="M71" s="64">
        <v>92.53</v>
      </c>
      <c r="N71" s="64">
        <v>57.3</v>
      </c>
      <c r="O71" s="64">
        <v>0</v>
      </c>
      <c r="P71" s="64">
        <v>0.45</v>
      </c>
      <c r="Q71" s="64">
        <v>21.49</v>
      </c>
      <c r="R71" s="198"/>
      <c r="S71" s="198"/>
      <c r="T71" s="198"/>
      <c r="U71" s="198"/>
    </row>
    <row r="72" spans="1:21" s="12" customFormat="1" x14ac:dyDescent="0.25">
      <c r="A72" s="214" t="s">
        <v>1464</v>
      </c>
      <c r="B72" s="64">
        <v>5.98</v>
      </c>
      <c r="C72" s="64">
        <v>13.18</v>
      </c>
      <c r="D72" s="64">
        <v>19.16</v>
      </c>
      <c r="E72" s="64">
        <v>0.21</v>
      </c>
      <c r="F72" s="64">
        <v>2.58</v>
      </c>
      <c r="G72" s="64">
        <v>53.8</v>
      </c>
      <c r="H72" s="64">
        <v>19.3</v>
      </c>
      <c r="I72" s="64">
        <v>0.12</v>
      </c>
      <c r="J72" s="64">
        <v>0.11</v>
      </c>
      <c r="K72" s="64">
        <v>8.3699999999999992</v>
      </c>
      <c r="L72" s="64">
        <v>25.8</v>
      </c>
      <c r="M72" s="64">
        <v>93.16</v>
      </c>
      <c r="N72" s="64">
        <v>26.2</v>
      </c>
      <c r="O72" s="64">
        <v>0</v>
      </c>
      <c r="P72" s="64">
        <v>0.46</v>
      </c>
      <c r="Q72" s="64">
        <v>17.45</v>
      </c>
      <c r="R72" s="198"/>
      <c r="S72" s="198"/>
      <c r="T72" s="198"/>
      <c r="U72" s="198"/>
    </row>
    <row r="73" spans="1:21" s="12" customFormat="1" x14ac:dyDescent="0.25">
      <c r="A73" s="214" t="s">
        <v>1465</v>
      </c>
      <c r="B73" s="64">
        <v>5.83</v>
      </c>
      <c r="C73" s="64">
        <v>15.29</v>
      </c>
      <c r="D73" s="64">
        <v>21.13</v>
      </c>
      <c r="E73" s="64">
        <v>0.7</v>
      </c>
      <c r="F73" s="64">
        <v>3.74</v>
      </c>
      <c r="G73" s="64">
        <v>53.8</v>
      </c>
      <c r="H73" s="64">
        <v>19.3</v>
      </c>
      <c r="I73" s="64">
        <v>0.11</v>
      </c>
      <c r="J73" s="64">
        <v>0.25</v>
      </c>
      <c r="K73" s="64">
        <v>171.56</v>
      </c>
      <c r="L73" s="64">
        <v>25.57</v>
      </c>
      <c r="M73" s="64">
        <v>93.93</v>
      </c>
      <c r="N73" s="64">
        <v>23.9</v>
      </c>
      <c r="O73" s="64">
        <v>0</v>
      </c>
      <c r="P73" s="64">
        <v>0.45</v>
      </c>
      <c r="Q73" s="64">
        <v>15.04</v>
      </c>
      <c r="R73" s="198"/>
      <c r="S73" s="198"/>
      <c r="T73" s="198"/>
      <c r="U73" s="198"/>
    </row>
    <row r="74" spans="1:21" s="12" customFormat="1" x14ac:dyDescent="0.25">
      <c r="A74" s="214" t="s">
        <v>1466</v>
      </c>
      <c r="B74" s="64">
        <v>5.04</v>
      </c>
      <c r="C74" s="64">
        <v>14.18</v>
      </c>
      <c r="D74" s="64">
        <v>19.21</v>
      </c>
      <c r="E74" s="64">
        <v>0.21</v>
      </c>
      <c r="F74" s="64">
        <v>1.54</v>
      </c>
      <c r="G74" s="64">
        <v>53.8</v>
      </c>
      <c r="H74" s="64">
        <v>19.3</v>
      </c>
      <c r="I74" s="64">
        <v>0.11</v>
      </c>
      <c r="J74" s="64">
        <v>1.45</v>
      </c>
      <c r="K74" s="64">
        <v>151.30000000000001</v>
      </c>
      <c r="L74" s="64">
        <v>24.4</v>
      </c>
      <c r="M74" s="64">
        <v>97.28</v>
      </c>
      <c r="N74" s="64">
        <v>15.9</v>
      </c>
      <c r="O74" s="64">
        <v>0</v>
      </c>
      <c r="P74" s="64">
        <v>0.45</v>
      </c>
      <c r="Q74" s="64">
        <v>15.82</v>
      </c>
      <c r="R74" s="198"/>
      <c r="S74" s="198"/>
      <c r="T74" s="198"/>
      <c r="U74" s="198"/>
    </row>
    <row r="75" spans="1:21" s="12" customFormat="1" x14ac:dyDescent="0.25">
      <c r="A75" s="214" t="s">
        <v>1467</v>
      </c>
      <c r="B75" s="64">
        <v>5.25</v>
      </c>
      <c r="C75" s="64">
        <v>13.42</v>
      </c>
      <c r="D75" s="64">
        <v>18.66</v>
      </c>
      <c r="E75" s="64">
        <v>0.67</v>
      </c>
      <c r="F75" s="64">
        <v>0.97</v>
      </c>
      <c r="G75" s="64">
        <v>48.5</v>
      </c>
      <c r="H75" s="64">
        <v>17.12</v>
      </c>
      <c r="I75" s="64">
        <v>0.11</v>
      </c>
      <c r="J75" s="64">
        <v>1.24</v>
      </c>
      <c r="K75" s="64">
        <v>153.83000000000001</v>
      </c>
      <c r="L75" s="64">
        <v>23.98</v>
      </c>
      <c r="M75" s="64">
        <v>98.68</v>
      </c>
      <c r="N75" s="64">
        <v>13.3</v>
      </c>
      <c r="O75" s="64">
        <v>0.6</v>
      </c>
      <c r="P75" s="64">
        <v>0.43</v>
      </c>
      <c r="Q75" s="64">
        <v>17.14</v>
      </c>
      <c r="R75" s="198"/>
      <c r="S75" s="198"/>
      <c r="T75" s="198"/>
      <c r="U75" s="198"/>
    </row>
    <row r="76" spans="1:21" s="12" customFormat="1" x14ac:dyDescent="0.25">
      <c r="A76" s="214" t="s">
        <v>1468</v>
      </c>
      <c r="B76" s="64">
        <v>5.39</v>
      </c>
      <c r="C76" s="64">
        <v>12.26</v>
      </c>
      <c r="D76" s="64">
        <v>17.66</v>
      </c>
      <c r="E76" s="64">
        <v>0.66</v>
      </c>
      <c r="F76" s="64">
        <v>1.5</v>
      </c>
      <c r="G76" s="64">
        <v>35.46</v>
      </c>
      <c r="H76" s="64">
        <v>13.54</v>
      </c>
      <c r="I76" s="64">
        <v>0.11</v>
      </c>
      <c r="J76" s="64">
        <v>1.2</v>
      </c>
      <c r="K76" s="64">
        <v>152.05000000000001</v>
      </c>
      <c r="L76" s="64">
        <v>23.49</v>
      </c>
      <c r="M76" s="64">
        <v>98.7</v>
      </c>
      <c r="N76" s="64">
        <v>11.1</v>
      </c>
      <c r="O76" s="64">
        <v>1.2</v>
      </c>
      <c r="P76" s="64">
        <v>0.41</v>
      </c>
      <c r="Q76" s="64">
        <v>15.2</v>
      </c>
      <c r="R76" s="198"/>
      <c r="S76" s="198"/>
      <c r="T76" s="198"/>
      <c r="U76" s="198"/>
    </row>
    <row r="77" spans="1:21" s="12" customFormat="1" x14ac:dyDescent="0.25">
      <c r="A77" s="214" t="s">
        <v>1469</v>
      </c>
      <c r="B77" s="64">
        <v>5.56</v>
      </c>
      <c r="C77" s="64">
        <v>13.73</v>
      </c>
      <c r="D77" s="64">
        <v>19.29</v>
      </c>
      <c r="E77" s="64">
        <v>0.44</v>
      </c>
      <c r="F77" s="64">
        <v>1.77</v>
      </c>
      <c r="G77" s="64">
        <v>35.46</v>
      </c>
      <c r="H77" s="64">
        <v>13.54</v>
      </c>
      <c r="I77" s="64">
        <v>0.12</v>
      </c>
      <c r="J77" s="64">
        <v>2.66</v>
      </c>
      <c r="K77" s="64">
        <v>151.52000000000001</v>
      </c>
      <c r="L77" s="64">
        <v>22.47</v>
      </c>
      <c r="M77" s="64">
        <v>98.74</v>
      </c>
      <c r="N77" s="64">
        <v>11.3</v>
      </c>
      <c r="O77" s="64">
        <v>6</v>
      </c>
      <c r="P77" s="64">
        <v>0.39</v>
      </c>
      <c r="Q77" s="64">
        <v>16.05</v>
      </c>
      <c r="R77" s="198"/>
      <c r="S77" s="198"/>
      <c r="T77" s="198"/>
      <c r="U77" s="198"/>
    </row>
    <row r="78" spans="1:21" s="12" customFormat="1" x14ac:dyDescent="0.25">
      <c r="A78" s="214" t="s">
        <v>1470</v>
      </c>
      <c r="B78" s="64">
        <v>5.57</v>
      </c>
      <c r="C78" s="64">
        <v>13.91</v>
      </c>
      <c r="D78" s="64">
        <v>19.48</v>
      </c>
      <c r="E78" s="64">
        <v>3.08</v>
      </c>
      <c r="F78" s="64">
        <v>1.74</v>
      </c>
      <c r="G78" s="64">
        <v>35.46</v>
      </c>
      <c r="H78" s="64">
        <v>13.54</v>
      </c>
      <c r="I78" s="64">
        <v>0.11</v>
      </c>
      <c r="J78" s="64">
        <v>2.34</v>
      </c>
      <c r="K78" s="64">
        <v>149.84</v>
      </c>
      <c r="L78" s="64">
        <v>21.83</v>
      </c>
      <c r="M78" s="64">
        <v>98.75</v>
      </c>
      <c r="N78" s="64">
        <v>9.4</v>
      </c>
      <c r="O78" s="64">
        <v>9.6</v>
      </c>
      <c r="P78" s="64">
        <v>0.36</v>
      </c>
      <c r="Q78" s="64">
        <v>17.100000000000001</v>
      </c>
      <c r="R78" s="198"/>
      <c r="S78" s="198"/>
      <c r="T78" s="198"/>
      <c r="U78" s="198"/>
    </row>
    <row r="79" spans="1:21" s="12" customFormat="1" x14ac:dyDescent="0.25">
      <c r="A79" s="214" t="s">
        <v>1471</v>
      </c>
      <c r="B79" s="64">
        <v>4.82</v>
      </c>
      <c r="C79" s="64">
        <v>15.32</v>
      </c>
      <c r="D79" s="64">
        <v>20.14</v>
      </c>
      <c r="E79" s="64">
        <v>4.22</v>
      </c>
      <c r="F79" s="64">
        <v>5.39</v>
      </c>
      <c r="G79" s="64">
        <v>31.36</v>
      </c>
      <c r="H79" s="64">
        <v>12.68</v>
      </c>
      <c r="I79" s="64">
        <v>0.11</v>
      </c>
      <c r="J79" s="64">
        <v>0.38</v>
      </c>
      <c r="K79" s="64">
        <v>161.18</v>
      </c>
      <c r="L79" s="64">
        <v>21.76</v>
      </c>
      <c r="M79" s="64">
        <v>98.75</v>
      </c>
      <c r="N79" s="64">
        <v>9.5</v>
      </c>
      <c r="O79" s="64">
        <v>10.199999999999999</v>
      </c>
      <c r="P79" s="64">
        <v>0.3</v>
      </c>
      <c r="Q79" s="64">
        <v>17.62</v>
      </c>
      <c r="R79" s="198"/>
      <c r="S79" s="198"/>
      <c r="T79" s="198"/>
      <c r="U79" s="198"/>
    </row>
    <row r="80" spans="1:21" s="12" customFormat="1" x14ac:dyDescent="0.25">
      <c r="A80" s="214" t="s">
        <v>1472</v>
      </c>
      <c r="B80" s="64">
        <v>5.1100000000000003</v>
      </c>
      <c r="C80" s="64">
        <v>17.170000000000002</v>
      </c>
      <c r="D80" s="64">
        <v>22.28</v>
      </c>
      <c r="E80" s="64">
        <v>4.1500000000000004</v>
      </c>
      <c r="F80" s="64">
        <v>3.05</v>
      </c>
      <c r="G80" s="64">
        <v>21.28</v>
      </c>
      <c r="H80" s="64">
        <v>9.48</v>
      </c>
      <c r="I80" s="64">
        <v>0.11</v>
      </c>
      <c r="J80" s="64">
        <v>0.42</v>
      </c>
      <c r="K80" s="64">
        <v>115.94</v>
      </c>
      <c r="L80" s="64">
        <v>22.07</v>
      </c>
      <c r="M80" s="64">
        <v>98.75</v>
      </c>
      <c r="N80" s="64">
        <v>9.1</v>
      </c>
      <c r="O80" s="64">
        <v>4.4000000000000004</v>
      </c>
      <c r="P80" s="64">
        <v>0.27</v>
      </c>
      <c r="Q80" s="64">
        <v>16.170000000000002</v>
      </c>
      <c r="R80" s="198"/>
      <c r="S80" s="198"/>
      <c r="T80" s="198"/>
      <c r="U80" s="198"/>
    </row>
    <row r="81" spans="1:26" s="12" customFormat="1" x14ac:dyDescent="0.25">
      <c r="A81" s="214" t="s">
        <v>1473</v>
      </c>
      <c r="B81" s="64">
        <v>8.36</v>
      </c>
      <c r="C81" s="64">
        <v>13.29</v>
      </c>
      <c r="D81" s="64">
        <v>21.66</v>
      </c>
      <c r="E81" s="64">
        <v>4.3499999999999996</v>
      </c>
      <c r="F81" s="64">
        <v>1.79</v>
      </c>
      <c r="G81" s="64">
        <v>21.28</v>
      </c>
      <c r="H81" s="64">
        <v>9.48</v>
      </c>
      <c r="I81" s="64">
        <v>0.11</v>
      </c>
      <c r="J81" s="64">
        <v>0.3</v>
      </c>
      <c r="K81" s="64">
        <v>332.82</v>
      </c>
      <c r="L81" s="64">
        <v>22.27</v>
      </c>
      <c r="M81" s="64">
        <v>98.75</v>
      </c>
      <c r="N81" s="64">
        <v>9.1</v>
      </c>
      <c r="O81" s="64">
        <v>2</v>
      </c>
      <c r="P81" s="64">
        <v>0.32</v>
      </c>
      <c r="Q81" s="64">
        <v>14.59</v>
      </c>
      <c r="R81" s="198"/>
      <c r="S81" s="198"/>
      <c r="T81" s="198"/>
      <c r="U81" s="198"/>
    </row>
    <row r="82" spans="1:26" s="12" customFormat="1" x14ac:dyDescent="0.25">
      <c r="A82" s="214" t="s">
        <v>1474</v>
      </c>
      <c r="B82" s="64">
        <v>7.44</v>
      </c>
      <c r="C82" s="64">
        <v>17.04</v>
      </c>
      <c r="D82" s="64">
        <v>24.48</v>
      </c>
      <c r="E82" s="64">
        <v>3.64</v>
      </c>
      <c r="F82" s="64">
        <v>1.76</v>
      </c>
      <c r="G82" s="64">
        <v>21.28</v>
      </c>
      <c r="H82" s="64">
        <v>9.48</v>
      </c>
      <c r="I82" s="64">
        <v>0.11</v>
      </c>
      <c r="J82" s="64">
        <v>0.04</v>
      </c>
      <c r="K82" s="64">
        <v>6.27</v>
      </c>
      <c r="L82" s="64">
        <v>22.22</v>
      </c>
      <c r="M82" s="64">
        <v>98.75</v>
      </c>
      <c r="N82" s="64">
        <v>9.6999999999999993</v>
      </c>
      <c r="O82" s="64">
        <v>2.6</v>
      </c>
      <c r="P82" s="64">
        <v>0.36</v>
      </c>
      <c r="Q82" s="64">
        <v>16.29</v>
      </c>
      <c r="R82" s="198"/>
      <c r="S82" s="198"/>
      <c r="T82" s="198"/>
      <c r="U82" s="198"/>
    </row>
    <row r="83" spans="1:26" s="12" customFormat="1" x14ac:dyDescent="0.25">
      <c r="A83" s="214" t="s">
        <v>1475</v>
      </c>
      <c r="B83" s="64">
        <v>7.17</v>
      </c>
      <c r="C83" s="64">
        <v>15.08</v>
      </c>
      <c r="D83" s="64">
        <v>22.25</v>
      </c>
      <c r="E83" s="64">
        <v>3.16</v>
      </c>
      <c r="F83" s="64">
        <v>1.51</v>
      </c>
      <c r="G83" s="64">
        <v>21.6</v>
      </c>
      <c r="H83" s="64">
        <v>9.7799999999999994</v>
      </c>
      <c r="I83" s="64">
        <v>0.11</v>
      </c>
      <c r="J83" s="64">
        <v>0.38</v>
      </c>
      <c r="K83" s="64">
        <v>145.22</v>
      </c>
      <c r="L83" s="64">
        <v>22.03</v>
      </c>
      <c r="M83" s="64">
        <v>98.75</v>
      </c>
      <c r="N83" s="64">
        <v>10.199999999999999</v>
      </c>
      <c r="O83" s="64">
        <v>1</v>
      </c>
      <c r="P83" s="64">
        <v>0.37</v>
      </c>
      <c r="Q83" s="64">
        <v>15.23</v>
      </c>
      <c r="R83" s="198"/>
      <c r="S83" s="198"/>
      <c r="T83" s="198"/>
      <c r="U83" s="198"/>
    </row>
    <row r="84" spans="1:26" s="12" customFormat="1" x14ac:dyDescent="0.25">
      <c r="A84" s="214" t="s">
        <v>1476</v>
      </c>
      <c r="B84" s="64">
        <v>6.6</v>
      </c>
      <c r="C84" s="64">
        <v>13.42</v>
      </c>
      <c r="D84" s="64">
        <v>20.010000000000002</v>
      </c>
      <c r="E84" s="64">
        <v>4.05</v>
      </c>
      <c r="F84" s="64">
        <v>1.28</v>
      </c>
      <c r="G84" s="64">
        <v>22.4</v>
      </c>
      <c r="H84" s="64">
        <v>10.25</v>
      </c>
      <c r="I84" s="64">
        <v>0.11</v>
      </c>
      <c r="J84" s="64">
        <v>0.86</v>
      </c>
      <c r="K84" s="64">
        <v>343.3</v>
      </c>
      <c r="L84" s="64">
        <v>21.46</v>
      </c>
      <c r="M84" s="64">
        <v>98.75</v>
      </c>
      <c r="N84" s="64">
        <v>10.6</v>
      </c>
      <c r="O84" s="64">
        <v>0</v>
      </c>
      <c r="P84" s="64">
        <v>0.38</v>
      </c>
      <c r="Q84" s="64">
        <v>15.72</v>
      </c>
      <c r="R84" s="198"/>
      <c r="S84" s="198"/>
      <c r="T84" s="198"/>
      <c r="U84" s="198"/>
    </row>
    <row r="85" spans="1:26" s="12" customFormat="1" x14ac:dyDescent="0.25">
      <c r="A85" s="214" t="s">
        <v>1477</v>
      </c>
      <c r="B85" s="64">
        <v>6.42</v>
      </c>
      <c r="C85" s="64">
        <v>13.58</v>
      </c>
      <c r="D85" s="64">
        <v>20</v>
      </c>
      <c r="E85" s="64">
        <v>4.3600000000000003</v>
      </c>
      <c r="F85" s="64">
        <v>0.55000000000000004</v>
      </c>
      <c r="G85" s="64">
        <v>22.4</v>
      </c>
      <c r="H85" s="64">
        <v>10.25</v>
      </c>
      <c r="I85" s="64">
        <v>0.11</v>
      </c>
      <c r="J85" s="64">
        <v>1.75</v>
      </c>
      <c r="K85" s="64">
        <v>338.03</v>
      </c>
      <c r="L85" s="64">
        <v>21.04</v>
      </c>
      <c r="M85" s="64">
        <v>98.75</v>
      </c>
      <c r="N85" s="64">
        <v>10.4</v>
      </c>
      <c r="O85" s="64">
        <v>0</v>
      </c>
      <c r="P85" s="64">
        <v>0.32</v>
      </c>
      <c r="Q85" s="64">
        <v>15.61</v>
      </c>
      <c r="R85" s="198"/>
      <c r="S85" s="198"/>
      <c r="T85" s="198"/>
      <c r="U85" s="198"/>
    </row>
    <row r="86" spans="1:26" s="12" customFormat="1" x14ac:dyDescent="0.25">
      <c r="A86" s="214" t="s">
        <v>1478</v>
      </c>
      <c r="B86" s="64">
        <v>6.64</v>
      </c>
      <c r="C86" s="64">
        <v>13.64</v>
      </c>
      <c r="D86" s="64">
        <v>20.28</v>
      </c>
      <c r="E86" s="64">
        <v>3.63</v>
      </c>
      <c r="F86" s="64">
        <v>1.03</v>
      </c>
      <c r="G86" s="64">
        <v>22.4</v>
      </c>
      <c r="H86" s="64">
        <v>10.25</v>
      </c>
      <c r="I86" s="64">
        <v>0.11</v>
      </c>
      <c r="J86" s="64">
        <v>2.04</v>
      </c>
      <c r="K86" s="64">
        <v>342.77</v>
      </c>
      <c r="L86" s="64">
        <v>21.05</v>
      </c>
      <c r="M86" s="64">
        <v>98.75</v>
      </c>
      <c r="N86" s="64">
        <v>10</v>
      </c>
      <c r="O86" s="64">
        <v>0</v>
      </c>
      <c r="P86" s="64">
        <v>0.41</v>
      </c>
      <c r="Q86" s="64">
        <v>14.9</v>
      </c>
      <c r="R86" s="198"/>
      <c r="S86" s="198"/>
      <c r="T86" s="198"/>
      <c r="U86" s="198"/>
    </row>
    <row r="87" spans="1:26" s="12" customFormat="1" x14ac:dyDescent="0.25">
      <c r="A87" s="214" t="s">
        <v>1479</v>
      </c>
      <c r="B87" s="64">
        <v>7.38</v>
      </c>
      <c r="C87" s="64">
        <v>14.84</v>
      </c>
      <c r="D87" s="64">
        <v>22.22</v>
      </c>
      <c r="E87" s="64">
        <v>4.09</v>
      </c>
      <c r="F87" s="64">
        <v>0.45</v>
      </c>
      <c r="G87" s="64">
        <v>26.22</v>
      </c>
      <c r="H87" s="64">
        <v>9.6199999999999992</v>
      </c>
      <c r="I87" s="64">
        <v>0.11</v>
      </c>
      <c r="J87" s="64">
        <v>2.2200000000000002</v>
      </c>
      <c r="K87" s="64">
        <v>343.29</v>
      </c>
      <c r="L87" s="64">
        <v>20.96</v>
      </c>
      <c r="M87" s="64">
        <v>98.75</v>
      </c>
      <c r="N87" s="64">
        <v>10.8</v>
      </c>
      <c r="O87" s="64">
        <v>0.4</v>
      </c>
      <c r="P87" s="64">
        <v>0.47</v>
      </c>
      <c r="Q87" s="64">
        <v>16.32</v>
      </c>
      <c r="R87" s="198"/>
      <c r="S87" s="198"/>
      <c r="T87" s="198"/>
      <c r="U87" s="198"/>
    </row>
    <row r="88" spans="1:26" s="12" customFormat="1" x14ac:dyDescent="0.25">
      <c r="A88" s="214" t="s">
        <v>1480</v>
      </c>
      <c r="B88" s="64">
        <v>7.43</v>
      </c>
      <c r="C88" s="64">
        <v>14.87</v>
      </c>
      <c r="D88" s="64">
        <v>22.3</v>
      </c>
      <c r="E88" s="64">
        <v>4.49</v>
      </c>
      <c r="F88" s="64">
        <v>1</v>
      </c>
      <c r="G88" s="64">
        <v>35.619999999999997</v>
      </c>
      <c r="H88" s="64">
        <v>8.57</v>
      </c>
      <c r="I88" s="64">
        <v>0.11</v>
      </c>
      <c r="J88" s="64">
        <v>1.86</v>
      </c>
      <c r="K88" s="64">
        <v>343.16</v>
      </c>
      <c r="L88" s="64">
        <v>20.64</v>
      </c>
      <c r="M88" s="64">
        <v>98.76</v>
      </c>
      <c r="N88" s="64">
        <v>9.6999999999999993</v>
      </c>
      <c r="O88" s="64">
        <v>0</v>
      </c>
      <c r="P88" s="64">
        <v>0.49</v>
      </c>
      <c r="Q88" s="64">
        <v>15.89</v>
      </c>
      <c r="R88" s="198"/>
      <c r="S88" s="198"/>
      <c r="T88" s="198"/>
      <c r="U88" s="198"/>
    </row>
    <row r="89" spans="1:26" s="12" customFormat="1" x14ac:dyDescent="0.25">
      <c r="A89" s="214" t="s">
        <v>1481</v>
      </c>
      <c r="B89" s="64">
        <v>7.57</v>
      </c>
      <c r="C89" s="64">
        <v>15.63</v>
      </c>
      <c r="D89" s="64">
        <v>23.2</v>
      </c>
      <c r="E89" s="64">
        <v>5.08</v>
      </c>
      <c r="F89" s="64">
        <v>0.65</v>
      </c>
      <c r="G89" s="64">
        <v>35.619999999999997</v>
      </c>
      <c r="H89" s="64">
        <v>8.57</v>
      </c>
      <c r="I89" s="64">
        <v>0.12</v>
      </c>
      <c r="J89" s="64">
        <v>1.52</v>
      </c>
      <c r="K89" s="64">
        <v>342.3</v>
      </c>
      <c r="L89" s="64">
        <v>20.77</v>
      </c>
      <c r="M89" s="64">
        <v>98.77</v>
      </c>
      <c r="N89" s="64">
        <v>9.8000000000000007</v>
      </c>
      <c r="O89" s="64">
        <v>0.8</v>
      </c>
      <c r="P89" s="64">
        <v>0.51</v>
      </c>
      <c r="Q89" s="64">
        <v>15.88</v>
      </c>
      <c r="R89" s="198"/>
      <c r="S89" s="198"/>
      <c r="T89" s="198"/>
      <c r="U89" s="198"/>
    </row>
    <row r="90" spans="1:26" s="12" customFormat="1" x14ac:dyDescent="0.25">
      <c r="A90" s="214" t="s">
        <v>1482</v>
      </c>
      <c r="B90" s="64">
        <v>7.8</v>
      </c>
      <c r="C90" s="64">
        <v>15.37</v>
      </c>
      <c r="D90" s="64">
        <v>23.17</v>
      </c>
      <c r="E90" s="64">
        <v>5.2</v>
      </c>
      <c r="F90" s="64">
        <v>0.86</v>
      </c>
      <c r="G90" s="64">
        <v>35.619999999999997</v>
      </c>
      <c r="H90" s="64">
        <v>8.57</v>
      </c>
      <c r="I90" s="64">
        <v>0.12</v>
      </c>
      <c r="J90" s="64">
        <v>0.92</v>
      </c>
      <c r="K90" s="64">
        <v>326.2</v>
      </c>
      <c r="L90" s="64">
        <v>20.61</v>
      </c>
      <c r="M90" s="64">
        <v>98.78</v>
      </c>
      <c r="N90" s="64">
        <v>9.6999999999999993</v>
      </c>
      <c r="O90" s="64">
        <v>0.8</v>
      </c>
      <c r="P90" s="64">
        <v>0.52</v>
      </c>
      <c r="Q90" s="64">
        <v>14.86</v>
      </c>
      <c r="R90" s="198"/>
      <c r="S90" s="198"/>
      <c r="T90" s="198"/>
      <c r="U90" s="198"/>
    </row>
    <row r="91" spans="1:26" s="12" customFormat="1" x14ac:dyDescent="0.25">
      <c r="A91" s="214" t="s">
        <v>1483</v>
      </c>
      <c r="B91" s="64">
        <v>8.0299999999999994</v>
      </c>
      <c r="C91" s="64">
        <v>14.93</v>
      </c>
      <c r="D91" s="64">
        <v>22.96</v>
      </c>
      <c r="E91" s="64">
        <v>5.31</v>
      </c>
      <c r="F91" s="64">
        <v>0.81</v>
      </c>
      <c r="G91" s="64">
        <v>35.42</v>
      </c>
      <c r="H91" s="64">
        <v>8.35</v>
      </c>
      <c r="I91" s="64">
        <v>0.12</v>
      </c>
      <c r="J91" s="64">
        <v>0.65</v>
      </c>
      <c r="K91" s="64">
        <v>322.42</v>
      </c>
      <c r="L91" s="64">
        <v>20.49</v>
      </c>
      <c r="M91" s="64">
        <v>98.78</v>
      </c>
      <c r="N91" s="64">
        <v>9.1999999999999993</v>
      </c>
      <c r="O91" s="64">
        <v>0.8</v>
      </c>
      <c r="P91" s="64">
        <v>0.52</v>
      </c>
      <c r="Q91" s="64">
        <v>14.23</v>
      </c>
      <c r="R91" s="198"/>
      <c r="S91" s="198"/>
      <c r="T91" s="198"/>
      <c r="U91" s="198"/>
    </row>
    <row r="92" spans="1:26" s="12" customFormat="1" x14ac:dyDescent="0.25">
      <c r="A92" s="214" t="s">
        <v>1484</v>
      </c>
      <c r="B92" s="64">
        <v>8.23</v>
      </c>
      <c r="C92" s="64">
        <v>14.68</v>
      </c>
      <c r="D92" s="64">
        <v>22.9</v>
      </c>
      <c r="E92" s="64">
        <v>5.36</v>
      </c>
      <c r="F92" s="64">
        <v>0.52</v>
      </c>
      <c r="G92" s="64">
        <v>34.92</v>
      </c>
      <c r="H92" s="64">
        <v>7.97</v>
      </c>
      <c r="I92" s="64">
        <v>0.12</v>
      </c>
      <c r="J92" s="64">
        <v>0.24</v>
      </c>
      <c r="K92" s="64">
        <v>340.67</v>
      </c>
      <c r="L92" s="64">
        <v>20.56</v>
      </c>
      <c r="M92" s="64">
        <v>98.78</v>
      </c>
      <c r="N92" s="64">
        <v>9</v>
      </c>
      <c r="O92" s="64">
        <v>1</v>
      </c>
      <c r="P92" s="64">
        <v>0.51</v>
      </c>
      <c r="Q92" s="64">
        <v>14.63</v>
      </c>
      <c r="R92" s="198"/>
      <c r="S92" s="198"/>
      <c r="T92" s="198"/>
      <c r="U92" s="198"/>
    </row>
    <row r="93" spans="1:26" s="12" customFormat="1" x14ac:dyDescent="0.25">
      <c r="A93" s="214" t="s">
        <v>1485</v>
      </c>
      <c r="B93" s="64">
        <v>8.41</v>
      </c>
      <c r="C93" s="64">
        <v>14</v>
      </c>
      <c r="D93" s="64">
        <v>22.4</v>
      </c>
      <c r="E93" s="64">
        <v>5.43</v>
      </c>
      <c r="F93" s="64">
        <v>1.06</v>
      </c>
      <c r="G93" s="64">
        <v>34.92</v>
      </c>
      <c r="H93" s="64">
        <v>7.97</v>
      </c>
      <c r="I93" s="64">
        <v>0.12</v>
      </c>
      <c r="J93" s="64">
        <v>0.27</v>
      </c>
      <c r="K93" s="64">
        <v>21.88</v>
      </c>
      <c r="L93" s="64">
        <v>20.49</v>
      </c>
      <c r="M93" s="64">
        <v>98.77</v>
      </c>
      <c r="N93" s="64">
        <v>9.3000000000000007</v>
      </c>
      <c r="O93" s="64">
        <v>1</v>
      </c>
      <c r="P93" s="64">
        <v>0.53</v>
      </c>
      <c r="Q93" s="64">
        <v>14.6</v>
      </c>
      <c r="R93" s="198"/>
      <c r="S93" s="198"/>
      <c r="T93" s="198"/>
      <c r="U93" s="198"/>
    </row>
    <row r="94" spans="1:26" s="12" customFormat="1" x14ac:dyDescent="0.25">
      <c r="A94" s="214" t="s">
        <v>1486</v>
      </c>
      <c r="B94" s="64">
        <v>8.3699999999999992</v>
      </c>
      <c r="C94" s="64">
        <v>14.46</v>
      </c>
      <c r="D94" s="64">
        <v>22.83</v>
      </c>
      <c r="E94" s="64">
        <v>5.12</v>
      </c>
      <c r="F94" s="64">
        <v>0.24</v>
      </c>
      <c r="G94" s="64">
        <v>34.92</v>
      </c>
      <c r="H94" s="64">
        <v>7.97</v>
      </c>
      <c r="I94" s="64">
        <v>0.12</v>
      </c>
      <c r="J94" s="64">
        <v>0.21</v>
      </c>
      <c r="K94" s="64">
        <v>354.56</v>
      </c>
      <c r="L94" s="64">
        <v>20.53</v>
      </c>
      <c r="M94" s="64">
        <v>98.77</v>
      </c>
      <c r="N94" s="64">
        <v>9.1</v>
      </c>
      <c r="O94" s="64">
        <v>1</v>
      </c>
      <c r="P94" s="64">
        <v>0.52</v>
      </c>
      <c r="Q94" s="64">
        <v>16.91</v>
      </c>
      <c r="R94" s="198"/>
      <c r="S94" s="198"/>
      <c r="T94" s="198"/>
      <c r="U94" s="198"/>
    </row>
    <row r="95" spans="1:26" s="12" customFormat="1" x14ac:dyDescent="0.25">
      <c r="A95" s="214" t="s">
        <v>1487</v>
      </c>
      <c r="B95" s="64">
        <v>8.3699999999999992</v>
      </c>
      <c r="C95" s="64">
        <v>13.54</v>
      </c>
      <c r="D95" s="64">
        <v>21.9</v>
      </c>
      <c r="E95" s="64">
        <v>5.32</v>
      </c>
      <c r="F95" s="64">
        <v>0.87</v>
      </c>
      <c r="G95" s="64">
        <v>31.43</v>
      </c>
      <c r="H95" s="64">
        <v>8.2100000000000009</v>
      </c>
      <c r="I95" s="64">
        <v>0.12</v>
      </c>
      <c r="J95" s="64">
        <v>0.23</v>
      </c>
      <c r="K95" s="64">
        <v>335.62</v>
      </c>
      <c r="L95" s="64">
        <v>20.61</v>
      </c>
      <c r="M95" s="64">
        <v>98.78</v>
      </c>
      <c r="N95" s="64">
        <v>9.1999999999999993</v>
      </c>
      <c r="O95" s="64">
        <v>0.2</v>
      </c>
      <c r="P95" s="64">
        <v>0.52</v>
      </c>
      <c r="Q95" s="64">
        <v>16.079999999999998</v>
      </c>
      <c r="R95" s="198"/>
      <c r="S95" s="198"/>
      <c r="T95" s="198"/>
      <c r="U95" s="198"/>
    </row>
    <row r="96" spans="1:26" s="12" customFormat="1" x14ac:dyDescent="0.25">
      <c r="A96" s="214" t="s">
        <v>1488</v>
      </c>
      <c r="B96" s="64">
        <v>8.58</v>
      </c>
      <c r="C96" s="64">
        <v>13.21</v>
      </c>
      <c r="D96" s="64">
        <v>21.78</v>
      </c>
      <c r="E96" s="64">
        <v>5.36</v>
      </c>
      <c r="F96" s="64">
        <v>0.28000000000000003</v>
      </c>
      <c r="G96" s="64">
        <v>22.83</v>
      </c>
      <c r="H96" s="64">
        <v>8.6</v>
      </c>
      <c r="I96" s="64">
        <v>0.12</v>
      </c>
      <c r="J96" s="64">
        <v>0.17</v>
      </c>
      <c r="K96" s="64">
        <v>27</v>
      </c>
      <c r="L96" s="64">
        <v>20.69</v>
      </c>
      <c r="M96" s="64">
        <v>98.78</v>
      </c>
      <c r="N96" s="64">
        <v>9.1</v>
      </c>
      <c r="O96" s="64">
        <v>0</v>
      </c>
      <c r="P96" s="64">
        <v>0.53</v>
      </c>
      <c r="Q96" s="64">
        <v>17.27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1489</v>
      </c>
      <c r="B97" s="64">
        <v>8.89</v>
      </c>
      <c r="C97" s="64">
        <v>13.1</v>
      </c>
      <c r="D97" s="64">
        <v>21.99</v>
      </c>
      <c r="E97" s="64">
        <v>5.24</v>
      </c>
      <c r="F97" s="64">
        <v>0.49</v>
      </c>
      <c r="G97" s="64">
        <v>22.83</v>
      </c>
      <c r="H97" s="64">
        <v>8.6</v>
      </c>
      <c r="I97" s="64">
        <v>0.12</v>
      </c>
      <c r="J97" s="64">
        <v>0.27</v>
      </c>
      <c r="K97" s="64">
        <v>323.36</v>
      </c>
      <c r="L97" s="64">
        <v>20.8</v>
      </c>
      <c r="M97" s="64">
        <v>98.77</v>
      </c>
      <c r="N97" s="64">
        <v>9.1999999999999993</v>
      </c>
      <c r="O97" s="64">
        <v>0</v>
      </c>
      <c r="P97" s="64">
        <v>0.51</v>
      </c>
      <c r="Q97" s="64">
        <v>16.47</v>
      </c>
      <c r="R97" s="198"/>
      <c r="S97" s="198"/>
      <c r="T97" s="198"/>
      <c r="U97" s="198"/>
    </row>
    <row r="98" spans="1:33" s="12" customFormat="1" x14ac:dyDescent="0.25">
      <c r="A98" s="214" t="s">
        <v>1490</v>
      </c>
      <c r="B98" s="64">
        <v>9.02</v>
      </c>
      <c r="C98" s="64">
        <v>12.58</v>
      </c>
      <c r="D98" s="64">
        <v>21.6</v>
      </c>
      <c r="E98" s="64">
        <v>5.22</v>
      </c>
      <c r="F98" s="64">
        <v>0.67</v>
      </c>
      <c r="G98" s="64">
        <v>22.83</v>
      </c>
      <c r="H98" s="64">
        <v>8.6</v>
      </c>
      <c r="I98" s="64">
        <v>0.12</v>
      </c>
      <c r="J98" s="64">
        <v>0.24</v>
      </c>
      <c r="K98" s="64">
        <v>345.26</v>
      </c>
      <c r="L98" s="64">
        <v>20.79</v>
      </c>
      <c r="M98" s="64">
        <v>98.78</v>
      </c>
      <c r="N98" s="64">
        <v>9.6</v>
      </c>
      <c r="O98" s="64">
        <v>0</v>
      </c>
      <c r="P98" s="64">
        <v>0.53</v>
      </c>
      <c r="Q98" s="64">
        <v>17.72</v>
      </c>
      <c r="R98" s="198"/>
      <c r="S98" s="198"/>
      <c r="T98" s="198"/>
      <c r="U98" s="198"/>
    </row>
    <row r="99" spans="1:33" s="12" customFormat="1" x14ac:dyDescent="0.25">
      <c r="A99" s="214" t="s">
        <v>1491</v>
      </c>
      <c r="B99" s="217" t="s">
        <v>32</v>
      </c>
      <c r="C99" s="217" t="s">
        <v>32</v>
      </c>
      <c r="D99" s="217" t="s">
        <v>32</v>
      </c>
      <c r="E99" s="217" t="s">
        <v>32</v>
      </c>
      <c r="F99" s="217" t="s">
        <v>32</v>
      </c>
      <c r="G99" s="217" t="s">
        <v>32</v>
      </c>
      <c r="H99" s="217" t="s">
        <v>32</v>
      </c>
      <c r="I99" s="217" t="s">
        <v>32</v>
      </c>
      <c r="J99" s="217" t="s">
        <v>32</v>
      </c>
      <c r="K99" s="217" t="s">
        <v>32</v>
      </c>
      <c r="L99" s="217" t="s">
        <v>32</v>
      </c>
      <c r="M99" s="217" t="s">
        <v>32</v>
      </c>
      <c r="N99" s="217" t="s">
        <v>32</v>
      </c>
      <c r="O99" s="217" t="s">
        <v>32</v>
      </c>
      <c r="P99" s="217" t="s">
        <v>32</v>
      </c>
      <c r="Q99" s="217" t="s">
        <v>32</v>
      </c>
      <c r="R99" s="198"/>
      <c r="S99" s="198"/>
      <c r="T99" s="198"/>
      <c r="U99" s="198"/>
    </row>
    <row r="100" spans="1:33" s="12" customFormat="1" x14ac:dyDescent="0.25">
      <c r="A100" s="214" t="s">
        <v>1492</v>
      </c>
      <c r="B100" s="217" t="s">
        <v>32</v>
      </c>
      <c r="C100" s="217" t="s">
        <v>32</v>
      </c>
      <c r="D100" s="217" t="s">
        <v>32</v>
      </c>
      <c r="E100" s="217" t="s">
        <v>32</v>
      </c>
      <c r="F100" s="217" t="s">
        <v>32</v>
      </c>
      <c r="G100" s="217" t="s">
        <v>32</v>
      </c>
      <c r="H100" s="217" t="s">
        <v>32</v>
      </c>
      <c r="I100" s="217" t="s">
        <v>32</v>
      </c>
      <c r="J100" s="217" t="s">
        <v>32</v>
      </c>
      <c r="K100" s="217" t="s">
        <v>32</v>
      </c>
      <c r="L100" s="217" t="s">
        <v>32</v>
      </c>
      <c r="M100" s="217" t="s">
        <v>32</v>
      </c>
      <c r="N100" s="217" t="s">
        <v>32</v>
      </c>
      <c r="O100" s="217" t="s">
        <v>32</v>
      </c>
      <c r="P100" s="217" t="s">
        <v>32</v>
      </c>
      <c r="Q100" s="217" t="s">
        <v>32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1493</v>
      </c>
      <c r="B101" s="217" t="s">
        <v>32</v>
      </c>
      <c r="C101" s="217" t="s">
        <v>32</v>
      </c>
      <c r="D101" s="217" t="s">
        <v>32</v>
      </c>
      <c r="E101" s="217" t="s">
        <v>32</v>
      </c>
      <c r="F101" s="217" t="s">
        <v>32</v>
      </c>
      <c r="G101" s="217" t="s">
        <v>32</v>
      </c>
      <c r="H101" s="217" t="s">
        <v>32</v>
      </c>
      <c r="I101" s="217" t="s">
        <v>32</v>
      </c>
      <c r="J101" s="217" t="s">
        <v>32</v>
      </c>
      <c r="K101" s="217" t="s">
        <v>32</v>
      </c>
      <c r="L101" s="217" t="s">
        <v>32</v>
      </c>
      <c r="M101" s="217" t="s">
        <v>32</v>
      </c>
      <c r="N101" s="217" t="s">
        <v>32</v>
      </c>
      <c r="O101" s="217" t="s">
        <v>32</v>
      </c>
      <c r="P101" s="217" t="s">
        <v>32</v>
      </c>
      <c r="Q101" s="217" t="s">
        <v>32</v>
      </c>
      <c r="R101" s="198"/>
      <c r="S101" s="198"/>
      <c r="T101" s="198"/>
      <c r="U101" s="198"/>
    </row>
    <row r="102" spans="1:33" s="12" customFormat="1" x14ac:dyDescent="0.25">
      <c r="A102" s="214" t="s">
        <v>1494</v>
      </c>
      <c r="B102" s="217" t="s">
        <v>32</v>
      </c>
      <c r="C102" s="217" t="s">
        <v>32</v>
      </c>
      <c r="D102" s="217" t="s">
        <v>32</v>
      </c>
      <c r="E102" s="217" t="s">
        <v>32</v>
      </c>
      <c r="F102" s="217" t="s">
        <v>32</v>
      </c>
      <c r="G102" s="217" t="s">
        <v>32</v>
      </c>
      <c r="H102" s="217" t="s">
        <v>32</v>
      </c>
      <c r="I102" s="217" t="s">
        <v>32</v>
      </c>
      <c r="J102" s="217" t="s">
        <v>32</v>
      </c>
      <c r="K102" s="217" t="s">
        <v>32</v>
      </c>
      <c r="L102" s="217" t="s">
        <v>32</v>
      </c>
      <c r="M102" s="217" t="s">
        <v>32</v>
      </c>
      <c r="N102" s="217" t="s">
        <v>32</v>
      </c>
      <c r="O102" s="217" t="s">
        <v>32</v>
      </c>
      <c r="P102" s="217" t="s">
        <v>32</v>
      </c>
      <c r="Q102" s="217" t="s">
        <v>32</v>
      </c>
      <c r="R102" s="198"/>
      <c r="S102" s="198"/>
      <c r="T102" s="198"/>
      <c r="U102" s="198"/>
    </row>
    <row r="103" spans="1:33" s="12" customFormat="1" x14ac:dyDescent="0.25">
      <c r="A103" s="214" t="s">
        <v>1495</v>
      </c>
      <c r="B103" s="217" t="s">
        <v>32</v>
      </c>
      <c r="C103" s="217" t="s">
        <v>32</v>
      </c>
      <c r="D103" s="217" t="s">
        <v>32</v>
      </c>
      <c r="E103" s="217" t="s">
        <v>32</v>
      </c>
      <c r="F103" s="217" t="s">
        <v>32</v>
      </c>
      <c r="G103" s="217" t="s">
        <v>32</v>
      </c>
      <c r="H103" s="217" t="s">
        <v>32</v>
      </c>
      <c r="I103" s="217" t="s">
        <v>32</v>
      </c>
      <c r="J103" s="217" t="s">
        <v>32</v>
      </c>
      <c r="K103" s="217" t="s">
        <v>32</v>
      </c>
      <c r="L103" s="217" t="s">
        <v>32</v>
      </c>
      <c r="M103" s="217" t="s">
        <v>32</v>
      </c>
      <c r="N103" s="217" t="s">
        <v>32</v>
      </c>
      <c r="O103" s="217" t="s">
        <v>32</v>
      </c>
      <c r="P103" s="217" t="s">
        <v>32</v>
      </c>
      <c r="Q103" s="217" t="s">
        <v>32</v>
      </c>
      <c r="R103" s="198"/>
      <c r="S103" s="198"/>
      <c r="T103" s="198"/>
      <c r="U103" s="198"/>
    </row>
    <row r="104" spans="1:33" s="12" customFormat="1" x14ac:dyDescent="0.25">
      <c r="A104" s="214" t="s">
        <v>1496</v>
      </c>
      <c r="B104" s="217" t="s">
        <v>32</v>
      </c>
      <c r="C104" s="217" t="s">
        <v>32</v>
      </c>
      <c r="D104" s="217" t="s">
        <v>32</v>
      </c>
      <c r="E104" s="217" t="s">
        <v>32</v>
      </c>
      <c r="F104" s="217" t="s">
        <v>32</v>
      </c>
      <c r="G104" s="217" t="s">
        <v>32</v>
      </c>
      <c r="H104" s="217" t="s">
        <v>32</v>
      </c>
      <c r="I104" s="217" t="s">
        <v>32</v>
      </c>
      <c r="J104" s="217" t="s">
        <v>32</v>
      </c>
      <c r="K104" s="217" t="s">
        <v>32</v>
      </c>
      <c r="L104" s="217" t="s">
        <v>32</v>
      </c>
      <c r="M104" s="217" t="s">
        <v>32</v>
      </c>
      <c r="N104" s="217" t="s">
        <v>32</v>
      </c>
      <c r="O104" s="217" t="s">
        <v>32</v>
      </c>
      <c r="P104" s="217" t="s">
        <v>32</v>
      </c>
      <c r="Q104" s="217" t="s">
        <v>32</v>
      </c>
      <c r="R104" s="198"/>
      <c r="S104" s="198"/>
      <c r="T104" s="198"/>
      <c r="U104" s="198"/>
    </row>
    <row r="105" spans="1:33" x14ac:dyDescent="0.25">
      <c r="A105" s="218"/>
      <c r="B105" s="217" t="s">
        <v>32</v>
      </c>
      <c r="C105" s="217" t="s">
        <v>32</v>
      </c>
      <c r="D105" s="217" t="s">
        <v>32</v>
      </c>
      <c r="E105" s="217" t="s">
        <v>32</v>
      </c>
      <c r="F105" s="217" t="s">
        <v>32</v>
      </c>
      <c r="G105" s="217" t="s">
        <v>32</v>
      </c>
      <c r="H105" s="217" t="s">
        <v>32</v>
      </c>
      <c r="I105" s="217" t="s">
        <v>32</v>
      </c>
      <c r="J105" s="217" t="s">
        <v>32</v>
      </c>
      <c r="K105" s="217" t="s">
        <v>32</v>
      </c>
      <c r="L105" s="217" t="s">
        <v>32</v>
      </c>
      <c r="M105" s="217" t="s">
        <v>32</v>
      </c>
      <c r="N105" s="217" t="s">
        <v>32</v>
      </c>
      <c r="O105" s="217" t="s">
        <v>32</v>
      </c>
      <c r="P105" s="217" t="s">
        <v>32</v>
      </c>
      <c r="Q105" s="217" t="s">
        <v>32</v>
      </c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3.99</v>
      </c>
      <c r="C106" s="67">
        <f>MIN(C9:C104)</f>
        <v>7.65</v>
      </c>
      <c r="D106" s="67">
        <f t="shared" ref="D106:Q106" si="0">MIN(D9:D104)</f>
        <v>12.57</v>
      </c>
      <c r="E106" s="67">
        <f t="shared" si="0"/>
        <v>0.18</v>
      </c>
      <c r="F106" s="67">
        <f t="shared" si="0"/>
        <v>0.24</v>
      </c>
      <c r="G106" s="67">
        <f t="shared" si="0"/>
        <v>14.98</v>
      </c>
      <c r="H106" s="67">
        <f t="shared" si="0"/>
        <v>5.71</v>
      </c>
      <c r="I106" s="67">
        <f t="shared" si="0"/>
        <v>0.11</v>
      </c>
      <c r="J106" s="67">
        <f t="shared" si="0"/>
        <v>0.01</v>
      </c>
      <c r="K106" s="67">
        <f t="shared" si="0"/>
        <v>0.82</v>
      </c>
      <c r="L106" s="67">
        <f t="shared" si="0"/>
        <v>20.49</v>
      </c>
      <c r="M106" s="67">
        <f t="shared" si="0"/>
        <v>65.58</v>
      </c>
      <c r="N106" s="67">
        <f t="shared" si="0"/>
        <v>9</v>
      </c>
      <c r="O106" s="67">
        <f t="shared" si="0"/>
        <v>0</v>
      </c>
      <c r="P106" s="67">
        <f t="shared" si="0"/>
        <v>0.27</v>
      </c>
      <c r="Q106" s="67">
        <f t="shared" si="0"/>
        <v>7.26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13.53</v>
      </c>
      <c r="C107" s="66">
        <f t="shared" ref="C107:Q107" si="1">MAX(C9:C104)</f>
        <v>22.69</v>
      </c>
      <c r="D107" s="66">
        <f t="shared" si="1"/>
        <v>33.35</v>
      </c>
      <c r="E107" s="66">
        <f t="shared" si="1"/>
        <v>5.43</v>
      </c>
      <c r="F107" s="66">
        <f t="shared" si="1"/>
        <v>6.72</v>
      </c>
      <c r="G107" s="66">
        <f t="shared" si="1"/>
        <v>62.07</v>
      </c>
      <c r="H107" s="66">
        <f t="shared" si="1"/>
        <v>19.3</v>
      </c>
      <c r="I107" s="66">
        <f t="shared" si="1"/>
        <v>0.13</v>
      </c>
      <c r="J107" s="66">
        <f t="shared" si="1"/>
        <v>2.66</v>
      </c>
      <c r="K107" s="66">
        <f t="shared" si="1"/>
        <v>356.95</v>
      </c>
      <c r="L107" s="66">
        <f t="shared" si="1"/>
        <v>30.44</v>
      </c>
      <c r="M107" s="66">
        <f t="shared" si="1"/>
        <v>98.78</v>
      </c>
      <c r="N107" s="66">
        <f t="shared" si="1"/>
        <v>547.1</v>
      </c>
      <c r="O107" s="66">
        <f t="shared" si="1"/>
        <v>10.199999999999999</v>
      </c>
      <c r="P107" s="66">
        <f t="shared" si="1"/>
        <v>0.69</v>
      </c>
      <c r="Q107" s="66">
        <f t="shared" si="1"/>
        <v>23.84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7.8235555555555543</v>
      </c>
      <c r="C108" s="67">
        <f t="shared" ref="C108:Q108" si="2">AVERAGE(C9:C104)</f>
        <v>13.522111111111103</v>
      </c>
      <c r="D108" s="67">
        <f t="shared" si="2"/>
        <v>21.34522222222223</v>
      </c>
      <c r="E108" s="67">
        <f t="shared" si="2"/>
        <v>2.2743333333333338</v>
      </c>
      <c r="F108" s="67">
        <f t="shared" si="2"/>
        <v>1.7505555555555561</v>
      </c>
      <c r="G108" s="67">
        <f t="shared" si="2"/>
        <v>35.06911111111112</v>
      </c>
      <c r="H108" s="67">
        <f t="shared" si="2"/>
        <v>11.262222222222221</v>
      </c>
      <c r="I108" s="67">
        <f t="shared" si="2"/>
        <v>0.1165555555555555</v>
      </c>
      <c r="J108" s="67">
        <f t="shared" si="2"/>
        <v>0.5993333333333335</v>
      </c>
      <c r="K108" s="67">
        <f t="shared" si="2"/>
        <v>236.84788888888892</v>
      </c>
      <c r="L108" s="67">
        <f t="shared" si="2"/>
        <v>24.330777777777776</v>
      </c>
      <c r="M108" s="67">
        <f t="shared" si="2"/>
        <v>90.656333333333336</v>
      </c>
      <c r="N108" s="67">
        <f t="shared" si="2"/>
        <v>125.67444444444448</v>
      </c>
      <c r="O108" s="67">
        <f t="shared" si="2"/>
        <v>0.4844444444444444</v>
      </c>
      <c r="P108" s="67">
        <f t="shared" si="2"/>
        <v>0.45688888888888901</v>
      </c>
      <c r="Q108" s="67">
        <f t="shared" si="2"/>
        <v>13.437111111111115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2.7338339178043323</v>
      </c>
      <c r="C109" s="67">
        <f t="shared" ref="C109:Q109" si="3">STDEV(C9:C104)</f>
        <v>3.4957751368960408</v>
      </c>
      <c r="D109" s="67">
        <f t="shared" si="3"/>
        <v>5.3322968105596624</v>
      </c>
      <c r="E109" s="67">
        <f t="shared" si="3"/>
        <v>1.5295986475124466</v>
      </c>
      <c r="F109" s="67">
        <f t="shared" si="3"/>
        <v>1.2422120185886503</v>
      </c>
      <c r="G109" s="67">
        <f t="shared" si="3"/>
        <v>16.217845396764577</v>
      </c>
      <c r="H109" s="67">
        <f t="shared" si="3"/>
        <v>3.9145047982127879</v>
      </c>
      <c r="I109" s="67">
        <f t="shared" si="3"/>
        <v>5.2276514397509881E-3</v>
      </c>
      <c r="J109" s="67">
        <f t="shared" si="3"/>
        <v>0.53421747875443149</v>
      </c>
      <c r="K109" s="67">
        <f t="shared" si="3"/>
        <v>134.1850085440436</v>
      </c>
      <c r="L109" s="67">
        <f t="shared" si="3"/>
        <v>3.2418964583545584</v>
      </c>
      <c r="M109" s="67">
        <f t="shared" si="3"/>
        <v>11.805104347344159</v>
      </c>
      <c r="N109" s="67">
        <f t="shared" si="3"/>
        <v>167.83249177269494</v>
      </c>
      <c r="O109" s="67">
        <f t="shared" si="3"/>
        <v>1.6730454711585978</v>
      </c>
      <c r="P109" s="67">
        <f t="shared" si="3"/>
        <v>0.10807451075603336</v>
      </c>
      <c r="Q109" s="67">
        <f t="shared" si="3"/>
        <v>3.965673850512561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COUNT(B9:B104)+6</f>
        <v>96</v>
      </c>
      <c r="C110" s="66">
        <f t="shared" ref="C110:Q110" si="4">COUNT(C9:C104)+6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1497</v>
      </c>
      <c r="B9" s="217" t="s">
        <v>32</v>
      </c>
      <c r="C9" s="217" t="s">
        <v>32</v>
      </c>
      <c r="D9" s="217" t="s">
        <v>32</v>
      </c>
      <c r="E9" s="217" t="s">
        <v>32</v>
      </c>
      <c r="F9" s="217" t="s">
        <v>32</v>
      </c>
      <c r="G9" s="217" t="s">
        <v>32</v>
      </c>
      <c r="H9" s="217" t="s">
        <v>32</v>
      </c>
      <c r="I9" s="217" t="s">
        <v>32</v>
      </c>
      <c r="J9" s="217" t="s">
        <v>32</v>
      </c>
      <c r="K9" s="217" t="s">
        <v>32</v>
      </c>
      <c r="L9" s="217" t="s">
        <v>32</v>
      </c>
      <c r="M9" s="217" t="s">
        <v>32</v>
      </c>
      <c r="N9" s="217" t="s">
        <v>32</v>
      </c>
      <c r="O9" s="217" t="s">
        <v>32</v>
      </c>
      <c r="P9" s="217" t="s">
        <v>32</v>
      </c>
      <c r="Q9" s="217" t="s">
        <v>32</v>
      </c>
      <c r="R9" s="198"/>
      <c r="S9" s="198"/>
      <c r="T9" s="198"/>
      <c r="U9" s="198"/>
    </row>
    <row r="10" spans="1:21" s="12" customFormat="1" x14ac:dyDescent="0.25">
      <c r="A10" s="214" t="s">
        <v>1498</v>
      </c>
      <c r="B10" s="217" t="s">
        <v>32</v>
      </c>
      <c r="C10" s="217" t="s">
        <v>32</v>
      </c>
      <c r="D10" s="217" t="s">
        <v>32</v>
      </c>
      <c r="E10" s="217" t="s">
        <v>32</v>
      </c>
      <c r="F10" s="217" t="s">
        <v>32</v>
      </c>
      <c r="G10" s="217" t="s">
        <v>32</v>
      </c>
      <c r="H10" s="217" t="s">
        <v>32</v>
      </c>
      <c r="I10" s="217" t="s">
        <v>32</v>
      </c>
      <c r="J10" s="217" t="s">
        <v>32</v>
      </c>
      <c r="K10" s="217" t="s">
        <v>32</v>
      </c>
      <c r="L10" s="217" t="s">
        <v>32</v>
      </c>
      <c r="M10" s="217" t="s">
        <v>32</v>
      </c>
      <c r="N10" s="217" t="s">
        <v>32</v>
      </c>
      <c r="O10" s="217" t="s">
        <v>32</v>
      </c>
      <c r="P10" s="217" t="s">
        <v>32</v>
      </c>
      <c r="Q10" s="217" t="s">
        <v>32</v>
      </c>
      <c r="R10" s="198"/>
      <c r="S10" s="198"/>
      <c r="T10" s="198"/>
      <c r="U10" s="198"/>
    </row>
    <row r="11" spans="1:21" s="12" customFormat="1" x14ac:dyDescent="0.25">
      <c r="A11" s="214" t="s">
        <v>1499</v>
      </c>
      <c r="B11" s="219" t="s">
        <v>49</v>
      </c>
      <c r="C11" s="219" t="s">
        <v>49</v>
      </c>
      <c r="D11" s="219" t="s">
        <v>49</v>
      </c>
      <c r="E11" s="219" t="s">
        <v>49</v>
      </c>
      <c r="F11" s="64">
        <v>10.51</v>
      </c>
      <c r="G11" s="64">
        <v>17.46</v>
      </c>
      <c r="H11" s="64">
        <v>6.98</v>
      </c>
      <c r="I11" s="220" t="s">
        <v>36</v>
      </c>
      <c r="J11" s="64">
        <v>0.52</v>
      </c>
      <c r="K11" s="64">
        <v>321.01</v>
      </c>
      <c r="L11" s="64">
        <v>21.01</v>
      </c>
      <c r="M11" s="64">
        <v>98.78</v>
      </c>
      <c r="N11" s="64">
        <v>9.1</v>
      </c>
      <c r="O11" s="64">
        <v>0.2</v>
      </c>
      <c r="P11" s="64">
        <v>0.32</v>
      </c>
      <c r="Q11" s="219" t="s">
        <v>49</v>
      </c>
      <c r="R11" s="198"/>
      <c r="S11" s="198"/>
      <c r="T11" s="198"/>
      <c r="U11" s="198"/>
    </row>
    <row r="12" spans="1:21" s="12" customFormat="1" x14ac:dyDescent="0.25">
      <c r="A12" s="214" t="s">
        <v>1500</v>
      </c>
      <c r="B12" s="64">
        <v>3.81</v>
      </c>
      <c r="C12" s="64">
        <v>5.82</v>
      </c>
      <c r="D12" s="64">
        <v>9.6300000000000008</v>
      </c>
      <c r="E12" s="64">
        <v>2.0099999999999998</v>
      </c>
      <c r="F12" s="64">
        <v>1.57</v>
      </c>
      <c r="G12" s="64">
        <v>15.29</v>
      </c>
      <c r="H12" s="64">
        <v>6.02</v>
      </c>
      <c r="I12" s="220" t="s">
        <v>36</v>
      </c>
      <c r="J12" s="64">
        <v>0.65</v>
      </c>
      <c r="K12" s="64">
        <v>319.01</v>
      </c>
      <c r="L12" s="64">
        <v>21.17</v>
      </c>
      <c r="M12" s="64">
        <v>98.78</v>
      </c>
      <c r="N12" s="64">
        <v>9.1</v>
      </c>
      <c r="O12" s="64">
        <v>0.4</v>
      </c>
      <c r="P12" s="64">
        <v>0.23</v>
      </c>
      <c r="Q12" s="219" t="s">
        <v>49</v>
      </c>
      <c r="R12" s="198"/>
      <c r="S12" s="198"/>
      <c r="T12" s="198"/>
      <c r="U12" s="198"/>
    </row>
    <row r="13" spans="1:21" s="12" customFormat="1" x14ac:dyDescent="0.25">
      <c r="A13" s="214" t="s">
        <v>1501</v>
      </c>
      <c r="B13" s="64">
        <v>5.16</v>
      </c>
      <c r="C13" s="64">
        <v>8.69</v>
      </c>
      <c r="D13" s="64">
        <v>13.86</v>
      </c>
      <c r="E13" s="220" t="s">
        <v>36</v>
      </c>
      <c r="F13" s="64">
        <v>1.1599999999999999</v>
      </c>
      <c r="G13" s="64">
        <v>15.29</v>
      </c>
      <c r="H13" s="64">
        <v>6.02</v>
      </c>
      <c r="I13" s="220" t="s">
        <v>36</v>
      </c>
      <c r="J13" s="64">
        <v>0.44</v>
      </c>
      <c r="K13" s="64">
        <v>321.27</v>
      </c>
      <c r="L13" s="64">
        <v>21.25</v>
      </c>
      <c r="M13" s="64">
        <v>98.78</v>
      </c>
      <c r="N13" s="64">
        <v>9.1</v>
      </c>
      <c r="O13" s="64">
        <v>0.2</v>
      </c>
      <c r="P13" s="64">
        <v>0.36</v>
      </c>
      <c r="Q13" s="219" t="s">
        <v>49</v>
      </c>
      <c r="R13" s="198"/>
      <c r="S13" s="198"/>
      <c r="T13" s="198"/>
      <c r="U13" s="198"/>
    </row>
    <row r="14" spans="1:21" s="12" customFormat="1" x14ac:dyDescent="0.25">
      <c r="A14" s="214" t="s">
        <v>1502</v>
      </c>
      <c r="B14" s="64">
        <v>5.38</v>
      </c>
      <c r="C14" s="64">
        <v>9.67</v>
      </c>
      <c r="D14" s="64">
        <v>15.06</v>
      </c>
      <c r="E14" s="220" t="s">
        <v>36</v>
      </c>
      <c r="F14" s="64">
        <v>0.25</v>
      </c>
      <c r="G14" s="64">
        <v>15.29</v>
      </c>
      <c r="H14" s="64">
        <v>6.02</v>
      </c>
      <c r="I14" s="220" t="s">
        <v>36</v>
      </c>
      <c r="J14" s="64">
        <v>0.54</v>
      </c>
      <c r="K14" s="64">
        <v>328.62</v>
      </c>
      <c r="L14" s="64">
        <v>21.37</v>
      </c>
      <c r="M14" s="64">
        <v>98.78</v>
      </c>
      <c r="N14" s="64">
        <v>9.1</v>
      </c>
      <c r="O14" s="64">
        <v>0.2</v>
      </c>
      <c r="P14" s="64">
        <v>0.33</v>
      </c>
      <c r="Q14" s="64">
        <v>42.74</v>
      </c>
      <c r="R14" s="198"/>
      <c r="S14" s="198"/>
      <c r="T14" s="198"/>
      <c r="U14" s="198"/>
    </row>
    <row r="15" spans="1:21" s="12" customFormat="1" x14ac:dyDescent="0.25">
      <c r="A15" s="214" t="s">
        <v>1503</v>
      </c>
      <c r="B15" s="64">
        <v>5.15</v>
      </c>
      <c r="C15" s="64">
        <v>9.1199999999999992</v>
      </c>
      <c r="D15" s="64">
        <v>14.26</v>
      </c>
      <c r="E15" s="220" t="s">
        <v>36</v>
      </c>
      <c r="F15" s="64">
        <v>0.66</v>
      </c>
      <c r="G15" s="64">
        <v>21.55</v>
      </c>
      <c r="H15" s="64">
        <v>6.96</v>
      </c>
      <c r="I15" s="220" t="s">
        <v>36</v>
      </c>
      <c r="J15" s="64">
        <v>0.5</v>
      </c>
      <c r="K15" s="64">
        <v>318.98</v>
      </c>
      <c r="L15" s="64">
        <v>21.42</v>
      </c>
      <c r="M15" s="64">
        <v>98.78</v>
      </c>
      <c r="N15" s="64">
        <v>9.3000000000000007</v>
      </c>
      <c r="O15" s="64">
        <v>0</v>
      </c>
      <c r="P15" s="64">
        <v>0.28000000000000003</v>
      </c>
      <c r="Q15" s="64">
        <v>44.33</v>
      </c>
      <c r="R15" s="198"/>
      <c r="S15" s="198"/>
      <c r="T15" s="198"/>
      <c r="U15" s="198"/>
    </row>
    <row r="16" spans="1:21" s="12" customFormat="1" x14ac:dyDescent="0.25">
      <c r="A16" s="214" t="s">
        <v>1504</v>
      </c>
      <c r="B16" s="64">
        <v>4.96</v>
      </c>
      <c r="C16" s="64">
        <v>8.7899999999999991</v>
      </c>
      <c r="D16" s="64">
        <v>13.75</v>
      </c>
      <c r="E16" s="220" t="s">
        <v>36</v>
      </c>
      <c r="F16" s="64">
        <v>0.44</v>
      </c>
      <c r="G16" s="64">
        <v>36.94</v>
      </c>
      <c r="H16" s="64">
        <v>8.56</v>
      </c>
      <c r="I16" s="220" t="s">
        <v>36</v>
      </c>
      <c r="J16" s="64">
        <v>0.51</v>
      </c>
      <c r="K16" s="64">
        <v>319.64</v>
      </c>
      <c r="L16" s="64">
        <v>21.48</v>
      </c>
      <c r="M16" s="64">
        <v>98.78</v>
      </c>
      <c r="N16" s="64">
        <v>9.1999999999999993</v>
      </c>
      <c r="O16" s="64">
        <v>0</v>
      </c>
      <c r="P16" s="64">
        <v>0.26</v>
      </c>
      <c r="Q16" s="64">
        <v>40.93</v>
      </c>
      <c r="R16" s="198"/>
      <c r="S16" s="198"/>
      <c r="T16" s="198"/>
      <c r="U16" s="198"/>
    </row>
    <row r="17" spans="1:21" s="12" customFormat="1" x14ac:dyDescent="0.25">
      <c r="A17" s="214" t="s">
        <v>1505</v>
      </c>
      <c r="B17" s="64">
        <v>4.66</v>
      </c>
      <c r="C17" s="64">
        <v>8.33</v>
      </c>
      <c r="D17" s="64">
        <v>12.99</v>
      </c>
      <c r="E17" s="220" t="s">
        <v>36</v>
      </c>
      <c r="F17" s="64">
        <v>0.89</v>
      </c>
      <c r="G17" s="64">
        <v>36.94</v>
      </c>
      <c r="H17" s="64">
        <v>8.56</v>
      </c>
      <c r="I17" s="220" t="s">
        <v>36</v>
      </c>
      <c r="J17" s="64">
        <v>0.31</v>
      </c>
      <c r="K17" s="64">
        <v>320.44</v>
      </c>
      <c r="L17" s="64">
        <v>21.49</v>
      </c>
      <c r="M17" s="64">
        <v>98.78</v>
      </c>
      <c r="N17" s="64">
        <v>9.3000000000000007</v>
      </c>
      <c r="O17" s="64">
        <v>0</v>
      </c>
      <c r="P17" s="64">
        <v>0.23</v>
      </c>
      <c r="Q17" s="64">
        <v>31.27</v>
      </c>
      <c r="R17" s="198"/>
      <c r="S17" s="198"/>
      <c r="T17" s="198"/>
      <c r="U17" s="198"/>
    </row>
    <row r="18" spans="1:21" s="12" customFormat="1" x14ac:dyDescent="0.25">
      <c r="A18" s="214" t="s">
        <v>1506</v>
      </c>
      <c r="B18" s="64">
        <v>4.42</v>
      </c>
      <c r="C18" s="64">
        <v>8.67</v>
      </c>
      <c r="D18" s="64">
        <v>13.09</v>
      </c>
      <c r="E18" s="220" t="s">
        <v>36</v>
      </c>
      <c r="F18" s="64">
        <v>0.16</v>
      </c>
      <c r="G18" s="64">
        <v>36.94</v>
      </c>
      <c r="H18" s="64">
        <v>8.56</v>
      </c>
      <c r="I18" s="220" t="s">
        <v>36</v>
      </c>
      <c r="J18" s="64">
        <v>0.44</v>
      </c>
      <c r="K18" s="64">
        <v>324.91000000000003</v>
      </c>
      <c r="L18" s="64">
        <v>21.46</v>
      </c>
      <c r="M18" s="64">
        <v>98.78</v>
      </c>
      <c r="N18" s="64">
        <v>9.5</v>
      </c>
      <c r="O18" s="64">
        <v>0.4</v>
      </c>
      <c r="P18" s="64">
        <v>0.22</v>
      </c>
      <c r="Q18" s="64">
        <v>28.06</v>
      </c>
      <c r="R18" s="198"/>
      <c r="S18" s="198"/>
      <c r="T18" s="198"/>
      <c r="U18" s="198"/>
    </row>
    <row r="19" spans="1:21" s="12" customFormat="1" x14ac:dyDescent="0.25">
      <c r="A19" s="214" t="s">
        <v>1507</v>
      </c>
      <c r="B19" s="64">
        <v>4.3099999999999996</v>
      </c>
      <c r="C19" s="64">
        <v>8.61</v>
      </c>
      <c r="D19" s="64">
        <v>12.92</v>
      </c>
      <c r="E19" s="220" t="s">
        <v>36</v>
      </c>
      <c r="F19" s="64">
        <v>0.98</v>
      </c>
      <c r="G19" s="64">
        <v>33.51</v>
      </c>
      <c r="H19" s="64">
        <v>7.78</v>
      </c>
      <c r="I19" s="220" t="s">
        <v>36</v>
      </c>
      <c r="J19" s="64">
        <v>0.24</v>
      </c>
      <c r="K19" s="64">
        <v>321.42</v>
      </c>
      <c r="L19" s="64">
        <v>21.45</v>
      </c>
      <c r="M19" s="64">
        <v>98.78</v>
      </c>
      <c r="N19" s="64">
        <v>9.1999999999999993</v>
      </c>
      <c r="O19" s="64">
        <v>0.2</v>
      </c>
      <c r="P19" s="64">
        <v>0.2</v>
      </c>
      <c r="Q19" s="64">
        <v>21.29</v>
      </c>
      <c r="R19" s="198"/>
      <c r="S19" s="198"/>
      <c r="T19" s="198"/>
      <c r="U19" s="198"/>
    </row>
    <row r="20" spans="1:21" s="12" customFormat="1" x14ac:dyDescent="0.25">
      <c r="A20" s="214" t="s">
        <v>1508</v>
      </c>
      <c r="B20" s="64">
        <v>4.41</v>
      </c>
      <c r="C20" s="64">
        <v>9.0500000000000007</v>
      </c>
      <c r="D20" s="64">
        <v>13.46</v>
      </c>
      <c r="E20" s="220" t="s">
        <v>36</v>
      </c>
      <c r="F20" s="64">
        <v>0.65</v>
      </c>
      <c r="G20" s="64">
        <v>25.07</v>
      </c>
      <c r="H20" s="64">
        <v>6.31</v>
      </c>
      <c r="I20" s="220" t="s">
        <v>36</v>
      </c>
      <c r="J20" s="64">
        <v>0.11</v>
      </c>
      <c r="K20" s="64">
        <v>353.14</v>
      </c>
      <c r="L20" s="64">
        <v>21.52</v>
      </c>
      <c r="M20" s="64">
        <v>98.78</v>
      </c>
      <c r="N20" s="64">
        <v>9.1</v>
      </c>
      <c r="O20" s="64">
        <v>0</v>
      </c>
      <c r="P20" s="64">
        <v>0.19</v>
      </c>
      <c r="Q20" s="64">
        <v>17.91</v>
      </c>
      <c r="R20" s="198"/>
      <c r="S20" s="198"/>
      <c r="T20" s="198"/>
      <c r="U20" s="198"/>
    </row>
    <row r="21" spans="1:21" s="12" customFormat="1" x14ac:dyDescent="0.25">
      <c r="A21" s="214" t="s">
        <v>1509</v>
      </c>
      <c r="B21" s="64">
        <v>4.49</v>
      </c>
      <c r="C21" s="64">
        <v>9.02</v>
      </c>
      <c r="D21" s="64">
        <v>13.52</v>
      </c>
      <c r="E21" s="220" t="s">
        <v>36</v>
      </c>
      <c r="F21" s="64">
        <v>0.64</v>
      </c>
      <c r="G21" s="64">
        <v>25.07</v>
      </c>
      <c r="H21" s="64">
        <v>6.31</v>
      </c>
      <c r="I21" s="220" t="s">
        <v>36</v>
      </c>
      <c r="J21" s="64">
        <v>0.15</v>
      </c>
      <c r="K21" s="64">
        <v>346.84</v>
      </c>
      <c r="L21" s="64">
        <v>21.54</v>
      </c>
      <c r="M21" s="64">
        <v>98.78</v>
      </c>
      <c r="N21" s="64">
        <v>9.1999999999999993</v>
      </c>
      <c r="O21" s="64">
        <v>0.2</v>
      </c>
      <c r="P21" s="64">
        <v>0.18</v>
      </c>
      <c r="Q21" s="64">
        <v>15.39</v>
      </c>
      <c r="R21" s="198"/>
      <c r="S21" s="198"/>
      <c r="T21" s="198"/>
      <c r="U21" s="198"/>
    </row>
    <row r="22" spans="1:21" s="12" customFormat="1" x14ac:dyDescent="0.25">
      <c r="A22" s="214" t="s">
        <v>1510</v>
      </c>
      <c r="B22" s="64">
        <v>4.49</v>
      </c>
      <c r="C22" s="64">
        <v>8.6999999999999993</v>
      </c>
      <c r="D22" s="64">
        <v>13.2</v>
      </c>
      <c r="E22" s="220" t="s">
        <v>36</v>
      </c>
      <c r="F22" s="64">
        <v>0.9</v>
      </c>
      <c r="G22" s="64">
        <v>25.07</v>
      </c>
      <c r="H22" s="64">
        <v>6.31</v>
      </c>
      <c r="I22" s="220" t="s">
        <v>36</v>
      </c>
      <c r="J22" s="64">
        <v>0.11</v>
      </c>
      <c r="K22" s="64">
        <v>12.58</v>
      </c>
      <c r="L22" s="64">
        <v>21.51</v>
      </c>
      <c r="M22" s="64">
        <v>98.78</v>
      </c>
      <c r="N22" s="64">
        <v>9.1999999999999993</v>
      </c>
      <c r="O22" s="64">
        <v>0.2</v>
      </c>
      <c r="P22" s="64">
        <v>0.17</v>
      </c>
      <c r="Q22" s="64">
        <v>13.78</v>
      </c>
      <c r="R22" s="198"/>
      <c r="S22" s="198"/>
      <c r="T22" s="198"/>
      <c r="U22" s="198"/>
    </row>
    <row r="23" spans="1:21" s="12" customFormat="1" x14ac:dyDescent="0.25">
      <c r="A23" s="214" t="s">
        <v>1511</v>
      </c>
      <c r="B23" s="64">
        <v>4.5199999999999996</v>
      </c>
      <c r="C23" s="64">
        <v>8.36</v>
      </c>
      <c r="D23" s="64">
        <v>12.87</v>
      </c>
      <c r="E23" s="220" t="s">
        <v>36</v>
      </c>
      <c r="F23" s="64">
        <v>0.82</v>
      </c>
      <c r="G23" s="64">
        <v>22.54</v>
      </c>
      <c r="H23" s="64">
        <v>5.57</v>
      </c>
      <c r="I23" s="220" t="s">
        <v>36</v>
      </c>
      <c r="J23" s="64">
        <v>0.1</v>
      </c>
      <c r="K23" s="64">
        <v>8.02</v>
      </c>
      <c r="L23" s="64">
        <v>21.47</v>
      </c>
      <c r="M23" s="64">
        <v>98.78</v>
      </c>
      <c r="N23" s="64">
        <v>9.1</v>
      </c>
      <c r="O23" s="64">
        <v>0.2</v>
      </c>
      <c r="P23" s="64">
        <v>0.17</v>
      </c>
      <c r="Q23" s="64">
        <v>14.07</v>
      </c>
      <c r="R23" s="198"/>
      <c r="S23" s="198"/>
      <c r="T23" s="198"/>
      <c r="U23" s="198"/>
    </row>
    <row r="24" spans="1:21" s="12" customFormat="1" x14ac:dyDescent="0.25">
      <c r="A24" s="214" t="s">
        <v>1512</v>
      </c>
      <c r="B24" s="64">
        <v>4.4400000000000004</v>
      </c>
      <c r="C24" s="64">
        <v>8.3699999999999992</v>
      </c>
      <c r="D24" s="64">
        <v>12.81</v>
      </c>
      <c r="E24" s="64">
        <v>2.97</v>
      </c>
      <c r="F24" s="64">
        <v>0.28999999999999998</v>
      </c>
      <c r="G24" s="64">
        <v>16.309999999999999</v>
      </c>
      <c r="H24" s="64">
        <v>4.42</v>
      </c>
      <c r="I24" s="220" t="s">
        <v>36</v>
      </c>
      <c r="J24" s="64">
        <v>7.0000000000000007E-2</v>
      </c>
      <c r="K24" s="64">
        <v>19.739999999999998</v>
      </c>
      <c r="L24" s="64">
        <v>21.52</v>
      </c>
      <c r="M24" s="64">
        <v>98.78</v>
      </c>
      <c r="N24" s="64">
        <v>9</v>
      </c>
      <c r="O24" s="64">
        <v>0.4</v>
      </c>
      <c r="P24" s="64">
        <v>0.16</v>
      </c>
      <c r="Q24" s="64">
        <v>16.23</v>
      </c>
      <c r="R24" s="198"/>
      <c r="S24" s="198"/>
      <c r="T24" s="198"/>
      <c r="U24" s="198"/>
    </row>
    <row r="25" spans="1:21" s="12" customFormat="1" x14ac:dyDescent="0.25">
      <c r="A25" s="214" t="s">
        <v>1513</v>
      </c>
      <c r="B25" s="64">
        <v>4.2699999999999996</v>
      </c>
      <c r="C25" s="64">
        <v>8.02</v>
      </c>
      <c r="D25" s="64">
        <v>12.29</v>
      </c>
      <c r="E25" s="64">
        <v>4.0199999999999996</v>
      </c>
      <c r="F25" s="64">
        <v>0.61</v>
      </c>
      <c r="G25" s="64">
        <v>16.309999999999999</v>
      </c>
      <c r="H25" s="64">
        <v>4.42</v>
      </c>
      <c r="I25" s="220" t="s">
        <v>36</v>
      </c>
      <c r="J25" s="64">
        <v>0.04</v>
      </c>
      <c r="K25" s="64">
        <v>25.19</v>
      </c>
      <c r="L25" s="64">
        <v>21.53</v>
      </c>
      <c r="M25" s="64">
        <v>98.78</v>
      </c>
      <c r="N25" s="64">
        <v>9.1</v>
      </c>
      <c r="O25" s="64">
        <v>0</v>
      </c>
      <c r="P25" s="64">
        <v>0.15</v>
      </c>
      <c r="Q25" s="64">
        <v>14.92</v>
      </c>
      <c r="R25" s="198"/>
      <c r="S25" s="198"/>
      <c r="T25" s="198"/>
      <c r="U25" s="198"/>
    </row>
    <row r="26" spans="1:21" s="12" customFormat="1" x14ac:dyDescent="0.25">
      <c r="A26" s="214" t="s">
        <v>1514</v>
      </c>
      <c r="B26" s="64">
        <v>4.24</v>
      </c>
      <c r="C26" s="64">
        <v>7.91</v>
      </c>
      <c r="D26" s="64">
        <v>12.15</v>
      </c>
      <c r="E26" s="64">
        <v>3.93</v>
      </c>
      <c r="F26" s="64">
        <v>0.3</v>
      </c>
      <c r="G26" s="64">
        <v>16.309999999999999</v>
      </c>
      <c r="H26" s="64">
        <v>4.42</v>
      </c>
      <c r="I26" s="220" t="s">
        <v>36</v>
      </c>
      <c r="J26" s="64">
        <v>0.08</v>
      </c>
      <c r="K26" s="64">
        <v>353.32</v>
      </c>
      <c r="L26" s="64">
        <v>21.58</v>
      </c>
      <c r="M26" s="64">
        <v>98.78</v>
      </c>
      <c r="N26" s="64">
        <v>9.1</v>
      </c>
      <c r="O26" s="64">
        <v>0</v>
      </c>
      <c r="P26" s="64">
        <v>0.15</v>
      </c>
      <c r="Q26" s="64">
        <v>15.59</v>
      </c>
      <c r="R26" s="198"/>
      <c r="S26" s="198"/>
      <c r="T26" s="198"/>
      <c r="U26" s="198"/>
    </row>
    <row r="27" spans="1:21" s="12" customFormat="1" x14ac:dyDescent="0.25">
      <c r="A27" s="214" t="s">
        <v>1515</v>
      </c>
      <c r="B27" s="64">
        <v>4.26</v>
      </c>
      <c r="C27" s="64">
        <v>7.67</v>
      </c>
      <c r="D27" s="64">
        <v>11.93</v>
      </c>
      <c r="E27" s="64">
        <v>3.71</v>
      </c>
      <c r="F27" s="64">
        <v>0.6</v>
      </c>
      <c r="G27" s="64">
        <v>15.79</v>
      </c>
      <c r="H27" s="64">
        <v>4.01</v>
      </c>
      <c r="I27" s="220" t="s">
        <v>36</v>
      </c>
      <c r="J27" s="64">
        <v>0.12</v>
      </c>
      <c r="K27" s="64">
        <v>18.04</v>
      </c>
      <c r="L27" s="64">
        <v>21.64</v>
      </c>
      <c r="M27" s="64">
        <v>98.77</v>
      </c>
      <c r="N27" s="64">
        <v>9.1999999999999993</v>
      </c>
      <c r="O27" s="64">
        <v>0</v>
      </c>
      <c r="P27" s="64">
        <v>0.14000000000000001</v>
      </c>
      <c r="Q27" s="64">
        <v>13.91</v>
      </c>
      <c r="R27" s="198"/>
      <c r="S27" s="198"/>
      <c r="T27" s="198"/>
      <c r="U27" s="198"/>
    </row>
    <row r="28" spans="1:21" s="12" customFormat="1" x14ac:dyDescent="0.25">
      <c r="A28" s="214" t="s">
        <v>1516</v>
      </c>
      <c r="B28" s="64">
        <v>4.26</v>
      </c>
      <c r="C28" s="64">
        <v>7.7</v>
      </c>
      <c r="D28" s="64">
        <v>11.96</v>
      </c>
      <c r="E28" s="64">
        <v>3.76</v>
      </c>
      <c r="F28" s="64">
        <v>0.5</v>
      </c>
      <c r="G28" s="64">
        <v>14.5</v>
      </c>
      <c r="H28" s="64">
        <v>3.32</v>
      </c>
      <c r="I28" s="220" t="s">
        <v>36</v>
      </c>
      <c r="J28" s="64">
        <v>0.15</v>
      </c>
      <c r="K28" s="64">
        <v>6.31</v>
      </c>
      <c r="L28" s="64">
        <v>21.6</v>
      </c>
      <c r="M28" s="64">
        <v>98.68</v>
      </c>
      <c r="N28" s="64">
        <v>9.1</v>
      </c>
      <c r="O28" s="64">
        <v>0</v>
      </c>
      <c r="P28" s="64">
        <v>0.15</v>
      </c>
      <c r="Q28" s="64">
        <v>14.09</v>
      </c>
      <c r="R28" s="198"/>
      <c r="S28" s="198"/>
      <c r="T28" s="198"/>
      <c r="U28" s="198"/>
    </row>
    <row r="29" spans="1:21" s="12" customFormat="1" x14ac:dyDescent="0.25">
      <c r="A29" s="214" t="s">
        <v>1517</v>
      </c>
      <c r="B29" s="64">
        <v>4.2</v>
      </c>
      <c r="C29" s="64">
        <v>7.77</v>
      </c>
      <c r="D29" s="64">
        <v>11.97</v>
      </c>
      <c r="E29" s="64">
        <v>3.66</v>
      </c>
      <c r="F29" s="64">
        <v>0.39</v>
      </c>
      <c r="G29" s="64">
        <v>14.5</v>
      </c>
      <c r="H29" s="64">
        <v>3.32</v>
      </c>
      <c r="I29" s="220" t="s">
        <v>36</v>
      </c>
      <c r="J29" s="64">
        <v>0.15</v>
      </c>
      <c r="K29" s="64">
        <v>5.03</v>
      </c>
      <c r="L29" s="64">
        <v>21.66</v>
      </c>
      <c r="M29" s="64">
        <v>98.26</v>
      </c>
      <c r="N29" s="64">
        <v>9.1</v>
      </c>
      <c r="O29" s="64">
        <v>0</v>
      </c>
      <c r="P29" s="64">
        <v>0.12</v>
      </c>
      <c r="Q29" s="64">
        <v>13.72</v>
      </c>
      <c r="R29" s="198"/>
      <c r="S29" s="198"/>
      <c r="T29" s="198"/>
      <c r="U29" s="198"/>
    </row>
    <row r="30" spans="1:21" s="12" customFormat="1" x14ac:dyDescent="0.25">
      <c r="A30" s="214" t="s">
        <v>1518</v>
      </c>
      <c r="B30" s="64">
        <v>4.2699999999999996</v>
      </c>
      <c r="C30" s="64">
        <v>8.02</v>
      </c>
      <c r="D30" s="64">
        <v>12.29</v>
      </c>
      <c r="E30" s="64">
        <v>2.97</v>
      </c>
      <c r="F30" s="64">
        <v>0.32</v>
      </c>
      <c r="G30" s="64">
        <v>14.5</v>
      </c>
      <c r="H30" s="64">
        <v>3.32</v>
      </c>
      <c r="I30" s="220" t="s">
        <v>36</v>
      </c>
      <c r="J30" s="64">
        <v>0.14000000000000001</v>
      </c>
      <c r="K30" s="64">
        <v>345.84</v>
      </c>
      <c r="L30" s="64">
        <v>21.68</v>
      </c>
      <c r="M30" s="64">
        <v>98.26</v>
      </c>
      <c r="N30" s="64">
        <v>9.1</v>
      </c>
      <c r="O30" s="64">
        <v>0</v>
      </c>
      <c r="P30" s="64">
        <v>0.13</v>
      </c>
      <c r="Q30" s="64">
        <v>13.92</v>
      </c>
      <c r="R30" s="198"/>
      <c r="S30" s="198"/>
      <c r="T30" s="198"/>
      <c r="U30" s="198"/>
    </row>
    <row r="31" spans="1:21" s="12" customFormat="1" x14ac:dyDescent="0.25">
      <c r="A31" s="214" t="s">
        <v>1519</v>
      </c>
      <c r="B31" s="64">
        <v>4.53</v>
      </c>
      <c r="C31" s="64">
        <v>8.36</v>
      </c>
      <c r="D31" s="64">
        <v>12.89</v>
      </c>
      <c r="E31" s="64">
        <v>4.0199999999999996</v>
      </c>
      <c r="F31" s="64">
        <v>0.63</v>
      </c>
      <c r="G31" s="64">
        <v>13.64</v>
      </c>
      <c r="H31" s="64">
        <v>3.69</v>
      </c>
      <c r="I31" s="220" t="s">
        <v>36</v>
      </c>
      <c r="J31" s="64">
        <v>0.15</v>
      </c>
      <c r="K31" s="64">
        <v>19.09</v>
      </c>
      <c r="L31" s="64">
        <v>21.65</v>
      </c>
      <c r="M31" s="64">
        <v>98.77</v>
      </c>
      <c r="N31" s="64">
        <v>9.8000000000000007</v>
      </c>
      <c r="O31" s="64">
        <v>0</v>
      </c>
      <c r="P31" s="64">
        <v>0.13</v>
      </c>
      <c r="Q31" s="64">
        <v>12.09</v>
      </c>
      <c r="R31" s="198"/>
      <c r="S31" s="198"/>
      <c r="T31" s="198"/>
      <c r="U31" s="198"/>
    </row>
    <row r="32" spans="1:21" s="12" customFormat="1" x14ac:dyDescent="0.25">
      <c r="A32" s="214" t="s">
        <v>1520</v>
      </c>
      <c r="B32" s="64">
        <v>4.75</v>
      </c>
      <c r="C32" s="64">
        <v>9.16</v>
      </c>
      <c r="D32" s="64">
        <v>13.91</v>
      </c>
      <c r="E32" s="64">
        <v>3.61</v>
      </c>
      <c r="F32" s="64">
        <v>0.24</v>
      </c>
      <c r="G32" s="64">
        <v>11.52</v>
      </c>
      <c r="H32" s="64">
        <v>5.2</v>
      </c>
      <c r="I32" s="220" t="s">
        <v>36</v>
      </c>
      <c r="J32" s="64">
        <v>0.13</v>
      </c>
      <c r="K32" s="64">
        <v>12.27</v>
      </c>
      <c r="L32" s="64">
        <v>21.62</v>
      </c>
      <c r="M32" s="64">
        <v>98.27</v>
      </c>
      <c r="N32" s="64">
        <v>12</v>
      </c>
      <c r="O32" s="64">
        <v>0</v>
      </c>
      <c r="P32" s="64">
        <v>0.13</v>
      </c>
      <c r="Q32" s="64">
        <v>11.9</v>
      </c>
      <c r="R32" s="198"/>
      <c r="S32" s="198"/>
      <c r="T32" s="198"/>
      <c r="U32" s="198"/>
    </row>
    <row r="33" spans="1:21" s="12" customFormat="1" x14ac:dyDescent="0.25">
      <c r="A33" s="214" t="s">
        <v>1521</v>
      </c>
      <c r="B33" s="64">
        <v>5</v>
      </c>
      <c r="C33" s="64">
        <v>9.0399999999999991</v>
      </c>
      <c r="D33" s="64">
        <v>14.04</v>
      </c>
      <c r="E33" s="64">
        <v>3.64</v>
      </c>
      <c r="F33" s="64">
        <v>0.57999999999999996</v>
      </c>
      <c r="G33" s="64">
        <v>11.52</v>
      </c>
      <c r="H33" s="64">
        <v>5.2</v>
      </c>
      <c r="I33" s="220" t="s">
        <v>36</v>
      </c>
      <c r="J33" s="64">
        <v>0.14000000000000001</v>
      </c>
      <c r="K33" s="64">
        <v>29.45</v>
      </c>
      <c r="L33" s="64">
        <v>21.56</v>
      </c>
      <c r="M33" s="64">
        <v>98.26</v>
      </c>
      <c r="N33" s="64">
        <v>14.8</v>
      </c>
      <c r="O33" s="64">
        <v>0</v>
      </c>
      <c r="P33" s="64">
        <v>0.14000000000000001</v>
      </c>
      <c r="Q33" s="64">
        <v>10.11</v>
      </c>
      <c r="R33" s="198"/>
      <c r="S33" s="198"/>
      <c r="T33" s="198"/>
      <c r="U33" s="198"/>
    </row>
    <row r="34" spans="1:21" s="12" customFormat="1" x14ac:dyDescent="0.25">
      <c r="A34" s="214" t="s">
        <v>1522</v>
      </c>
      <c r="B34" s="64">
        <v>5.44</v>
      </c>
      <c r="C34" s="64">
        <v>10.23</v>
      </c>
      <c r="D34" s="64">
        <v>15.67</v>
      </c>
      <c r="E34" s="64">
        <v>4.04</v>
      </c>
      <c r="F34" s="64">
        <v>0.17</v>
      </c>
      <c r="G34" s="64">
        <v>11.52</v>
      </c>
      <c r="H34" s="64">
        <v>5.2</v>
      </c>
      <c r="I34" s="220" t="s">
        <v>36</v>
      </c>
      <c r="J34" s="64">
        <v>0.11</v>
      </c>
      <c r="K34" s="64">
        <v>10.31</v>
      </c>
      <c r="L34" s="64">
        <v>21.64</v>
      </c>
      <c r="M34" s="64">
        <v>98.26</v>
      </c>
      <c r="N34" s="64">
        <v>25</v>
      </c>
      <c r="O34" s="64">
        <v>0</v>
      </c>
      <c r="P34" s="64">
        <v>0.16</v>
      </c>
      <c r="Q34" s="64">
        <v>9.7200000000000006</v>
      </c>
      <c r="R34" s="198"/>
      <c r="S34" s="198"/>
      <c r="T34" s="198"/>
      <c r="U34" s="198"/>
    </row>
    <row r="35" spans="1:21" s="12" customFormat="1" x14ac:dyDescent="0.25">
      <c r="A35" s="214" t="s">
        <v>1523</v>
      </c>
      <c r="B35" s="64">
        <v>6.06</v>
      </c>
      <c r="C35" s="64">
        <v>9.76</v>
      </c>
      <c r="D35" s="64">
        <v>15.82</v>
      </c>
      <c r="E35" s="64">
        <v>3.16</v>
      </c>
      <c r="F35" s="64">
        <v>0.83</v>
      </c>
      <c r="G35" s="64">
        <v>10.59</v>
      </c>
      <c r="H35" s="64">
        <v>6.12</v>
      </c>
      <c r="I35" s="220" t="s">
        <v>36</v>
      </c>
      <c r="J35" s="64">
        <v>0.13</v>
      </c>
      <c r="K35" s="64">
        <v>7.15</v>
      </c>
      <c r="L35" s="64">
        <v>21.67</v>
      </c>
      <c r="M35" s="64">
        <v>98.77</v>
      </c>
      <c r="N35" s="64">
        <v>24.5</v>
      </c>
      <c r="O35" s="64">
        <v>0</v>
      </c>
      <c r="P35" s="64">
        <v>0.18</v>
      </c>
      <c r="Q35" s="64">
        <v>10.43</v>
      </c>
      <c r="R35" s="198"/>
      <c r="S35" s="198"/>
      <c r="T35" s="198"/>
      <c r="U35" s="198"/>
    </row>
    <row r="36" spans="1:21" s="12" customFormat="1" x14ac:dyDescent="0.25">
      <c r="A36" s="214" t="s">
        <v>1524</v>
      </c>
      <c r="B36" s="64">
        <v>6.9</v>
      </c>
      <c r="C36" s="64">
        <v>10.34</v>
      </c>
      <c r="D36" s="64">
        <v>17.25</v>
      </c>
      <c r="E36" s="64">
        <v>3.46</v>
      </c>
      <c r="F36" s="220" t="s">
        <v>36</v>
      </c>
      <c r="G36" s="64">
        <v>8.2899999999999991</v>
      </c>
      <c r="H36" s="64">
        <v>7.57</v>
      </c>
      <c r="I36" s="220" t="s">
        <v>36</v>
      </c>
      <c r="J36" s="64">
        <v>0.1</v>
      </c>
      <c r="K36" s="64">
        <v>355.65</v>
      </c>
      <c r="L36" s="64">
        <v>21.81</v>
      </c>
      <c r="M36" s="64">
        <v>98.27</v>
      </c>
      <c r="N36" s="64">
        <v>32.299999999999997</v>
      </c>
      <c r="O36" s="64">
        <v>0</v>
      </c>
      <c r="P36" s="64">
        <v>0.21</v>
      </c>
      <c r="Q36" s="64">
        <v>16.5</v>
      </c>
      <c r="R36" s="198"/>
      <c r="S36" s="198"/>
      <c r="T36" s="198"/>
      <c r="U36" s="198"/>
    </row>
    <row r="37" spans="1:21" s="12" customFormat="1" x14ac:dyDescent="0.25">
      <c r="A37" s="214" t="s">
        <v>1525</v>
      </c>
      <c r="B37" s="64">
        <v>8.02</v>
      </c>
      <c r="C37" s="64">
        <v>9.49</v>
      </c>
      <c r="D37" s="64">
        <v>17.510000000000002</v>
      </c>
      <c r="E37" s="64">
        <v>3.18</v>
      </c>
      <c r="F37" s="64">
        <v>0.53</v>
      </c>
      <c r="G37" s="64">
        <v>8.2899999999999991</v>
      </c>
      <c r="H37" s="64">
        <v>7.57</v>
      </c>
      <c r="I37" s="220" t="s">
        <v>36</v>
      </c>
      <c r="J37" s="64">
        <v>0.11</v>
      </c>
      <c r="K37" s="64">
        <v>2.8</v>
      </c>
      <c r="L37" s="64">
        <v>22.03</v>
      </c>
      <c r="M37" s="64">
        <v>98.26</v>
      </c>
      <c r="N37" s="64">
        <v>61.7</v>
      </c>
      <c r="O37" s="64">
        <v>0</v>
      </c>
      <c r="P37" s="64">
        <v>0.47</v>
      </c>
      <c r="Q37" s="64">
        <v>19.850000000000001</v>
      </c>
      <c r="R37" s="198"/>
      <c r="S37" s="198"/>
      <c r="T37" s="198"/>
      <c r="U37" s="198"/>
    </row>
    <row r="38" spans="1:21" s="12" customFormat="1" x14ac:dyDescent="0.25">
      <c r="A38" s="214" t="s">
        <v>1526</v>
      </c>
      <c r="B38" s="64">
        <v>10.17</v>
      </c>
      <c r="C38" s="64">
        <v>9.82</v>
      </c>
      <c r="D38" s="64">
        <v>19.989999999999998</v>
      </c>
      <c r="E38" s="64">
        <v>3.5</v>
      </c>
      <c r="F38" s="220" t="s">
        <v>36</v>
      </c>
      <c r="G38" s="64">
        <v>8.2899999999999991</v>
      </c>
      <c r="H38" s="64">
        <v>7.57</v>
      </c>
      <c r="I38" s="220" t="s">
        <v>36</v>
      </c>
      <c r="J38" s="64">
        <v>0.09</v>
      </c>
      <c r="K38" s="64">
        <v>10.08</v>
      </c>
      <c r="L38" s="64">
        <v>22.31</v>
      </c>
      <c r="M38" s="64">
        <v>98.27</v>
      </c>
      <c r="N38" s="64">
        <v>79.3</v>
      </c>
      <c r="O38" s="64">
        <v>0</v>
      </c>
      <c r="P38" s="64">
        <v>0.53</v>
      </c>
      <c r="Q38" s="64">
        <v>21.2</v>
      </c>
      <c r="R38" s="198"/>
      <c r="S38" s="198"/>
      <c r="T38" s="198"/>
      <c r="U38" s="198"/>
    </row>
    <row r="39" spans="1:21" s="12" customFormat="1" x14ac:dyDescent="0.25">
      <c r="A39" s="214" t="s">
        <v>1527</v>
      </c>
      <c r="B39" s="64">
        <v>12.16</v>
      </c>
      <c r="C39" s="64">
        <v>9.65</v>
      </c>
      <c r="D39" s="64">
        <v>21.81</v>
      </c>
      <c r="E39" s="64">
        <v>3.11</v>
      </c>
      <c r="F39" s="64">
        <v>0.59</v>
      </c>
      <c r="G39" s="64">
        <v>9.9</v>
      </c>
      <c r="H39" s="64">
        <v>7.3</v>
      </c>
      <c r="I39" s="220" t="s">
        <v>36</v>
      </c>
      <c r="J39" s="64">
        <v>0.22</v>
      </c>
      <c r="K39" s="64">
        <v>342.39</v>
      </c>
      <c r="L39" s="64">
        <v>22.35</v>
      </c>
      <c r="M39" s="64">
        <v>98.75</v>
      </c>
      <c r="N39" s="64">
        <v>72.900000000000006</v>
      </c>
      <c r="O39" s="64">
        <v>0</v>
      </c>
      <c r="P39" s="64">
        <v>0.56999999999999995</v>
      </c>
      <c r="Q39" s="64">
        <v>18.190000000000001</v>
      </c>
      <c r="R39" s="198"/>
      <c r="S39" s="198"/>
      <c r="T39" s="198"/>
      <c r="U39" s="198"/>
    </row>
    <row r="40" spans="1:21" s="12" customFormat="1" x14ac:dyDescent="0.25">
      <c r="A40" s="214" t="s">
        <v>1528</v>
      </c>
      <c r="B40" s="64">
        <v>13.46</v>
      </c>
      <c r="C40" s="64">
        <v>10.130000000000001</v>
      </c>
      <c r="D40" s="64">
        <v>23.59</v>
      </c>
      <c r="E40" s="64">
        <v>3.22</v>
      </c>
      <c r="F40" s="64">
        <v>0.21</v>
      </c>
      <c r="G40" s="64">
        <v>13.86</v>
      </c>
      <c r="H40" s="64">
        <v>6.85</v>
      </c>
      <c r="I40" s="220" t="s">
        <v>36</v>
      </c>
      <c r="J40" s="64">
        <v>0.14000000000000001</v>
      </c>
      <c r="K40" s="64">
        <v>355.92</v>
      </c>
      <c r="L40" s="64">
        <v>22.48</v>
      </c>
      <c r="M40" s="64">
        <v>98.29</v>
      </c>
      <c r="N40" s="64">
        <v>94.7</v>
      </c>
      <c r="O40" s="64">
        <v>0</v>
      </c>
      <c r="P40" s="64">
        <v>0.59</v>
      </c>
      <c r="Q40" s="64">
        <v>18.809999999999999</v>
      </c>
      <c r="R40" s="198"/>
      <c r="S40" s="198"/>
      <c r="T40" s="198"/>
      <c r="U40" s="198"/>
    </row>
    <row r="41" spans="1:21" s="12" customFormat="1" x14ac:dyDescent="0.25">
      <c r="A41" s="214" t="s">
        <v>1529</v>
      </c>
      <c r="B41" s="64">
        <v>15.14</v>
      </c>
      <c r="C41" s="64">
        <v>10.15</v>
      </c>
      <c r="D41" s="64">
        <v>25.29</v>
      </c>
      <c r="E41" s="64">
        <v>3.97</v>
      </c>
      <c r="F41" s="64">
        <v>0.59</v>
      </c>
      <c r="G41" s="64">
        <v>13.86</v>
      </c>
      <c r="H41" s="64">
        <v>6.85</v>
      </c>
      <c r="I41" s="220" t="s">
        <v>36</v>
      </c>
      <c r="J41" s="64">
        <v>0.14000000000000001</v>
      </c>
      <c r="K41" s="64">
        <v>15.08</v>
      </c>
      <c r="L41" s="64">
        <v>22.76</v>
      </c>
      <c r="M41" s="64">
        <v>98.26</v>
      </c>
      <c r="N41" s="64">
        <v>122.9</v>
      </c>
      <c r="O41" s="64">
        <v>0</v>
      </c>
      <c r="P41" s="64">
        <v>0.63</v>
      </c>
      <c r="Q41" s="64">
        <v>17.739999999999998</v>
      </c>
      <c r="R41" s="198"/>
      <c r="S41" s="198"/>
      <c r="T41" s="198"/>
      <c r="U41" s="198"/>
    </row>
    <row r="42" spans="1:21" s="12" customFormat="1" x14ac:dyDescent="0.25">
      <c r="A42" s="214" t="s">
        <v>1530</v>
      </c>
      <c r="B42" s="64">
        <v>15.96</v>
      </c>
      <c r="C42" s="64">
        <v>10.78</v>
      </c>
      <c r="D42" s="64">
        <v>26.73</v>
      </c>
      <c r="E42" s="64">
        <v>4.18</v>
      </c>
      <c r="F42" s="64">
        <v>0.78</v>
      </c>
      <c r="G42" s="64">
        <v>13.86</v>
      </c>
      <c r="H42" s="64">
        <v>6.85</v>
      </c>
      <c r="I42" s="220" t="s">
        <v>36</v>
      </c>
      <c r="J42" s="64">
        <v>0.1</v>
      </c>
      <c r="K42" s="64">
        <v>359.7</v>
      </c>
      <c r="L42" s="64">
        <v>23.08</v>
      </c>
      <c r="M42" s="64">
        <v>98.26</v>
      </c>
      <c r="N42" s="64">
        <v>170.6</v>
      </c>
      <c r="O42" s="64">
        <v>0</v>
      </c>
      <c r="P42" s="64">
        <v>0.66</v>
      </c>
      <c r="Q42" s="64">
        <v>17.100000000000001</v>
      </c>
      <c r="R42" s="198"/>
      <c r="S42" s="198"/>
      <c r="T42" s="198"/>
      <c r="U42" s="198"/>
    </row>
    <row r="43" spans="1:21" s="12" customFormat="1" x14ac:dyDescent="0.25">
      <c r="A43" s="214" t="s">
        <v>1531</v>
      </c>
      <c r="B43" s="64">
        <v>16.350000000000001</v>
      </c>
      <c r="C43" s="64">
        <v>11.4</v>
      </c>
      <c r="D43" s="64">
        <v>27.74</v>
      </c>
      <c r="E43" s="64">
        <v>3.77</v>
      </c>
      <c r="F43" s="64">
        <v>0.79</v>
      </c>
      <c r="G43" s="64">
        <v>15.86</v>
      </c>
      <c r="H43" s="64">
        <v>8.33</v>
      </c>
      <c r="I43" s="220" t="s">
        <v>36</v>
      </c>
      <c r="J43" s="64">
        <v>0.18</v>
      </c>
      <c r="K43" s="64">
        <v>13.15</v>
      </c>
      <c r="L43" s="64">
        <v>23.41</v>
      </c>
      <c r="M43" s="64">
        <v>98.7</v>
      </c>
      <c r="N43" s="64">
        <v>155.69999999999999</v>
      </c>
      <c r="O43" s="64">
        <v>0</v>
      </c>
      <c r="P43" s="64">
        <v>0.66</v>
      </c>
      <c r="Q43" s="64">
        <v>15.41</v>
      </c>
      <c r="R43" s="198"/>
      <c r="S43" s="198"/>
      <c r="T43" s="198"/>
      <c r="U43" s="198"/>
    </row>
    <row r="44" spans="1:21" s="12" customFormat="1" x14ac:dyDescent="0.25">
      <c r="A44" s="214" t="s">
        <v>1532</v>
      </c>
      <c r="B44" s="64">
        <v>16.760000000000002</v>
      </c>
      <c r="C44" s="64">
        <v>12.99</v>
      </c>
      <c r="D44" s="64">
        <v>29.75</v>
      </c>
      <c r="E44" s="64">
        <v>4.2</v>
      </c>
      <c r="F44" s="64">
        <v>0.71</v>
      </c>
      <c r="G44" s="64">
        <v>20.78</v>
      </c>
      <c r="H44" s="64">
        <v>10.75</v>
      </c>
      <c r="I44" s="220" t="s">
        <v>36</v>
      </c>
      <c r="J44" s="64">
        <v>0.18</v>
      </c>
      <c r="K44" s="64">
        <v>4.76</v>
      </c>
      <c r="L44" s="64">
        <v>23.75</v>
      </c>
      <c r="M44" s="64">
        <v>98.3</v>
      </c>
      <c r="N44" s="64">
        <v>135.6</v>
      </c>
      <c r="O44" s="64">
        <v>0</v>
      </c>
      <c r="P44" s="64">
        <v>0.67</v>
      </c>
      <c r="Q44" s="64">
        <v>14.25</v>
      </c>
      <c r="R44" s="198"/>
      <c r="S44" s="198"/>
      <c r="T44" s="198"/>
      <c r="U44" s="198"/>
    </row>
    <row r="45" spans="1:21" s="12" customFormat="1" x14ac:dyDescent="0.25">
      <c r="A45" s="214" t="s">
        <v>1533</v>
      </c>
      <c r="B45" s="64">
        <v>17.010000000000002</v>
      </c>
      <c r="C45" s="64">
        <v>11.89</v>
      </c>
      <c r="D45" s="64">
        <v>28.9</v>
      </c>
      <c r="E45" s="64">
        <v>4.38</v>
      </c>
      <c r="F45" s="64">
        <v>0.21</v>
      </c>
      <c r="G45" s="64">
        <v>20.78</v>
      </c>
      <c r="H45" s="64">
        <v>10.75</v>
      </c>
      <c r="I45" s="220" t="s">
        <v>36</v>
      </c>
      <c r="J45" s="64">
        <v>0.21</v>
      </c>
      <c r="K45" s="64">
        <v>5.34</v>
      </c>
      <c r="L45" s="64">
        <v>24.21</v>
      </c>
      <c r="M45" s="64">
        <v>98.65</v>
      </c>
      <c r="N45" s="64">
        <v>298.5</v>
      </c>
      <c r="O45" s="64">
        <v>0</v>
      </c>
      <c r="P45" s="64">
        <v>0.67</v>
      </c>
      <c r="Q45" s="64">
        <v>13.3</v>
      </c>
      <c r="R45" s="198"/>
      <c r="S45" s="198"/>
      <c r="T45" s="198"/>
      <c r="U45" s="198"/>
    </row>
    <row r="46" spans="1:21" s="12" customFormat="1" x14ac:dyDescent="0.25">
      <c r="A46" s="214" t="s">
        <v>1534</v>
      </c>
      <c r="B46" s="64">
        <v>16.66</v>
      </c>
      <c r="C46" s="64">
        <v>11.68</v>
      </c>
      <c r="D46" s="64">
        <v>28.34</v>
      </c>
      <c r="E46" s="64">
        <v>3.96</v>
      </c>
      <c r="F46" s="64">
        <v>0.85</v>
      </c>
      <c r="G46" s="64">
        <v>20.78</v>
      </c>
      <c r="H46" s="64">
        <v>10.75</v>
      </c>
      <c r="I46" s="220" t="s">
        <v>36</v>
      </c>
      <c r="J46" s="64">
        <v>0.33</v>
      </c>
      <c r="K46" s="64">
        <v>337.38</v>
      </c>
      <c r="L46" s="64">
        <v>24.9</v>
      </c>
      <c r="M46" s="64">
        <v>98.66</v>
      </c>
      <c r="N46" s="64">
        <v>249.6</v>
      </c>
      <c r="O46" s="64">
        <v>0</v>
      </c>
      <c r="P46" s="64">
        <v>0.69</v>
      </c>
      <c r="Q46" s="64">
        <v>12.27</v>
      </c>
      <c r="R46" s="198"/>
      <c r="S46" s="198"/>
      <c r="T46" s="198"/>
      <c r="U46" s="198"/>
    </row>
    <row r="47" spans="1:21" s="12" customFormat="1" x14ac:dyDescent="0.25">
      <c r="A47" s="214" t="s">
        <v>1535</v>
      </c>
      <c r="B47" s="64">
        <v>16.59</v>
      </c>
      <c r="C47" s="64">
        <v>12.19</v>
      </c>
      <c r="D47" s="64">
        <v>28.79</v>
      </c>
      <c r="E47" s="64">
        <v>4.4000000000000004</v>
      </c>
      <c r="F47" s="64">
        <v>0.08</v>
      </c>
      <c r="G47" s="64">
        <v>22.6</v>
      </c>
      <c r="H47" s="64">
        <v>11.05</v>
      </c>
      <c r="I47" s="220" t="s">
        <v>36</v>
      </c>
      <c r="J47" s="64">
        <v>0.21</v>
      </c>
      <c r="K47" s="64">
        <v>348.98</v>
      </c>
      <c r="L47" s="64">
        <v>25.76</v>
      </c>
      <c r="M47" s="64">
        <v>95.57</v>
      </c>
      <c r="N47" s="64">
        <v>266.7</v>
      </c>
      <c r="O47" s="64">
        <v>0</v>
      </c>
      <c r="P47" s="64">
        <v>0.71</v>
      </c>
      <c r="Q47" s="64">
        <v>14.29</v>
      </c>
      <c r="R47" s="198"/>
      <c r="S47" s="198"/>
      <c r="T47" s="198"/>
      <c r="U47" s="198"/>
    </row>
    <row r="48" spans="1:21" s="12" customFormat="1" x14ac:dyDescent="0.25">
      <c r="A48" s="214" t="s">
        <v>1536</v>
      </c>
      <c r="B48" s="64">
        <v>16.68</v>
      </c>
      <c r="C48" s="64">
        <v>11.81</v>
      </c>
      <c r="D48" s="64">
        <v>28.49</v>
      </c>
      <c r="E48" s="64">
        <v>3.88</v>
      </c>
      <c r="F48" s="64">
        <v>0.65</v>
      </c>
      <c r="G48" s="64">
        <v>27.07</v>
      </c>
      <c r="H48" s="64">
        <v>11.77</v>
      </c>
      <c r="I48" s="220" t="s">
        <v>36</v>
      </c>
      <c r="J48" s="64">
        <v>0.28999999999999998</v>
      </c>
      <c r="K48" s="64">
        <v>329.71</v>
      </c>
      <c r="L48" s="64">
        <v>26.02</v>
      </c>
      <c r="M48" s="64">
        <v>93.45</v>
      </c>
      <c r="N48" s="64">
        <v>223.2</v>
      </c>
      <c r="O48" s="64">
        <v>0</v>
      </c>
      <c r="P48" s="64">
        <v>0.73</v>
      </c>
      <c r="Q48" s="64">
        <v>13.91</v>
      </c>
      <c r="R48" s="198"/>
      <c r="S48" s="198"/>
      <c r="T48" s="198"/>
      <c r="U48" s="198"/>
    </row>
    <row r="49" spans="1:21" s="12" customFormat="1" x14ac:dyDescent="0.25">
      <c r="A49" s="214" t="s">
        <v>1537</v>
      </c>
      <c r="B49" s="64">
        <v>17.02</v>
      </c>
      <c r="C49" s="64">
        <v>12.34</v>
      </c>
      <c r="D49" s="64">
        <v>29.36</v>
      </c>
      <c r="E49" s="64">
        <v>4.26</v>
      </c>
      <c r="F49" s="64">
        <v>0.4</v>
      </c>
      <c r="G49" s="64">
        <v>27.07</v>
      </c>
      <c r="H49" s="64">
        <v>11.77</v>
      </c>
      <c r="I49" s="220" t="s">
        <v>36</v>
      </c>
      <c r="J49" s="64">
        <v>0.44</v>
      </c>
      <c r="K49" s="64">
        <v>324.2</v>
      </c>
      <c r="L49" s="64">
        <v>26.39</v>
      </c>
      <c r="M49" s="64">
        <v>90.77</v>
      </c>
      <c r="N49" s="64">
        <v>244.7</v>
      </c>
      <c r="O49" s="64">
        <v>0</v>
      </c>
      <c r="P49" s="64">
        <v>0.76</v>
      </c>
      <c r="Q49" s="64">
        <v>15.26</v>
      </c>
      <c r="R49" s="198"/>
      <c r="S49" s="198"/>
      <c r="T49" s="198"/>
      <c r="U49" s="198"/>
    </row>
    <row r="50" spans="1:21" s="12" customFormat="1" x14ac:dyDescent="0.25">
      <c r="A50" s="214" t="s">
        <v>1538</v>
      </c>
      <c r="B50" s="64">
        <v>17.48</v>
      </c>
      <c r="C50" s="64">
        <v>14.25</v>
      </c>
      <c r="D50" s="64">
        <v>31.73</v>
      </c>
      <c r="E50" s="64">
        <v>3.79</v>
      </c>
      <c r="F50" s="64">
        <v>1.38</v>
      </c>
      <c r="G50" s="64">
        <v>27.07</v>
      </c>
      <c r="H50" s="64">
        <v>11.77</v>
      </c>
      <c r="I50" s="220" t="s">
        <v>36</v>
      </c>
      <c r="J50" s="64">
        <v>0.4</v>
      </c>
      <c r="K50" s="64">
        <v>322.69</v>
      </c>
      <c r="L50" s="64">
        <v>26.55</v>
      </c>
      <c r="M50" s="64">
        <v>89.51</v>
      </c>
      <c r="N50" s="64">
        <v>223.4</v>
      </c>
      <c r="O50" s="64">
        <v>0</v>
      </c>
      <c r="P50" s="64">
        <v>0.8</v>
      </c>
      <c r="Q50" s="64">
        <v>14.11</v>
      </c>
      <c r="R50" s="198"/>
      <c r="S50" s="198"/>
      <c r="T50" s="198"/>
      <c r="U50" s="198"/>
    </row>
    <row r="51" spans="1:21" s="12" customFormat="1" x14ac:dyDescent="0.25">
      <c r="A51" s="214" t="s">
        <v>1539</v>
      </c>
      <c r="B51" s="64">
        <v>17.48</v>
      </c>
      <c r="C51" s="64">
        <v>13.27</v>
      </c>
      <c r="D51" s="64">
        <v>30.76</v>
      </c>
      <c r="E51" s="64">
        <v>4.0999999999999996</v>
      </c>
      <c r="F51" s="64">
        <v>1.02</v>
      </c>
      <c r="G51" s="64">
        <v>32.700000000000003</v>
      </c>
      <c r="H51" s="64">
        <v>13.71</v>
      </c>
      <c r="I51" s="220" t="s">
        <v>36</v>
      </c>
      <c r="J51" s="64">
        <v>0.33</v>
      </c>
      <c r="K51" s="64">
        <v>323.49</v>
      </c>
      <c r="L51" s="64">
        <v>26.66</v>
      </c>
      <c r="M51" s="64">
        <v>88.99</v>
      </c>
      <c r="N51" s="64">
        <v>160.5</v>
      </c>
      <c r="O51" s="64">
        <v>0</v>
      </c>
      <c r="P51" s="64">
        <v>0.85</v>
      </c>
      <c r="Q51" s="64">
        <v>14.11</v>
      </c>
      <c r="R51" s="198"/>
      <c r="S51" s="198"/>
      <c r="T51" s="198"/>
      <c r="U51" s="198"/>
    </row>
    <row r="52" spans="1:21" s="12" customFormat="1" x14ac:dyDescent="0.25">
      <c r="A52" s="214" t="s">
        <v>1540</v>
      </c>
      <c r="B52" s="64">
        <v>17.36</v>
      </c>
      <c r="C52" s="64">
        <v>14.44</v>
      </c>
      <c r="D52" s="64">
        <v>31.8</v>
      </c>
      <c r="E52" s="64">
        <v>3.82</v>
      </c>
      <c r="F52" s="64">
        <v>0.97</v>
      </c>
      <c r="G52" s="64">
        <v>46.55</v>
      </c>
      <c r="H52" s="64">
        <v>16.829999999999998</v>
      </c>
      <c r="I52" s="220" t="s">
        <v>36</v>
      </c>
      <c r="J52" s="64">
        <v>0.45</v>
      </c>
      <c r="K52" s="64">
        <v>319.79000000000002</v>
      </c>
      <c r="L52" s="64">
        <v>26.49</v>
      </c>
      <c r="M52" s="64">
        <v>89.13</v>
      </c>
      <c r="N52" s="64">
        <v>204.9</v>
      </c>
      <c r="O52" s="64">
        <v>0</v>
      </c>
      <c r="P52" s="64">
        <v>0.85</v>
      </c>
      <c r="Q52" s="64">
        <v>14.22</v>
      </c>
      <c r="R52" s="198"/>
      <c r="S52" s="198"/>
      <c r="T52" s="198"/>
      <c r="U52" s="198"/>
    </row>
    <row r="53" spans="1:21" s="12" customFormat="1" x14ac:dyDescent="0.25">
      <c r="A53" s="214" t="s">
        <v>1541</v>
      </c>
      <c r="B53" s="64">
        <v>15.7</v>
      </c>
      <c r="C53" s="64">
        <v>19.93</v>
      </c>
      <c r="D53" s="64">
        <v>35.630000000000003</v>
      </c>
      <c r="E53" s="64">
        <v>3.6</v>
      </c>
      <c r="F53" s="64">
        <v>2.59</v>
      </c>
      <c r="G53" s="64">
        <v>46.55</v>
      </c>
      <c r="H53" s="64">
        <v>16.829999999999998</v>
      </c>
      <c r="I53" s="220" t="s">
        <v>36</v>
      </c>
      <c r="J53" s="64">
        <v>0.51</v>
      </c>
      <c r="K53" s="64">
        <v>318.85000000000002</v>
      </c>
      <c r="L53" s="64">
        <v>26.5</v>
      </c>
      <c r="M53" s="64">
        <v>89.16</v>
      </c>
      <c r="N53" s="64">
        <v>172.3</v>
      </c>
      <c r="O53" s="64">
        <v>0</v>
      </c>
      <c r="P53" s="64">
        <v>0.88</v>
      </c>
      <c r="Q53" s="64">
        <v>12.81</v>
      </c>
      <c r="R53" s="198"/>
      <c r="S53" s="198"/>
      <c r="T53" s="198"/>
      <c r="U53" s="198"/>
    </row>
    <row r="54" spans="1:21" s="12" customFormat="1" x14ac:dyDescent="0.25">
      <c r="A54" s="214" t="s">
        <v>1542</v>
      </c>
      <c r="B54" s="64">
        <v>14.52</v>
      </c>
      <c r="C54" s="64">
        <v>21.71</v>
      </c>
      <c r="D54" s="64">
        <v>36.229999999999997</v>
      </c>
      <c r="E54" s="64">
        <v>4.13</v>
      </c>
      <c r="F54" s="64">
        <v>3.93</v>
      </c>
      <c r="G54" s="64">
        <v>46.55</v>
      </c>
      <c r="H54" s="64">
        <v>16.829999999999998</v>
      </c>
      <c r="I54" s="220" t="s">
        <v>36</v>
      </c>
      <c r="J54" s="64">
        <v>0.3</v>
      </c>
      <c r="K54" s="64">
        <v>319.35000000000002</v>
      </c>
      <c r="L54" s="64">
        <v>26.97</v>
      </c>
      <c r="M54" s="64">
        <v>87.36</v>
      </c>
      <c r="N54" s="64">
        <v>292.2</v>
      </c>
      <c r="O54" s="64">
        <v>0</v>
      </c>
      <c r="P54" s="64">
        <v>0.9</v>
      </c>
      <c r="Q54" s="64">
        <v>12.94</v>
      </c>
      <c r="R54" s="198"/>
      <c r="S54" s="198"/>
      <c r="T54" s="198"/>
      <c r="U54" s="198"/>
    </row>
    <row r="55" spans="1:21" s="12" customFormat="1" x14ac:dyDescent="0.25">
      <c r="A55" s="214" t="s">
        <v>1543</v>
      </c>
      <c r="B55" s="64">
        <v>13.42</v>
      </c>
      <c r="C55" s="64">
        <v>22</v>
      </c>
      <c r="D55" s="64">
        <v>35.42</v>
      </c>
      <c r="E55" s="64">
        <v>3.07</v>
      </c>
      <c r="F55" s="64">
        <v>2.42</v>
      </c>
      <c r="G55" s="64">
        <v>50.78</v>
      </c>
      <c r="H55" s="64">
        <v>16.62</v>
      </c>
      <c r="I55" s="220" t="s">
        <v>36</v>
      </c>
      <c r="J55" s="64">
        <v>0.51</v>
      </c>
      <c r="K55" s="64">
        <v>318.31</v>
      </c>
      <c r="L55" s="64">
        <v>27.61</v>
      </c>
      <c r="M55" s="64">
        <v>83.3</v>
      </c>
      <c r="N55" s="64">
        <v>250</v>
      </c>
      <c r="O55" s="64">
        <v>0</v>
      </c>
      <c r="P55" s="64">
        <v>0.88</v>
      </c>
      <c r="Q55" s="64">
        <v>13.67</v>
      </c>
      <c r="R55" s="198"/>
      <c r="S55" s="198"/>
      <c r="T55" s="198"/>
      <c r="U55" s="198"/>
    </row>
    <row r="56" spans="1:21" s="12" customFormat="1" x14ac:dyDescent="0.25">
      <c r="A56" s="214" t="s">
        <v>1544</v>
      </c>
      <c r="B56" s="64">
        <v>13.09</v>
      </c>
      <c r="C56" s="64">
        <v>19.09</v>
      </c>
      <c r="D56" s="64">
        <v>32.18</v>
      </c>
      <c r="E56" s="64">
        <v>3.85</v>
      </c>
      <c r="F56" s="64">
        <v>1.72</v>
      </c>
      <c r="G56" s="64">
        <v>61.19</v>
      </c>
      <c r="H56" s="64">
        <v>15.92</v>
      </c>
      <c r="I56" s="220" t="s">
        <v>36</v>
      </c>
      <c r="J56" s="64">
        <v>0.35</v>
      </c>
      <c r="K56" s="64">
        <v>321.67</v>
      </c>
      <c r="L56" s="64">
        <v>27.64</v>
      </c>
      <c r="M56" s="64">
        <v>82.22</v>
      </c>
      <c r="N56" s="64">
        <v>254.2</v>
      </c>
      <c r="O56" s="64">
        <v>0</v>
      </c>
      <c r="P56" s="64">
        <v>0.86</v>
      </c>
      <c r="Q56" s="64">
        <v>14.72</v>
      </c>
      <c r="R56" s="198"/>
      <c r="S56" s="198"/>
      <c r="T56" s="198"/>
      <c r="U56" s="198"/>
    </row>
    <row r="57" spans="1:21" s="12" customFormat="1" x14ac:dyDescent="0.25">
      <c r="A57" s="214" t="s">
        <v>1545</v>
      </c>
      <c r="B57" s="64">
        <v>12.49</v>
      </c>
      <c r="C57" s="64">
        <v>17.2</v>
      </c>
      <c r="D57" s="64">
        <v>29.69</v>
      </c>
      <c r="E57" s="64">
        <v>4.87</v>
      </c>
      <c r="F57" s="64">
        <v>2</v>
      </c>
      <c r="G57" s="64">
        <v>61.19</v>
      </c>
      <c r="H57" s="64">
        <v>15.92</v>
      </c>
      <c r="I57" s="220" t="s">
        <v>36</v>
      </c>
      <c r="J57" s="64">
        <v>0.24</v>
      </c>
      <c r="K57" s="64">
        <v>335.29</v>
      </c>
      <c r="L57" s="64">
        <v>27.95</v>
      </c>
      <c r="M57" s="64">
        <v>80.989999999999995</v>
      </c>
      <c r="N57" s="64">
        <v>348.3</v>
      </c>
      <c r="O57" s="64">
        <v>0</v>
      </c>
      <c r="P57" s="64">
        <v>0.85</v>
      </c>
      <c r="Q57" s="64">
        <v>16.22</v>
      </c>
      <c r="R57" s="198"/>
      <c r="S57" s="198"/>
      <c r="T57" s="198"/>
      <c r="U57" s="198"/>
    </row>
    <row r="58" spans="1:21" s="12" customFormat="1" x14ac:dyDescent="0.25">
      <c r="A58" s="214" t="s">
        <v>1546</v>
      </c>
      <c r="B58" s="64">
        <v>9.6300000000000008</v>
      </c>
      <c r="C58" s="64">
        <v>18.89</v>
      </c>
      <c r="D58" s="64">
        <v>28.52</v>
      </c>
      <c r="E58" s="64">
        <v>4.9400000000000004</v>
      </c>
      <c r="F58" s="64">
        <v>2.48</v>
      </c>
      <c r="G58" s="64">
        <v>61.19</v>
      </c>
      <c r="H58" s="64">
        <v>15.92</v>
      </c>
      <c r="I58" s="220" t="s">
        <v>36</v>
      </c>
      <c r="J58" s="64">
        <v>0.39</v>
      </c>
      <c r="K58" s="64">
        <v>330.86</v>
      </c>
      <c r="L58" s="64">
        <v>28.23</v>
      </c>
      <c r="M58" s="64">
        <v>80.73</v>
      </c>
      <c r="N58" s="64">
        <v>329.6</v>
      </c>
      <c r="O58" s="64">
        <v>0</v>
      </c>
      <c r="P58" s="64">
        <v>0.8</v>
      </c>
      <c r="Q58" s="64">
        <v>16.61</v>
      </c>
      <c r="R58" s="198"/>
      <c r="S58" s="198"/>
      <c r="T58" s="198"/>
      <c r="U58" s="198"/>
    </row>
    <row r="59" spans="1:21" s="12" customFormat="1" x14ac:dyDescent="0.25">
      <c r="A59" s="214" t="s">
        <v>1547</v>
      </c>
      <c r="B59" s="64">
        <v>7.26</v>
      </c>
      <c r="C59" s="64">
        <v>19.420000000000002</v>
      </c>
      <c r="D59" s="64">
        <v>26.68</v>
      </c>
      <c r="E59" s="64">
        <v>5.01</v>
      </c>
      <c r="F59" s="64">
        <v>1.88</v>
      </c>
      <c r="G59" s="64">
        <v>61.66</v>
      </c>
      <c r="H59" s="64">
        <v>16.54</v>
      </c>
      <c r="I59" s="220" t="s">
        <v>36</v>
      </c>
      <c r="J59" s="64">
        <v>0.25</v>
      </c>
      <c r="K59" s="64">
        <v>354.62</v>
      </c>
      <c r="L59" s="64">
        <v>28.02</v>
      </c>
      <c r="M59" s="64">
        <v>81.010000000000005</v>
      </c>
      <c r="N59" s="64">
        <v>265.7</v>
      </c>
      <c r="O59" s="64">
        <v>0</v>
      </c>
      <c r="P59" s="64">
        <v>0.77</v>
      </c>
      <c r="Q59" s="64">
        <v>15.67</v>
      </c>
      <c r="R59" s="198"/>
      <c r="S59" s="198"/>
      <c r="T59" s="198"/>
      <c r="U59" s="198"/>
    </row>
    <row r="60" spans="1:21" s="12" customFormat="1" x14ac:dyDescent="0.25">
      <c r="A60" s="214" t="s">
        <v>1548</v>
      </c>
      <c r="B60" s="64">
        <v>5.64</v>
      </c>
      <c r="C60" s="64">
        <v>20.57</v>
      </c>
      <c r="D60" s="64">
        <v>26.21</v>
      </c>
      <c r="E60" s="64">
        <v>4.66</v>
      </c>
      <c r="F60" s="64">
        <v>2.1</v>
      </c>
      <c r="G60" s="64">
        <v>62.82</v>
      </c>
      <c r="H60" s="64">
        <v>17.79</v>
      </c>
      <c r="I60" s="220" t="s">
        <v>36</v>
      </c>
      <c r="J60" s="64">
        <v>0.26</v>
      </c>
      <c r="K60" s="64">
        <v>332.61</v>
      </c>
      <c r="L60" s="64">
        <v>27.61</v>
      </c>
      <c r="M60" s="64">
        <v>83.45</v>
      </c>
      <c r="N60" s="64">
        <v>218.9</v>
      </c>
      <c r="O60" s="64">
        <v>0</v>
      </c>
      <c r="P60" s="64">
        <v>0.74</v>
      </c>
      <c r="Q60" s="64">
        <v>13.24</v>
      </c>
      <c r="R60" s="198"/>
      <c r="S60" s="198"/>
      <c r="T60" s="198"/>
      <c r="U60" s="198"/>
    </row>
    <row r="61" spans="1:21" s="12" customFormat="1" x14ac:dyDescent="0.25">
      <c r="A61" s="214" t="s">
        <v>1549</v>
      </c>
      <c r="B61" s="64">
        <v>7.12</v>
      </c>
      <c r="C61" s="64">
        <v>21.56</v>
      </c>
      <c r="D61" s="64">
        <v>28.68</v>
      </c>
      <c r="E61" s="64">
        <v>4.67</v>
      </c>
      <c r="F61" s="64">
        <v>2.67</v>
      </c>
      <c r="G61" s="64">
        <v>62.82</v>
      </c>
      <c r="H61" s="64">
        <v>17.79</v>
      </c>
      <c r="I61" s="220" t="s">
        <v>36</v>
      </c>
      <c r="J61" s="64">
        <v>0.33</v>
      </c>
      <c r="K61" s="64">
        <v>330.75</v>
      </c>
      <c r="L61" s="64">
        <v>27.79</v>
      </c>
      <c r="M61" s="64">
        <v>83.75</v>
      </c>
      <c r="N61" s="64">
        <v>211.5</v>
      </c>
      <c r="O61" s="64">
        <v>0</v>
      </c>
      <c r="P61" s="64">
        <v>0.62</v>
      </c>
      <c r="Q61" s="64">
        <v>11.38</v>
      </c>
      <c r="R61" s="198"/>
      <c r="S61" s="198"/>
      <c r="T61" s="198"/>
      <c r="U61" s="198"/>
    </row>
    <row r="62" spans="1:21" s="12" customFormat="1" x14ac:dyDescent="0.25">
      <c r="A62" s="214" t="s">
        <v>1550</v>
      </c>
      <c r="B62" s="64">
        <v>7.15</v>
      </c>
      <c r="C62" s="64">
        <v>23.41</v>
      </c>
      <c r="D62" s="64">
        <v>30.56</v>
      </c>
      <c r="E62" s="64">
        <v>5.0199999999999996</v>
      </c>
      <c r="F62" s="64">
        <v>3.36</v>
      </c>
      <c r="G62" s="64">
        <v>62.82</v>
      </c>
      <c r="H62" s="64">
        <v>17.79</v>
      </c>
      <c r="I62" s="220" t="s">
        <v>36</v>
      </c>
      <c r="J62" s="64">
        <v>0.23</v>
      </c>
      <c r="K62" s="64">
        <v>341.34</v>
      </c>
      <c r="L62" s="64">
        <v>28.03</v>
      </c>
      <c r="M62" s="64">
        <v>80.44</v>
      </c>
      <c r="N62" s="64">
        <v>284.8</v>
      </c>
      <c r="O62" s="64">
        <v>0</v>
      </c>
      <c r="P62" s="64">
        <v>0.64</v>
      </c>
      <c r="Q62" s="64">
        <v>10.34</v>
      </c>
      <c r="R62" s="198"/>
      <c r="S62" s="198"/>
      <c r="T62" s="198"/>
      <c r="U62" s="198"/>
    </row>
    <row r="63" spans="1:21" s="12" customFormat="1" x14ac:dyDescent="0.25">
      <c r="A63" s="214" t="s">
        <v>1551</v>
      </c>
      <c r="B63" s="64">
        <v>6.07</v>
      </c>
      <c r="C63" s="64">
        <v>20.46</v>
      </c>
      <c r="D63" s="64">
        <v>26.52</v>
      </c>
      <c r="E63" s="64">
        <v>4.62</v>
      </c>
      <c r="F63" s="64">
        <v>2.84</v>
      </c>
      <c r="G63" s="64">
        <v>61.92</v>
      </c>
      <c r="H63" s="64">
        <v>16.07</v>
      </c>
      <c r="I63" s="64">
        <v>0.08</v>
      </c>
      <c r="J63" s="64">
        <v>0.73</v>
      </c>
      <c r="K63" s="64">
        <v>321.7</v>
      </c>
      <c r="L63" s="64">
        <v>28.62</v>
      </c>
      <c r="M63" s="64">
        <v>77.569999999999993</v>
      </c>
      <c r="N63" s="64">
        <v>296.60000000000002</v>
      </c>
      <c r="O63" s="64">
        <v>0</v>
      </c>
      <c r="P63" s="64">
        <v>0.63</v>
      </c>
      <c r="Q63" s="64">
        <v>9.6999999999999993</v>
      </c>
      <c r="R63" s="198"/>
      <c r="S63" s="198"/>
      <c r="T63" s="198"/>
      <c r="U63" s="198"/>
    </row>
    <row r="64" spans="1:21" s="12" customFormat="1" x14ac:dyDescent="0.25">
      <c r="A64" s="214" t="s">
        <v>1552</v>
      </c>
      <c r="B64" s="64">
        <v>5.92</v>
      </c>
      <c r="C64" s="64">
        <v>19.47</v>
      </c>
      <c r="D64" s="64">
        <v>25.38</v>
      </c>
      <c r="E64" s="64">
        <v>4.37</v>
      </c>
      <c r="F64" s="64">
        <v>1.75</v>
      </c>
      <c r="G64" s="64">
        <v>59.73</v>
      </c>
      <c r="H64" s="64">
        <v>13.36</v>
      </c>
      <c r="I64" s="64">
        <v>1.85</v>
      </c>
      <c r="J64" s="64">
        <v>0.18</v>
      </c>
      <c r="K64" s="64">
        <v>359.86</v>
      </c>
      <c r="L64" s="64">
        <v>28.12</v>
      </c>
      <c r="M64" s="64">
        <v>79.78</v>
      </c>
      <c r="N64" s="64">
        <v>118.3</v>
      </c>
      <c r="O64" s="64">
        <v>0</v>
      </c>
      <c r="P64" s="64">
        <v>0.64</v>
      </c>
      <c r="Q64" s="64">
        <v>10.67</v>
      </c>
      <c r="R64" s="198"/>
      <c r="S64" s="198"/>
      <c r="T64" s="198"/>
      <c r="U64" s="198"/>
    </row>
    <row r="65" spans="1:21" s="12" customFormat="1" x14ac:dyDescent="0.25">
      <c r="A65" s="214" t="s">
        <v>1553</v>
      </c>
      <c r="B65" s="64">
        <v>7.61</v>
      </c>
      <c r="C65" s="64">
        <v>22.57</v>
      </c>
      <c r="D65" s="64">
        <v>30.18</v>
      </c>
      <c r="E65" s="64">
        <v>4.3099999999999996</v>
      </c>
      <c r="F65" s="64">
        <v>3.62</v>
      </c>
      <c r="G65" s="64">
        <v>59.73</v>
      </c>
      <c r="H65" s="64">
        <v>13.36</v>
      </c>
      <c r="I65" s="64">
        <v>1.77</v>
      </c>
      <c r="J65" s="64">
        <v>0.05</v>
      </c>
      <c r="K65" s="64">
        <v>344.35</v>
      </c>
      <c r="L65" s="64">
        <v>26.2</v>
      </c>
      <c r="M65" s="64">
        <v>89.69</v>
      </c>
      <c r="N65" s="64">
        <v>53.4</v>
      </c>
      <c r="O65" s="64">
        <v>0</v>
      </c>
      <c r="P65" s="64">
        <v>0.67</v>
      </c>
      <c r="Q65" s="64">
        <v>11.9</v>
      </c>
      <c r="R65" s="198"/>
      <c r="S65" s="198"/>
      <c r="T65" s="198"/>
      <c r="U65" s="198"/>
    </row>
    <row r="66" spans="1:21" s="12" customFormat="1" x14ac:dyDescent="0.25">
      <c r="A66" s="214" t="s">
        <v>1554</v>
      </c>
      <c r="B66" s="64">
        <v>5.46</v>
      </c>
      <c r="C66" s="64">
        <v>22.22</v>
      </c>
      <c r="D66" s="64">
        <v>27.69</v>
      </c>
      <c r="E66" s="64">
        <v>4.7</v>
      </c>
      <c r="F66" s="64">
        <v>5.41</v>
      </c>
      <c r="G66" s="64">
        <v>59.73</v>
      </c>
      <c r="H66" s="64">
        <v>13.36</v>
      </c>
      <c r="I66" s="64">
        <v>1.81</v>
      </c>
      <c r="J66" s="64">
        <v>0.06</v>
      </c>
      <c r="K66" s="64">
        <v>285.02</v>
      </c>
      <c r="L66" s="64">
        <v>25.59</v>
      </c>
      <c r="M66" s="64">
        <v>93.06</v>
      </c>
      <c r="N66" s="64">
        <v>31.4</v>
      </c>
      <c r="O66" s="64">
        <v>0.2</v>
      </c>
      <c r="P66" s="64">
        <v>0.57999999999999996</v>
      </c>
      <c r="Q66" s="64">
        <v>11.29</v>
      </c>
      <c r="R66" s="198"/>
      <c r="S66" s="198"/>
      <c r="T66" s="198"/>
      <c r="U66" s="198"/>
    </row>
    <row r="67" spans="1:21" s="12" customFormat="1" x14ac:dyDescent="0.25">
      <c r="A67" s="214" t="s">
        <v>1555</v>
      </c>
      <c r="B67" s="64">
        <v>5.05</v>
      </c>
      <c r="C67" s="64">
        <v>19.920000000000002</v>
      </c>
      <c r="D67" s="64">
        <v>24.97</v>
      </c>
      <c r="E67" s="64">
        <v>4.79</v>
      </c>
      <c r="F67" s="64">
        <v>4.9800000000000004</v>
      </c>
      <c r="G67" s="64">
        <v>54.39</v>
      </c>
      <c r="H67" s="64">
        <v>14.6</v>
      </c>
      <c r="I67" s="64">
        <v>1.77</v>
      </c>
      <c r="J67" s="64">
        <v>7.0000000000000007E-2</v>
      </c>
      <c r="K67" s="64">
        <v>14.3</v>
      </c>
      <c r="L67" s="64">
        <v>24.82</v>
      </c>
      <c r="M67" s="64">
        <v>98.6</v>
      </c>
      <c r="N67" s="64">
        <v>19.7</v>
      </c>
      <c r="O67" s="64">
        <v>1.4</v>
      </c>
      <c r="P67" s="64">
        <v>0.63</v>
      </c>
      <c r="Q67" s="64">
        <v>11.02</v>
      </c>
      <c r="R67" s="198"/>
      <c r="S67" s="198"/>
      <c r="T67" s="198"/>
      <c r="U67" s="198"/>
    </row>
    <row r="68" spans="1:21" s="12" customFormat="1" x14ac:dyDescent="0.25">
      <c r="A68" s="214" t="s">
        <v>1556</v>
      </c>
      <c r="B68" s="64">
        <v>4.2300000000000004</v>
      </c>
      <c r="C68" s="64">
        <v>22.94</v>
      </c>
      <c r="D68" s="64">
        <v>27.18</v>
      </c>
      <c r="E68" s="64">
        <v>4.84</v>
      </c>
      <c r="F68" s="64">
        <v>4.2</v>
      </c>
      <c r="G68" s="64">
        <v>41.24</v>
      </c>
      <c r="H68" s="64">
        <v>16.68</v>
      </c>
      <c r="I68" s="64">
        <v>1.82</v>
      </c>
      <c r="J68" s="64">
        <v>0.01</v>
      </c>
      <c r="K68" s="64">
        <v>216.29</v>
      </c>
      <c r="L68" s="64">
        <v>24.1</v>
      </c>
      <c r="M68" s="64">
        <v>98.76</v>
      </c>
      <c r="N68" s="64">
        <v>13</v>
      </c>
      <c r="O68" s="64">
        <v>3.8</v>
      </c>
      <c r="P68" s="64">
        <v>0.59</v>
      </c>
      <c r="Q68" s="64">
        <v>11.52</v>
      </c>
      <c r="R68" s="198"/>
      <c r="S68" s="198"/>
      <c r="T68" s="198"/>
      <c r="U68" s="198"/>
    </row>
    <row r="69" spans="1:21" s="12" customFormat="1" x14ac:dyDescent="0.25">
      <c r="A69" s="214" t="s">
        <v>1557</v>
      </c>
      <c r="B69" s="64">
        <v>12.36</v>
      </c>
      <c r="C69" s="64">
        <v>24.66</v>
      </c>
      <c r="D69" s="64">
        <v>37.020000000000003</v>
      </c>
      <c r="E69" s="64">
        <v>5.04</v>
      </c>
      <c r="F69" s="64">
        <v>4.76</v>
      </c>
      <c r="G69" s="64">
        <v>41.24</v>
      </c>
      <c r="H69" s="64">
        <v>16.68</v>
      </c>
      <c r="I69" s="64">
        <v>1.81</v>
      </c>
      <c r="J69" s="64">
        <v>0.15</v>
      </c>
      <c r="K69" s="64">
        <v>353.4</v>
      </c>
      <c r="L69" s="64">
        <v>23.89</v>
      </c>
      <c r="M69" s="64">
        <v>98.78</v>
      </c>
      <c r="N69" s="64">
        <v>10.5</v>
      </c>
      <c r="O69" s="64">
        <v>5.8</v>
      </c>
      <c r="P69" s="64">
        <v>0.6</v>
      </c>
      <c r="Q69" s="64">
        <v>11.87</v>
      </c>
      <c r="R69" s="198"/>
      <c r="S69" s="198"/>
      <c r="T69" s="198"/>
      <c r="U69" s="198"/>
    </row>
    <row r="70" spans="1:21" s="12" customFormat="1" x14ac:dyDescent="0.25">
      <c r="A70" s="214" t="s">
        <v>1558</v>
      </c>
      <c r="B70" s="64">
        <v>7.95</v>
      </c>
      <c r="C70" s="64">
        <v>17.510000000000002</v>
      </c>
      <c r="D70" s="64">
        <v>25.47</v>
      </c>
      <c r="E70" s="64">
        <v>5.24</v>
      </c>
      <c r="F70" s="64">
        <v>1.39</v>
      </c>
      <c r="G70" s="64">
        <v>41.24</v>
      </c>
      <c r="H70" s="64">
        <v>16.68</v>
      </c>
      <c r="I70" s="64">
        <v>1.89</v>
      </c>
      <c r="J70" s="64">
        <v>2.35</v>
      </c>
      <c r="K70" s="64">
        <v>119.97</v>
      </c>
      <c r="L70" s="64">
        <v>22.52</v>
      </c>
      <c r="M70" s="64">
        <v>98.77</v>
      </c>
      <c r="N70" s="64">
        <v>14.9</v>
      </c>
      <c r="O70" s="64">
        <v>13.2</v>
      </c>
      <c r="P70" s="64">
        <v>0.57999999999999996</v>
      </c>
      <c r="Q70" s="64">
        <v>12.55</v>
      </c>
      <c r="R70" s="198"/>
      <c r="S70" s="198"/>
      <c r="T70" s="198"/>
      <c r="U70" s="198"/>
    </row>
    <row r="71" spans="1:21" s="12" customFormat="1" x14ac:dyDescent="0.25">
      <c r="A71" s="214" t="s">
        <v>1559</v>
      </c>
      <c r="B71" s="64">
        <v>5.92</v>
      </c>
      <c r="C71" s="64">
        <v>14.33</v>
      </c>
      <c r="D71" s="64">
        <v>20.25</v>
      </c>
      <c r="E71" s="64">
        <v>4.9800000000000004</v>
      </c>
      <c r="F71" s="64">
        <v>1.26</v>
      </c>
      <c r="G71" s="64">
        <v>41.8</v>
      </c>
      <c r="H71" s="64">
        <v>15.32</v>
      </c>
      <c r="I71" s="64">
        <v>1.77</v>
      </c>
      <c r="J71" s="64">
        <v>0.25</v>
      </c>
      <c r="K71" s="64">
        <v>164.27</v>
      </c>
      <c r="L71" s="64">
        <v>21.58</v>
      </c>
      <c r="M71" s="64">
        <v>98.78</v>
      </c>
      <c r="N71" s="64">
        <v>17.600000000000001</v>
      </c>
      <c r="O71" s="64">
        <v>0.8</v>
      </c>
      <c r="P71" s="64">
        <v>0.52</v>
      </c>
      <c r="Q71" s="64">
        <v>14.64</v>
      </c>
      <c r="R71" s="198"/>
      <c r="S71" s="198"/>
      <c r="T71" s="198"/>
      <c r="U71" s="198"/>
    </row>
    <row r="72" spans="1:21" s="12" customFormat="1" x14ac:dyDescent="0.25">
      <c r="A72" s="214" t="s">
        <v>1560</v>
      </c>
      <c r="B72" s="64">
        <v>4.53</v>
      </c>
      <c r="C72" s="64">
        <v>14.87</v>
      </c>
      <c r="D72" s="64">
        <v>19.399999999999999</v>
      </c>
      <c r="E72" s="64">
        <v>2.96</v>
      </c>
      <c r="F72" s="64">
        <v>93.11</v>
      </c>
      <c r="G72" s="64">
        <v>43.2</v>
      </c>
      <c r="H72" s="64">
        <v>12.56</v>
      </c>
      <c r="I72" s="64">
        <v>1.77</v>
      </c>
      <c r="J72" s="64">
        <v>7.0000000000000007E-2</v>
      </c>
      <c r="K72" s="64">
        <v>355.6</v>
      </c>
      <c r="L72" s="64">
        <v>21.99</v>
      </c>
      <c r="M72" s="64">
        <v>98.78</v>
      </c>
      <c r="N72" s="64">
        <v>21.2</v>
      </c>
      <c r="O72" s="64">
        <v>0</v>
      </c>
      <c r="P72" s="64">
        <v>0.49</v>
      </c>
      <c r="Q72" s="64">
        <v>12.64</v>
      </c>
      <c r="R72" s="198"/>
      <c r="S72" s="198"/>
      <c r="T72" s="198"/>
      <c r="U72" s="198"/>
    </row>
    <row r="73" spans="1:21" s="12" customFormat="1" x14ac:dyDescent="0.25">
      <c r="A73" s="214" t="s">
        <v>1561</v>
      </c>
      <c r="B73" s="64">
        <v>6.71</v>
      </c>
      <c r="C73" s="64">
        <v>20.23</v>
      </c>
      <c r="D73" s="64">
        <v>26.95</v>
      </c>
      <c r="E73" s="64">
        <v>3.13</v>
      </c>
      <c r="F73" s="64">
        <v>1.74</v>
      </c>
      <c r="G73" s="64">
        <v>43.2</v>
      </c>
      <c r="H73" s="64">
        <v>12.56</v>
      </c>
      <c r="I73" s="64">
        <v>1.78</v>
      </c>
      <c r="J73" s="64">
        <v>0.31</v>
      </c>
      <c r="K73" s="64">
        <v>150.99</v>
      </c>
      <c r="L73" s="64">
        <v>22.05</v>
      </c>
      <c r="M73" s="64">
        <v>98.78</v>
      </c>
      <c r="N73" s="64">
        <v>41.2</v>
      </c>
      <c r="O73" s="64">
        <v>0</v>
      </c>
      <c r="P73" s="64">
        <v>0.49</v>
      </c>
      <c r="Q73" s="64">
        <v>13.72</v>
      </c>
      <c r="R73" s="198"/>
      <c r="S73" s="198"/>
      <c r="T73" s="198"/>
      <c r="U73" s="198"/>
    </row>
    <row r="74" spans="1:21" s="12" customFormat="1" x14ac:dyDescent="0.25">
      <c r="A74" s="214" t="s">
        <v>1562</v>
      </c>
      <c r="B74" s="64">
        <v>6.75</v>
      </c>
      <c r="C74" s="64">
        <v>20.43</v>
      </c>
      <c r="D74" s="64">
        <v>27.17</v>
      </c>
      <c r="E74" s="64">
        <v>3.17</v>
      </c>
      <c r="F74" s="64">
        <v>1.65</v>
      </c>
      <c r="G74" s="64">
        <v>43.2</v>
      </c>
      <c r="H74" s="64">
        <v>12.56</v>
      </c>
      <c r="I74" s="64">
        <v>1.87</v>
      </c>
      <c r="J74" s="64">
        <v>0.09</v>
      </c>
      <c r="K74" s="64">
        <v>190.01</v>
      </c>
      <c r="L74" s="64">
        <v>22.22</v>
      </c>
      <c r="M74" s="64">
        <v>98.78</v>
      </c>
      <c r="N74" s="64">
        <v>55.6</v>
      </c>
      <c r="O74" s="64">
        <v>0</v>
      </c>
      <c r="P74" s="64">
        <v>0.48</v>
      </c>
      <c r="Q74" s="64">
        <v>12.86</v>
      </c>
      <c r="R74" s="198"/>
      <c r="S74" s="198"/>
      <c r="T74" s="198"/>
      <c r="U74" s="198"/>
    </row>
    <row r="75" spans="1:21" s="12" customFormat="1" x14ac:dyDescent="0.25">
      <c r="A75" s="214" t="s">
        <v>1563</v>
      </c>
      <c r="B75" s="64">
        <v>6.74</v>
      </c>
      <c r="C75" s="64">
        <v>18.149999999999999</v>
      </c>
      <c r="D75" s="64">
        <v>24.89</v>
      </c>
      <c r="E75" s="64">
        <v>3.31</v>
      </c>
      <c r="F75" s="64">
        <v>0.77</v>
      </c>
      <c r="G75" s="64">
        <v>39.130000000000003</v>
      </c>
      <c r="H75" s="64">
        <v>12.35</v>
      </c>
      <c r="I75" s="64">
        <v>1.8</v>
      </c>
      <c r="J75" s="64">
        <v>0.11</v>
      </c>
      <c r="K75" s="64">
        <v>169.18</v>
      </c>
      <c r="L75" s="64">
        <v>22.38</v>
      </c>
      <c r="M75" s="64">
        <v>98.78</v>
      </c>
      <c r="N75" s="64">
        <v>56.1</v>
      </c>
      <c r="O75" s="64">
        <v>0</v>
      </c>
      <c r="P75" s="64">
        <v>0.49</v>
      </c>
      <c r="Q75" s="64">
        <v>12.52</v>
      </c>
      <c r="R75" s="198"/>
      <c r="S75" s="198"/>
      <c r="T75" s="198"/>
      <c r="U75" s="198"/>
    </row>
    <row r="76" spans="1:21" s="12" customFormat="1" x14ac:dyDescent="0.25">
      <c r="A76" s="214" t="s">
        <v>1564</v>
      </c>
      <c r="B76" s="64">
        <v>6.12</v>
      </c>
      <c r="C76" s="64">
        <v>14.94</v>
      </c>
      <c r="D76" s="64">
        <v>21.06</v>
      </c>
      <c r="E76" s="64">
        <v>3.35</v>
      </c>
      <c r="F76" s="64">
        <v>0.5</v>
      </c>
      <c r="G76" s="64">
        <v>29.14</v>
      </c>
      <c r="H76" s="64">
        <v>12</v>
      </c>
      <c r="I76" s="64">
        <v>1.85</v>
      </c>
      <c r="J76" s="64">
        <v>0.18</v>
      </c>
      <c r="K76" s="64">
        <v>21.88</v>
      </c>
      <c r="L76" s="64">
        <v>22.45</v>
      </c>
      <c r="M76" s="64">
        <v>98.78</v>
      </c>
      <c r="N76" s="64">
        <v>57.8</v>
      </c>
      <c r="O76" s="64">
        <v>0</v>
      </c>
      <c r="P76" s="64">
        <v>0.49</v>
      </c>
      <c r="Q76" s="64">
        <v>14.86</v>
      </c>
      <c r="R76" s="198"/>
      <c r="S76" s="198"/>
      <c r="T76" s="198"/>
      <c r="U76" s="198"/>
    </row>
    <row r="77" spans="1:21" s="12" customFormat="1" x14ac:dyDescent="0.25">
      <c r="A77" s="214" t="s">
        <v>1565</v>
      </c>
      <c r="B77" s="64">
        <v>6.01</v>
      </c>
      <c r="C77" s="64">
        <v>14.65</v>
      </c>
      <c r="D77" s="64">
        <v>20.67</v>
      </c>
      <c r="E77" s="64">
        <v>3.68</v>
      </c>
      <c r="F77" s="64">
        <v>1.21</v>
      </c>
      <c r="G77" s="64">
        <v>29.14</v>
      </c>
      <c r="H77" s="64">
        <v>12</v>
      </c>
      <c r="I77" s="64">
        <v>1.73</v>
      </c>
      <c r="J77" s="64">
        <v>0.24</v>
      </c>
      <c r="K77" s="64">
        <v>16.68</v>
      </c>
      <c r="L77" s="64">
        <v>22.33</v>
      </c>
      <c r="M77" s="64">
        <v>98.78</v>
      </c>
      <c r="N77" s="64">
        <v>42.7</v>
      </c>
      <c r="O77" s="64">
        <v>0</v>
      </c>
      <c r="P77" s="64">
        <v>0.49</v>
      </c>
      <c r="Q77" s="64">
        <v>14.52</v>
      </c>
      <c r="R77" s="198"/>
      <c r="S77" s="198"/>
      <c r="T77" s="198"/>
      <c r="U77" s="198"/>
    </row>
    <row r="78" spans="1:21" s="12" customFormat="1" x14ac:dyDescent="0.25">
      <c r="A78" s="214" t="s">
        <v>1566</v>
      </c>
      <c r="B78" s="64">
        <v>5.53</v>
      </c>
      <c r="C78" s="64">
        <v>15.14</v>
      </c>
      <c r="D78" s="64">
        <v>20.67</v>
      </c>
      <c r="E78" s="64">
        <v>3.54</v>
      </c>
      <c r="F78" s="64">
        <v>1.43</v>
      </c>
      <c r="G78" s="64">
        <v>29.14</v>
      </c>
      <c r="H78" s="64">
        <v>12</v>
      </c>
      <c r="I78" s="64">
        <v>1.76</v>
      </c>
      <c r="J78" s="64">
        <v>0.35</v>
      </c>
      <c r="K78" s="64">
        <v>26.97</v>
      </c>
      <c r="L78" s="64">
        <v>22.32</v>
      </c>
      <c r="M78" s="64">
        <v>98.78</v>
      </c>
      <c r="N78" s="64">
        <v>22.8</v>
      </c>
      <c r="O78" s="64">
        <v>0</v>
      </c>
      <c r="P78" s="64">
        <v>0.49</v>
      </c>
      <c r="Q78" s="64">
        <v>13.82</v>
      </c>
      <c r="R78" s="198"/>
      <c r="S78" s="198"/>
      <c r="T78" s="198"/>
      <c r="U78" s="198"/>
    </row>
    <row r="79" spans="1:21" s="12" customFormat="1" x14ac:dyDescent="0.25">
      <c r="A79" s="214" t="s">
        <v>1567</v>
      </c>
      <c r="B79" s="64">
        <v>5.08</v>
      </c>
      <c r="C79" s="64">
        <v>16.68</v>
      </c>
      <c r="D79" s="64">
        <v>21.76</v>
      </c>
      <c r="E79" s="64">
        <v>3.36</v>
      </c>
      <c r="F79" s="64">
        <v>1.76</v>
      </c>
      <c r="G79" s="64">
        <v>26.34</v>
      </c>
      <c r="H79" s="64">
        <v>11.26</v>
      </c>
      <c r="I79" s="64">
        <v>1.79</v>
      </c>
      <c r="J79" s="64">
        <v>0.34</v>
      </c>
      <c r="K79" s="64">
        <v>21.46</v>
      </c>
      <c r="L79" s="64">
        <v>22.37</v>
      </c>
      <c r="M79" s="64">
        <v>98.78</v>
      </c>
      <c r="N79" s="64">
        <v>14.1</v>
      </c>
      <c r="O79" s="64">
        <v>0</v>
      </c>
      <c r="P79" s="64">
        <v>0.5</v>
      </c>
      <c r="Q79" s="64">
        <v>13.03</v>
      </c>
      <c r="R79" s="198"/>
      <c r="S79" s="198"/>
      <c r="T79" s="198"/>
      <c r="U79" s="198"/>
    </row>
    <row r="80" spans="1:21" s="12" customFormat="1" x14ac:dyDescent="0.25">
      <c r="A80" s="214" t="s">
        <v>1568</v>
      </c>
      <c r="B80" s="64">
        <v>4.4400000000000004</v>
      </c>
      <c r="C80" s="64">
        <v>18.03</v>
      </c>
      <c r="D80" s="64">
        <v>22.48</v>
      </c>
      <c r="E80" s="64">
        <v>4.2</v>
      </c>
      <c r="F80" s="64">
        <v>1.32</v>
      </c>
      <c r="G80" s="64">
        <v>19.45</v>
      </c>
      <c r="H80" s="64">
        <v>8.41</v>
      </c>
      <c r="I80" s="64">
        <v>1.79</v>
      </c>
      <c r="J80" s="64">
        <v>0.37</v>
      </c>
      <c r="K80" s="64">
        <v>28.37</v>
      </c>
      <c r="L80" s="64">
        <v>22.39</v>
      </c>
      <c r="M80" s="64">
        <v>98.78</v>
      </c>
      <c r="N80" s="64">
        <v>11.1</v>
      </c>
      <c r="O80" s="64">
        <v>0</v>
      </c>
      <c r="P80" s="64">
        <v>0.51</v>
      </c>
      <c r="Q80" s="64">
        <v>21.22</v>
      </c>
      <c r="R80" s="198"/>
      <c r="S80" s="198"/>
      <c r="T80" s="198"/>
      <c r="U80" s="198"/>
    </row>
    <row r="81" spans="1:26" s="12" customFormat="1" x14ac:dyDescent="0.25">
      <c r="A81" s="214" t="s">
        <v>1569</v>
      </c>
      <c r="B81" s="64">
        <v>4.05</v>
      </c>
      <c r="C81" s="64">
        <v>17.829999999999998</v>
      </c>
      <c r="D81" s="64">
        <v>21.89</v>
      </c>
      <c r="E81" s="64">
        <v>3.24</v>
      </c>
      <c r="F81" s="64">
        <v>1.32</v>
      </c>
      <c r="G81" s="64">
        <v>19.45</v>
      </c>
      <c r="H81" s="64">
        <v>8.41</v>
      </c>
      <c r="I81" s="64">
        <v>1.71</v>
      </c>
      <c r="J81" s="64">
        <v>0.32</v>
      </c>
      <c r="K81" s="64">
        <v>18.760000000000002</v>
      </c>
      <c r="L81" s="64">
        <v>22.39</v>
      </c>
      <c r="M81" s="64">
        <v>98.77</v>
      </c>
      <c r="N81" s="64">
        <v>9.8000000000000007</v>
      </c>
      <c r="O81" s="64">
        <v>1.8</v>
      </c>
      <c r="P81" s="64">
        <v>0.51</v>
      </c>
      <c r="Q81" s="64">
        <v>53.69</v>
      </c>
      <c r="R81" s="198"/>
      <c r="S81" s="198"/>
      <c r="T81" s="198"/>
      <c r="U81" s="198"/>
    </row>
    <row r="82" spans="1:26" s="12" customFormat="1" x14ac:dyDescent="0.25">
      <c r="A82" s="214" t="s">
        <v>1570</v>
      </c>
      <c r="B82" s="64">
        <v>4.16</v>
      </c>
      <c r="C82" s="64">
        <v>17.39</v>
      </c>
      <c r="D82" s="64">
        <v>21.55</v>
      </c>
      <c r="E82" s="64">
        <v>3.35</v>
      </c>
      <c r="F82" s="64">
        <v>0.49</v>
      </c>
      <c r="G82" s="64">
        <v>19.45</v>
      </c>
      <c r="H82" s="64">
        <v>8.41</v>
      </c>
      <c r="I82" s="64">
        <v>1.87</v>
      </c>
      <c r="J82" s="64">
        <v>0.24</v>
      </c>
      <c r="K82" s="64">
        <v>28.59</v>
      </c>
      <c r="L82" s="64">
        <v>21.88</v>
      </c>
      <c r="M82" s="64">
        <v>98.78</v>
      </c>
      <c r="N82" s="64">
        <v>9.6</v>
      </c>
      <c r="O82" s="64">
        <v>3.8</v>
      </c>
      <c r="P82" s="64">
        <v>0.5</v>
      </c>
      <c r="Q82" s="64">
        <v>55.89</v>
      </c>
      <c r="R82" s="198"/>
      <c r="S82" s="198"/>
      <c r="T82" s="198"/>
      <c r="U82" s="198"/>
    </row>
    <row r="83" spans="1:26" s="12" customFormat="1" x14ac:dyDescent="0.25">
      <c r="A83" s="214" t="s">
        <v>1571</v>
      </c>
      <c r="B83" s="64">
        <v>3.99</v>
      </c>
      <c r="C83" s="64">
        <v>15.6</v>
      </c>
      <c r="D83" s="64">
        <v>19.59</v>
      </c>
      <c r="E83" s="64">
        <v>2.72</v>
      </c>
      <c r="F83" s="64">
        <v>1.56</v>
      </c>
      <c r="G83" s="64">
        <v>21.64</v>
      </c>
      <c r="H83" s="64">
        <v>7.84</v>
      </c>
      <c r="I83" s="64">
        <v>1.79</v>
      </c>
      <c r="J83" s="64">
        <v>0.35</v>
      </c>
      <c r="K83" s="64">
        <v>27.86</v>
      </c>
      <c r="L83" s="64">
        <v>21.64</v>
      </c>
      <c r="M83" s="64">
        <v>98.78</v>
      </c>
      <c r="N83" s="64">
        <v>9.6</v>
      </c>
      <c r="O83" s="64">
        <v>0</v>
      </c>
      <c r="P83" s="64">
        <v>0.48</v>
      </c>
      <c r="Q83" s="64">
        <v>32.43</v>
      </c>
      <c r="R83" s="198"/>
      <c r="S83" s="198"/>
      <c r="T83" s="198"/>
      <c r="U83" s="198"/>
    </row>
    <row r="84" spans="1:26" s="12" customFormat="1" x14ac:dyDescent="0.25">
      <c r="A84" s="214" t="s">
        <v>1572</v>
      </c>
      <c r="B84" s="64">
        <v>3.39</v>
      </c>
      <c r="C84" s="64">
        <v>14.32</v>
      </c>
      <c r="D84" s="64">
        <v>17.7</v>
      </c>
      <c r="E84" s="64">
        <v>3.13</v>
      </c>
      <c r="F84" s="64">
        <v>1.03</v>
      </c>
      <c r="G84" s="64">
        <v>27.05</v>
      </c>
      <c r="H84" s="64">
        <v>6.88</v>
      </c>
      <c r="I84" s="64">
        <v>1.82</v>
      </c>
      <c r="J84" s="64">
        <v>0.22</v>
      </c>
      <c r="K84" s="64">
        <v>23.13</v>
      </c>
      <c r="L84" s="64">
        <v>21.61</v>
      </c>
      <c r="M84" s="64">
        <v>98.78</v>
      </c>
      <c r="N84" s="64">
        <v>9.3000000000000007</v>
      </c>
      <c r="O84" s="64">
        <v>0</v>
      </c>
      <c r="P84" s="64">
        <v>0.48</v>
      </c>
      <c r="Q84" s="64">
        <v>24.24</v>
      </c>
      <c r="R84" s="198"/>
      <c r="S84" s="198"/>
      <c r="T84" s="198"/>
      <c r="U84" s="198"/>
    </row>
    <row r="85" spans="1:26" s="12" customFormat="1" x14ac:dyDescent="0.25">
      <c r="A85" s="214" t="s">
        <v>1573</v>
      </c>
      <c r="B85" s="64">
        <v>3.13</v>
      </c>
      <c r="C85" s="64">
        <v>13.41</v>
      </c>
      <c r="D85" s="64">
        <v>16.55</v>
      </c>
      <c r="E85" s="64">
        <v>2.29</v>
      </c>
      <c r="F85" s="64">
        <v>1.62</v>
      </c>
      <c r="G85" s="64">
        <v>27.05</v>
      </c>
      <c r="H85" s="64">
        <v>6.88</v>
      </c>
      <c r="I85" s="64">
        <v>1.78</v>
      </c>
      <c r="J85" s="64">
        <v>0.17</v>
      </c>
      <c r="K85" s="64">
        <v>21.43</v>
      </c>
      <c r="L85" s="64">
        <v>21.61</v>
      </c>
      <c r="M85" s="64">
        <v>98.78</v>
      </c>
      <c r="N85" s="64">
        <v>9.4</v>
      </c>
      <c r="O85" s="64">
        <v>0.2</v>
      </c>
      <c r="P85" s="64">
        <v>0.5</v>
      </c>
      <c r="Q85" s="64">
        <v>15.55</v>
      </c>
      <c r="R85" s="198"/>
      <c r="S85" s="198"/>
      <c r="T85" s="198"/>
      <c r="U85" s="198"/>
    </row>
    <row r="86" spans="1:26" s="12" customFormat="1" x14ac:dyDescent="0.25">
      <c r="A86" s="214" t="s">
        <v>1574</v>
      </c>
      <c r="B86" s="64">
        <v>2.99</v>
      </c>
      <c r="C86" s="64">
        <v>12.55</v>
      </c>
      <c r="D86" s="64">
        <v>15.54</v>
      </c>
      <c r="E86" s="64">
        <v>3.06</v>
      </c>
      <c r="F86" s="64">
        <v>0.92</v>
      </c>
      <c r="G86" s="64">
        <v>27.05</v>
      </c>
      <c r="H86" s="64">
        <v>6.88</v>
      </c>
      <c r="I86" s="64">
        <v>1.74</v>
      </c>
      <c r="J86" s="64">
        <v>0.18</v>
      </c>
      <c r="K86" s="64">
        <v>33</v>
      </c>
      <c r="L86" s="64">
        <v>21.72</v>
      </c>
      <c r="M86" s="64">
        <v>98.78</v>
      </c>
      <c r="N86" s="64">
        <v>9</v>
      </c>
      <c r="O86" s="64">
        <v>0</v>
      </c>
      <c r="P86" s="64">
        <v>0.53</v>
      </c>
      <c r="Q86" s="64">
        <v>14.15</v>
      </c>
      <c r="R86" s="198"/>
      <c r="S86" s="198"/>
      <c r="T86" s="198"/>
      <c r="U86" s="198"/>
    </row>
    <row r="87" spans="1:26" s="12" customFormat="1" x14ac:dyDescent="0.25">
      <c r="A87" s="214" t="s">
        <v>1575</v>
      </c>
      <c r="B87" s="64">
        <v>3.13</v>
      </c>
      <c r="C87" s="64">
        <v>12.02</v>
      </c>
      <c r="D87" s="64">
        <v>15.15</v>
      </c>
      <c r="E87" s="64">
        <v>3</v>
      </c>
      <c r="F87" s="64">
        <v>0.91</v>
      </c>
      <c r="G87" s="64">
        <v>25.35</v>
      </c>
      <c r="H87" s="64">
        <v>7.25</v>
      </c>
      <c r="I87" s="64">
        <v>1.81</v>
      </c>
      <c r="J87" s="64">
        <v>0.12</v>
      </c>
      <c r="K87" s="64">
        <v>23.71</v>
      </c>
      <c r="L87" s="64">
        <v>21.9</v>
      </c>
      <c r="M87" s="64">
        <v>98.78</v>
      </c>
      <c r="N87" s="64">
        <v>9.1</v>
      </c>
      <c r="O87" s="64">
        <v>0.2</v>
      </c>
      <c r="P87" s="64">
        <v>0.53</v>
      </c>
      <c r="Q87" s="64">
        <v>11.15</v>
      </c>
      <c r="R87" s="198"/>
      <c r="S87" s="198"/>
      <c r="T87" s="198"/>
      <c r="U87" s="198"/>
    </row>
    <row r="88" spans="1:26" s="12" customFormat="1" x14ac:dyDescent="0.25">
      <c r="A88" s="214" t="s">
        <v>1576</v>
      </c>
      <c r="B88" s="64">
        <v>3.12</v>
      </c>
      <c r="C88" s="64">
        <v>11.3</v>
      </c>
      <c r="D88" s="64">
        <v>14.42</v>
      </c>
      <c r="E88" s="64">
        <v>4.3600000000000003</v>
      </c>
      <c r="F88" s="64">
        <v>1.35</v>
      </c>
      <c r="G88" s="64">
        <v>21.16</v>
      </c>
      <c r="H88" s="64">
        <v>7.85</v>
      </c>
      <c r="I88" s="64">
        <v>1.8</v>
      </c>
      <c r="J88" s="64">
        <v>0.18</v>
      </c>
      <c r="K88" s="64">
        <v>25.83</v>
      </c>
      <c r="L88" s="64">
        <v>22.05</v>
      </c>
      <c r="M88" s="64">
        <v>98.78</v>
      </c>
      <c r="N88" s="64">
        <v>9.1</v>
      </c>
      <c r="O88" s="64">
        <v>0</v>
      </c>
      <c r="P88" s="64">
        <v>0.54</v>
      </c>
      <c r="Q88" s="64">
        <v>10.27</v>
      </c>
      <c r="R88" s="198"/>
      <c r="S88" s="198"/>
      <c r="T88" s="198"/>
      <c r="U88" s="198"/>
    </row>
    <row r="89" spans="1:26" s="12" customFormat="1" x14ac:dyDescent="0.25">
      <c r="A89" s="214" t="s">
        <v>1577</v>
      </c>
      <c r="B89" s="64">
        <v>3.14</v>
      </c>
      <c r="C89" s="64">
        <v>13.28</v>
      </c>
      <c r="D89" s="64">
        <v>16.420000000000002</v>
      </c>
      <c r="E89" s="64">
        <v>5.25</v>
      </c>
      <c r="F89" s="64">
        <v>1.0900000000000001</v>
      </c>
      <c r="G89" s="64">
        <v>21.16</v>
      </c>
      <c r="H89" s="64">
        <v>7.85</v>
      </c>
      <c r="I89" s="64">
        <v>1.8</v>
      </c>
      <c r="J89" s="64">
        <v>0.15</v>
      </c>
      <c r="K89" s="64">
        <v>33.049999999999997</v>
      </c>
      <c r="L89" s="64">
        <v>22.17</v>
      </c>
      <c r="M89" s="64">
        <v>98.79</v>
      </c>
      <c r="N89" s="64">
        <v>9.1</v>
      </c>
      <c r="O89" s="64">
        <v>0.6</v>
      </c>
      <c r="P89" s="64">
        <v>0.53</v>
      </c>
      <c r="Q89" s="64">
        <v>11.94</v>
      </c>
      <c r="R89" s="198"/>
      <c r="S89" s="198"/>
      <c r="T89" s="198"/>
      <c r="U89" s="198"/>
    </row>
    <row r="90" spans="1:26" s="12" customFormat="1" x14ac:dyDescent="0.25">
      <c r="A90" s="214" t="s">
        <v>1578</v>
      </c>
      <c r="B90" s="64">
        <v>3.27</v>
      </c>
      <c r="C90" s="64">
        <v>12.76</v>
      </c>
      <c r="D90" s="64">
        <v>16.04</v>
      </c>
      <c r="E90" s="64">
        <v>5.19</v>
      </c>
      <c r="F90" s="64">
        <v>0.97</v>
      </c>
      <c r="G90" s="64">
        <v>21.16</v>
      </c>
      <c r="H90" s="64">
        <v>7.85</v>
      </c>
      <c r="I90" s="64">
        <v>1.82</v>
      </c>
      <c r="J90" s="64">
        <v>0.34</v>
      </c>
      <c r="K90" s="64">
        <v>30.9</v>
      </c>
      <c r="L90" s="64">
        <v>22.19</v>
      </c>
      <c r="M90" s="64">
        <v>98.78</v>
      </c>
      <c r="N90" s="64">
        <v>9.3000000000000007</v>
      </c>
      <c r="O90" s="64">
        <v>1</v>
      </c>
      <c r="P90" s="64">
        <v>0.54</v>
      </c>
      <c r="Q90" s="64">
        <v>11.45</v>
      </c>
      <c r="R90" s="198"/>
      <c r="S90" s="198"/>
      <c r="T90" s="198"/>
      <c r="U90" s="198"/>
    </row>
    <row r="91" spans="1:26" s="12" customFormat="1" x14ac:dyDescent="0.25">
      <c r="A91" s="214" t="s">
        <v>1579</v>
      </c>
      <c r="B91" s="64">
        <v>3.98</v>
      </c>
      <c r="C91" s="64">
        <v>13.24</v>
      </c>
      <c r="D91" s="64">
        <v>17.22</v>
      </c>
      <c r="E91" s="64">
        <v>5.22</v>
      </c>
      <c r="F91" s="64">
        <v>1.21</v>
      </c>
      <c r="G91" s="64">
        <v>20.58</v>
      </c>
      <c r="H91" s="64">
        <v>8.4</v>
      </c>
      <c r="I91" s="64">
        <v>1.82</v>
      </c>
      <c r="J91" s="64">
        <v>0.38</v>
      </c>
      <c r="K91" s="64">
        <v>26.68</v>
      </c>
      <c r="L91" s="64">
        <v>22.11</v>
      </c>
      <c r="M91" s="64">
        <v>98.78</v>
      </c>
      <c r="N91" s="64">
        <v>9.5</v>
      </c>
      <c r="O91" s="64">
        <v>0.8</v>
      </c>
      <c r="P91" s="64">
        <v>0.56000000000000005</v>
      </c>
      <c r="Q91" s="64">
        <v>11.29</v>
      </c>
      <c r="R91" s="198"/>
      <c r="S91" s="198"/>
      <c r="T91" s="198"/>
      <c r="U91" s="198"/>
    </row>
    <row r="92" spans="1:26" s="12" customFormat="1" x14ac:dyDescent="0.25">
      <c r="A92" s="214" t="s">
        <v>1580</v>
      </c>
      <c r="B92" s="64">
        <v>4.62</v>
      </c>
      <c r="C92" s="64">
        <v>15.09</v>
      </c>
      <c r="D92" s="64">
        <v>19.71</v>
      </c>
      <c r="E92" s="64">
        <v>5.63</v>
      </c>
      <c r="F92" s="64">
        <v>1</v>
      </c>
      <c r="G92" s="64">
        <v>19.16</v>
      </c>
      <c r="H92" s="64">
        <v>9.34</v>
      </c>
      <c r="I92" s="64">
        <v>1.87</v>
      </c>
      <c r="J92" s="64">
        <v>0.4</v>
      </c>
      <c r="K92" s="64">
        <v>13.66</v>
      </c>
      <c r="L92" s="64">
        <v>21.99</v>
      </c>
      <c r="M92" s="64">
        <v>98.78</v>
      </c>
      <c r="N92" s="64">
        <v>9.6999999999999993</v>
      </c>
      <c r="O92" s="64">
        <v>4.8</v>
      </c>
      <c r="P92" s="64">
        <v>0.66</v>
      </c>
      <c r="Q92" s="64">
        <v>11.28</v>
      </c>
      <c r="R92" s="198"/>
      <c r="S92" s="198"/>
      <c r="T92" s="198"/>
      <c r="U92" s="198"/>
    </row>
    <row r="93" spans="1:26" s="12" customFormat="1" x14ac:dyDescent="0.25">
      <c r="A93" s="214" t="s">
        <v>1581</v>
      </c>
      <c r="B93" s="64">
        <v>4.95</v>
      </c>
      <c r="C93" s="64">
        <v>16.86</v>
      </c>
      <c r="D93" s="64">
        <v>21.82</v>
      </c>
      <c r="E93" s="64">
        <v>4.9400000000000004</v>
      </c>
      <c r="F93" s="64">
        <v>1.45</v>
      </c>
      <c r="G93" s="64">
        <v>19.16</v>
      </c>
      <c r="H93" s="64">
        <v>9.34</v>
      </c>
      <c r="I93" s="64">
        <v>1.76</v>
      </c>
      <c r="J93" s="64">
        <v>0.27</v>
      </c>
      <c r="K93" s="64">
        <v>8.76</v>
      </c>
      <c r="L93" s="64">
        <v>21.7</v>
      </c>
      <c r="M93" s="64">
        <v>98.78</v>
      </c>
      <c r="N93" s="64">
        <v>9.6</v>
      </c>
      <c r="O93" s="64">
        <v>4.8</v>
      </c>
      <c r="P93" s="64">
        <v>0.73</v>
      </c>
      <c r="Q93" s="64">
        <v>10.95</v>
      </c>
      <c r="R93" s="198"/>
      <c r="S93" s="198"/>
      <c r="T93" s="198"/>
      <c r="U93" s="198"/>
    </row>
    <row r="94" spans="1:26" s="12" customFormat="1" x14ac:dyDescent="0.25">
      <c r="A94" s="214" t="s">
        <v>1582</v>
      </c>
      <c r="B94" s="64">
        <v>4.47</v>
      </c>
      <c r="C94" s="64">
        <v>15.69</v>
      </c>
      <c r="D94" s="64">
        <v>20.170000000000002</v>
      </c>
      <c r="E94" s="64">
        <v>5.13</v>
      </c>
      <c r="F94" s="64">
        <v>0.72</v>
      </c>
      <c r="G94" s="64">
        <v>19.16</v>
      </c>
      <c r="H94" s="64">
        <v>9.34</v>
      </c>
      <c r="I94" s="64">
        <v>1.77</v>
      </c>
      <c r="J94" s="64">
        <v>0.68</v>
      </c>
      <c r="K94" s="64">
        <v>321.18</v>
      </c>
      <c r="L94" s="64">
        <v>21.61</v>
      </c>
      <c r="M94" s="64">
        <v>98.78</v>
      </c>
      <c r="N94" s="64">
        <v>9.6</v>
      </c>
      <c r="O94" s="64">
        <v>4.4000000000000004</v>
      </c>
      <c r="P94" s="64">
        <v>0.77</v>
      </c>
      <c r="Q94" s="64">
        <v>10.27</v>
      </c>
      <c r="R94" s="198"/>
      <c r="S94" s="198"/>
      <c r="T94" s="198"/>
      <c r="U94" s="198"/>
    </row>
    <row r="95" spans="1:26" s="12" customFormat="1" x14ac:dyDescent="0.25">
      <c r="A95" s="214" t="s">
        <v>1583</v>
      </c>
      <c r="B95" s="64">
        <v>4.51</v>
      </c>
      <c r="C95" s="64">
        <v>14.54</v>
      </c>
      <c r="D95" s="64">
        <v>19.059999999999999</v>
      </c>
      <c r="E95" s="64">
        <v>5.35</v>
      </c>
      <c r="F95" s="64">
        <v>1.59</v>
      </c>
      <c r="G95" s="64">
        <v>19.170000000000002</v>
      </c>
      <c r="H95" s="64">
        <v>9.48</v>
      </c>
      <c r="I95" s="64">
        <v>1.75</v>
      </c>
      <c r="J95" s="64">
        <v>0.49</v>
      </c>
      <c r="K95" s="64">
        <v>16.600000000000001</v>
      </c>
      <c r="L95" s="64">
        <v>21.53</v>
      </c>
      <c r="M95" s="64">
        <v>98.78</v>
      </c>
      <c r="N95" s="64">
        <v>9.5</v>
      </c>
      <c r="O95" s="64">
        <v>14.2</v>
      </c>
      <c r="P95" s="64">
        <v>0.83</v>
      </c>
      <c r="Q95" s="64">
        <v>8.5</v>
      </c>
      <c r="R95" s="198"/>
      <c r="S95" s="198"/>
      <c r="T95" s="198"/>
      <c r="U95" s="198"/>
    </row>
    <row r="96" spans="1:26" s="12" customFormat="1" x14ac:dyDescent="0.25">
      <c r="A96" s="214" t="s">
        <v>1584</v>
      </c>
      <c r="B96" s="64">
        <v>4.0199999999999996</v>
      </c>
      <c r="C96" s="64">
        <v>16.14</v>
      </c>
      <c r="D96" s="64">
        <v>20.149999999999999</v>
      </c>
      <c r="E96" s="64">
        <v>5.48</v>
      </c>
      <c r="F96" s="64">
        <v>1.06</v>
      </c>
      <c r="G96" s="64">
        <v>19.190000000000001</v>
      </c>
      <c r="H96" s="64">
        <v>9.7100000000000009</v>
      </c>
      <c r="I96" s="64">
        <v>1.8</v>
      </c>
      <c r="J96" s="64">
        <v>0.45</v>
      </c>
      <c r="K96" s="64">
        <v>23.88</v>
      </c>
      <c r="L96" s="64">
        <v>21.56</v>
      </c>
      <c r="M96" s="64">
        <v>98.78</v>
      </c>
      <c r="N96" s="64">
        <v>9.1999999999999993</v>
      </c>
      <c r="O96" s="64">
        <v>4.5999999999999996</v>
      </c>
      <c r="P96" s="64">
        <v>0.84</v>
      </c>
      <c r="Q96" s="64">
        <v>9.7200000000000006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1585</v>
      </c>
      <c r="B97" s="64">
        <v>4.04</v>
      </c>
      <c r="C97" s="64">
        <v>17.53</v>
      </c>
      <c r="D97" s="64">
        <v>21.57</v>
      </c>
      <c r="E97" s="64">
        <v>5.44</v>
      </c>
      <c r="F97" s="64">
        <v>1.59</v>
      </c>
      <c r="G97" s="64">
        <v>19.190000000000001</v>
      </c>
      <c r="H97" s="64">
        <v>9.7100000000000009</v>
      </c>
      <c r="I97" s="64">
        <v>1.84</v>
      </c>
      <c r="J97" s="64">
        <v>0.4</v>
      </c>
      <c r="K97" s="64">
        <v>28.34</v>
      </c>
      <c r="L97" s="64">
        <v>21.55</v>
      </c>
      <c r="M97" s="64">
        <v>98.78</v>
      </c>
      <c r="N97" s="64">
        <v>9.4</v>
      </c>
      <c r="O97" s="64">
        <v>1.2</v>
      </c>
      <c r="P97" s="64">
        <v>0.94</v>
      </c>
      <c r="Q97" s="64">
        <v>8.5</v>
      </c>
      <c r="R97" s="198"/>
      <c r="S97" s="198"/>
      <c r="T97" s="198"/>
      <c r="U97" s="198"/>
    </row>
    <row r="98" spans="1:33" s="12" customFormat="1" x14ac:dyDescent="0.25">
      <c r="A98" s="214" t="s">
        <v>1586</v>
      </c>
      <c r="B98" s="64">
        <v>4.21</v>
      </c>
      <c r="C98" s="64">
        <v>17.649999999999999</v>
      </c>
      <c r="D98" s="64">
        <v>21.86</v>
      </c>
      <c r="E98" s="64">
        <v>5.15</v>
      </c>
      <c r="F98" s="64">
        <v>0.92</v>
      </c>
      <c r="G98" s="64">
        <v>19.190000000000001</v>
      </c>
      <c r="H98" s="64">
        <v>9.7100000000000009</v>
      </c>
      <c r="I98" s="64">
        <v>1.79</v>
      </c>
      <c r="J98" s="64">
        <v>0.28999999999999998</v>
      </c>
      <c r="K98" s="64">
        <v>35.81</v>
      </c>
      <c r="L98" s="64">
        <v>21.5</v>
      </c>
      <c r="M98" s="64">
        <v>98.78</v>
      </c>
      <c r="N98" s="64">
        <v>9.5</v>
      </c>
      <c r="O98" s="64">
        <v>1.2</v>
      </c>
      <c r="P98" s="64">
        <v>0.95</v>
      </c>
      <c r="Q98" s="64">
        <v>8.74</v>
      </c>
      <c r="R98" s="198"/>
      <c r="S98" s="198"/>
      <c r="T98" s="198"/>
      <c r="U98" s="198"/>
    </row>
    <row r="99" spans="1:33" s="12" customFormat="1" x14ac:dyDescent="0.25">
      <c r="A99" s="214" t="s">
        <v>1587</v>
      </c>
      <c r="B99" s="64">
        <v>4.13</v>
      </c>
      <c r="C99" s="64">
        <v>16.29</v>
      </c>
      <c r="D99" s="64">
        <v>20.41</v>
      </c>
      <c r="E99" s="64">
        <v>4.92</v>
      </c>
      <c r="F99" s="64">
        <v>1.67</v>
      </c>
      <c r="G99" s="64">
        <v>18.649999999999999</v>
      </c>
      <c r="H99" s="64">
        <v>8.7200000000000006</v>
      </c>
      <c r="I99" s="64">
        <v>1.81</v>
      </c>
      <c r="J99" s="64">
        <v>0.36</v>
      </c>
      <c r="K99" s="64">
        <v>32.409999999999997</v>
      </c>
      <c r="L99" s="64">
        <v>21.45</v>
      </c>
      <c r="M99" s="64">
        <v>98.78</v>
      </c>
      <c r="N99" s="64">
        <v>9.4</v>
      </c>
      <c r="O99" s="64">
        <v>1.6</v>
      </c>
      <c r="P99" s="64">
        <v>0.93</v>
      </c>
      <c r="Q99" s="64">
        <v>7.29</v>
      </c>
      <c r="R99" s="198"/>
      <c r="S99" s="198"/>
      <c r="T99" s="198"/>
      <c r="U99" s="198"/>
    </row>
    <row r="100" spans="1:33" s="12" customFormat="1" x14ac:dyDescent="0.25">
      <c r="A100" s="214" t="s">
        <v>1588</v>
      </c>
      <c r="B100" s="64">
        <v>3.73</v>
      </c>
      <c r="C100" s="64">
        <v>15.29</v>
      </c>
      <c r="D100" s="64">
        <v>19.02</v>
      </c>
      <c r="E100" s="64">
        <v>5.27</v>
      </c>
      <c r="F100" s="64">
        <v>0.26</v>
      </c>
      <c r="G100" s="64">
        <v>17.32</v>
      </c>
      <c r="H100" s="64">
        <v>7.12</v>
      </c>
      <c r="I100" s="64">
        <v>1.83</v>
      </c>
      <c r="J100" s="64">
        <v>0.28000000000000003</v>
      </c>
      <c r="K100" s="64">
        <v>38.65</v>
      </c>
      <c r="L100" s="64">
        <v>21.54</v>
      </c>
      <c r="M100" s="64">
        <v>98.78</v>
      </c>
      <c r="N100" s="64">
        <v>9.1999999999999993</v>
      </c>
      <c r="O100" s="64">
        <v>0.8</v>
      </c>
      <c r="P100" s="64">
        <v>0.86</v>
      </c>
      <c r="Q100" s="64">
        <v>8.52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1589</v>
      </c>
      <c r="B101" s="64">
        <v>3.42</v>
      </c>
      <c r="C101" s="64">
        <v>14.61</v>
      </c>
      <c r="D101" s="64">
        <v>18.03</v>
      </c>
      <c r="E101" s="64">
        <v>5.42</v>
      </c>
      <c r="F101" s="64">
        <v>0.95</v>
      </c>
      <c r="G101" s="64">
        <v>17.32</v>
      </c>
      <c r="H101" s="64">
        <v>7.12</v>
      </c>
      <c r="I101" s="64">
        <v>1.76</v>
      </c>
      <c r="J101" s="64">
        <v>0.22</v>
      </c>
      <c r="K101" s="64">
        <v>16.760000000000002</v>
      </c>
      <c r="L101" s="64">
        <v>21.66</v>
      </c>
      <c r="M101" s="64">
        <v>98.78</v>
      </c>
      <c r="N101" s="64">
        <v>9.1999999999999993</v>
      </c>
      <c r="O101" s="64">
        <v>1.4</v>
      </c>
      <c r="P101" s="64">
        <v>0.82</v>
      </c>
      <c r="Q101" s="64">
        <v>8.0399999999999991</v>
      </c>
      <c r="R101" s="198"/>
      <c r="S101" s="198"/>
      <c r="T101" s="198"/>
      <c r="U101" s="198"/>
    </row>
    <row r="102" spans="1:33" s="12" customFormat="1" x14ac:dyDescent="0.25">
      <c r="A102" s="214" t="s">
        <v>1590</v>
      </c>
      <c r="B102" s="64">
        <v>3.38</v>
      </c>
      <c r="C102" s="64">
        <v>14.02</v>
      </c>
      <c r="D102" s="64">
        <v>17.399999999999999</v>
      </c>
      <c r="E102" s="64">
        <v>5.21</v>
      </c>
      <c r="F102" s="64">
        <v>0.96</v>
      </c>
      <c r="G102" s="64">
        <v>17.32</v>
      </c>
      <c r="H102" s="64">
        <v>7.12</v>
      </c>
      <c r="I102" s="64">
        <v>1.78</v>
      </c>
      <c r="J102" s="64">
        <v>0.31</v>
      </c>
      <c r="K102" s="64">
        <v>14.54</v>
      </c>
      <c r="L102" s="64">
        <v>21.79</v>
      </c>
      <c r="M102" s="64">
        <v>98.79</v>
      </c>
      <c r="N102" s="64">
        <v>9.3000000000000007</v>
      </c>
      <c r="O102" s="64">
        <v>1.4</v>
      </c>
      <c r="P102" s="64">
        <v>0.79</v>
      </c>
      <c r="Q102" s="64">
        <v>7.67</v>
      </c>
      <c r="R102" s="198"/>
      <c r="S102" s="198"/>
      <c r="T102" s="198"/>
      <c r="U102" s="198"/>
    </row>
    <row r="103" spans="1:33" s="12" customFormat="1" x14ac:dyDescent="0.25">
      <c r="A103" s="214" t="s">
        <v>1591</v>
      </c>
      <c r="B103" s="64">
        <v>3.54</v>
      </c>
      <c r="C103" s="64">
        <v>13.45</v>
      </c>
      <c r="D103" s="64">
        <v>16.989999999999998</v>
      </c>
      <c r="E103" s="64">
        <v>5.24</v>
      </c>
      <c r="F103" s="64">
        <v>1.1399999999999999</v>
      </c>
      <c r="G103" s="64">
        <v>16.43</v>
      </c>
      <c r="H103" s="64">
        <v>7.29</v>
      </c>
      <c r="I103" s="64">
        <v>1.73</v>
      </c>
      <c r="J103" s="64">
        <v>0.3</v>
      </c>
      <c r="K103" s="64">
        <v>0.45</v>
      </c>
      <c r="L103" s="64">
        <v>21.77</v>
      </c>
      <c r="M103" s="64">
        <v>98.78</v>
      </c>
      <c r="N103" s="64">
        <v>9.5</v>
      </c>
      <c r="O103" s="64">
        <v>1.2</v>
      </c>
      <c r="P103" s="64">
        <v>0.75</v>
      </c>
      <c r="Q103" s="64">
        <v>7.36</v>
      </c>
      <c r="R103" s="198"/>
      <c r="S103" s="198"/>
      <c r="T103" s="198"/>
      <c r="U103" s="198"/>
    </row>
    <row r="104" spans="1:33" s="12" customFormat="1" x14ac:dyDescent="0.25">
      <c r="A104" s="214" t="s">
        <v>1592</v>
      </c>
      <c r="B104" s="64">
        <v>3.63</v>
      </c>
      <c r="C104" s="64">
        <v>13.1</v>
      </c>
      <c r="D104" s="64">
        <v>16.73</v>
      </c>
      <c r="E104" s="64">
        <v>3.43</v>
      </c>
      <c r="F104" s="64">
        <v>0.64</v>
      </c>
      <c r="G104" s="64">
        <v>14.23</v>
      </c>
      <c r="H104" s="64">
        <v>7.96</v>
      </c>
      <c r="I104" s="64">
        <v>1.84</v>
      </c>
      <c r="J104" s="64">
        <v>0.33</v>
      </c>
      <c r="K104" s="64">
        <v>345.92</v>
      </c>
      <c r="L104" s="64">
        <v>21.78</v>
      </c>
      <c r="M104" s="64">
        <v>98.78</v>
      </c>
      <c r="N104" s="64">
        <v>9.4</v>
      </c>
      <c r="O104" s="64">
        <v>1</v>
      </c>
      <c r="P104" s="64">
        <v>0.71</v>
      </c>
      <c r="Q104" s="64">
        <v>7.11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2.99</v>
      </c>
      <c r="C106" s="67">
        <f>MIN(C9:C104)</f>
        <v>5.82</v>
      </c>
      <c r="D106" s="67">
        <f t="shared" ref="D106:Q106" si="0">MIN(D9:D104)</f>
        <v>9.6300000000000008</v>
      </c>
      <c r="E106" s="67">
        <f t="shared" si="0"/>
        <v>2.0099999999999998</v>
      </c>
      <c r="F106" s="67">
        <f t="shared" si="0"/>
        <v>0.08</v>
      </c>
      <c r="G106" s="67">
        <f t="shared" si="0"/>
        <v>8.2899999999999991</v>
      </c>
      <c r="H106" s="67">
        <f t="shared" si="0"/>
        <v>3.32</v>
      </c>
      <c r="I106" s="67">
        <f t="shared" si="0"/>
        <v>0.08</v>
      </c>
      <c r="J106" s="67">
        <f t="shared" si="0"/>
        <v>0.01</v>
      </c>
      <c r="K106" s="67">
        <f t="shared" si="0"/>
        <v>0.45</v>
      </c>
      <c r="L106" s="67">
        <f t="shared" si="0"/>
        <v>21.01</v>
      </c>
      <c r="M106" s="67">
        <f t="shared" si="0"/>
        <v>77.569999999999993</v>
      </c>
      <c r="N106" s="67">
        <f t="shared" si="0"/>
        <v>9</v>
      </c>
      <c r="O106" s="67">
        <f t="shared" si="0"/>
        <v>0</v>
      </c>
      <c r="P106" s="67">
        <f t="shared" si="0"/>
        <v>0.12</v>
      </c>
      <c r="Q106" s="67">
        <f t="shared" si="0"/>
        <v>7.11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17.48</v>
      </c>
      <c r="C107" s="66">
        <f t="shared" ref="C107:Q107" si="1">MAX(C9:C104)</f>
        <v>24.66</v>
      </c>
      <c r="D107" s="66">
        <f t="shared" si="1"/>
        <v>37.020000000000003</v>
      </c>
      <c r="E107" s="66">
        <f t="shared" si="1"/>
        <v>5.63</v>
      </c>
      <c r="F107" s="66">
        <f t="shared" si="1"/>
        <v>93.11</v>
      </c>
      <c r="G107" s="66">
        <f t="shared" si="1"/>
        <v>62.82</v>
      </c>
      <c r="H107" s="66">
        <f t="shared" si="1"/>
        <v>17.79</v>
      </c>
      <c r="I107" s="66">
        <f t="shared" si="1"/>
        <v>1.89</v>
      </c>
      <c r="J107" s="66">
        <f t="shared" si="1"/>
        <v>2.35</v>
      </c>
      <c r="K107" s="66">
        <f t="shared" si="1"/>
        <v>359.86</v>
      </c>
      <c r="L107" s="66">
        <f t="shared" si="1"/>
        <v>28.62</v>
      </c>
      <c r="M107" s="66">
        <f t="shared" si="1"/>
        <v>98.79</v>
      </c>
      <c r="N107" s="66">
        <f t="shared" si="1"/>
        <v>348.3</v>
      </c>
      <c r="O107" s="66">
        <f t="shared" si="1"/>
        <v>14.2</v>
      </c>
      <c r="P107" s="66">
        <f t="shared" si="1"/>
        <v>0.95</v>
      </c>
      <c r="Q107" s="66">
        <f t="shared" si="1"/>
        <v>55.89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7.2277419354838708</v>
      </c>
      <c r="C108" s="67">
        <f t="shared" ref="C108:Q108" si="2">AVERAGE(C9:C104)</f>
        <v>13.939784946236555</v>
      </c>
      <c r="D108" s="67">
        <f t="shared" si="2"/>
        <v>21.168494623655924</v>
      </c>
      <c r="E108" s="67">
        <f t="shared" si="2"/>
        <v>4.0915853658536578</v>
      </c>
      <c r="F108" s="67">
        <f t="shared" si="2"/>
        <v>2.3926086956521737</v>
      </c>
      <c r="G108" s="67">
        <f t="shared" si="2"/>
        <v>28.284042553191487</v>
      </c>
      <c r="H108" s="67">
        <f t="shared" si="2"/>
        <v>9.7538297872340429</v>
      </c>
      <c r="I108" s="67">
        <f t="shared" si="2"/>
        <v>1.7571428571428573</v>
      </c>
      <c r="J108" s="67">
        <f t="shared" si="2"/>
        <v>0.28361702127659566</v>
      </c>
      <c r="K108" s="67">
        <f t="shared" si="2"/>
        <v>169.07000000000005</v>
      </c>
      <c r="L108" s="67">
        <f t="shared" si="2"/>
        <v>23.121702127659564</v>
      </c>
      <c r="M108" s="67">
        <f t="shared" si="2"/>
        <v>95.98744680851064</v>
      </c>
      <c r="N108" s="67">
        <f t="shared" si="2"/>
        <v>72.524468085106406</v>
      </c>
      <c r="O108" s="67">
        <f t="shared" si="2"/>
        <v>0.83829787234042552</v>
      </c>
      <c r="P108" s="67">
        <f t="shared" si="2"/>
        <v>0.53212765957446784</v>
      </c>
      <c r="Q108" s="67">
        <f t="shared" si="2"/>
        <v>15.767802197802199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4.5688822553348443</v>
      </c>
      <c r="C109" s="67">
        <f t="shared" ref="C109:Q109" si="3">STDEV(C9:C104)</f>
        <v>4.644882873633204</v>
      </c>
      <c r="D109" s="67">
        <f t="shared" si="3"/>
        <v>6.8663609668150123</v>
      </c>
      <c r="E109" s="67">
        <f t="shared" si="3"/>
        <v>0.8501684212404973</v>
      </c>
      <c r="F109" s="67">
        <f t="shared" si="3"/>
        <v>9.6701387957316705</v>
      </c>
      <c r="G109" s="67">
        <f t="shared" si="3"/>
        <v>15.940980415279347</v>
      </c>
      <c r="H109" s="67">
        <f t="shared" si="3"/>
        <v>4.0352191733743101</v>
      </c>
      <c r="I109" s="67">
        <f t="shared" si="3"/>
        <v>0.26823984275349028</v>
      </c>
      <c r="J109" s="67">
        <f t="shared" si="3"/>
        <v>0.26455420431168536</v>
      </c>
      <c r="K109" s="67">
        <f t="shared" si="3"/>
        <v>153.47036598822305</v>
      </c>
      <c r="L109" s="67">
        <f t="shared" si="3"/>
        <v>2.255511595066471</v>
      </c>
      <c r="M109" s="67">
        <f t="shared" si="3"/>
        <v>5.7420476914327869</v>
      </c>
      <c r="N109" s="67">
        <f t="shared" si="3"/>
        <v>98.977743437353553</v>
      </c>
      <c r="O109" s="67">
        <f t="shared" si="3"/>
        <v>2.2720890100209084</v>
      </c>
      <c r="P109" s="67">
        <f t="shared" si="3"/>
        <v>0.24442987137913522</v>
      </c>
      <c r="Q109" s="67">
        <f t="shared" si="3"/>
        <v>9.0293370991080284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>COUNT(C9:C104)+3</f>
        <v>96</v>
      </c>
      <c r="D110" s="66">
        <f>COUNT(D9:D104)+3</f>
        <v>96</v>
      </c>
      <c r="E110" s="66">
        <f>COUNT(E9:E104)+14</f>
        <v>96</v>
      </c>
      <c r="F110" s="66">
        <f>COUNT(F9:F104)+4</f>
        <v>96</v>
      </c>
      <c r="G110" s="66">
        <f>COUNT(G9:G104)+2</f>
        <v>96</v>
      </c>
      <c r="H110" s="66">
        <f>COUNT(H9:H104)+2</f>
        <v>96</v>
      </c>
      <c r="I110" s="66">
        <f>COUNT(I9:I104)+54</f>
        <v>96</v>
      </c>
      <c r="J110" s="66">
        <f t="shared" ref="J110:P110" si="4">COUNT(J9:J104)+2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COUNT(Q9:Q104)+5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N110" sqref="N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1593</v>
      </c>
      <c r="B9" s="64">
        <v>3.55</v>
      </c>
      <c r="C9" s="64">
        <v>12.33</v>
      </c>
      <c r="D9" s="64">
        <v>15.88</v>
      </c>
      <c r="E9" s="64">
        <v>3.89</v>
      </c>
      <c r="F9" s="64">
        <v>0.51</v>
      </c>
      <c r="G9" s="64">
        <v>14.23</v>
      </c>
      <c r="H9" s="64">
        <v>7.96</v>
      </c>
      <c r="I9" s="64">
        <v>1.86</v>
      </c>
      <c r="J9" s="64">
        <v>0.24</v>
      </c>
      <c r="K9" s="64">
        <v>5.22</v>
      </c>
      <c r="L9" s="64">
        <v>21.71</v>
      </c>
      <c r="M9" s="64">
        <v>98.78</v>
      </c>
      <c r="N9" s="64">
        <v>9.4</v>
      </c>
      <c r="O9" s="64">
        <v>1.6</v>
      </c>
      <c r="P9" s="64">
        <v>0.68</v>
      </c>
      <c r="Q9" s="64">
        <v>6.98</v>
      </c>
      <c r="R9" s="198"/>
      <c r="S9" s="198"/>
      <c r="T9" s="198"/>
      <c r="U9" s="198"/>
    </row>
    <row r="10" spans="1:21" s="12" customFormat="1" x14ac:dyDescent="0.25">
      <c r="A10" s="214" t="s">
        <v>1594</v>
      </c>
      <c r="B10" s="64">
        <v>3.44</v>
      </c>
      <c r="C10" s="64">
        <v>11.56</v>
      </c>
      <c r="D10" s="64">
        <v>15</v>
      </c>
      <c r="E10" s="64">
        <v>3.06</v>
      </c>
      <c r="F10" s="64">
        <v>0.69</v>
      </c>
      <c r="G10" s="64">
        <v>14.23</v>
      </c>
      <c r="H10" s="64">
        <v>7.96</v>
      </c>
      <c r="I10" s="64">
        <v>1.76</v>
      </c>
      <c r="J10" s="64">
        <v>0.31</v>
      </c>
      <c r="K10" s="64">
        <v>337.6</v>
      </c>
      <c r="L10" s="64">
        <v>21.69</v>
      </c>
      <c r="M10" s="64">
        <v>98.78</v>
      </c>
      <c r="N10" s="64">
        <v>9.4</v>
      </c>
      <c r="O10" s="64">
        <v>2.2000000000000002</v>
      </c>
      <c r="P10" s="64">
        <v>0.63</v>
      </c>
      <c r="Q10" s="64">
        <v>5.43</v>
      </c>
      <c r="R10" s="198"/>
      <c r="S10" s="198"/>
      <c r="T10" s="198"/>
      <c r="U10" s="198"/>
    </row>
    <row r="11" spans="1:21" s="12" customFormat="1" x14ac:dyDescent="0.25">
      <c r="A11" s="214" t="s">
        <v>1595</v>
      </c>
      <c r="B11" s="64">
        <v>3.37</v>
      </c>
      <c r="C11" s="64">
        <v>11.07</v>
      </c>
      <c r="D11" s="64">
        <v>14.44</v>
      </c>
      <c r="E11" s="64">
        <v>3.38</v>
      </c>
      <c r="F11" s="64">
        <v>0.69</v>
      </c>
      <c r="G11" s="64">
        <v>13.02</v>
      </c>
      <c r="H11" s="64">
        <v>7.68</v>
      </c>
      <c r="I11" s="64">
        <v>1.78</v>
      </c>
      <c r="J11" s="64">
        <v>0.26</v>
      </c>
      <c r="K11" s="64">
        <v>14.45</v>
      </c>
      <c r="L11" s="64">
        <v>21.67</v>
      </c>
      <c r="M11" s="64">
        <v>98.78</v>
      </c>
      <c r="N11" s="64">
        <v>9.3000000000000007</v>
      </c>
      <c r="O11" s="64">
        <v>1.6</v>
      </c>
      <c r="P11" s="64">
        <v>0.6</v>
      </c>
      <c r="Q11" s="64">
        <v>5.42</v>
      </c>
      <c r="R11" s="198"/>
      <c r="S11" s="198"/>
      <c r="T11" s="198"/>
      <c r="U11" s="198"/>
    </row>
    <row r="12" spans="1:21" s="12" customFormat="1" x14ac:dyDescent="0.25">
      <c r="A12" s="214" t="s">
        <v>1596</v>
      </c>
      <c r="B12" s="64">
        <v>3.24</v>
      </c>
      <c r="C12" s="64">
        <v>10.71</v>
      </c>
      <c r="D12" s="64">
        <v>13.96</v>
      </c>
      <c r="E12" s="64">
        <v>3.57</v>
      </c>
      <c r="F12" s="64">
        <v>1.01</v>
      </c>
      <c r="G12" s="64">
        <v>10.029999999999999</v>
      </c>
      <c r="H12" s="64">
        <v>7.23</v>
      </c>
      <c r="I12" s="64">
        <v>1.84</v>
      </c>
      <c r="J12" s="64">
        <v>0.6</v>
      </c>
      <c r="K12" s="64">
        <v>328.92</v>
      </c>
      <c r="L12" s="64">
        <v>21.61</v>
      </c>
      <c r="M12" s="64">
        <v>98.78</v>
      </c>
      <c r="N12" s="64">
        <v>9.6</v>
      </c>
      <c r="O12" s="64">
        <v>2.2000000000000002</v>
      </c>
      <c r="P12" s="64">
        <v>0.57999999999999996</v>
      </c>
      <c r="Q12" s="64">
        <v>4.91</v>
      </c>
      <c r="R12" s="198"/>
      <c r="S12" s="198"/>
      <c r="T12" s="198"/>
      <c r="U12" s="198"/>
    </row>
    <row r="13" spans="1:21" s="12" customFormat="1" x14ac:dyDescent="0.25">
      <c r="A13" s="214" t="s">
        <v>1597</v>
      </c>
      <c r="B13" s="64">
        <v>3.04</v>
      </c>
      <c r="C13" s="64">
        <v>10.08</v>
      </c>
      <c r="D13" s="64">
        <v>13.12</v>
      </c>
      <c r="E13" s="64">
        <v>2.81</v>
      </c>
      <c r="F13" s="64">
        <v>0.84</v>
      </c>
      <c r="G13" s="64">
        <v>10.029999999999999</v>
      </c>
      <c r="H13" s="64">
        <v>7.23</v>
      </c>
      <c r="I13" s="64">
        <v>1.75</v>
      </c>
      <c r="J13" s="64">
        <v>0.66</v>
      </c>
      <c r="K13" s="64">
        <v>325.70999999999998</v>
      </c>
      <c r="L13" s="64">
        <v>21.49</v>
      </c>
      <c r="M13" s="64">
        <v>98.78</v>
      </c>
      <c r="N13" s="64">
        <v>9.6</v>
      </c>
      <c r="O13" s="64">
        <v>3.2</v>
      </c>
      <c r="P13" s="64">
        <v>0.49</v>
      </c>
      <c r="Q13" s="64">
        <v>4.49</v>
      </c>
      <c r="R13" s="198"/>
      <c r="S13" s="198"/>
      <c r="T13" s="198"/>
      <c r="U13" s="198"/>
    </row>
    <row r="14" spans="1:21" s="12" customFormat="1" x14ac:dyDescent="0.25">
      <c r="A14" s="214" t="s">
        <v>1598</v>
      </c>
      <c r="B14" s="64">
        <v>2.81</v>
      </c>
      <c r="C14" s="64">
        <v>9.27</v>
      </c>
      <c r="D14" s="64">
        <v>12.08</v>
      </c>
      <c r="E14" s="64">
        <v>3.19</v>
      </c>
      <c r="F14" s="64">
        <v>1.41</v>
      </c>
      <c r="G14" s="64">
        <v>10.029999999999999</v>
      </c>
      <c r="H14" s="64">
        <v>7.23</v>
      </c>
      <c r="I14" s="64">
        <v>1.84</v>
      </c>
      <c r="J14" s="64">
        <v>0.43</v>
      </c>
      <c r="K14" s="64">
        <v>346.57</v>
      </c>
      <c r="L14" s="64">
        <v>21.4</v>
      </c>
      <c r="M14" s="64">
        <v>98.78</v>
      </c>
      <c r="N14" s="64">
        <v>9.5</v>
      </c>
      <c r="O14" s="64">
        <v>1.6</v>
      </c>
      <c r="P14" s="64">
        <v>0.5</v>
      </c>
      <c r="Q14" s="64">
        <v>3.76</v>
      </c>
      <c r="R14" s="198"/>
      <c r="S14" s="198"/>
      <c r="T14" s="198"/>
      <c r="U14" s="198"/>
    </row>
    <row r="15" spans="1:21" s="12" customFormat="1" x14ac:dyDescent="0.25">
      <c r="A15" s="214" t="s">
        <v>1599</v>
      </c>
      <c r="B15" s="64">
        <v>2.54</v>
      </c>
      <c r="C15" s="64">
        <v>8.5399999999999991</v>
      </c>
      <c r="D15" s="64">
        <v>11.07</v>
      </c>
      <c r="E15" s="64">
        <v>3.44</v>
      </c>
      <c r="F15" s="64">
        <v>1.61</v>
      </c>
      <c r="G15" s="64">
        <v>9.3000000000000007</v>
      </c>
      <c r="H15" s="64">
        <v>6.58</v>
      </c>
      <c r="I15" s="64">
        <v>1.77</v>
      </c>
      <c r="J15" s="64">
        <v>0.33</v>
      </c>
      <c r="K15" s="64">
        <v>340.48</v>
      </c>
      <c r="L15" s="64">
        <v>21.38</v>
      </c>
      <c r="M15" s="64">
        <v>98.78</v>
      </c>
      <c r="N15" s="64">
        <v>9.4</v>
      </c>
      <c r="O15" s="64">
        <v>1.4</v>
      </c>
      <c r="P15" s="64">
        <v>0.45</v>
      </c>
      <c r="Q15" s="64">
        <v>3.06</v>
      </c>
      <c r="R15" s="198"/>
      <c r="S15" s="198"/>
      <c r="T15" s="198"/>
      <c r="U15" s="198"/>
    </row>
    <row r="16" spans="1:21" s="12" customFormat="1" x14ac:dyDescent="0.25">
      <c r="A16" s="214" t="s">
        <v>1600</v>
      </c>
      <c r="B16" s="64">
        <v>2.39</v>
      </c>
      <c r="C16" s="64">
        <v>8.36</v>
      </c>
      <c r="D16" s="64">
        <v>10.75</v>
      </c>
      <c r="E16" s="64">
        <v>3.22</v>
      </c>
      <c r="F16" s="64">
        <v>1.05</v>
      </c>
      <c r="G16" s="64">
        <v>7.5</v>
      </c>
      <c r="H16" s="64">
        <v>5.48</v>
      </c>
      <c r="I16" s="64">
        <v>1.79</v>
      </c>
      <c r="J16" s="64">
        <v>0.36</v>
      </c>
      <c r="K16" s="64">
        <v>337.44</v>
      </c>
      <c r="L16" s="64">
        <v>21.33</v>
      </c>
      <c r="M16" s="64">
        <v>98.78</v>
      </c>
      <c r="N16" s="64">
        <v>9.5</v>
      </c>
      <c r="O16" s="64">
        <v>1.2</v>
      </c>
      <c r="P16" s="64">
        <v>0.44</v>
      </c>
      <c r="Q16" s="64">
        <v>3.82</v>
      </c>
      <c r="R16" s="198"/>
      <c r="S16" s="198"/>
      <c r="T16" s="198"/>
      <c r="U16" s="198"/>
    </row>
    <row r="17" spans="1:21" s="12" customFormat="1" x14ac:dyDescent="0.25">
      <c r="A17" s="214" t="s">
        <v>1601</v>
      </c>
      <c r="B17" s="64">
        <v>2.2999999999999998</v>
      </c>
      <c r="C17" s="64">
        <v>8.11</v>
      </c>
      <c r="D17" s="64">
        <v>10.41</v>
      </c>
      <c r="E17" s="64">
        <v>3.49</v>
      </c>
      <c r="F17" s="64">
        <v>1.43</v>
      </c>
      <c r="G17" s="64">
        <v>7.5</v>
      </c>
      <c r="H17" s="64">
        <v>5.48</v>
      </c>
      <c r="I17" s="64">
        <v>1.8</v>
      </c>
      <c r="J17" s="64">
        <v>0.2</v>
      </c>
      <c r="K17" s="64">
        <v>34.130000000000003</v>
      </c>
      <c r="L17" s="64">
        <v>21.36</v>
      </c>
      <c r="M17" s="64">
        <v>98.78</v>
      </c>
      <c r="N17" s="64">
        <v>9.1</v>
      </c>
      <c r="O17" s="64">
        <v>1</v>
      </c>
      <c r="P17" s="64">
        <v>0.42</v>
      </c>
      <c r="Q17" s="64">
        <v>3.56</v>
      </c>
      <c r="R17" s="198"/>
      <c r="S17" s="198"/>
      <c r="T17" s="198"/>
      <c r="U17" s="198"/>
    </row>
    <row r="18" spans="1:21" s="12" customFormat="1" x14ac:dyDescent="0.25">
      <c r="A18" s="214" t="s">
        <v>1602</v>
      </c>
      <c r="B18" s="64">
        <v>2.21</v>
      </c>
      <c r="C18" s="64">
        <v>8.02</v>
      </c>
      <c r="D18" s="64">
        <v>10.23</v>
      </c>
      <c r="E18" s="64">
        <v>3.6</v>
      </c>
      <c r="F18" s="64">
        <v>1.81</v>
      </c>
      <c r="G18" s="64">
        <v>7.5</v>
      </c>
      <c r="H18" s="64">
        <v>5.48</v>
      </c>
      <c r="I18" s="64">
        <v>1.76</v>
      </c>
      <c r="J18" s="64">
        <v>0.23</v>
      </c>
      <c r="K18" s="64">
        <v>30.56</v>
      </c>
      <c r="L18" s="64">
        <v>21.35</v>
      </c>
      <c r="M18" s="64">
        <v>98.78</v>
      </c>
      <c r="N18" s="64">
        <v>9.3000000000000007</v>
      </c>
      <c r="O18" s="64">
        <v>0.8</v>
      </c>
      <c r="P18" s="64">
        <v>0.39</v>
      </c>
      <c r="Q18" s="64">
        <v>3.23</v>
      </c>
      <c r="R18" s="198"/>
      <c r="S18" s="198"/>
      <c r="T18" s="198"/>
      <c r="U18" s="198"/>
    </row>
    <row r="19" spans="1:21" s="12" customFormat="1" x14ac:dyDescent="0.25">
      <c r="A19" s="214" t="s">
        <v>1603</v>
      </c>
      <c r="B19" s="64">
        <v>2.15</v>
      </c>
      <c r="C19" s="64">
        <v>8.06</v>
      </c>
      <c r="D19" s="64">
        <v>10.220000000000001</v>
      </c>
      <c r="E19" s="64">
        <v>3.57</v>
      </c>
      <c r="F19" s="64">
        <v>1.71</v>
      </c>
      <c r="G19" s="64">
        <v>7</v>
      </c>
      <c r="H19" s="64">
        <v>4.91</v>
      </c>
      <c r="I19" s="64">
        <v>1.82</v>
      </c>
      <c r="J19" s="64">
        <v>0.33</v>
      </c>
      <c r="K19" s="64">
        <v>23.34</v>
      </c>
      <c r="L19" s="64">
        <v>21.29</v>
      </c>
      <c r="M19" s="64">
        <v>98.79</v>
      </c>
      <c r="N19" s="64">
        <v>9.5</v>
      </c>
      <c r="O19" s="64">
        <v>1.2</v>
      </c>
      <c r="P19" s="64">
        <v>0.37</v>
      </c>
      <c r="Q19" s="64">
        <v>2.56</v>
      </c>
      <c r="R19" s="198"/>
      <c r="S19" s="198"/>
      <c r="T19" s="198"/>
      <c r="U19" s="198"/>
    </row>
    <row r="20" spans="1:21" s="12" customFormat="1" x14ac:dyDescent="0.25">
      <c r="A20" s="214" t="s">
        <v>1604</v>
      </c>
      <c r="B20" s="64">
        <v>2.14</v>
      </c>
      <c r="C20" s="64">
        <v>9.1199999999999992</v>
      </c>
      <c r="D20" s="64">
        <v>11.26</v>
      </c>
      <c r="E20" s="64">
        <v>3.89</v>
      </c>
      <c r="F20" s="64">
        <v>0.94</v>
      </c>
      <c r="G20" s="64">
        <v>5.79</v>
      </c>
      <c r="H20" s="64">
        <v>3.95</v>
      </c>
      <c r="I20" s="64">
        <v>1.78</v>
      </c>
      <c r="J20" s="64">
        <v>0.36</v>
      </c>
      <c r="K20" s="64">
        <v>357.92</v>
      </c>
      <c r="L20" s="64">
        <v>21.22</v>
      </c>
      <c r="M20" s="64">
        <v>98.78</v>
      </c>
      <c r="N20" s="64">
        <v>9.6</v>
      </c>
      <c r="O20" s="64">
        <v>0.8</v>
      </c>
      <c r="P20" s="64">
        <v>0.34</v>
      </c>
      <c r="Q20" s="64">
        <v>2.58</v>
      </c>
      <c r="R20" s="198"/>
      <c r="S20" s="198"/>
      <c r="T20" s="198"/>
      <c r="U20" s="198"/>
    </row>
    <row r="21" spans="1:21" s="12" customFormat="1" x14ac:dyDescent="0.25">
      <c r="A21" s="214" t="s">
        <v>1605</v>
      </c>
      <c r="B21" s="64">
        <v>2.2000000000000002</v>
      </c>
      <c r="C21" s="64">
        <v>9.67</v>
      </c>
      <c r="D21" s="64">
        <v>11.87</v>
      </c>
      <c r="E21" s="64">
        <v>3.59</v>
      </c>
      <c r="F21" s="64">
        <v>1.02</v>
      </c>
      <c r="G21" s="64">
        <v>5.79</v>
      </c>
      <c r="H21" s="64">
        <v>3.95</v>
      </c>
      <c r="I21" s="64">
        <v>1.82</v>
      </c>
      <c r="J21" s="64">
        <v>0.27</v>
      </c>
      <c r="K21" s="64">
        <v>3.18</v>
      </c>
      <c r="L21" s="64">
        <v>21.17</v>
      </c>
      <c r="M21" s="64">
        <v>98.79</v>
      </c>
      <c r="N21" s="64">
        <v>9.1999999999999993</v>
      </c>
      <c r="O21" s="64">
        <v>0.6</v>
      </c>
      <c r="P21" s="64">
        <v>0.34</v>
      </c>
      <c r="Q21" s="64">
        <v>2.4700000000000002</v>
      </c>
      <c r="R21" s="198"/>
      <c r="S21" s="198"/>
      <c r="T21" s="198"/>
      <c r="U21" s="198"/>
    </row>
    <row r="22" spans="1:21" s="12" customFormat="1" x14ac:dyDescent="0.25">
      <c r="A22" s="214" t="s">
        <v>1606</v>
      </c>
      <c r="B22" s="64">
        <v>2.27</v>
      </c>
      <c r="C22" s="64">
        <v>9.6999999999999993</v>
      </c>
      <c r="D22" s="64">
        <v>11.97</v>
      </c>
      <c r="E22" s="64">
        <v>3.69</v>
      </c>
      <c r="F22" s="64">
        <v>0.97</v>
      </c>
      <c r="G22" s="64">
        <v>5.79</v>
      </c>
      <c r="H22" s="64">
        <v>3.95</v>
      </c>
      <c r="I22" s="64">
        <v>1.77</v>
      </c>
      <c r="J22" s="64">
        <v>0.26</v>
      </c>
      <c r="K22" s="64">
        <v>30.46</v>
      </c>
      <c r="L22" s="64">
        <v>21.13</v>
      </c>
      <c r="M22" s="64">
        <v>98.78</v>
      </c>
      <c r="N22" s="64">
        <v>9.4</v>
      </c>
      <c r="O22" s="64">
        <v>0.4</v>
      </c>
      <c r="P22" s="64">
        <v>0.31</v>
      </c>
      <c r="Q22" s="64">
        <v>2.02</v>
      </c>
      <c r="R22" s="198"/>
      <c r="S22" s="198"/>
      <c r="T22" s="198"/>
      <c r="U22" s="198"/>
    </row>
    <row r="23" spans="1:21" s="12" customFormat="1" x14ac:dyDescent="0.25">
      <c r="A23" s="214" t="s">
        <v>1607</v>
      </c>
      <c r="B23" s="64">
        <v>2.31</v>
      </c>
      <c r="C23" s="64">
        <v>9.02</v>
      </c>
      <c r="D23" s="64">
        <v>11.33</v>
      </c>
      <c r="E23" s="64">
        <v>3.25</v>
      </c>
      <c r="F23" s="64">
        <v>1.0900000000000001</v>
      </c>
      <c r="G23" s="64">
        <v>5.45</v>
      </c>
      <c r="H23" s="64">
        <v>3.92</v>
      </c>
      <c r="I23" s="64">
        <v>1.81</v>
      </c>
      <c r="J23" s="64">
        <v>0.23</v>
      </c>
      <c r="K23" s="64">
        <v>29.19</v>
      </c>
      <c r="L23" s="64">
        <v>21.03</v>
      </c>
      <c r="M23" s="64">
        <v>98.78</v>
      </c>
      <c r="N23" s="64">
        <v>9.6</v>
      </c>
      <c r="O23" s="64">
        <v>0.4</v>
      </c>
      <c r="P23" s="64">
        <v>0.32</v>
      </c>
      <c r="Q23" s="64">
        <v>2.1800000000000002</v>
      </c>
      <c r="R23" s="198"/>
      <c r="S23" s="198"/>
      <c r="T23" s="198"/>
      <c r="U23" s="198"/>
    </row>
    <row r="24" spans="1:21" s="12" customFormat="1" x14ac:dyDescent="0.25">
      <c r="A24" s="214" t="s">
        <v>1608</v>
      </c>
      <c r="B24" s="64">
        <v>2.2799999999999998</v>
      </c>
      <c r="C24" s="64">
        <v>8.51</v>
      </c>
      <c r="D24" s="64">
        <v>10.8</v>
      </c>
      <c r="E24" s="64">
        <v>4.3</v>
      </c>
      <c r="F24" s="64">
        <v>1.57</v>
      </c>
      <c r="G24" s="64">
        <v>4.6100000000000003</v>
      </c>
      <c r="H24" s="64">
        <v>3.88</v>
      </c>
      <c r="I24" s="64">
        <v>1.8</v>
      </c>
      <c r="J24" s="64">
        <v>0.34</v>
      </c>
      <c r="K24" s="64">
        <v>11.3</v>
      </c>
      <c r="L24" s="64">
        <v>20.86</v>
      </c>
      <c r="M24" s="64">
        <v>98.78</v>
      </c>
      <c r="N24" s="64">
        <v>9.6</v>
      </c>
      <c r="O24" s="64">
        <v>0.6</v>
      </c>
      <c r="P24" s="64">
        <v>0.28999999999999998</v>
      </c>
      <c r="Q24" s="64">
        <v>1.41</v>
      </c>
      <c r="R24" s="198"/>
      <c r="S24" s="198"/>
      <c r="T24" s="198"/>
      <c r="U24" s="198"/>
    </row>
    <row r="25" spans="1:21" s="12" customFormat="1" x14ac:dyDescent="0.25">
      <c r="A25" s="214" t="s">
        <v>1609</v>
      </c>
      <c r="B25" s="64">
        <v>2.21</v>
      </c>
      <c r="C25" s="64">
        <v>8.59</v>
      </c>
      <c r="D25" s="64">
        <v>10.8</v>
      </c>
      <c r="E25" s="64">
        <v>5.96</v>
      </c>
      <c r="F25" s="64">
        <v>1.34</v>
      </c>
      <c r="G25" s="64">
        <v>4.6100000000000003</v>
      </c>
      <c r="H25" s="64">
        <v>3.88</v>
      </c>
      <c r="I25" s="64">
        <v>1.78</v>
      </c>
      <c r="J25" s="64">
        <v>0.3</v>
      </c>
      <c r="K25" s="64">
        <v>11.49</v>
      </c>
      <c r="L25" s="64">
        <v>20.74</v>
      </c>
      <c r="M25" s="64">
        <v>98.78</v>
      </c>
      <c r="N25" s="64">
        <v>9.6</v>
      </c>
      <c r="O25" s="64">
        <v>0.2</v>
      </c>
      <c r="P25" s="64">
        <v>0.28000000000000003</v>
      </c>
      <c r="Q25" s="64">
        <v>1.86</v>
      </c>
      <c r="R25" s="198"/>
      <c r="S25" s="198"/>
      <c r="T25" s="198"/>
      <c r="U25" s="198"/>
    </row>
    <row r="26" spans="1:21" s="12" customFormat="1" x14ac:dyDescent="0.25">
      <c r="A26" s="214" t="s">
        <v>1610</v>
      </c>
      <c r="B26" s="64">
        <v>2.09</v>
      </c>
      <c r="C26" s="64">
        <v>8.16</v>
      </c>
      <c r="D26" s="64">
        <v>10.24</v>
      </c>
      <c r="E26" s="64">
        <v>5.31</v>
      </c>
      <c r="F26" s="64">
        <v>1.79</v>
      </c>
      <c r="G26" s="64">
        <v>4.6100000000000003</v>
      </c>
      <c r="H26" s="64">
        <v>3.88</v>
      </c>
      <c r="I26" s="64">
        <v>1.86</v>
      </c>
      <c r="J26" s="64">
        <v>0.28999999999999998</v>
      </c>
      <c r="K26" s="64">
        <v>2.97</v>
      </c>
      <c r="L26" s="64">
        <v>20.67</v>
      </c>
      <c r="M26" s="64">
        <v>98.78</v>
      </c>
      <c r="N26" s="64">
        <v>9.3000000000000007</v>
      </c>
      <c r="O26" s="64">
        <v>0</v>
      </c>
      <c r="P26" s="64">
        <v>0.26</v>
      </c>
      <c r="Q26" s="64">
        <v>1.05</v>
      </c>
      <c r="R26" s="198"/>
      <c r="S26" s="198"/>
      <c r="T26" s="198"/>
      <c r="U26" s="198"/>
    </row>
    <row r="27" spans="1:21" s="12" customFormat="1" x14ac:dyDescent="0.25">
      <c r="A27" s="214" t="s">
        <v>1611</v>
      </c>
      <c r="B27" s="64">
        <v>2.1</v>
      </c>
      <c r="C27" s="64">
        <v>8.08</v>
      </c>
      <c r="D27" s="64">
        <v>10.18</v>
      </c>
      <c r="E27" s="64">
        <v>5.34</v>
      </c>
      <c r="F27" s="64">
        <v>1.22</v>
      </c>
      <c r="G27" s="64">
        <v>4.26</v>
      </c>
      <c r="H27" s="64">
        <v>3.49</v>
      </c>
      <c r="I27" s="64">
        <v>1.8</v>
      </c>
      <c r="J27" s="64">
        <v>0.25</v>
      </c>
      <c r="K27" s="64">
        <v>16.93</v>
      </c>
      <c r="L27" s="64">
        <v>20.58</v>
      </c>
      <c r="M27" s="64">
        <v>98.79</v>
      </c>
      <c r="N27" s="64">
        <v>9.3000000000000007</v>
      </c>
      <c r="O27" s="64">
        <v>0.4</v>
      </c>
      <c r="P27" s="64">
        <v>0.27</v>
      </c>
      <c r="Q27" s="64">
        <v>1.97</v>
      </c>
      <c r="R27" s="198"/>
      <c r="S27" s="198"/>
      <c r="T27" s="198"/>
      <c r="U27" s="198"/>
    </row>
    <row r="28" spans="1:21" s="12" customFormat="1" x14ac:dyDescent="0.25">
      <c r="A28" s="214" t="s">
        <v>1612</v>
      </c>
      <c r="B28" s="64">
        <v>2.2000000000000002</v>
      </c>
      <c r="C28" s="64">
        <v>8.7799999999999994</v>
      </c>
      <c r="D28" s="64">
        <v>10.98</v>
      </c>
      <c r="E28" s="64">
        <v>5.08</v>
      </c>
      <c r="F28" s="64">
        <v>1.36</v>
      </c>
      <c r="G28" s="220" t="s">
        <v>36</v>
      </c>
      <c r="H28" s="220" t="s">
        <v>36</v>
      </c>
      <c r="I28" s="64">
        <v>1.78</v>
      </c>
      <c r="J28" s="64">
        <v>0.18</v>
      </c>
      <c r="K28" s="64">
        <v>18.190000000000001</v>
      </c>
      <c r="L28" s="64">
        <v>20.67</v>
      </c>
      <c r="M28" s="64">
        <v>98.79</v>
      </c>
      <c r="N28" s="64">
        <v>9.1</v>
      </c>
      <c r="O28" s="64">
        <v>0.2</v>
      </c>
      <c r="P28" s="64">
        <v>0.28000000000000003</v>
      </c>
      <c r="Q28" s="64">
        <v>2.14</v>
      </c>
      <c r="R28" s="198"/>
      <c r="S28" s="198"/>
      <c r="T28" s="198"/>
      <c r="U28" s="198"/>
    </row>
    <row r="29" spans="1:21" s="12" customFormat="1" x14ac:dyDescent="0.25">
      <c r="A29" s="214" t="s">
        <v>1613</v>
      </c>
      <c r="B29" s="64">
        <v>2.3199999999999998</v>
      </c>
      <c r="C29" s="64">
        <v>9.69</v>
      </c>
      <c r="D29" s="64">
        <v>12.01</v>
      </c>
      <c r="E29" s="64">
        <v>5.4</v>
      </c>
      <c r="F29" s="64">
        <v>1.42</v>
      </c>
      <c r="G29" s="220" t="s">
        <v>36</v>
      </c>
      <c r="H29" s="220" t="s">
        <v>36</v>
      </c>
      <c r="I29" s="64">
        <v>1.82</v>
      </c>
      <c r="J29" s="64">
        <v>0.06</v>
      </c>
      <c r="K29" s="64">
        <v>147.24</v>
      </c>
      <c r="L29" s="64">
        <v>20.64</v>
      </c>
      <c r="M29" s="64">
        <v>98.8</v>
      </c>
      <c r="N29" s="64">
        <v>9.3000000000000007</v>
      </c>
      <c r="O29" s="64">
        <v>0.2</v>
      </c>
      <c r="P29" s="64">
        <v>0.28999999999999998</v>
      </c>
      <c r="Q29" s="64">
        <v>2.66</v>
      </c>
      <c r="R29" s="198"/>
      <c r="S29" s="198"/>
      <c r="T29" s="198"/>
      <c r="U29" s="198"/>
    </row>
    <row r="30" spans="1:21" s="12" customFormat="1" x14ac:dyDescent="0.25">
      <c r="A30" s="214" t="s">
        <v>1614</v>
      </c>
      <c r="B30" s="64">
        <v>2.44</v>
      </c>
      <c r="C30" s="64">
        <v>9.6999999999999993</v>
      </c>
      <c r="D30" s="64">
        <v>12.14</v>
      </c>
      <c r="E30" s="64">
        <v>4.62</v>
      </c>
      <c r="F30" s="64">
        <v>1.65</v>
      </c>
      <c r="G30" s="220" t="s">
        <v>36</v>
      </c>
      <c r="H30" s="220" t="s">
        <v>36</v>
      </c>
      <c r="I30" s="64">
        <v>1.77</v>
      </c>
      <c r="J30" s="64">
        <v>0.27</v>
      </c>
      <c r="K30" s="64">
        <v>146.41</v>
      </c>
      <c r="L30" s="64">
        <v>20.63</v>
      </c>
      <c r="M30" s="64">
        <v>98.8</v>
      </c>
      <c r="N30" s="64">
        <v>9.3000000000000007</v>
      </c>
      <c r="O30" s="64">
        <v>0.6</v>
      </c>
      <c r="P30" s="64">
        <v>0.28999999999999998</v>
      </c>
      <c r="Q30" s="64">
        <v>3.05</v>
      </c>
      <c r="R30" s="198"/>
      <c r="S30" s="198"/>
      <c r="T30" s="198"/>
      <c r="U30" s="198"/>
    </row>
    <row r="31" spans="1:21" s="12" customFormat="1" x14ac:dyDescent="0.25">
      <c r="A31" s="214" t="s">
        <v>1615</v>
      </c>
      <c r="B31" s="64">
        <v>2.56</v>
      </c>
      <c r="C31" s="64">
        <v>9.4499999999999993</v>
      </c>
      <c r="D31" s="64">
        <v>12.01</v>
      </c>
      <c r="E31" s="64">
        <v>4.7300000000000004</v>
      </c>
      <c r="F31" s="64">
        <v>1.64</v>
      </c>
      <c r="G31" s="220" t="s">
        <v>36</v>
      </c>
      <c r="H31" s="220" t="s">
        <v>36</v>
      </c>
      <c r="I31" s="64">
        <v>1.8</v>
      </c>
      <c r="J31" s="64">
        <v>0.36</v>
      </c>
      <c r="K31" s="64">
        <v>157.65</v>
      </c>
      <c r="L31" s="64">
        <v>20.71</v>
      </c>
      <c r="M31" s="64">
        <v>98.8</v>
      </c>
      <c r="N31" s="64">
        <v>9.4</v>
      </c>
      <c r="O31" s="64">
        <v>0.2</v>
      </c>
      <c r="P31" s="64">
        <v>0.28999999999999998</v>
      </c>
      <c r="Q31" s="64">
        <v>3.53</v>
      </c>
      <c r="R31" s="198"/>
      <c r="S31" s="198"/>
      <c r="T31" s="198"/>
      <c r="U31" s="198"/>
    </row>
    <row r="32" spans="1:21" s="12" customFormat="1" x14ac:dyDescent="0.25">
      <c r="A32" s="214" t="s">
        <v>1616</v>
      </c>
      <c r="B32" s="64">
        <v>2.65</v>
      </c>
      <c r="C32" s="64">
        <v>9.18</v>
      </c>
      <c r="D32" s="64">
        <v>11.83</v>
      </c>
      <c r="E32" s="64">
        <v>4.99</v>
      </c>
      <c r="F32" s="64">
        <v>1.95</v>
      </c>
      <c r="G32" s="220" t="s">
        <v>36</v>
      </c>
      <c r="H32" s="220" t="s">
        <v>36</v>
      </c>
      <c r="I32" s="64">
        <v>1.8</v>
      </c>
      <c r="J32" s="64">
        <v>0.33</v>
      </c>
      <c r="K32" s="64">
        <v>172.37</v>
      </c>
      <c r="L32" s="64">
        <v>20.78</v>
      </c>
      <c r="M32" s="64">
        <v>98.8</v>
      </c>
      <c r="N32" s="64">
        <v>10.199999999999999</v>
      </c>
      <c r="O32" s="64">
        <v>0</v>
      </c>
      <c r="P32" s="64">
        <v>0.3</v>
      </c>
      <c r="Q32" s="64">
        <v>3.94</v>
      </c>
      <c r="R32" s="198"/>
      <c r="S32" s="198"/>
      <c r="T32" s="198"/>
      <c r="U32" s="198"/>
    </row>
    <row r="33" spans="1:21" s="12" customFormat="1" x14ac:dyDescent="0.25">
      <c r="A33" s="214" t="s">
        <v>1617</v>
      </c>
      <c r="B33" s="64">
        <v>2.76</v>
      </c>
      <c r="C33" s="64">
        <v>9.14</v>
      </c>
      <c r="D33" s="64">
        <v>11.91</v>
      </c>
      <c r="E33" s="64">
        <v>5.71</v>
      </c>
      <c r="F33" s="64">
        <v>0.89</v>
      </c>
      <c r="G33" s="220" t="s">
        <v>36</v>
      </c>
      <c r="H33" s="220" t="s">
        <v>36</v>
      </c>
      <c r="I33" s="64">
        <v>1.77</v>
      </c>
      <c r="J33" s="64">
        <v>0.2</v>
      </c>
      <c r="K33" s="64">
        <v>221.86</v>
      </c>
      <c r="L33" s="64">
        <v>20.75</v>
      </c>
      <c r="M33" s="64">
        <v>98.8</v>
      </c>
      <c r="N33" s="64">
        <v>16.2</v>
      </c>
      <c r="O33" s="64">
        <v>0</v>
      </c>
      <c r="P33" s="64">
        <v>0.28000000000000003</v>
      </c>
      <c r="Q33" s="64">
        <v>3.51</v>
      </c>
      <c r="R33" s="198"/>
      <c r="S33" s="198"/>
      <c r="T33" s="198"/>
      <c r="U33" s="198"/>
    </row>
    <row r="34" spans="1:21" s="12" customFormat="1" x14ac:dyDescent="0.25">
      <c r="A34" s="214" t="s">
        <v>1618</v>
      </c>
      <c r="B34" s="64">
        <v>2.9</v>
      </c>
      <c r="C34" s="64">
        <v>8.2100000000000009</v>
      </c>
      <c r="D34" s="64">
        <v>11.11</v>
      </c>
      <c r="E34" s="64">
        <v>5.6</v>
      </c>
      <c r="F34" s="64">
        <v>1.17</v>
      </c>
      <c r="G34" s="220" t="s">
        <v>36</v>
      </c>
      <c r="H34" s="220" t="s">
        <v>36</v>
      </c>
      <c r="I34" s="64">
        <v>1.82</v>
      </c>
      <c r="J34" s="64">
        <v>0.48</v>
      </c>
      <c r="K34" s="64">
        <v>152.47999999999999</v>
      </c>
      <c r="L34" s="64">
        <v>20.72</v>
      </c>
      <c r="M34" s="64">
        <v>98.79</v>
      </c>
      <c r="N34" s="64">
        <v>14.8</v>
      </c>
      <c r="O34" s="64">
        <v>0</v>
      </c>
      <c r="P34" s="64">
        <v>0.28000000000000003</v>
      </c>
      <c r="Q34" s="64">
        <v>2.52</v>
      </c>
      <c r="R34" s="198"/>
      <c r="S34" s="198"/>
      <c r="T34" s="198"/>
      <c r="U34" s="198"/>
    </row>
    <row r="35" spans="1:21" s="12" customFormat="1" x14ac:dyDescent="0.25">
      <c r="A35" s="214" t="s">
        <v>1619</v>
      </c>
      <c r="B35" s="64">
        <v>3.14</v>
      </c>
      <c r="C35" s="64">
        <v>8.44</v>
      </c>
      <c r="D35" s="64">
        <v>11.58</v>
      </c>
      <c r="E35" s="64">
        <v>4.8899999999999997</v>
      </c>
      <c r="F35" s="64">
        <v>0.35</v>
      </c>
      <c r="G35" s="220" t="s">
        <v>36</v>
      </c>
      <c r="H35" s="220" t="s">
        <v>36</v>
      </c>
      <c r="I35" s="64">
        <v>1.78</v>
      </c>
      <c r="J35" s="64">
        <v>1.17</v>
      </c>
      <c r="K35" s="64">
        <v>145.19999999999999</v>
      </c>
      <c r="L35" s="64">
        <v>20.78</v>
      </c>
      <c r="M35" s="64">
        <v>98.79</v>
      </c>
      <c r="N35" s="64">
        <v>25.8</v>
      </c>
      <c r="O35" s="64">
        <v>0.8</v>
      </c>
      <c r="P35" s="64">
        <v>0.27</v>
      </c>
      <c r="Q35" s="64">
        <v>3.37</v>
      </c>
      <c r="R35" s="198"/>
      <c r="S35" s="198"/>
      <c r="T35" s="198"/>
      <c r="U35" s="198"/>
    </row>
    <row r="36" spans="1:21" s="12" customFormat="1" x14ac:dyDescent="0.25">
      <c r="A36" s="214" t="s">
        <v>1620</v>
      </c>
      <c r="B36" s="64">
        <v>3.35</v>
      </c>
      <c r="C36" s="64">
        <v>8.2799999999999994</v>
      </c>
      <c r="D36" s="64">
        <v>11.63</v>
      </c>
      <c r="E36" s="64">
        <v>5.6</v>
      </c>
      <c r="F36" s="64">
        <v>0.69</v>
      </c>
      <c r="G36" s="220" t="s">
        <v>36</v>
      </c>
      <c r="H36" s="220" t="s">
        <v>36</v>
      </c>
      <c r="I36" s="64">
        <v>1.79</v>
      </c>
      <c r="J36" s="64">
        <v>1.23</v>
      </c>
      <c r="K36" s="64">
        <v>145.33000000000001</v>
      </c>
      <c r="L36" s="64">
        <v>20.89</v>
      </c>
      <c r="M36" s="64">
        <v>98.79</v>
      </c>
      <c r="N36" s="64">
        <v>70.099999999999994</v>
      </c>
      <c r="O36" s="64">
        <v>0</v>
      </c>
      <c r="P36" s="64">
        <v>0.28000000000000003</v>
      </c>
      <c r="Q36" s="64">
        <v>3.53</v>
      </c>
      <c r="R36" s="198"/>
      <c r="S36" s="198"/>
      <c r="T36" s="198"/>
      <c r="U36" s="198"/>
    </row>
    <row r="37" spans="1:21" s="12" customFormat="1" x14ac:dyDescent="0.25">
      <c r="A37" s="214" t="s">
        <v>1621</v>
      </c>
      <c r="B37" s="64">
        <v>3.56</v>
      </c>
      <c r="C37" s="64">
        <v>8.57</v>
      </c>
      <c r="D37" s="64">
        <v>12.13</v>
      </c>
      <c r="E37" s="64">
        <v>6.1</v>
      </c>
      <c r="F37" s="64">
        <v>0.54</v>
      </c>
      <c r="G37" s="220" t="s">
        <v>36</v>
      </c>
      <c r="H37" s="220" t="s">
        <v>36</v>
      </c>
      <c r="I37" s="64">
        <v>1.85</v>
      </c>
      <c r="J37" s="64">
        <v>1.5</v>
      </c>
      <c r="K37" s="64">
        <v>147.37</v>
      </c>
      <c r="L37" s="64">
        <v>21.08</v>
      </c>
      <c r="M37" s="64">
        <v>98.78</v>
      </c>
      <c r="N37" s="64">
        <v>59.6</v>
      </c>
      <c r="O37" s="64">
        <v>0</v>
      </c>
      <c r="P37" s="64">
        <v>0.33</v>
      </c>
      <c r="Q37" s="64">
        <v>3.94</v>
      </c>
      <c r="R37" s="198"/>
      <c r="S37" s="198"/>
      <c r="T37" s="198"/>
      <c r="U37" s="198"/>
    </row>
    <row r="38" spans="1:21" s="12" customFormat="1" x14ac:dyDescent="0.25">
      <c r="A38" s="214" t="s">
        <v>1622</v>
      </c>
      <c r="B38" s="64">
        <v>3.94</v>
      </c>
      <c r="C38" s="64">
        <v>8.69</v>
      </c>
      <c r="D38" s="64">
        <v>12.63</v>
      </c>
      <c r="E38" s="64">
        <v>6.17</v>
      </c>
      <c r="F38" s="64">
        <v>1.05</v>
      </c>
      <c r="G38" s="220" t="s">
        <v>36</v>
      </c>
      <c r="H38" s="220" t="s">
        <v>36</v>
      </c>
      <c r="I38" s="64">
        <v>1.82</v>
      </c>
      <c r="J38" s="64">
        <v>1.39</v>
      </c>
      <c r="K38" s="64">
        <v>147.01</v>
      </c>
      <c r="L38" s="64">
        <v>21.25</v>
      </c>
      <c r="M38" s="64">
        <v>98.78</v>
      </c>
      <c r="N38" s="64">
        <v>71.099999999999994</v>
      </c>
      <c r="O38" s="64">
        <v>0</v>
      </c>
      <c r="P38" s="64">
        <v>0.37</v>
      </c>
      <c r="Q38" s="64">
        <v>4.32</v>
      </c>
      <c r="R38" s="198"/>
      <c r="S38" s="198"/>
      <c r="T38" s="198"/>
      <c r="U38" s="198"/>
    </row>
    <row r="39" spans="1:21" s="12" customFormat="1" x14ac:dyDescent="0.25">
      <c r="A39" s="214" t="s">
        <v>1623</v>
      </c>
      <c r="B39" s="64">
        <v>4.2</v>
      </c>
      <c r="C39" s="64">
        <v>9.34</v>
      </c>
      <c r="D39" s="64">
        <v>13.55</v>
      </c>
      <c r="E39" s="64">
        <v>6.11</v>
      </c>
      <c r="F39" s="64">
        <v>0.6</v>
      </c>
      <c r="G39" s="64">
        <v>3.38</v>
      </c>
      <c r="H39" s="64">
        <v>2.67</v>
      </c>
      <c r="I39" s="64">
        <v>1.81</v>
      </c>
      <c r="J39" s="64">
        <v>1.82</v>
      </c>
      <c r="K39" s="64">
        <v>147.35</v>
      </c>
      <c r="L39" s="64">
        <v>21.38</v>
      </c>
      <c r="M39" s="64">
        <v>98.78</v>
      </c>
      <c r="N39" s="64">
        <v>72.5</v>
      </c>
      <c r="O39" s="64">
        <v>0</v>
      </c>
      <c r="P39" s="64">
        <v>0.36</v>
      </c>
      <c r="Q39" s="64">
        <v>5.75</v>
      </c>
      <c r="R39" s="198"/>
      <c r="S39" s="198"/>
      <c r="T39" s="198"/>
      <c r="U39" s="198"/>
    </row>
    <row r="40" spans="1:21" s="12" customFormat="1" x14ac:dyDescent="0.25">
      <c r="A40" s="214" t="s">
        <v>1624</v>
      </c>
      <c r="B40" s="64">
        <v>4.29</v>
      </c>
      <c r="C40" s="64">
        <v>10.71</v>
      </c>
      <c r="D40" s="64">
        <v>15</v>
      </c>
      <c r="E40" s="64">
        <v>3</v>
      </c>
      <c r="F40" s="64">
        <v>1.1100000000000001</v>
      </c>
      <c r="G40" s="64">
        <v>4.96</v>
      </c>
      <c r="H40" s="64">
        <v>2.34</v>
      </c>
      <c r="I40" s="64">
        <v>1.84</v>
      </c>
      <c r="J40" s="64">
        <v>1.28</v>
      </c>
      <c r="K40" s="64">
        <v>144.38999999999999</v>
      </c>
      <c r="L40" s="64">
        <v>21.51</v>
      </c>
      <c r="M40" s="64">
        <v>98.79</v>
      </c>
      <c r="N40" s="64">
        <v>75.099999999999994</v>
      </c>
      <c r="O40" s="64">
        <v>0</v>
      </c>
      <c r="P40" s="64">
        <v>0.36</v>
      </c>
      <c r="Q40" s="64">
        <v>8.11</v>
      </c>
      <c r="R40" s="198"/>
      <c r="S40" s="198"/>
      <c r="T40" s="198"/>
      <c r="U40" s="198"/>
    </row>
    <row r="41" spans="1:21" s="12" customFormat="1" x14ac:dyDescent="0.25">
      <c r="A41" s="214" t="s">
        <v>1625</v>
      </c>
      <c r="B41" s="64">
        <v>4.4400000000000004</v>
      </c>
      <c r="C41" s="64">
        <v>11.44</v>
      </c>
      <c r="D41" s="64">
        <v>15.88</v>
      </c>
      <c r="E41" s="64">
        <v>3.92</v>
      </c>
      <c r="F41" s="64">
        <v>1.54</v>
      </c>
      <c r="G41" s="64">
        <v>4.96</v>
      </c>
      <c r="H41" s="64">
        <v>2.34</v>
      </c>
      <c r="I41" s="64">
        <v>1.83</v>
      </c>
      <c r="J41" s="64">
        <v>1.67</v>
      </c>
      <c r="K41" s="64">
        <v>146.16</v>
      </c>
      <c r="L41" s="64">
        <v>21.71</v>
      </c>
      <c r="M41" s="64">
        <v>98.8</v>
      </c>
      <c r="N41" s="64">
        <v>81.099999999999994</v>
      </c>
      <c r="O41" s="64">
        <v>0</v>
      </c>
      <c r="P41" s="64">
        <v>0.36</v>
      </c>
      <c r="Q41" s="64">
        <v>16.079999999999998</v>
      </c>
      <c r="R41" s="198"/>
      <c r="S41" s="198"/>
      <c r="T41" s="198"/>
      <c r="U41" s="198"/>
    </row>
    <row r="42" spans="1:21" s="12" customFormat="1" x14ac:dyDescent="0.25">
      <c r="A42" s="214" t="s">
        <v>1626</v>
      </c>
      <c r="B42" s="64">
        <v>4.5</v>
      </c>
      <c r="C42" s="64">
        <v>11.29</v>
      </c>
      <c r="D42" s="64">
        <v>15.79</v>
      </c>
      <c r="E42" s="64">
        <v>3.53</v>
      </c>
      <c r="F42" s="64">
        <v>1.47</v>
      </c>
      <c r="G42" s="64">
        <v>4.96</v>
      </c>
      <c r="H42" s="64">
        <v>2.34</v>
      </c>
      <c r="I42" s="64">
        <v>1.87</v>
      </c>
      <c r="J42" s="64">
        <v>1.35</v>
      </c>
      <c r="K42" s="64">
        <v>151.12</v>
      </c>
      <c r="L42" s="64">
        <v>22.04</v>
      </c>
      <c r="M42" s="64">
        <v>98.79</v>
      </c>
      <c r="N42" s="64">
        <v>152.1</v>
      </c>
      <c r="O42" s="64">
        <v>0</v>
      </c>
      <c r="P42" s="64">
        <v>0.36</v>
      </c>
      <c r="Q42" s="64">
        <v>22.89</v>
      </c>
      <c r="R42" s="198"/>
      <c r="S42" s="198"/>
      <c r="T42" s="198"/>
      <c r="U42" s="198"/>
    </row>
    <row r="43" spans="1:21" s="12" customFormat="1" x14ac:dyDescent="0.25">
      <c r="A43" s="214" t="s">
        <v>1627</v>
      </c>
      <c r="B43" s="64">
        <v>4.6399999999999997</v>
      </c>
      <c r="C43" s="64">
        <v>11.2</v>
      </c>
      <c r="D43" s="64">
        <v>15.84</v>
      </c>
      <c r="E43" s="64">
        <v>4.58</v>
      </c>
      <c r="F43" s="64">
        <v>1.32</v>
      </c>
      <c r="G43" s="64">
        <v>5.42</v>
      </c>
      <c r="H43" s="64">
        <v>2.34</v>
      </c>
      <c r="I43" s="64">
        <v>1.82</v>
      </c>
      <c r="J43" s="64">
        <v>0.87</v>
      </c>
      <c r="K43" s="64">
        <v>156.63</v>
      </c>
      <c r="L43" s="64">
        <v>22.6</v>
      </c>
      <c r="M43" s="64">
        <v>98.77</v>
      </c>
      <c r="N43" s="64">
        <v>228.8</v>
      </c>
      <c r="O43" s="64">
        <v>0</v>
      </c>
      <c r="P43" s="64">
        <v>0.36</v>
      </c>
      <c r="Q43" s="64">
        <v>23.87</v>
      </c>
      <c r="R43" s="198"/>
      <c r="S43" s="198"/>
      <c r="T43" s="198"/>
      <c r="U43" s="198"/>
    </row>
    <row r="44" spans="1:21" s="12" customFormat="1" x14ac:dyDescent="0.25">
      <c r="A44" s="214" t="s">
        <v>1628</v>
      </c>
      <c r="B44" s="64">
        <v>4.79</v>
      </c>
      <c r="C44" s="64">
        <v>11.25</v>
      </c>
      <c r="D44" s="64">
        <v>16.04</v>
      </c>
      <c r="E44" s="64">
        <v>4.6500000000000004</v>
      </c>
      <c r="F44" s="64">
        <v>1.21</v>
      </c>
      <c r="G44" s="64">
        <v>6.53</v>
      </c>
      <c r="H44" s="64">
        <v>2.35</v>
      </c>
      <c r="I44" s="64">
        <v>1.81</v>
      </c>
      <c r="J44" s="64">
        <v>1.08</v>
      </c>
      <c r="K44" s="64">
        <v>153.19</v>
      </c>
      <c r="L44" s="64">
        <v>22.9</v>
      </c>
      <c r="M44" s="64">
        <v>98.75</v>
      </c>
      <c r="N44" s="64">
        <v>264.8</v>
      </c>
      <c r="O44" s="64">
        <v>0</v>
      </c>
      <c r="P44" s="64">
        <v>0.37</v>
      </c>
      <c r="Q44" s="64">
        <v>22</v>
      </c>
      <c r="R44" s="198"/>
      <c r="S44" s="198"/>
      <c r="T44" s="198"/>
      <c r="U44" s="198"/>
    </row>
    <row r="45" spans="1:21" s="12" customFormat="1" x14ac:dyDescent="0.25">
      <c r="A45" s="214" t="s">
        <v>1629</v>
      </c>
      <c r="B45" s="64">
        <v>5.03</v>
      </c>
      <c r="C45" s="64">
        <v>10.29</v>
      </c>
      <c r="D45" s="64">
        <v>15.32</v>
      </c>
      <c r="E45" s="64">
        <v>4.1100000000000003</v>
      </c>
      <c r="F45" s="64">
        <v>0.82</v>
      </c>
      <c r="G45" s="64">
        <v>6.53</v>
      </c>
      <c r="H45" s="64">
        <v>2.35</v>
      </c>
      <c r="I45" s="64">
        <v>1.77</v>
      </c>
      <c r="J45" s="64">
        <v>1.1399999999999999</v>
      </c>
      <c r="K45" s="64">
        <v>152.01</v>
      </c>
      <c r="L45" s="64">
        <v>23.58</v>
      </c>
      <c r="M45" s="64">
        <v>98.73</v>
      </c>
      <c r="N45" s="64">
        <v>387.3</v>
      </c>
      <c r="O45" s="64">
        <v>0</v>
      </c>
      <c r="P45" s="64">
        <v>0.35</v>
      </c>
      <c r="Q45" s="64">
        <v>20.16</v>
      </c>
      <c r="R45" s="198"/>
      <c r="S45" s="198"/>
      <c r="T45" s="198"/>
      <c r="U45" s="198"/>
    </row>
    <row r="46" spans="1:21" s="12" customFormat="1" x14ac:dyDescent="0.25">
      <c r="A46" s="214" t="s">
        <v>1630</v>
      </c>
      <c r="B46" s="64">
        <v>4.97</v>
      </c>
      <c r="C46" s="64">
        <v>9.5299999999999994</v>
      </c>
      <c r="D46" s="64">
        <v>14.5</v>
      </c>
      <c r="E46" s="64">
        <v>3.53</v>
      </c>
      <c r="F46" s="64">
        <v>2.02</v>
      </c>
      <c r="G46" s="64">
        <v>6.53</v>
      </c>
      <c r="H46" s="64">
        <v>2.35</v>
      </c>
      <c r="I46" s="64">
        <v>1.86</v>
      </c>
      <c r="J46" s="64">
        <v>1.07</v>
      </c>
      <c r="K46" s="64">
        <v>157.57</v>
      </c>
      <c r="L46" s="64">
        <v>24.09</v>
      </c>
      <c r="M46" s="64">
        <v>98.48</v>
      </c>
      <c r="N46" s="64">
        <v>118.5</v>
      </c>
      <c r="O46" s="64">
        <v>0</v>
      </c>
      <c r="P46" s="64">
        <v>0.37</v>
      </c>
      <c r="Q46" s="64">
        <v>16.38</v>
      </c>
      <c r="R46" s="198"/>
      <c r="S46" s="198"/>
      <c r="T46" s="198"/>
      <c r="U46" s="198"/>
    </row>
    <row r="47" spans="1:21" s="12" customFormat="1" x14ac:dyDescent="0.25">
      <c r="A47" s="214" t="s">
        <v>1631</v>
      </c>
      <c r="B47" s="64">
        <v>4.74</v>
      </c>
      <c r="C47" s="64">
        <v>9.6199999999999992</v>
      </c>
      <c r="D47" s="64">
        <v>14.35</v>
      </c>
      <c r="E47" s="64">
        <v>4.1500000000000004</v>
      </c>
      <c r="F47" s="64">
        <v>1.08</v>
      </c>
      <c r="G47" s="64">
        <v>6.02</v>
      </c>
      <c r="H47" s="64">
        <v>2.6</v>
      </c>
      <c r="I47" s="64">
        <v>1.87</v>
      </c>
      <c r="J47" s="64">
        <v>0.79</v>
      </c>
      <c r="K47" s="64">
        <v>160.08000000000001</v>
      </c>
      <c r="L47" s="64">
        <v>24.46</v>
      </c>
      <c r="M47" s="64">
        <v>97.52</v>
      </c>
      <c r="N47" s="220" t="s">
        <v>36</v>
      </c>
      <c r="O47" s="64">
        <v>0</v>
      </c>
      <c r="P47" s="64">
        <v>0.36</v>
      </c>
      <c r="Q47" s="64">
        <v>16.59</v>
      </c>
      <c r="R47" s="198"/>
      <c r="S47" s="198"/>
      <c r="T47" s="198"/>
      <c r="U47" s="198"/>
    </row>
    <row r="48" spans="1:21" s="12" customFormat="1" x14ac:dyDescent="0.25">
      <c r="A48" s="214" t="s">
        <v>1632</v>
      </c>
      <c r="B48" s="64">
        <v>4.47</v>
      </c>
      <c r="C48" s="64">
        <v>9.44</v>
      </c>
      <c r="D48" s="64">
        <v>13.91</v>
      </c>
      <c r="E48" s="64">
        <v>4</v>
      </c>
      <c r="F48" s="64">
        <v>1.66</v>
      </c>
      <c r="G48" s="64">
        <v>4.74</v>
      </c>
      <c r="H48" s="64">
        <v>3.03</v>
      </c>
      <c r="I48" s="64">
        <v>1.8</v>
      </c>
      <c r="J48" s="64">
        <v>0.68</v>
      </c>
      <c r="K48" s="64">
        <v>166.86</v>
      </c>
      <c r="L48" s="64">
        <v>24.92</v>
      </c>
      <c r="M48" s="64">
        <v>95.39</v>
      </c>
      <c r="N48" s="220" t="s">
        <v>36</v>
      </c>
      <c r="O48" s="64">
        <v>0</v>
      </c>
      <c r="P48" s="64">
        <v>0.36</v>
      </c>
      <c r="Q48" s="64">
        <v>15.47</v>
      </c>
      <c r="R48" s="198"/>
      <c r="S48" s="198"/>
      <c r="T48" s="198"/>
      <c r="U48" s="198"/>
    </row>
    <row r="49" spans="1:21" s="12" customFormat="1" x14ac:dyDescent="0.25">
      <c r="A49" s="214" t="s">
        <v>1633</v>
      </c>
      <c r="B49" s="64">
        <v>4.2699999999999996</v>
      </c>
      <c r="C49" s="64">
        <v>9.6</v>
      </c>
      <c r="D49" s="64">
        <v>13.86</v>
      </c>
      <c r="E49" s="64">
        <v>4.24</v>
      </c>
      <c r="F49" s="64">
        <v>1.18</v>
      </c>
      <c r="G49" s="64">
        <v>4.74</v>
      </c>
      <c r="H49" s="64">
        <v>3.03</v>
      </c>
      <c r="I49" s="64">
        <v>1.73</v>
      </c>
      <c r="J49" s="64">
        <v>0.51</v>
      </c>
      <c r="K49" s="64">
        <v>171.67</v>
      </c>
      <c r="L49" s="64">
        <v>24.71</v>
      </c>
      <c r="M49" s="64">
        <v>95.62</v>
      </c>
      <c r="N49" s="220" t="s">
        <v>36</v>
      </c>
      <c r="O49" s="64">
        <v>0</v>
      </c>
      <c r="P49" s="64">
        <v>0.36</v>
      </c>
      <c r="Q49" s="64">
        <v>16.62</v>
      </c>
      <c r="R49" s="198"/>
      <c r="S49" s="198"/>
      <c r="T49" s="198"/>
      <c r="U49" s="198"/>
    </row>
    <row r="50" spans="1:21" s="12" customFormat="1" x14ac:dyDescent="0.25">
      <c r="A50" s="214" t="s">
        <v>1634</v>
      </c>
      <c r="B50" s="64">
        <v>3.87</v>
      </c>
      <c r="C50" s="64">
        <v>9.25</v>
      </c>
      <c r="D50" s="64">
        <v>13.12</v>
      </c>
      <c r="E50" s="64">
        <v>3.61</v>
      </c>
      <c r="F50" s="64">
        <v>2.09</v>
      </c>
      <c r="G50" s="64">
        <v>4.74</v>
      </c>
      <c r="H50" s="64">
        <v>3.03</v>
      </c>
      <c r="I50" s="64">
        <v>1.74</v>
      </c>
      <c r="J50" s="64">
        <v>0.55000000000000004</v>
      </c>
      <c r="K50" s="64">
        <v>173.85</v>
      </c>
      <c r="L50" s="64">
        <v>24.29</v>
      </c>
      <c r="M50" s="64">
        <v>96.25</v>
      </c>
      <c r="N50" s="220" t="s">
        <v>36</v>
      </c>
      <c r="O50" s="64">
        <v>0</v>
      </c>
      <c r="P50" s="64">
        <v>0.36</v>
      </c>
      <c r="Q50" s="64">
        <v>13.36</v>
      </c>
      <c r="R50" s="198"/>
      <c r="S50" s="198"/>
      <c r="T50" s="198"/>
      <c r="U50" s="198"/>
    </row>
    <row r="51" spans="1:21" s="12" customFormat="1" x14ac:dyDescent="0.25">
      <c r="A51" s="214" t="s">
        <v>1635</v>
      </c>
      <c r="B51" s="64">
        <v>3.65</v>
      </c>
      <c r="C51" s="64">
        <v>9.6999999999999993</v>
      </c>
      <c r="D51" s="64">
        <v>13.35</v>
      </c>
      <c r="E51" s="64">
        <v>3.26</v>
      </c>
      <c r="F51" s="64">
        <v>1.58</v>
      </c>
      <c r="G51" s="64">
        <v>6.14</v>
      </c>
      <c r="H51" s="64">
        <v>3.75</v>
      </c>
      <c r="I51" s="64">
        <v>1.79</v>
      </c>
      <c r="J51" s="64">
        <v>0.6</v>
      </c>
      <c r="K51" s="64">
        <v>164.02</v>
      </c>
      <c r="L51" s="64">
        <v>24.35</v>
      </c>
      <c r="M51" s="64">
        <v>96.07</v>
      </c>
      <c r="N51" s="220" t="s">
        <v>36</v>
      </c>
      <c r="O51" s="64">
        <v>0</v>
      </c>
      <c r="P51" s="64">
        <v>0.37</v>
      </c>
      <c r="Q51" s="64">
        <v>14.4</v>
      </c>
      <c r="R51" s="198"/>
      <c r="S51" s="198"/>
      <c r="T51" s="198"/>
      <c r="U51" s="198"/>
    </row>
    <row r="52" spans="1:21" s="12" customFormat="1" x14ac:dyDescent="0.25">
      <c r="A52" s="214" t="s">
        <v>1636</v>
      </c>
      <c r="B52" s="64">
        <v>3.37</v>
      </c>
      <c r="C52" s="64">
        <v>9.85</v>
      </c>
      <c r="D52" s="64">
        <v>13.22</v>
      </c>
      <c r="E52" s="64">
        <v>3.62</v>
      </c>
      <c r="F52" s="64">
        <v>2.59</v>
      </c>
      <c r="G52" s="64">
        <v>9.58</v>
      </c>
      <c r="H52" s="64">
        <v>4.9400000000000004</v>
      </c>
      <c r="I52" s="64">
        <v>1.76</v>
      </c>
      <c r="J52" s="64">
        <v>0.52</v>
      </c>
      <c r="K52" s="64">
        <v>161.84</v>
      </c>
      <c r="L52" s="64">
        <v>24.95</v>
      </c>
      <c r="M52" s="64">
        <v>94.2</v>
      </c>
      <c r="N52" s="220" t="s">
        <v>36</v>
      </c>
      <c r="O52" s="64">
        <v>0</v>
      </c>
      <c r="P52" s="64">
        <v>0.35</v>
      </c>
      <c r="Q52" s="64">
        <v>14.29</v>
      </c>
      <c r="R52" s="198"/>
      <c r="S52" s="198"/>
      <c r="T52" s="198"/>
      <c r="U52" s="198"/>
    </row>
    <row r="53" spans="1:21" s="12" customFormat="1" x14ac:dyDescent="0.25">
      <c r="A53" s="214" t="s">
        <v>1637</v>
      </c>
      <c r="B53" s="64">
        <v>3.08</v>
      </c>
      <c r="C53" s="64">
        <v>10.41</v>
      </c>
      <c r="D53" s="64">
        <v>13.49</v>
      </c>
      <c r="E53" s="64">
        <v>3.84</v>
      </c>
      <c r="F53" s="64">
        <v>2.5099999999999998</v>
      </c>
      <c r="G53" s="64">
        <v>9.58</v>
      </c>
      <c r="H53" s="64">
        <v>4.9400000000000004</v>
      </c>
      <c r="I53" s="64">
        <v>1.81</v>
      </c>
      <c r="J53" s="64">
        <v>0.65</v>
      </c>
      <c r="K53" s="64">
        <v>168.36</v>
      </c>
      <c r="L53" s="64">
        <v>25.31</v>
      </c>
      <c r="M53" s="64">
        <v>91.11</v>
      </c>
      <c r="N53" s="220" t="s">
        <v>36</v>
      </c>
      <c r="O53" s="64">
        <v>0</v>
      </c>
      <c r="P53" s="64">
        <v>0.35</v>
      </c>
      <c r="Q53" s="64">
        <v>15.66</v>
      </c>
      <c r="R53" s="198"/>
      <c r="S53" s="198"/>
      <c r="T53" s="198"/>
      <c r="U53" s="198"/>
    </row>
    <row r="54" spans="1:21" s="12" customFormat="1" x14ac:dyDescent="0.25">
      <c r="A54" s="214" t="s">
        <v>1638</v>
      </c>
      <c r="B54" s="64">
        <v>2.83</v>
      </c>
      <c r="C54" s="64">
        <v>10.33</v>
      </c>
      <c r="D54" s="64">
        <v>13.16</v>
      </c>
      <c r="E54" s="64">
        <v>3.91</v>
      </c>
      <c r="F54" s="64">
        <v>2.04</v>
      </c>
      <c r="G54" s="64">
        <v>9.58</v>
      </c>
      <c r="H54" s="64">
        <v>4.9400000000000004</v>
      </c>
      <c r="I54" s="64">
        <v>1.81</v>
      </c>
      <c r="J54" s="64">
        <v>0.39</v>
      </c>
      <c r="K54" s="64">
        <v>169.54</v>
      </c>
      <c r="L54" s="64">
        <v>25.35</v>
      </c>
      <c r="M54" s="64">
        <v>90.73</v>
      </c>
      <c r="N54" s="220" t="s">
        <v>36</v>
      </c>
      <c r="O54" s="64">
        <v>0</v>
      </c>
      <c r="P54" s="64">
        <v>0.35</v>
      </c>
      <c r="Q54" s="64">
        <v>20.43</v>
      </c>
      <c r="R54" s="198"/>
      <c r="S54" s="198"/>
      <c r="T54" s="198"/>
      <c r="U54" s="198"/>
    </row>
    <row r="55" spans="1:21" s="12" customFormat="1" x14ac:dyDescent="0.25">
      <c r="A55" s="214" t="s">
        <v>1639</v>
      </c>
      <c r="B55" s="64">
        <v>2.68</v>
      </c>
      <c r="C55" s="64">
        <v>10.119999999999999</v>
      </c>
      <c r="D55" s="64">
        <v>12.8</v>
      </c>
      <c r="E55" s="64">
        <v>3.72</v>
      </c>
      <c r="F55" s="64">
        <v>2.83</v>
      </c>
      <c r="G55" s="64">
        <v>10.25</v>
      </c>
      <c r="H55" s="64">
        <v>4.6500000000000004</v>
      </c>
      <c r="I55" s="64">
        <v>1.79</v>
      </c>
      <c r="J55" s="64">
        <v>0.62</v>
      </c>
      <c r="K55" s="64">
        <v>177.26</v>
      </c>
      <c r="L55" s="64">
        <v>25.17</v>
      </c>
      <c r="M55" s="64">
        <v>90.38</v>
      </c>
      <c r="N55" s="220" t="s">
        <v>36</v>
      </c>
      <c r="O55" s="64">
        <v>0</v>
      </c>
      <c r="P55" s="64">
        <v>0.33</v>
      </c>
      <c r="Q55" s="64">
        <v>23.85</v>
      </c>
      <c r="R55" s="198"/>
      <c r="S55" s="198"/>
      <c r="T55" s="198"/>
      <c r="U55" s="198"/>
    </row>
    <row r="56" spans="1:21" s="12" customFormat="1" x14ac:dyDescent="0.25">
      <c r="A56" s="214" t="s">
        <v>1640</v>
      </c>
      <c r="B56" s="64">
        <v>2.73</v>
      </c>
      <c r="C56" s="64">
        <v>10.52</v>
      </c>
      <c r="D56" s="64">
        <v>13.25</v>
      </c>
      <c r="E56" s="64">
        <v>3.93</v>
      </c>
      <c r="F56" s="64">
        <v>1.25</v>
      </c>
      <c r="G56" s="64">
        <v>11.92</v>
      </c>
      <c r="H56" s="64">
        <v>3.48</v>
      </c>
      <c r="I56" s="64">
        <v>1.79</v>
      </c>
      <c r="J56" s="64">
        <v>1.04</v>
      </c>
      <c r="K56" s="64">
        <v>156.5</v>
      </c>
      <c r="L56" s="64">
        <v>25.69</v>
      </c>
      <c r="M56" s="64">
        <v>87.33</v>
      </c>
      <c r="N56" s="220" t="s">
        <v>36</v>
      </c>
      <c r="O56" s="64">
        <v>0</v>
      </c>
      <c r="P56" s="64">
        <v>0.34</v>
      </c>
      <c r="Q56" s="64">
        <v>24.21</v>
      </c>
      <c r="R56" s="198"/>
      <c r="S56" s="198"/>
      <c r="T56" s="198"/>
      <c r="U56" s="198"/>
    </row>
    <row r="57" spans="1:21" s="12" customFormat="1" x14ac:dyDescent="0.25">
      <c r="A57" s="214" t="s">
        <v>1641</v>
      </c>
      <c r="B57" s="64">
        <v>2.84</v>
      </c>
      <c r="C57" s="64">
        <v>10.16</v>
      </c>
      <c r="D57" s="64">
        <v>13</v>
      </c>
      <c r="E57" s="64">
        <v>4.45</v>
      </c>
      <c r="F57" s="64">
        <v>1.67</v>
      </c>
      <c r="G57" s="64">
        <v>11.92</v>
      </c>
      <c r="H57" s="64">
        <v>3.48</v>
      </c>
      <c r="I57" s="64">
        <v>1.77</v>
      </c>
      <c r="J57" s="64">
        <v>0.46</v>
      </c>
      <c r="K57" s="64">
        <v>165.17</v>
      </c>
      <c r="L57" s="64">
        <v>25.45</v>
      </c>
      <c r="M57" s="64">
        <v>88.55</v>
      </c>
      <c r="N57" s="220" t="s">
        <v>36</v>
      </c>
      <c r="O57" s="64">
        <v>0</v>
      </c>
      <c r="P57" s="64">
        <v>0.34</v>
      </c>
      <c r="Q57" s="64">
        <v>21.1</v>
      </c>
      <c r="R57" s="198"/>
      <c r="S57" s="198"/>
      <c r="T57" s="198"/>
      <c r="U57" s="198"/>
    </row>
    <row r="58" spans="1:21" s="12" customFormat="1" x14ac:dyDescent="0.25">
      <c r="A58" s="214" t="s">
        <v>1642</v>
      </c>
      <c r="B58" s="64">
        <v>2.93</v>
      </c>
      <c r="C58" s="64">
        <v>9.74</v>
      </c>
      <c r="D58" s="64">
        <v>12.66</v>
      </c>
      <c r="E58" s="64">
        <v>4.41</v>
      </c>
      <c r="F58" s="64">
        <v>2.3199999999999998</v>
      </c>
      <c r="G58" s="64">
        <v>11.92</v>
      </c>
      <c r="H58" s="64">
        <v>3.48</v>
      </c>
      <c r="I58" s="64">
        <v>1.81</v>
      </c>
      <c r="J58" s="64">
        <v>0.39</v>
      </c>
      <c r="K58" s="64">
        <v>171.05</v>
      </c>
      <c r="L58" s="64">
        <v>25.1</v>
      </c>
      <c r="M58" s="64">
        <v>89.51</v>
      </c>
      <c r="N58" s="220" t="s">
        <v>36</v>
      </c>
      <c r="O58" s="64">
        <v>0</v>
      </c>
      <c r="P58" s="64">
        <v>0.33</v>
      </c>
      <c r="Q58" s="64">
        <v>17.260000000000002</v>
      </c>
      <c r="R58" s="198"/>
      <c r="S58" s="198"/>
      <c r="T58" s="198"/>
      <c r="U58" s="198"/>
    </row>
    <row r="59" spans="1:21" s="12" customFormat="1" x14ac:dyDescent="0.25">
      <c r="A59" s="214" t="s">
        <v>1643</v>
      </c>
      <c r="B59" s="64">
        <v>2.88</v>
      </c>
      <c r="C59" s="64">
        <v>9.94</v>
      </c>
      <c r="D59" s="64">
        <v>12.82</v>
      </c>
      <c r="E59" s="64">
        <v>4.2300000000000004</v>
      </c>
      <c r="F59" s="64">
        <v>1.71</v>
      </c>
      <c r="G59" s="64">
        <v>11.81</v>
      </c>
      <c r="H59" s="64">
        <v>3.11</v>
      </c>
      <c r="I59" s="64">
        <v>1.83</v>
      </c>
      <c r="J59" s="64">
        <v>0.12</v>
      </c>
      <c r="K59" s="64">
        <v>173.51</v>
      </c>
      <c r="L59" s="64">
        <v>24.86</v>
      </c>
      <c r="M59" s="64">
        <v>91.04</v>
      </c>
      <c r="N59" s="220" t="s">
        <v>36</v>
      </c>
      <c r="O59" s="64">
        <v>0</v>
      </c>
      <c r="P59" s="64">
        <v>0.32</v>
      </c>
      <c r="Q59" s="64">
        <v>16.23</v>
      </c>
      <c r="R59" s="198"/>
      <c r="S59" s="198"/>
      <c r="T59" s="198"/>
      <c r="U59" s="198"/>
    </row>
    <row r="60" spans="1:21" s="12" customFormat="1" x14ac:dyDescent="0.25">
      <c r="A60" s="214" t="s">
        <v>1644</v>
      </c>
      <c r="B60" s="64">
        <v>2.8</v>
      </c>
      <c r="C60" s="64">
        <v>9.75</v>
      </c>
      <c r="D60" s="64">
        <v>12.55</v>
      </c>
      <c r="E60" s="64">
        <v>4.5599999999999996</v>
      </c>
      <c r="F60" s="64">
        <v>2.06</v>
      </c>
      <c r="G60" s="64">
        <v>11.53</v>
      </c>
      <c r="H60" s="64">
        <v>2.5299999999999998</v>
      </c>
      <c r="I60" s="64">
        <v>1.84</v>
      </c>
      <c r="J60" s="64">
        <v>0.34</v>
      </c>
      <c r="K60" s="64">
        <v>174.07</v>
      </c>
      <c r="L60" s="64">
        <v>24.7</v>
      </c>
      <c r="M60" s="64">
        <v>92.66</v>
      </c>
      <c r="N60" s="220" t="s">
        <v>36</v>
      </c>
      <c r="O60" s="64">
        <v>0</v>
      </c>
      <c r="P60" s="64">
        <v>0.33</v>
      </c>
      <c r="Q60" s="64">
        <v>12.01</v>
      </c>
      <c r="R60" s="198"/>
      <c r="S60" s="198"/>
      <c r="T60" s="198"/>
      <c r="U60" s="198"/>
    </row>
    <row r="61" spans="1:21" s="12" customFormat="1" x14ac:dyDescent="0.25">
      <c r="A61" s="214" t="s">
        <v>1645</v>
      </c>
      <c r="B61" s="64">
        <v>2.77</v>
      </c>
      <c r="C61" s="64">
        <v>9.65</v>
      </c>
      <c r="D61" s="64">
        <v>12.42</v>
      </c>
      <c r="E61" s="64">
        <v>4.5599999999999996</v>
      </c>
      <c r="F61" s="64">
        <v>1.76</v>
      </c>
      <c r="G61" s="64">
        <v>11.53</v>
      </c>
      <c r="H61" s="64">
        <v>2.5299999999999998</v>
      </c>
      <c r="I61" s="64">
        <v>1.75</v>
      </c>
      <c r="J61" s="64">
        <v>0.3</v>
      </c>
      <c r="K61" s="64">
        <v>176.55</v>
      </c>
      <c r="L61" s="64">
        <v>24.88</v>
      </c>
      <c r="M61" s="64">
        <v>90.68</v>
      </c>
      <c r="N61" s="220" t="s">
        <v>36</v>
      </c>
      <c r="O61" s="64">
        <v>0</v>
      </c>
      <c r="P61" s="64">
        <v>0.26</v>
      </c>
      <c r="Q61" s="64">
        <v>10.52</v>
      </c>
      <c r="R61" s="198"/>
      <c r="S61" s="198"/>
      <c r="T61" s="198"/>
      <c r="U61" s="198"/>
    </row>
    <row r="62" spans="1:21" s="12" customFormat="1" x14ac:dyDescent="0.25">
      <c r="A62" s="214" t="s">
        <v>1646</v>
      </c>
      <c r="B62" s="64">
        <v>2.69</v>
      </c>
      <c r="C62" s="64">
        <v>9.2799999999999994</v>
      </c>
      <c r="D62" s="64">
        <v>11.97</v>
      </c>
      <c r="E62" s="64">
        <v>4.28</v>
      </c>
      <c r="F62" s="64">
        <v>2.29</v>
      </c>
      <c r="G62" s="64">
        <v>11.53</v>
      </c>
      <c r="H62" s="64">
        <v>2.5299999999999998</v>
      </c>
      <c r="I62" s="64">
        <v>1.84</v>
      </c>
      <c r="J62" s="64">
        <v>0.21</v>
      </c>
      <c r="K62" s="64">
        <v>149.16</v>
      </c>
      <c r="L62" s="64">
        <v>25.11</v>
      </c>
      <c r="M62" s="64">
        <v>89.75</v>
      </c>
      <c r="N62" s="220" t="s">
        <v>36</v>
      </c>
      <c r="O62" s="64">
        <v>0</v>
      </c>
      <c r="P62" s="64">
        <v>0.28000000000000003</v>
      </c>
      <c r="Q62" s="64">
        <v>13.22</v>
      </c>
      <c r="R62" s="198"/>
      <c r="S62" s="198"/>
      <c r="T62" s="198"/>
      <c r="U62" s="198"/>
    </row>
    <row r="63" spans="1:21" s="12" customFormat="1" x14ac:dyDescent="0.25">
      <c r="A63" s="214" t="s">
        <v>1647</v>
      </c>
      <c r="B63" s="64">
        <v>2.76</v>
      </c>
      <c r="C63" s="64">
        <v>9.84</v>
      </c>
      <c r="D63" s="64">
        <v>12.6</v>
      </c>
      <c r="E63" s="64">
        <v>4.34</v>
      </c>
      <c r="F63" s="64">
        <v>3.27</v>
      </c>
      <c r="G63" s="64">
        <v>11.75</v>
      </c>
      <c r="H63" s="64">
        <v>2.35</v>
      </c>
      <c r="I63" s="64">
        <v>1.75</v>
      </c>
      <c r="J63" s="64">
        <v>0.69</v>
      </c>
      <c r="K63" s="64">
        <v>156.66</v>
      </c>
      <c r="L63" s="64">
        <v>24.96</v>
      </c>
      <c r="M63" s="64">
        <v>91.21</v>
      </c>
      <c r="N63" s="220" t="s">
        <v>36</v>
      </c>
      <c r="O63" s="64">
        <v>0</v>
      </c>
      <c r="P63" s="64">
        <v>0.28999999999999998</v>
      </c>
      <c r="Q63" s="64">
        <v>25.69</v>
      </c>
      <c r="R63" s="198"/>
      <c r="S63" s="198"/>
      <c r="T63" s="198"/>
      <c r="U63" s="198"/>
    </row>
    <row r="64" spans="1:21" s="12" customFormat="1" x14ac:dyDescent="0.25">
      <c r="A64" s="214" t="s">
        <v>1648</v>
      </c>
      <c r="B64" s="64">
        <v>2.85</v>
      </c>
      <c r="C64" s="64">
        <v>9.9499999999999993</v>
      </c>
      <c r="D64" s="64">
        <v>12.8</v>
      </c>
      <c r="E64" s="64">
        <v>4.6100000000000003</v>
      </c>
      <c r="F64" s="64">
        <v>2.7</v>
      </c>
      <c r="G64" s="64">
        <v>12.27</v>
      </c>
      <c r="H64" s="64">
        <v>2.0499999999999998</v>
      </c>
      <c r="I64" s="64">
        <v>1.84</v>
      </c>
      <c r="J64" s="64">
        <v>0.18</v>
      </c>
      <c r="K64" s="64">
        <v>196.76</v>
      </c>
      <c r="L64" s="64">
        <v>24.99</v>
      </c>
      <c r="M64" s="64">
        <v>90</v>
      </c>
      <c r="N64" s="220" t="s">
        <v>36</v>
      </c>
      <c r="O64" s="64">
        <v>0</v>
      </c>
      <c r="P64" s="64">
        <v>0.28999999999999998</v>
      </c>
      <c r="Q64" s="64">
        <v>20.56</v>
      </c>
      <c r="R64" s="198"/>
      <c r="S64" s="198"/>
      <c r="T64" s="198"/>
      <c r="U64" s="198"/>
    </row>
    <row r="65" spans="1:21" s="12" customFormat="1" x14ac:dyDescent="0.25">
      <c r="A65" s="214" t="s">
        <v>1649</v>
      </c>
      <c r="B65" s="64">
        <v>2.88</v>
      </c>
      <c r="C65" s="64">
        <v>10.45</v>
      </c>
      <c r="D65" s="64">
        <v>13.33</v>
      </c>
      <c r="E65" s="64">
        <v>3.94</v>
      </c>
      <c r="F65" s="64">
        <v>2.21</v>
      </c>
      <c r="G65" s="64">
        <v>12.27</v>
      </c>
      <c r="H65" s="64">
        <v>2.0499999999999998</v>
      </c>
      <c r="I65" s="64">
        <v>1.78</v>
      </c>
      <c r="J65" s="64">
        <v>0.19</v>
      </c>
      <c r="K65" s="64">
        <v>184.01</v>
      </c>
      <c r="L65" s="64">
        <v>24.87</v>
      </c>
      <c r="M65" s="64">
        <v>90.47</v>
      </c>
      <c r="N65" s="220" t="s">
        <v>36</v>
      </c>
      <c r="O65" s="64">
        <v>0</v>
      </c>
      <c r="P65" s="64">
        <v>0.27</v>
      </c>
      <c r="Q65" s="64">
        <v>18.89</v>
      </c>
      <c r="R65" s="198"/>
      <c r="S65" s="198"/>
      <c r="T65" s="198"/>
      <c r="U65" s="198"/>
    </row>
    <row r="66" spans="1:21" s="12" customFormat="1" x14ac:dyDescent="0.25">
      <c r="A66" s="214" t="s">
        <v>1650</v>
      </c>
      <c r="B66" s="64">
        <v>2.81</v>
      </c>
      <c r="C66" s="64">
        <v>10.33</v>
      </c>
      <c r="D66" s="64">
        <v>13.13</v>
      </c>
      <c r="E66" s="64">
        <v>4.3499999999999996</v>
      </c>
      <c r="F66" s="64">
        <v>3</v>
      </c>
      <c r="G66" s="64">
        <v>12.27</v>
      </c>
      <c r="H66" s="64">
        <v>2.0499999999999998</v>
      </c>
      <c r="I66" s="64">
        <v>1.74</v>
      </c>
      <c r="J66" s="64">
        <v>0.3</v>
      </c>
      <c r="K66" s="64">
        <v>173.27</v>
      </c>
      <c r="L66" s="64">
        <v>24.72</v>
      </c>
      <c r="M66" s="64">
        <v>90.09</v>
      </c>
      <c r="N66" s="220" t="s">
        <v>36</v>
      </c>
      <c r="O66" s="64">
        <v>0</v>
      </c>
      <c r="P66" s="64">
        <v>0.28000000000000003</v>
      </c>
      <c r="Q66" s="64">
        <v>14.32</v>
      </c>
      <c r="R66" s="198"/>
      <c r="S66" s="198"/>
      <c r="T66" s="198"/>
      <c r="U66" s="198"/>
    </row>
    <row r="67" spans="1:21" s="12" customFormat="1" x14ac:dyDescent="0.25">
      <c r="A67" s="214" t="s">
        <v>1651</v>
      </c>
      <c r="B67" s="64">
        <v>2.64</v>
      </c>
      <c r="C67" s="64">
        <v>10.16</v>
      </c>
      <c r="D67" s="64">
        <v>12.8</v>
      </c>
      <c r="E67" s="64">
        <v>4.87</v>
      </c>
      <c r="F67" s="64">
        <v>2.78</v>
      </c>
      <c r="G67" s="64">
        <v>11.36</v>
      </c>
      <c r="H67" s="64">
        <v>2.2999999999999998</v>
      </c>
      <c r="I67" s="64">
        <v>1.78</v>
      </c>
      <c r="J67" s="64">
        <v>0.31</v>
      </c>
      <c r="K67" s="64">
        <v>174.99</v>
      </c>
      <c r="L67" s="64">
        <v>24.36</v>
      </c>
      <c r="M67" s="64">
        <v>92.35</v>
      </c>
      <c r="N67" s="220" t="s">
        <v>36</v>
      </c>
      <c r="O67" s="64">
        <v>0</v>
      </c>
      <c r="P67" s="64">
        <v>0.28000000000000003</v>
      </c>
      <c r="Q67" s="64">
        <v>10.06</v>
      </c>
      <c r="R67" s="198"/>
      <c r="S67" s="198"/>
      <c r="T67" s="198"/>
      <c r="U67" s="198"/>
    </row>
    <row r="68" spans="1:21" s="12" customFormat="1" x14ac:dyDescent="0.25">
      <c r="A68" s="214" t="s">
        <v>1652</v>
      </c>
      <c r="B68" s="64">
        <v>2.68</v>
      </c>
      <c r="C68" s="64">
        <v>10.220000000000001</v>
      </c>
      <c r="D68" s="64">
        <v>12.9</v>
      </c>
      <c r="E68" s="64">
        <v>4.5</v>
      </c>
      <c r="F68" s="64">
        <v>2</v>
      </c>
      <c r="G68" s="64">
        <v>9.11</v>
      </c>
      <c r="H68" s="64">
        <v>2.72</v>
      </c>
      <c r="I68" s="64">
        <v>1.78</v>
      </c>
      <c r="J68" s="64">
        <v>0.47</v>
      </c>
      <c r="K68" s="64">
        <v>177.45</v>
      </c>
      <c r="L68" s="64">
        <v>24.36</v>
      </c>
      <c r="M68" s="64">
        <v>93.29</v>
      </c>
      <c r="N68" s="220" t="s">
        <v>36</v>
      </c>
      <c r="O68" s="64">
        <v>0</v>
      </c>
      <c r="P68" s="64">
        <v>0.27</v>
      </c>
      <c r="Q68" s="64">
        <v>7.89</v>
      </c>
      <c r="R68" s="198"/>
      <c r="S68" s="198"/>
      <c r="T68" s="198"/>
      <c r="U68" s="198"/>
    </row>
    <row r="69" spans="1:21" s="12" customFormat="1" x14ac:dyDescent="0.25">
      <c r="A69" s="214" t="s">
        <v>1653</v>
      </c>
      <c r="B69" s="64">
        <v>2.82</v>
      </c>
      <c r="C69" s="64">
        <v>9.9</v>
      </c>
      <c r="D69" s="64">
        <v>12.72</v>
      </c>
      <c r="E69" s="64">
        <v>4.1100000000000003</v>
      </c>
      <c r="F69" s="64">
        <v>2.62</v>
      </c>
      <c r="G69" s="64">
        <v>9.11</v>
      </c>
      <c r="H69" s="64">
        <v>2.72</v>
      </c>
      <c r="I69" s="64">
        <v>1.83</v>
      </c>
      <c r="J69" s="64">
        <v>0.38</v>
      </c>
      <c r="K69" s="64">
        <v>172.4</v>
      </c>
      <c r="L69" s="64">
        <v>24.45</v>
      </c>
      <c r="M69" s="64">
        <v>91.44</v>
      </c>
      <c r="N69" s="220" t="s">
        <v>36</v>
      </c>
      <c r="O69" s="64">
        <v>0</v>
      </c>
      <c r="P69" s="64">
        <v>0.27</v>
      </c>
      <c r="Q69" s="64">
        <v>4.92</v>
      </c>
      <c r="R69" s="198"/>
      <c r="S69" s="198"/>
      <c r="T69" s="198"/>
      <c r="U69" s="198"/>
    </row>
    <row r="70" spans="1:21" s="12" customFormat="1" x14ac:dyDescent="0.25">
      <c r="A70" s="214" t="s">
        <v>1654</v>
      </c>
      <c r="B70" s="64">
        <v>2.94</v>
      </c>
      <c r="C70" s="64">
        <v>10.79</v>
      </c>
      <c r="D70" s="64">
        <v>13.73</v>
      </c>
      <c r="E70" s="64">
        <v>4.8099999999999996</v>
      </c>
      <c r="F70" s="64">
        <v>2.0499999999999998</v>
      </c>
      <c r="G70" s="64">
        <v>9.11</v>
      </c>
      <c r="H70" s="64">
        <v>2.72</v>
      </c>
      <c r="I70" s="64">
        <v>1.77</v>
      </c>
      <c r="J70" s="64">
        <v>0.15</v>
      </c>
      <c r="K70" s="64">
        <v>181.48</v>
      </c>
      <c r="L70" s="64">
        <v>24.3</v>
      </c>
      <c r="M70" s="64">
        <v>92.22</v>
      </c>
      <c r="N70" s="220" t="s">
        <v>36</v>
      </c>
      <c r="O70" s="64">
        <v>0</v>
      </c>
      <c r="P70" s="64">
        <v>0.28000000000000003</v>
      </c>
      <c r="Q70" s="64">
        <v>5.16</v>
      </c>
      <c r="R70" s="198"/>
      <c r="S70" s="198"/>
      <c r="T70" s="198"/>
      <c r="U70" s="198"/>
    </row>
    <row r="71" spans="1:21" s="12" customFormat="1" x14ac:dyDescent="0.25">
      <c r="A71" s="214" t="s">
        <v>1655</v>
      </c>
      <c r="B71" s="64">
        <v>2.71</v>
      </c>
      <c r="C71" s="64">
        <v>9.69</v>
      </c>
      <c r="D71" s="64">
        <v>12.4</v>
      </c>
      <c r="E71" s="64">
        <v>4.53</v>
      </c>
      <c r="F71" s="64">
        <v>2.97</v>
      </c>
      <c r="G71" s="64">
        <v>9.3800000000000008</v>
      </c>
      <c r="H71" s="64">
        <v>3.52</v>
      </c>
      <c r="I71" s="64">
        <v>1.77</v>
      </c>
      <c r="J71" s="64">
        <v>0.23</v>
      </c>
      <c r="K71" s="64">
        <v>176.92</v>
      </c>
      <c r="L71" s="64">
        <v>24.19</v>
      </c>
      <c r="M71" s="64">
        <v>92.1</v>
      </c>
      <c r="N71" s="220" t="s">
        <v>36</v>
      </c>
      <c r="O71" s="64">
        <v>0</v>
      </c>
      <c r="P71" s="64">
        <v>0.27</v>
      </c>
      <c r="Q71" s="64">
        <v>4.42</v>
      </c>
      <c r="R71" s="198"/>
      <c r="S71" s="198"/>
      <c r="T71" s="198"/>
      <c r="U71" s="198"/>
    </row>
    <row r="72" spans="1:21" s="12" customFormat="1" x14ac:dyDescent="0.25">
      <c r="A72" s="214" t="s">
        <v>1656</v>
      </c>
      <c r="B72" s="64">
        <v>2.6</v>
      </c>
      <c r="C72" s="64">
        <v>9.6300000000000008</v>
      </c>
      <c r="D72" s="64">
        <v>12.23</v>
      </c>
      <c r="E72" s="64">
        <v>4.4400000000000004</v>
      </c>
      <c r="F72" s="64">
        <v>1.6</v>
      </c>
      <c r="G72" s="64">
        <v>10.06</v>
      </c>
      <c r="H72" s="64">
        <v>4.83</v>
      </c>
      <c r="I72" s="64">
        <v>1.8</v>
      </c>
      <c r="J72" s="64">
        <v>0.28999999999999998</v>
      </c>
      <c r="K72" s="64">
        <v>181.12</v>
      </c>
      <c r="L72" s="64">
        <v>23.93</v>
      </c>
      <c r="M72" s="64">
        <v>94.37</v>
      </c>
      <c r="N72" s="220" t="s">
        <v>36</v>
      </c>
      <c r="O72" s="64">
        <v>0</v>
      </c>
      <c r="P72" s="64">
        <v>0.28000000000000003</v>
      </c>
      <c r="Q72" s="64">
        <v>5.12</v>
      </c>
      <c r="R72" s="198"/>
      <c r="S72" s="198"/>
      <c r="T72" s="198"/>
      <c r="U72" s="198"/>
    </row>
    <row r="73" spans="1:21" s="12" customFormat="1" x14ac:dyDescent="0.25">
      <c r="A73" s="214" t="s">
        <v>1657</v>
      </c>
      <c r="B73" s="64">
        <v>2.5499999999999998</v>
      </c>
      <c r="C73" s="64">
        <v>9.42</v>
      </c>
      <c r="D73" s="64">
        <v>11.96</v>
      </c>
      <c r="E73" s="64">
        <v>3.78</v>
      </c>
      <c r="F73" s="64">
        <v>2.62</v>
      </c>
      <c r="G73" s="64">
        <v>10.06</v>
      </c>
      <c r="H73" s="64">
        <v>4.83</v>
      </c>
      <c r="I73" s="64">
        <v>1.83</v>
      </c>
      <c r="J73" s="64">
        <v>0.11</v>
      </c>
      <c r="K73" s="64">
        <v>208.15</v>
      </c>
      <c r="L73" s="64">
        <v>23.79</v>
      </c>
      <c r="M73" s="64">
        <v>95.71</v>
      </c>
      <c r="N73" s="220" t="s">
        <v>36</v>
      </c>
      <c r="O73" s="64">
        <v>0</v>
      </c>
      <c r="P73" s="64">
        <v>0.27</v>
      </c>
      <c r="Q73" s="64">
        <v>3.58</v>
      </c>
      <c r="R73" s="198"/>
      <c r="S73" s="198"/>
      <c r="T73" s="198"/>
      <c r="U73" s="198"/>
    </row>
    <row r="74" spans="1:21" s="12" customFormat="1" x14ac:dyDescent="0.25">
      <c r="A74" s="214" t="s">
        <v>1658</v>
      </c>
      <c r="B74" s="64">
        <v>2.56</v>
      </c>
      <c r="C74" s="64">
        <v>9.36</v>
      </c>
      <c r="D74" s="64">
        <v>11.92</v>
      </c>
      <c r="E74" s="64">
        <v>4.04</v>
      </c>
      <c r="F74" s="64">
        <v>1.72</v>
      </c>
      <c r="G74" s="64">
        <v>10.06</v>
      </c>
      <c r="H74" s="64">
        <v>4.83</v>
      </c>
      <c r="I74" s="64">
        <v>1.78</v>
      </c>
      <c r="J74" s="64">
        <v>0.48</v>
      </c>
      <c r="K74" s="64">
        <v>182.93</v>
      </c>
      <c r="L74" s="64">
        <v>23.55</v>
      </c>
      <c r="M74" s="64">
        <v>96.74</v>
      </c>
      <c r="N74" s="220" t="s">
        <v>36</v>
      </c>
      <c r="O74" s="64">
        <v>0</v>
      </c>
      <c r="P74" s="64">
        <v>0.28000000000000003</v>
      </c>
      <c r="Q74" s="64">
        <v>2.83</v>
      </c>
      <c r="R74" s="198"/>
      <c r="S74" s="198"/>
      <c r="T74" s="198"/>
      <c r="U74" s="198"/>
    </row>
    <row r="75" spans="1:21" s="12" customFormat="1" x14ac:dyDescent="0.25">
      <c r="A75" s="214" t="s">
        <v>1659</v>
      </c>
      <c r="B75" s="64">
        <v>2.64</v>
      </c>
      <c r="C75" s="64">
        <v>10.47</v>
      </c>
      <c r="D75" s="64">
        <v>13.11</v>
      </c>
      <c r="E75" s="64">
        <v>3.98</v>
      </c>
      <c r="F75" s="64">
        <v>2.64</v>
      </c>
      <c r="G75" s="64">
        <v>11.46</v>
      </c>
      <c r="H75" s="64">
        <v>5.16</v>
      </c>
      <c r="I75" s="64">
        <v>1.81</v>
      </c>
      <c r="J75" s="64">
        <v>0.65</v>
      </c>
      <c r="K75" s="64">
        <v>158.27000000000001</v>
      </c>
      <c r="L75" s="64">
        <v>23.47</v>
      </c>
      <c r="M75" s="64">
        <v>97.95</v>
      </c>
      <c r="N75" s="220" t="s">
        <v>36</v>
      </c>
      <c r="O75" s="64">
        <v>0</v>
      </c>
      <c r="P75" s="64">
        <v>0.28000000000000003</v>
      </c>
      <c r="Q75" s="64">
        <v>2.96</v>
      </c>
      <c r="R75" s="198"/>
      <c r="S75" s="198"/>
      <c r="T75" s="198"/>
      <c r="U75" s="198"/>
    </row>
    <row r="76" spans="1:21" s="12" customFormat="1" x14ac:dyDescent="0.25">
      <c r="A76" s="214" t="s">
        <v>1660</v>
      </c>
      <c r="B76" s="64">
        <v>2.73</v>
      </c>
      <c r="C76" s="64">
        <v>11.03</v>
      </c>
      <c r="D76" s="64">
        <v>13.76</v>
      </c>
      <c r="E76" s="64">
        <v>4.8899999999999997</v>
      </c>
      <c r="F76" s="64">
        <v>2.1</v>
      </c>
      <c r="G76" s="64">
        <v>14.89</v>
      </c>
      <c r="H76" s="64">
        <v>5.66</v>
      </c>
      <c r="I76" s="64">
        <v>1.77</v>
      </c>
      <c r="J76" s="64">
        <v>0.99</v>
      </c>
      <c r="K76" s="64">
        <v>149.59</v>
      </c>
      <c r="L76" s="64">
        <v>23.43</v>
      </c>
      <c r="M76" s="64">
        <v>98.23</v>
      </c>
      <c r="N76" s="220" t="s">
        <v>36</v>
      </c>
      <c r="O76" s="64">
        <v>0</v>
      </c>
      <c r="P76" s="64">
        <v>0.28000000000000003</v>
      </c>
      <c r="Q76" s="64">
        <v>3.5</v>
      </c>
      <c r="R76" s="198"/>
      <c r="S76" s="198"/>
      <c r="T76" s="198"/>
      <c r="U76" s="198"/>
    </row>
    <row r="77" spans="1:21" s="12" customFormat="1" x14ac:dyDescent="0.25">
      <c r="A77" s="214" t="s">
        <v>1661</v>
      </c>
      <c r="B77" s="64">
        <v>2.98</v>
      </c>
      <c r="C77" s="64">
        <v>11.05</v>
      </c>
      <c r="D77" s="64">
        <v>14.03</v>
      </c>
      <c r="E77" s="64">
        <v>4.4800000000000004</v>
      </c>
      <c r="F77" s="64">
        <v>1.75</v>
      </c>
      <c r="G77" s="64">
        <v>14.89</v>
      </c>
      <c r="H77" s="64">
        <v>5.66</v>
      </c>
      <c r="I77" s="64">
        <v>1.84</v>
      </c>
      <c r="J77" s="64">
        <v>1.1100000000000001</v>
      </c>
      <c r="K77" s="64">
        <v>147.55000000000001</v>
      </c>
      <c r="L77" s="64">
        <v>23.37</v>
      </c>
      <c r="M77" s="64">
        <v>98.48</v>
      </c>
      <c r="N77" s="220" t="s">
        <v>36</v>
      </c>
      <c r="O77" s="64">
        <v>0</v>
      </c>
      <c r="P77" s="64">
        <v>0.27</v>
      </c>
      <c r="Q77" s="64">
        <v>4.0599999999999996</v>
      </c>
      <c r="R77" s="198"/>
      <c r="S77" s="198"/>
      <c r="T77" s="198"/>
      <c r="U77" s="198"/>
    </row>
    <row r="78" spans="1:21" s="12" customFormat="1" x14ac:dyDescent="0.25">
      <c r="A78" s="214" t="s">
        <v>1662</v>
      </c>
      <c r="B78" s="64">
        <v>3.71</v>
      </c>
      <c r="C78" s="64">
        <v>12.08</v>
      </c>
      <c r="D78" s="64">
        <v>15.8</v>
      </c>
      <c r="E78" s="64">
        <v>4.1900000000000004</v>
      </c>
      <c r="F78" s="64">
        <v>1.89</v>
      </c>
      <c r="G78" s="64">
        <v>14.89</v>
      </c>
      <c r="H78" s="64">
        <v>5.66</v>
      </c>
      <c r="I78" s="64">
        <v>1.77</v>
      </c>
      <c r="J78" s="64">
        <v>0.59</v>
      </c>
      <c r="K78" s="64">
        <v>160.41999999999999</v>
      </c>
      <c r="L78" s="64">
        <v>23.29</v>
      </c>
      <c r="M78" s="64">
        <v>98.7</v>
      </c>
      <c r="N78" s="220" t="s">
        <v>36</v>
      </c>
      <c r="O78" s="64">
        <v>0</v>
      </c>
      <c r="P78" s="64">
        <v>0.28000000000000003</v>
      </c>
      <c r="Q78" s="64">
        <v>4.05</v>
      </c>
      <c r="R78" s="198"/>
      <c r="S78" s="198"/>
      <c r="T78" s="198"/>
      <c r="U78" s="198"/>
    </row>
    <row r="79" spans="1:21" s="12" customFormat="1" x14ac:dyDescent="0.25">
      <c r="A79" s="214" t="s">
        <v>1663</v>
      </c>
      <c r="B79" s="64">
        <v>4.03</v>
      </c>
      <c r="C79" s="64">
        <v>12.03</v>
      </c>
      <c r="D79" s="64">
        <v>16.059999999999999</v>
      </c>
      <c r="E79" s="64">
        <v>4.33</v>
      </c>
      <c r="F79" s="64">
        <v>2.2200000000000002</v>
      </c>
      <c r="G79" s="64">
        <v>15.04</v>
      </c>
      <c r="H79" s="64">
        <v>5.97</v>
      </c>
      <c r="I79" s="64">
        <v>1.75</v>
      </c>
      <c r="J79" s="64">
        <v>0.19</v>
      </c>
      <c r="K79" s="64">
        <v>165.12</v>
      </c>
      <c r="L79" s="64">
        <v>23.23</v>
      </c>
      <c r="M79" s="64">
        <v>98.73</v>
      </c>
      <c r="N79" s="64">
        <v>2.2000000000000002</v>
      </c>
      <c r="O79" s="64">
        <v>0</v>
      </c>
      <c r="P79" s="64">
        <v>0.28999999999999998</v>
      </c>
      <c r="Q79" s="64">
        <v>3.92</v>
      </c>
      <c r="R79" s="198"/>
      <c r="S79" s="198"/>
      <c r="T79" s="198"/>
      <c r="U79" s="198"/>
    </row>
    <row r="80" spans="1:21" s="12" customFormat="1" x14ac:dyDescent="0.25">
      <c r="A80" s="214" t="s">
        <v>1664</v>
      </c>
      <c r="B80" s="64">
        <v>3.7</v>
      </c>
      <c r="C80" s="64">
        <v>11.15</v>
      </c>
      <c r="D80" s="64">
        <v>14.85</v>
      </c>
      <c r="E80" s="64">
        <v>4.7</v>
      </c>
      <c r="F80" s="64">
        <v>1.36</v>
      </c>
      <c r="G80" s="64">
        <v>15.39</v>
      </c>
      <c r="H80" s="64">
        <v>7.21</v>
      </c>
      <c r="I80" s="64">
        <v>1.87</v>
      </c>
      <c r="J80" s="64">
        <v>0.31</v>
      </c>
      <c r="K80" s="64">
        <v>161.16999999999999</v>
      </c>
      <c r="L80" s="64">
        <v>23.17</v>
      </c>
      <c r="M80" s="64">
        <v>98.73</v>
      </c>
      <c r="N80" s="64">
        <v>9.1</v>
      </c>
      <c r="O80" s="64">
        <v>0</v>
      </c>
      <c r="P80" s="64">
        <v>0.28999999999999998</v>
      </c>
      <c r="Q80" s="64">
        <v>3.78</v>
      </c>
      <c r="R80" s="198"/>
      <c r="S80" s="198"/>
      <c r="T80" s="198"/>
      <c r="U80" s="198"/>
    </row>
    <row r="81" spans="1:26" s="12" customFormat="1" x14ac:dyDescent="0.25">
      <c r="A81" s="214" t="s">
        <v>1665</v>
      </c>
      <c r="B81" s="64">
        <v>3.98</v>
      </c>
      <c r="C81" s="64">
        <v>10.8</v>
      </c>
      <c r="D81" s="64">
        <v>14.78</v>
      </c>
      <c r="E81" s="64">
        <v>3.91</v>
      </c>
      <c r="F81" s="64">
        <v>1.77</v>
      </c>
      <c r="G81" s="64">
        <v>15.39</v>
      </c>
      <c r="H81" s="64">
        <v>7.21</v>
      </c>
      <c r="I81" s="64">
        <v>1.76</v>
      </c>
      <c r="J81" s="64">
        <v>0.39</v>
      </c>
      <c r="K81" s="64">
        <v>167.86</v>
      </c>
      <c r="L81" s="64">
        <v>23.17</v>
      </c>
      <c r="M81" s="64">
        <v>98.73</v>
      </c>
      <c r="N81" s="64">
        <v>9.5</v>
      </c>
      <c r="O81" s="64">
        <v>0</v>
      </c>
      <c r="P81" s="64">
        <v>0.31</v>
      </c>
      <c r="Q81" s="64">
        <v>2.83</v>
      </c>
      <c r="R81" s="198"/>
      <c r="S81" s="198"/>
      <c r="T81" s="198"/>
      <c r="U81" s="198"/>
    </row>
    <row r="82" spans="1:26" s="12" customFormat="1" x14ac:dyDescent="0.25">
      <c r="A82" s="214" t="s">
        <v>1666</v>
      </c>
      <c r="B82" s="64">
        <v>3.91</v>
      </c>
      <c r="C82" s="64">
        <v>9.7899999999999991</v>
      </c>
      <c r="D82" s="64">
        <v>13.7</v>
      </c>
      <c r="E82" s="64">
        <v>4.5599999999999996</v>
      </c>
      <c r="F82" s="64">
        <v>0.39</v>
      </c>
      <c r="G82" s="64">
        <v>15.39</v>
      </c>
      <c r="H82" s="64">
        <v>7.21</v>
      </c>
      <c r="I82" s="64">
        <v>1.85</v>
      </c>
      <c r="J82" s="64">
        <v>1.1299999999999999</v>
      </c>
      <c r="K82" s="64">
        <v>145.96</v>
      </c>
      <c r="L82" s="64">
        <v>23.15</v>
      </c>
      <c r="M82" s="64">
        <v>98.73</v>
      </c>
      <c r="N82" s="64">
        <v>9.1</v>
      </c>
      <c r="O82" s="64">
        <v>0</v>
      </c>
      <c r="P82" s="64">
        <v>0.31</v>
      </c>
      <c r="Q82" s="64">
        <v>4.16</v>
      </c>
      <c r="R82" s="198"/>
      <c r="S82" s="198"/>
      <c r="T82" s="198"/>
      <c r="U82" s="198"/>
    </row>
    <row r="83" spans="1:26" s="12" customFormat="1" x14ac:dyDescent="0.25">
      <c r="A83" s="214" t="s">
        <v>1667</v>
      </c>
      <c r="B83" s="64">
        <v>4.13</v>
      </c>
      <c r="C83" s="64">
        <v>9.35</v>
      </c>
      <c r="D83" s="64">
        <v>13.48</v>
      </c>
      <c r="E83" s="64">
        <v>4.0599999999999996</v>
      </c>
      <c r="F83" s="64">
        <v>1.1299999999999999</v>
      </c>
      <c r="G83" s="64">
        <v>14.96</v>
      </c>
      <c r="H83" s="64">
        <v>6.89</v>
      </c>
      <c r="I83" s="64">
        <v>1.8</v>
      </c>
      <c r="J83" s="64">
        <v>0.9</v>
      </c>
      <c r="K83" s="64">
        <v>149.16</v>
      </c>
      <c r="L83" s="64">
        <v>23.2</v>
      </c>
      <c r="M83" s="64">
        <v>98.72</v>
      </c>
      <c r="N83" s="64">
        <v>9.1</v>
      </c>
      <c r="O83" s="64">
        <v>0</v>
      </c>
      <c r="P83" s="64">
        <v>0.31</v>
      </c>
      <c r="Q83" s="64">
        <v>4.51</v>
      </c>
      <c r="R83" s="198"/>
      <c r="S83" s="198"/>
      <c r="T83" s="198"/>
      <c r="U83" s="198"/>
    </row>
    <row r="84" spans="1:26" s="12" customFormat="1" x14ac:dyDescent="0.25">
      <c r="A84" s="214" t="s">
        <v>1668</v>
      </c>
      <c r="B84" s="64">
        <v>4.42</v>
      </c>
      <c r="C84" s="64">
        <v>9.42</v>
      </c>
      <c r="D84" s="64">
        <v>13.84</v>
      </c>
      <c r="E84" s="64">
        <v>4.3899999999999997</v>
      </c>
      <c r="F84" s="64">
        <v>0.72</v>
      </c>
      <c r="G84" s="64">
        <v>13.91</v>
      </c>
      <c r="H84" s="64">
        <v>6.37</v>
      </c>
      <c r="I84" s="64">
        <v>1.83</v>
      </c>
      <c r="J84" s="64">
        <v>1.2</v>
      </c>
      <c r="K84" s="64">
        <v>145.81</v>
      </c>
      <c r="L84" s="64">
        <v>23.17</v>
      </c>
      <c r="M84" s="64">
        <v>98.73</v>
      </c>
      <c r="N84" s="64">
        <v>9.1</v>
      </c>
      <c r="O84" s="64">
        <v>0</v>
      </c>
      <c r="P84" s="64">
        <v>0.32</v>
      </c>
      <c r="Q84" s="64">
        <v>7.48</v>
      </c>
      <c r="R84" s="198"/>
      <c r="S84" s="198"/>
      <c r="T84" s="198"/>
      <c r="U84" s="198"/>
    </row>
    <row r="85" spans="1:26" s="12" customFormat="1" x14ac:dyDescent="0.25">
      <c r="A85" s="214" t="s">
        <v>1669</v>
      </c>
      <c r="B85" s="64">
        <v>4.99</v>
      </c>
      <c r="C85" s="64">
        <v>9.58</v>
      </c>
      <c r="D85" s="64">
        <v>14.57</v>
      </c>
      <c r="E85" s="64">
        <v>4.9800000000000004</v>
      </c>
      <c r="F85" s="64">
        <v>0.96</v>
      </c>
      <c r="G85" s="64">
        <v>13.91</v>
      </c>
      <c r="H85" s="64">
        <v>6.37</v>
      </c>
      <c r="I85" s="64">
        <v>1.78</v>
      </c>
      <c r="J85" s="64">
        <v>1.08</v>
      </c>
      <c r="K85" s="64">
        <v>146.97999999999999</v>
      </c>
      <c r="L85" s="64">
        <v>23.12</v>
      </c>
      <c r="M85" s="64">
        <v>98.73</v>
      </c>
      <c r="N85" s="64">
        <v>9.1999999999999993</v>
      </c>
      <c r="O85" s="64">
        <v>0</v>
      </c>
      <c r="P85" s="64">
        <v>0.26</v>
      </c>
      <c r="Q85" s="64">
        <v>7.92</v>
      </c>
      <c r="R85" s="198"/>
      <c r="S85" s="198"/>
      <c r="T85" s="198"/>
      <c r="U85" s="198"/>
    </row>
    <row r="86" spans="1:26" s="12" customFormat="1" x14ac:dyDescent="0.25">
      <c r="A86" s="214" t="s">
        <v>1670</v>
      </c>
      <c r="B86" s="64">
        <v>5.21</v>
      </c>
      <c r="C86" s="64">
        <v>10.15</v>
      </c>
      <c r="D86" s="64">
        <v>15.36</v>
      </c>
      <c r="E86" s="64">
        <v>4.5599999999999996</v>
      </c>
      <c r="F86" s="64">
        <v>1.17</v>
      </c>
      <c r="G86" s="64">
        <v>13.91</v>
      </c>
      <c r="H86" s="64">
        <v>6.37</v>
      </c>
      <c r="I86" s="64">
        <v>1.77</v>
      </c>
      <c r="J86" s="64">
        <v>0.69</v>
      </c>
      <c r="K86" s="64">
        <v>149.58000000000001</v>
      </c>
      <c r="L86" s="64">
        <v>23.04</v>
      </c>
      <c r="M86" s="64">
        <v>98.73</v>
      </c>
      <c r="N86" s="64">
        <v>9.1999999999999993</v>
      </c>
      <c r="O86" s="64">
        <v>0</v>
      </c>
      <c r="P86" s="64">
        <v>0.3</v>
      </c>
      <c r="Q86" s="64">
        <v>8.09</v>
      </c>
      <c r="R86" s="198"/>
      <c r="S86" s="198"/>
      <c r="T86" s="198"/>
      <c r="U86" s="198"/>
    </row>
    <row r="87" spans="1:26" s="12" customFormat="1" x14ac:dyDescent="0.25">
      <c r="A87" s="214" t="s">
        <v>1671</v>
      </c>
      <c r="B87" s="64">
        <v>5.15</v>
      </c>
      <c r="C87" s="64">
        <v>10.73</v>
      </c>
      <c r="D87" s="64">
        <v>15.88</v>
      </c>
      <c r="E87" s="64">
        <v>4.2699999999999996</v>
      </c>
      <c r="F87" s="64">
        <v>2.5499999999999998</v>
      </c>
      <c r="G87" s="64">
        <v>14.48</v>
      </c>
      <c r="H87" s="64">
        <v>7.03</v>
      </c>
      <c r="I87" s="64">
        <v>1.81</v>
      </c>
      <c r="J87" s="64">
        <v>0.83</v>
      </c>
      <c r="K87" s="64">
        <v>143.87</v>
      </c>
      <c r="L87" s="64">
        <v>22.94</v>
      </c>
      <c r="M87" s="64">
        <v>98.73</v>
      </c>
      <c r="N87" s="64">
        <v>9.1999999999999993</v>
      </c>
      <c r="O87" s="64">
        <v>0</v>
      </c>
      <c r="P87" s="64">
        <v>0.3</v>
      </c>
      <c r="Q87" s="64">
        <v>7.99</v>
      </c>
      <c r="R87" s="198"/>
      <c r="S87" s="198"/>
      <c r="T87" s="198"/>
      <c r="U87" s="198"/>
    </row>
    <row r="88" spans="1:26" s="12" customFormat="1" x14ac:dyDescent="0.25">
      <c r="A88" s="214" t="s">
        <v>1672</v>
      </c>
      <c r="B88" s="64">
        <v>5.24</v>
      </c>
      <c r="C88" s="64">
        <v>10.61</v>
      </c>
      <c r="D88" s="64">
        <v>15.85</v>
      </c>
      <c r="E88" s="64">
        <v>3.89</v>
      </c>
      <c r="F88" s="64">
        <v>1.65</v>
      </c>
      <c r="G88" s="64">
        <v>15.89</v>
      </c>
      <c r="H88" s="64">
        <v>8.07</v>
      </c>
      <c r="I88" s="64">
        <v>1.78</v>
      </c>
      <c r="J88" s="64">
        <v>0.75</v>
      </c>
      <c r="K88" s="64">
        <v>151.12</v>
      </c>
      <c r="L88" s="64">
        <v>22.91</v>
      </c>
      <c r="M88" s="64">
        <v>98.73</v>
      </c>
      <c r="N88" s="64">
        <v>9.1999999999999993</v>
      </c>
      <c r="O88" s="64">
        <v>0</v>
      </c>
      <c r="P88" s="64">
        <v>0.3</v>
      </c>
      <c r="Q88" s="64">
        <v>7.7</v>
      </c>
      <c r="R88" s="198"/>
      <c r="S88" s="198"/>
      <c r="T88" s="198"/>
      <c r="U88" s="198"/>
    </row>
    <row r="89" spans="1:26" s="12" customFormat="1" x14ac:dyDescent="0.25">
      <c r="A89" s="214" t="s">
        <v>1673</v>
      </c>
      <c r="B89" s="64">
        <v>5.17</v>
      </c>
      <c r="C89" s="64">
        <v>10.8</v>
      </c>
      <c r="D89" s="64">
        <v>15.97</v>
      </c>
      <c r="E89" s="64">
        <v>4.54</v>
      </c>
      <c r="F89" s="64">
        <v>1.61</v>
      </c>
      <c r="G89" s="64">
        <v>15.89</v>
      </c>
      <c r="H89" s="64">
        <v>8.07</v>
      </c>
      <c r="I89" s="64">
        <v>1.8</v>
      </c>
      <c r="J89" s="64">
        <v>1.37</v>
      </c>
      <c r="K89" s="64">
        <v>145.44</v>
      </c>
      <c r="L89" s="64">
        <v>22.84</v>
      </c>
      <c r="M89" s="64">
        <v>98.73</v>
      </c>
      <c r="N89" s="64">
        <v>9.1999999999999993</v>
      </c>
      <c r="O89" s="64">
        <v>0</v>
      </c>
      <c r="P89" s="64">
        <v>0.3</v>
      </c>
      <c r="Q89" s="64">
        <v>6.91</v>
      </c>
      <c r="R89" s="198"/>
      <c r="S89" s="198"/>
      <c r="T89" s="198"/>
      <c r="U89" s="198"/>
    </row>
    <row r="90" spans="1:26" s="12" customFormat="1" x14ac:dyDescent="0.25">
      <c r="A90" s="214" t="s">
        <v>1674</v>
      </c>
      <c r="B90" s="64">
        <v>5.23</v>
      </c>
      <c r="C90" s="64">
        <v>10.67</v>
      </c>
      <c r="D90" s="64">
        <v>15.9</v>
      </c>
      <c r="E90" s="64">
        <v>4.0999999999999996</v>
      </c>
      <c r="F90" s="64">
        <v>1.74</v>
      </c>
      <c r="G90" s="64">
        <v>15.89</v>
      </c>
      <c r="H90" s="64">
        <v>8.07</v>
      </c>
      <c r="I90" s="64">
        <v>1.85</v>
      </c>
      <c r="J90" s="64">
        <v>1.23</v>
      </c>
      <c r="K90" s="64">
        <v>143.87</v>
      </c>
      <c r="L90" s="64">
        <v>22.79</v>
      </c>
      <c r="M90" s="64">
        <v>98.73</v>
      </c>
      <c r="N90" s="64">
        <v>9.1999999999999993</v>
      </c>
      <c r="O90" s="64">
        <v>0</v>
      </c>
      <c r="P90" s="64">
        <v>0.3</v>
      </c>
      <c r="Q90" s="64">
        <v>7.41</v>
      </c>
      <c r="R90" s="198"/>
      <c r="S90" s="198"/>
      <c r="T90" s="198"/>
      <c r="U90" s="198"/>
    </row>
    <row r="91" spans="1:26" s="12" customFormat="1" x14ac:dyDescent="0.25">
      <c r="A91" s="214" t="s">
        <v>1675</v>
      </c>
      <c r="B91" s="64">
        <v>5.22</v>
      </c>
      <c r="C91" s="64">
        <v>10.17</v>
      </c>
      <c r="D91" s="64">
        <v>15.39</v>
      </c>
      <c r="E91" s="64">
        <v>4.4400000000000004</v>
      </c>
      <c r="F91" s="64">
        <v>1.97</v>
      </c>
      <c r="G91" s="64">
        <v>16.420000000000002</v>
      </c>
      <c r="H91" s="64">
        <v>9.0399999999999991</v>
      </c>
      <c r="I91" s="64">
        <v>1.86</v>
      </c>
      <c r="J91" s="64">
        <v>0.73</v>
      </c>
      <c r="K91" s="64">
        <v>154.32</v>
      </c>
      <c r="L91" s="64">
        <v>22.63</v>
      </c>
      <c r="M91" s="64">
        <v>98.73</v>
      </c>
      <c r="N91" s="64">
        <v>9.4</v>
      </c>
      <c r="O91" s="64">
        <v>0</v>
      </c>
      <c r="P91" s="64">
        <v>0.3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4" t="s">
        <v>1676</v>
      </c>
      <c r="B92" s="64">
        <v>5.09</v>
      </c>
      <c r="C92" s="64">
        <v>10.01</v>
      </c>
      <c r="D92" s="64">
        <v>15.1</v>
      </c>
      <c r="E92" s="64">
        <v>4.83</v>
      </c>
      <c r="F92" s="64">
        <v>1.18</v>
      </c>
      <c r="G92" s="64">
        <v>17.72</v>
      </c>
      <c r="H92" s="64">
        <v>10.56</v>
      </c>
      <c r="I92" s="64">
        <v>1.76</v>
      </c>
      <c r="J92" s="64">
        <v>1.1499999999999999</v>
      </c>
      <c r="K92" s="64">
        <v>144.4</v>
      </c>
      <c r="L92" s="64">
        <v>22.43</v>
      </c>
      <c r="M92" s="64">
        <v>98.73</v>
      </c>
      <c r="N92" s="64">
        <v>9.4</v>
      </c>
      <c r="O92" s="64">
        <v>0</v>
      </c>
      <c r="P92" s="64">
        <v>0.28999999999999998</v>
      </c>
      <c r="Q92" s="64">
        <v>10.76</v>
      </c>
      <c r="R92" s="198"/>
      <c r="S92" s="198"/>
      <c r="T92" s="198"/>
      <c r="U92" s="198"/>
    </row>
    <row r="93" spans="1:26" s="12" customFormat="1" x14ac:dyDescent="0.25">
      <c r="A93" s="214" t="s">
        <v>1677</v>
      </c>
      <c r="B93" s="64">
        <v>4.97</v>
      </c>
      <c r="C93" s="64">
        <v>9.26</v>
      </c>
      <c r="D93" s="64">
        <v>14.23</v>
      </c>
      <c r="E93" s="64">
        <v>4.12</v>
      </c>
      <c r="F93" s="64">
        <v>1.69</v>
      </c>
      <c r="G93" s="64">
        <v>17.72</v>
      </c>
      <c r="H93" s="64">
        <v>10.56</v>
      </c>
      <c r="I93" s="64">
        <v>1.81</v>
      </c>
      <c r="J93" s="64">
        <v>1.1200000000000001</v>
      </c>
      <c r="K93" s="64">
        <v>146.81</v>
      </c>
      <c r="L93" s="64">
        <v>22.33</v>
      </c>
      <c r="M93" s="64">
        <v>98.75</v>
      </c>
      <c r="N93" s="64">
        <v>9.3000000000000007</v>
      </c>
      <c r="O93" s="64">
        <v>0</v>
      </c>
      <c r="P93" s="64">
        <v>0.31</v>
      </c>
      <c r="Q93" s="64">
        <v>9.2200000000000006</v>
      </c>
      <c r="R93" s="198"/>
      <c r="S93" s="198"/>
      <c r="T93" s="198"/>
      <c r="U93" s="198"/>
    </row>
    <row r="94" spans="1:26" s="12" customFormat="1" x14ac:dyDescent="0.25">
      <c r="A94" s="214" t="s">
        <v>1678</v>
      </c>
      <c r="B94" s="64">
        <v>4.95</v>
      </c>
      <c r="C94" s="64">
        <v>9.7100000000000009</v>
      </c>
      <c r="D94" s="64">
        <v>14.66</v>
      </c>
      <c r="E94" s="64">
        <v>4.2699999999999996</v>
      </c>
      <c r="F94" s="64">
        <v>0.92</v>
      </c>
      <c r="G94" s="64">
        <v>17.72</v>
      </c>
      <c r="H94" s="64">
        <v>10.56</v>
      </c>
      <c r="I94" s="64">
        <v>1.75</v>
      </c>
      <c r="J94" s="64">
        <v>0.64</v>
      </c>
      <c r="K94" s="64">
        <v>145.19999999999999</v>
      </c>
      <c r="L94" s="64">
        <v>22.33</v>
      </c>
      <c r="M94" s="64">
        <v>98.75</v>
      </c>
      <c r="N94" s="64">
        <v>9.1999999999999993</v>
      </c>
      <c r="O94" s="64">
        <v>0</v>
      </c>
      <c r="P94" s="64">
        <v>0.3</v>
      </c>
      <c r="Q94" s="64">
        <v>10.62</v>
      </c>
      <c r="R94" s="198"/>
      <c r="S94" s="198"/>
      <c r="T94" s="198"/>
      <c r="U94" s="198"/>
    </row>
    <row r="95" spans="1:26" s="12" customFormat="1" x14ac:dyDescent="0.25">
      <c r="A95" s="214" t="s">
        <v>1679</v>
      </c>
      <c r="B95" s="64">
        <v>5.0599999999999996</v>
      </c>
      <c r="C95" s="64">
        <v>9.4</v>
      </c>
      <c r="D95" s="64">
        <v>14.45</v>
      </c>
      <c r="E95" s="64">
        <v>4.7699999999999996</v>
      </c>
      <c r="F95" s="64">
        <v>1.46</v>
      </c>
      <c r="G95" s="64">
        <v>16.66</v>
      </c>
      <c r="H95" s="64">
        <v>9.34</v>
      </c>
      <c r="I95" s="64">
        <v>1.78</v>
      </c>
      <c r="J95" s="64">
        <v>0.82</v>
      </c>
      <c r="K95" s="64">
        <v>150.63999999999999</v>
      </c>
      <c r="L95" s="64">
        <v>22.35</v>
      </c>
      <c r="M95" s="64">
        <v>98.75</v>
      </c>
      <c r="N95" s="64">
        <v>9.1</v>
      </c>
      <c r="O95" s="64">
        <v>0</v>
      </c>
      <c r="P95" s="64">
        <v>0.3</v>
      </c>
      <c r="Q95" s="64">
        <v>9.42</v>
      </c>
      <c r="R95" s="198"/>
      <c r="S95" s="198"/>
      <c r="T95" s="198"/>
      <c r="U95" s="198"/>
    </row>
    <row r="96" spans="1:26" s="12" customFormat="1" x14ac:dyDescent="0.25">
      <c r="A96" s="214" t="s">
        <v>1680</v>
      </c>
      <c r="B96" s="64">
        <v>5</v>
      </c>
      <c r="C96" s="64">
        <v>9.4499999999999993</v>
      </c>
      <c r="D96" s="64">
        <v>14.45</v>
      </c>
      <c r="E96" s="64">
        <v>4.5599999999999996</v>
      </c>
      <c r="F96" s="64">
        <v>0.91</v>
      </c>
      <c r="G96" s="64">
        <v>14.06</v>
      </c>
      <c r="H96" s="64">
        <v>7.43</v>
      </c>
      <c r="I96" s="64">
        <v>1.77</v>
      </c>
      <c r="J96" s="64">
        <v>0.5</v>
      </c>
      <c r="K96" s="64">
        <v>147.26</v>
      </c>
      <c r="L96" s="64">
        <v>22.37</v>
      </c>
      <c r="M96" s="64">
        <v>98.75</v>
      </c>
      <c r="N96" s="64">
        <v>9.1</v>
      </c>
      <c r="O96" s="64">
        <v>0</v>
      </c>
      <c r="P96" s="64">
        <v>0.3</v>
      </c>
      <c r="Q96" s="64">
        <v>11.58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1681</v>
      </c>
      <c r="B97" s="64">
        <v>4.8600000000000003</v>
      </c>
      <c r="C97" s="64">
        <v>9.57</v>
      </c>
      <c r="D97" s="64">
        <v>14.43</v>
      </c>
      <c r="E97" s="64">
        <v>4.3499999999999996</v>
      </c>
      <c r="F97" s="64">
        <v>1.23</v>
      </c>
      <c r="G97" s="64">
        <v>14.06</v>
      </c>
      <c r="H97" s="64">
        <v>7.43</v>
      </c>
      <c r="I97" s="64">
        <v>1.75</v>
      </c>
      <c r="J97" s="64">
        <v>0.39</v>
      </c>
      <c r="K97" s="64">
        <v>155.38999999999999</v>
      </c>
      <c r="L97" s="64">
        <v>22.37</v>
      </c>
      <c r="M97" s="64">
        <v>98.75</v>
      </c>
      <c r="N97" s="64">
        <v>9.1</v>
      </c>
      <c r="O97" s="64">
        <v>0</v>
      </c>
      <c r="P97" s="64">
        <v>0.28000000000000003</v>
      </c>
      <c r="Q97" s="64">
        <v>10.96</v>
      </c>
      <c r="R97" s="198"/>
      <c r="S97" s="198"/>
      <c r="T97" s="198"/>
      <c r="U97" s="198"/>
    </row>
    <row r="98" spans="1:33" s="12" customFormat="1" x14ac:dyDescent="0.25">
      <c r="A98" s="214" t="s">
        <v>1682</v>
      </c>
      <c r="B98" s="64">
        <v>4.6900000000000004</v>
      </c>
      <c r="C98" s="64">
        <v>9.35</v>
      </c>
      <c r="D98" s="64">
        <v>14.04</v>
      </c>
      <c r="E98" s="64">
        <v>4.7</v>
      </c>
      <c r="F98" s="64">
        <v>1.37</v>
      </c>
      <c r="G98" s="64">
        <v>14.06</v>
      </c>
      <c r="H98" s="64">
        <v>7.43</v>
      </c>
      <c r="I98" s="64">
        <v>1.77</v>
      </c>
      <c r="J98" s="64">
        <v>0.24</v>
      </c>
      <c r="K98" s="64">
        <v>168.25</v>
      </c>
      <c r="L98" s="64">
        <v>22.36</v>
      </c>
      <c r="M98" s="64">
        <v>98.75</v>
      </c>
      <c r="N98" s="64">
        <v>9.1</v>
      </c>
      <c r="O98" s="64">
        <v>0</v>
      </c>
      <c r="P98" s="64">
        <v>0.3</v>
      </c>
      <c r="Q98" s="64">
        <v>10.96</v>
      </c>
      <c r="R98" s="198"/>
      <c r="S98" s="198"/>
      <c r="T98" s="198"/>
      <c r="U98" s="198"/>
    </row>
    <row r="99" spans="1:33" s="12" customFormat="1" x14ac:dyDescent="0.25">
      <c r="A99" s="214" t="s">
        <v>1683</v>
      </c>
      <c r="B99" s="64">
        <v>4.3499999999999996</v>
      </c>
      <c r="C99" s="64">
        <v>9.26</v>
      </c>
      <c r="D99" s="64">
        <v>13.61</v>
      </c>
      <c r="E99" s="64">
        <v>4.32</v>
      </c>
      <c r="F99" s="64">
        <v>2.56</v>
      </c>
      <c r="G99" s="64">
        <v>13.66</v>
      </c>
      <c r="H99" s="64">
        <v>6.67</v>
      </c>
      <c r="I99" s="64">
        <v>1.79</v>
      </c>
      <c r="J99" s="64">
        <v>0.6</v>
      </c>
      <c r="K99" s="64">
        <v>149.69</v>
      </c>
      <c r="L99" s="64">
        <v>22.34</v>
      </c>
      <c r="M99" s="64">
        <v>98.75</v>
      </c>
      <c r="N99" s="64">
        <v>9.1</v>
      </c>
      <c r="O99" s="64">
        <v>0</v>
      </c>
      <c r="P99" s="64">
        <v>0.28999999999999998</v>
      </c>
      <c r="Q99" s="64">
        <v>9.7799999999999994</v>
      </c>
      <c r="R99" s="198"/>
      <c r="S99" s="198"/>
      <c r="T99" s="198"/>
      <c r="U99" s="198"/>
    </row>
    <row r="100" spans="1:33" s="12" customFormat="1" x14ac:dyDescent="0.25">
      <c r="A100" s="214" t="s">
        <v>1684</v>
      </c>
      <c r="B100" s="64">
        <v>4.21</v>
      </c>
      <c r="C100" s="64">
        <v>9.3800000000000008</v>
      </c>
      <c r="D100" s="64">
        <v>13.59</v>
      </c>
      <c r="E100" s="64">
        <v>4.6399999999999997</v>
      </c>
      <c r="F100" s="64">
        <v>1.78</v>
      </c>
      <c r="G100" s="64">
        <v>12.66</v>
      </c>
      <c r="H100" s="64">
        <v>5.48</v>
      </c>
      <c r="I100" s="64">
        <v>1.78</v>
      </c>
      <c r="J100" s="64">
        <v>0.84</v>
      </c>
      <c r="K100" s="64">
        <v>144.76</v>
      </c>
      <c r="L100" s="64">
        <v>22.34</v>
      </c>
      <c r="M100" s="64">
        <v>98.75</v>
      </c>
      <c r="N100" s="64">
        <v>9.1</v>
      </c>
      <c r="O100" s="64">
        <v>0</v>
      </c>
      <c r="P100" s="64">
        <v>0.28999999999999998</v>
      </c>
      <c r="Q100" s="64">
        <v>8.6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1685</v>
      </c>
      <c r="B101" s="64">
        <v>4.18</v>
      </c>
      <c r="C101" s="64">
        <v>9.89</v>
      </c>
      <c r="D101" s="64">
        <v>14.07</v>
      </c>
      <c r="E101" s="64">
        <v>4.9400000000000004</v>
      </c>
      <c r="F101" s="64">
        <v>1.98</v>
      </c>
      <c r="G101" s="64">
        <v>12.66</v>
      </c>
      <c r="H101" s="64">
        <v>5.48</v>
      </c>
      <c r="I101" s="64">
        <v>1.76</v>
      </c>
      <c r="J101" s="64">
        <v>0.23</v>
      </c>
      <c r="K101" s="64">
        <v>145.30000000000001</v>
      </c>
      <c r="L101" s="64">
        <v>22.37</v>
      </c>
      <c r="M101" s="64">
        <v>98.75</v>
      </c>
      <c r="N101" s="64">
        <v>9.1</v>
      </c>
      <c r="O101" s="64">
        <v>0</v>
      </c>
      <c r="P101" s="64">
        <v>0.27</v>
      </c>
      <c r="Q101" s="64">
        <v>8.01</v>
      </c>
      <c r="R101" s="198"/>
      <c r="S101" s="198"/>
      <c r="T101" s="198"/>
      <c r="U101" s="198"/>
    </row>
    <row r="102" spans="1:33" s="12" customFormat="1" x14ac:dyDescent="0.25">
      <c r="A102" s="214" t="s">
        <v>1686</v>
      </c>
      <c r="B102" s="64">
        <v>4.0999999999999996</v>
      </c>
      <c r="C102" s="64">
        <v>9.25</v>
      </c>
      <c r="D102" s="64">
        <v>13.35</v>
      </c>
      <c r="E102" s="64">
        <v>4.42</v>
      </c>
      <c r="F102" s="64">
        <v>1.24</v>
      </c>
      <c r="G102" s="64">
        <v>12.66</v>
      </c>
      <c r="H102" s="64">
        <v>5.48</v>
      </c>
      <c r="I102" s="64">
        <v>1.79</v>
      </c>
      <c r="J102" s="64">
        <v>0.06</v>
      </c>
      <c r="K102" s="64">
        <v>178.32</v>
      </c>
      <c r="L102" s="64">
        <v>22.4</v>
      </c>
      <c r="M102" s="64">
        <v>98.75</v>
      </c>
      <c r="N102" s="64">
        <v>2.4</v>
      </c>
      <c r="O102" s="64">
        <v>0</v>
      </c>
      <c r="P102" s="64">
        <v>0.27</v>
      </c>
      <c r="Q102" s="64">
        <v>8.1199999999999992</v>
      </c>
      <c r="R102" s="198"/>
      <c r="S102" s="198"/>
      <c r="T102" s="198"/>
      <c r="U102" s="198"/>
    </row>
    <row r="103" spans="1:33" s="12" customFormat="1" x14ac:dyDescent="0.25">
      <c r="A103" s="214" t="s">
        <v>1687</v>
      </c>
      <c r="B103" s="64">
        <v>3.89</v>
      </c>
      <c r="C103" s="64">
        <v>8.98</v>
      </c>
      <c r="D103" s="64">
        <v>12.87</v>
      </c>
      <c r="E103" s="64">
        <v>4.42</v>
      </c>
      <c r="F103" s="64">
        <v>1.0900000000000001</v>
      </c>
      <c r="G103" s="64">
        <v>12.81</v>
      </c>
      <c r="H103" s="64">
        <v>5.62</v>
      </c>
      <c r="I103" s="64">
        <v>1.83</v>
      </c>
      <c r="J103" s="64">
        <v>0.04</v>
      </c>
      <c r="K103" s="64">
        <v>114.1</v>
      </c>
      <c r="L103" s="64">
        <v>22.34</v>
      </c>
      <c r="M103" s="64">
        <v>98.75</v>
      </c>
      <c r="N103" s="220" t="s">
        <v>36</v>
      </c>
      <c r="O103" s="64">
        <v>0</v>
      </c>
      <c r="P103" s="64">
        <v>0.28999999999999998</v>
      </c>
      <c r="Q103" s="64">
        <v>7.07</v>
      </c>
      <c r="R103" s="198"/>
      <c r="S103" s="198"/>
      <c r="T103" s="198"/>
      <c r="U103" s="198"/>
    </row>
    <row r="104" spans="1:33" s="12" customFormat="1" x14ac:dyDescent="0.25">
      <c r="A104" s="214" t="s">
        <v>1688</v>
      </c>
      <c r="B104" s="64">
        <v>3.74</v>
      </c>
      <c r="C104" s="64">
        <v>8.64</v>
      </c>
      <c r="D104" s="64">
        <v>12.38</v>
      </c>
      <c r="E104" s="64">
        <v>3.23</v>
      </c>
      <c r="F104" s="64">
        <v>0.98</v>
      </c>
      <c r="G104" s="64">
        <v>13.15</v>
      </c>
      <c r="H104" s="64">
        <v>6.17</v>
      </c>
      <c r="I104" s="64">
        <v>1.9</v>
      </c>
      <c r="J104" s="64">
        <v>0.41</v>
      </c>
      <c r="K104" s="64">
        <v>158.66</v>
      </c>
      <c r="L104" s="64">
        <v>22.3</v>
      </c>
      <c r="M104" s="64">
        <v>98.75</v>
      </c>
      <c r="N104" s="220" t="s">
        <v>36</v>
      </c>
      <c r="O104" s="64">
        <v>0</v>
      </c>
      <c r="P104" s="64">
        <v>0.27</v>
      </c>
      <c r="Q104" s="64">
        <v>6.56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2.09</v>
      </c>
      <c r="C106" s="67">
        <f>MIN(C9:C104)</f>
        <v>8.02</v>
      </c>
      <c r="D106" s="67">
        <f t="shared" ref="D106:Q106" si="0">MIN(D9:D104)</f>
        <v>10.18</v>
      </c>
      <c r="E106" s="67">
        <f t="shared" si="0"/>
        <v>2.81</v>
      </c>
      <c r="F106" s="67">
        <f t="shared" si="0"/>
        <v>0.35</v>
      </c>
      <c r="G106" s="67">
        <f t="shared" si="0"/>
        <v>3.38</v>
      </c>
      <c r="H106" s="67">
        <f t="shared" si="0"/>
        <v>2.0499999999999998</v>
      </c>
      <c r="I106" s="67">
        <f t="shared" si="0"/>
        <v>1.73</v>
      </c>
      <c r="J106" s="67">
        <f t="shared" si="0"/>
        <v>0.04</v>
      </c>
      <c r="K106" s="67">
        <f t="shared" si="0"/>
        <v>2.97</v>
      </c>
      <c r="L106" s="67">
        <f t="shared" si="0"/>
        <v>20.58</v>
      </c>
      <c r="M106" s="67">
        <f t="shared" si="0"/>
        <v>87.33</v>
      </c>
      <c r="N106" s="67">
        <f t="shared" si="0"/>
        <v>2.2000000000000002</v>
      </c>
      <c r="O106" s="67">
        <f t="shared" si="0"/>
        <v>0</v>
      </c>
      <c r="P106" s="67">
        <f t="shared" si="0"/>
        <v>0.26</v>
      </c>
      <c r="Q106" s="67">
        <f t="shared" si="0"/>
        <v>1.05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5.24</v>
      </c>
      <c r="C107" s="66">
        <f t="shared" ref="C107:Q107" si="1">MAX(C9:C104)</f>
        <v>12.33</v>
      </c>
      <c r="D107" s="66">
        <f t="shared" si="1"/>
        <v>16.059999999999999</v>
      </c>
      <c r="E107" s="66">
        <f t="shared" si="1"/>
        <v>6.17</v>
      </c>
      <c r="F107" s="66">
        <f t="shared" si="1"/>
        <v>3.27</v>
      </c>
      <c r="G107" s="66">
        <f t="shared" si="1"/>
        <v>17.72</v>
      </c>
      <c r="H107" s="66">
        <f t="shared" si="1"/>
        <v>10.56</v>
      </c>
      <c r="I107" s="66">
        <f t="shared" si="1"/>
        <v>1.9</v>
      </c>
      <c r="J107" s="66">
        <f t="shared" si="1"/>
        <v>1.82</v>
      </c>
      <c r="K107" s="66">
        <f t="shared" si="1"/>
        <v>357.92</v>
      </c>
      <c r="L107" s="66">
        <f t="shared" si="1"/>
        <v>25.69</v>
      </c>
      <c r="M107" s="66">
        <f t="shared" si="1"/>
        <v>98.8</v>
      </c>
      <c r="N107" s="66">
        <f t="shared" si="1"/>
        <v>387.3</v>
      </c>
      <c r="O107" s="66">
        <f t="shared" si="1"/>
        <v>3.2</v>
      </c>
      <c r="P107" s="66">
        <f t="shared" si="1"/>
        <v>0.68</v>
      </c>
      <c r="Q107" s="66">
        <f t="shared" si="1"/>
        <v>25.69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3.4817708333333344</v>
      </c>
      <c r="C108" s="67">
        <f t="shared" ref="C108:Q108" si="2">AVERAGE(C9:C104)</f>
        <v>9.7840624999999992</v>
      </c>
      <c r="D108" s="67">
        <f t="shared" si="2"/>
        <v>13.265625</v>
      </c>
      <c r="E108" s="67">
        <f t="shared" si="2"/>
        <v>4.3104166666666668</v>
      </c>
      <c r="F108" s="67">
        <f t="shared" si="2"/>
        <v>1.5798958333333328</v>
      </c>
      <c r="G108" s="67">
        <f t="shared" si="2"/>
        <v>10.718705882352936</v>
      </c>
      <c r="H108" s="67">
        <f t="shared" si="2"/>
        <v>5.0641176470588247</v>
      </c>
      <c r="I108" s="67">
        <f t="shared" si="2"/>
        <v>1.7991666666666675</v>
      </c>
      <c r="J108" s="67">
        <f t="shared" si="2"/>
        <v>0.59197916666666661</v>
      </c>
      <c r="K108" s="67">
        <f t="shared" si="2"/>
        <v>153.93635416666669</v>
      </c>
      <c r="L108" s="67">
        <f t="shared" si="2"/>
        <v>22.788645833333337</v>
      </c>
      <c r="M108" s="67">
        <f t="shared" si="2"/>
        <v>96.883437499999943</v>
      </c>
      <c r="N108" s="67">
        <f t="shared" si="2"/>
        <v>33.403225806451609</v>
      </c>
      <c r="O108" s="67">
        <f t="shared" si="2"/>
        <v>0.24374999999999999</v>
      </c>
      <c r="P108" s="67">
        <f t="shared" si="2"/>
        <v>0.32906249999999992</v>
      </c>
      <c r="Q108" s="67">
        <f t="shared" si="2"/>
        <v>8.7681249999999995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0.99669347533327413</v>
      </c>
      <c r="C109" s="67">
        <f t="shared" ref="C109:Q109" si="3">STDEV(C9:C104)</f>
        <v>0.94810234637961233</v>
      </c>
      <c r="D109" s="67">
        <f t="shared" si="3"/>
        <v>1.5869167805593878</v>
      </c>
      <c r="E109" s="67">
        <f t="shared" si="3"/>
        <v>0.70603252745504408</v>
      </c>
      <c r="F109" s="67">
        <f t="shared" si="3"/>
        <v>0.64641113655021543</v>
      </c>
      <c r="G109" s="67">
        <f t="shared" si="3"/>
        <v>3.9437750190091219</v>
      </c>
      <c r="H109" s="67">
        <f t="shared" si="3"/>
        <v>2.2449770887141662</v>
      </c>
      <c r="I109" s="67">
        <f t="shared" si="3"/>
        <v>3.5649364552295441E-2</v>
      </c>
      <c r="J109" s="67">
        <f t="shared" si="3"/>
        <v>0.40722066898134474</v>
      </c>
      <c r="K109" s="67">
        <f t="shared" si="3"/>
        <v>73.045946638072806</v>
      </c>
      <c r="L109" s="67">
        <f t="shared" si="3"/>
        <v>1.4993265995749498</v>
      </c>
      <c r="M109" s="67">
        <f t="shared" si="3"/>
        <v>3.2430011532935294</v>
      </c>
      <c r="N109" s="67">
        <f t="shared" si="3"/>
        <v>67.340159181605102</v>
      </c>
      <c r="O109" s="67">
        <f t="shared" si="3"/>
        <v>0.57469671635522113</v>
      </c>
      <c r="P109" s="67">
        <f t="shared" si="3"/>
        <v>7.8258386132094668E-2</v>
      </c>
      <c r="Q109" s="67">
        <f t="shared" si="3"/>
        <v>6.4629201991050467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COUNT(G9:G104)+11</f>
        <v>96</v>
      </c>
      <c r="H110" s="66">
        <f>COUNT(H9:H104)+11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COUNT(N9:N104)+34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N111" sqref="N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1689</v>
      </c>
      <c r="B9" s="64">
        <v>3.58</v>
      </c>
      <c r="C9" s="64">
        <v>8.3000000000000007</v>
      </c>
      <c r="D9" s="64">
        <v>11.88</v>
      </c>
      <c r="E9" s="64">
        <v>4.21</v>
      </c>
      <c r="F9" s="64">
        <v>0.76</v>
      </c>
      <c r="G9" s="64">
        <v>13.15</v>
      </c>
      <c r="H9" s="64">
        <v>6.17</v>
      </c>
      <c r="I9" s="64">
        <v>1.82</v>
      </c>
      <c r="J9" s="64">
        <v>0.86</v>
      </c>
      <c r="K9" s="64">
        <v>148.72</v>
      </c>
      <c r="L9" s="64">
        <v>22.33</v>
      </c>
      <c r="M9" s="64">
        <v>98.75</v>
      </c>
      <c r="N9" s="220" t="s">
        <v>36</v>
      </c>
      <c r="O9" s="64">
        <v>0</v>
      </c>
      <c r="P9" s="64">
        <v>0.27</v>
      </c>
      <c r="Q9" s="64">
        <v>6.73</v>
      </c>
      <c r="R9" s="198"/>
      <c r="S9" s="198"/>
      <c r="T9" s="198"/>
      <c r="U9" s="198"/>
    </row>
    <row r="10" spans="1:21" s="12" customFormat="1" x14ac:dyDescent="0.25">
      <c r="A10" s="214" t="s">
        <v>1690</v>
      </c>
      <c r="B10" s="64">
        <v>3.53</v>
      </c>
      <c r="C10" s="64">
        <v>7.7</v>
      </c>
      <c r="D10" s="64">
        <v>11.23</v>
      </c>
      <c r="E10" s="64">
        <v>4.26</v>
      </c>
      <c r="F10" s="64">
        <v>1.39</v>
      </c>
      <c r="G10" s="64">
        <v>13.15</v>
      </c>
      <c r="H10" s="64">
        <v>6.17</v>
      </c>
      <c r="I10" s="64">
        <v>1.85</v>
      </c>
      <c r="J10" s="64">
        <v>1.3</v>
      </c>
      <c r="K10" s="64">
        <v>146.61000000000001</v>
      </c>
      <c r="L10" s="64">
        <v>22.45</v>
      </c>
      <c r="M10" s="64">
        <v>98.74</v>
      </c>
      <c r="N10" s="220" t="s">
        <v>36</v>
      </c>
      <c r="O10" s="64">
        <v>0</v>
      </c>
      <c r="P10" s="64">
        <v>0.26</v>
      </c>
      <c r="Q10" s="64">
        <v>5.42</v>
      </c>
      <c r="R10" s="198"/>
      <c r="S10" s="198"/>
      <c r="T10" s="198"/>
      <c r="U10" s="198"/>
    </row>
    <row r="11" spans="1:21" s="12" customFormat="1" x14ac:dyDescent="0.25">
      <c r="A11" s="214" t="s">
        <v>1691</v>
      </c>
      <c r="B11" s="64">
        <v>3.53</v>
      </c>
      <c r="C11" s="64">
        <v>7.65</v>
      </c>
      <c r="D11" s="64">
        <v>11.19</v>
      </c>
      <c r="E11" s="64">
        <v>4.6399999999999997</v>
      </c>
      <c r="F11" s="64">
        <v>0.59</v>
      </c>
      <c r="G11" s="64">
        <v>14.06</v>
      </c>
      <c r="H11" s="64">
        <v>5.5</v>
      </c>
      <c r="I11" s="64">
        <v>1.79</v>
      </c>
      <c r="J11" s="64">
        <v>1.24</v>
      </c>
      <c r="K11" s="64">
        <v>143.63999999999999</v>
      </c>
      <c r="L11" s="64">
        <v>22.4</v>
      </c>
      <c r="M11" s="64">
        <v>98.74</v>
      </c>
      <c r="N11" s="220" t="s">
        <v>36</v>
      </c>
      <c r="O11" s="64">
        <v>0</v>
      </c>
      <c r="P11" s="64">
        <v>0.26</v>
      </c>
      <c r="Q11" s="64">
        <v>6.63</v>
      </c>
      <c r="R11" s="198"/>
      <c r="S11" s="198"/>
      <c r="T11" s="198"/>
      <c r="U11" s="198"/>
    </row>
    <row r="12" spans="1:21" s="12" customFormat="1" x14ac:dyDescent="0.25">
      <c r="A12" s="214" t="s">
        <v>1692</v>
      </c>
      <c r="B12" s="64">
        <v>3.47</v>
      </c>
      <c r="C12" s="64">
        <v>7.29</v>
      </c>
      <c r="D12" s="64">
        <v>10.76</v>
      </c>
      <c r="E12" s="64">
        <v>3.56</v>
      </c>
      <c r="F12" s="64">
        <v>1.47</v>
      </c>
      <c r="G12" s="64">
        <v>16.28</v>
      </c>
      <c r="H12" s="64">
        <v>4.45</v>
      </c>
      <c r="I12" s="64">
        <v>1.81</v>
      </c>
      <c r="J12" s="64">
        <v>0.79</v>
      </c>
      <c r="K12" s="64">
        <v>144.55000000000001</v>
      </c>
      <c r="L12" s="64">
        <v>22.37</v>
      </c>
      <c r="M12" s="64">
        <v>98.75</v>
      </c>
      <c r="N12" s="220" t="s">
        <v>36</v>
      </c>
      <c r="O12" s="64">
        <v>0</v>
      </c>
      <c r="P12" s="64">
        <v>0.26</v>
      </c>
      <c r="Q12" s="64">
        <v>6.53</v>
      </c>
      <c r="R12" s="198"/>
      <c r="S12" s="198"/>
      <c r="T12" s="198"/>
      <c r="U12" s="198"/>
    </row>
    <row r="13" spans="1:21" s="12" customFormat="1" x14ac:dyDescent="0.25">
      <c r="A13" s="214" t="s">
        <v>1693</v>
      </c>
      <c r="B13" s="64">
        <v>3.4</v>
      </c>
      <c r="C13" s="64">
        <v>7.38</v>
      </c>
      <c r="D13" s="64">
        <v>10.79</v>
      </c>
      <c r="E13" s="64">
        <v>4.12</v>
      </c>
      <c r="F13" s="64">
        <v>0.64</v>
      </c>
      <c r="G13" s="64">
        <v>16.28</v>
      </c>
      <c r="H13" s="64">
        <v>4.45</v>
      </c>
      <c r="I13" s="64">
        <v>1.74</v>
      </c>
      <c r="J13" s="64">
        <v>0.93</v>
      </c>
      <c r="K13" s="64">
        <v>148.47</v>
      </c>
      <c r="L13" s="64">
        <v>22.38</v>
      </c>
      <c r="M13" s="64">
        <v>98.74</v>
      </c>
      <c r="N13" s="220" t="s">
        <v>36</v>
      </c>
      <c r="O13" s="64">
        <v>0</v>
      </c>
      <c r="P13" s="64">
        <v>0.27</v>
      </c>
      <c r="Q13" s="64">
        <v>7.88</v>
      </c>
      <c r="R13" s="198"/>
      <c r="S13" s="198"/>
      <c r="T13" s="198"/>
      <c r="U13" s="198"/>
    </row>
    <row r="14" spans="1:21" s="12" customFormat="1" x14ac:dyDescent="0.25">
      <c r="A14" s="214" t="s">
        <v>1694</v>
      </c>
      <c r="B14" s="64">
        <v>3.29</v>
      </c>
      <c r="C14" s="64">
        <v>7.64</v>
      </c>
      <c r="D14" s="64">
        <v>10.92</v>
      </c>
      <c r="E14" s="64">
        <v>4.03</v>
      </c>
      <c r="F14" s="64">
        <v>1.91</v>
      </c>
      <c r="G14" s="64">
        <v>16.28</v>
      </c>
      <c r="H14" s="64">
        <v>4.45</v>
      </c>
      <c r="I14" s="64">
        <v>1.85</v>
      </c>
      <c r="J14" s="64">
        <v>0.95</v>
      </c>
      <c r="K14" s="64">
        <v>155.91</v>
      </c>
      <c r="L14" s="64">
        <v>22.42</v>
      </c>
      <c r="M14" s="64">
        <v>98.73</v>
      </c>
      <c r="N14" s="220" t="s">
        <v>36</v>
      </c>
      <c r="O14" s="64">
        <v>0</v>
      </c>
      <c r="P14" s="64">
        <v>0.28999999999999998</v>
      </c>
      <c r="Q14" s="64">
        <v>8.23</v>
      </c>
      <c r="R14" s="198"/>
      <c r="S14" s="198"/>
      <c r="T14" s="198"/>
      <c r="U14" s="198"/>
    </row>
    <row r="15" spans="1:21" s="12" customFormat="1" x14ac:dyDescent="0.25">
      <c r="A15" s="214" t="s">
        <v>1695</v>
      </c>
      <c r="B15" s="64">
        <v>3.23</v>
      </c>
      <c r="C15" s="64">
        <v>7.89</v>
      </c>
      <c r="D15" s="64">
        <v>11.12</v>
      </c>
      <c r="E15" s="64">
        <v>4.09</v>
      </c>
      <c r="F15" s="64">
        <v>2.5</v>
      </c>
      <c r="G15" s="64">
        <v>15.58</v>
      </c>
      <c r="H15" s="64">
        <v>5.61</v>
      </c>
      <c r="I15" s="64">
        <v>1.8</v>
      </c>
      <c r="J15" s="64">
        <v>1.08</v>
      </c>
      <c r="K15" s="64">
        <v>149.71</v>
      </c>
      <c r="L15" s="64">
        <v>22.34</v>
      </c>
      <c r="M15" s="64">
        <v>98.73</v>
      </c>
      <c r="N15" s="220" t="s">
        <v>36</v>
      </c>
      <c r="O15" s="64">
        <v>0</v>
      </c>
      <c r="P15" s="64">
        <v>0.28000000000000003</v>
      </c>
      <c r="Q15" s="64">
        <v>15.15</v>
      </c>
      <c r="R15" s="198"/>
      <c r="S15" s="198"/>
      <c r="T15" s="198"/>
      <c r="U15" s="198"/>
    </row>
    <row r="16" spans="1:21" s="12" customFormat="1" x14ac:dyDescent="0.25">
      <c r="A16" s="214" t="s">
        <v>1696</v>
      </c>
      <c r="B16" s="64">
        <v>3.25</v>
      </c>
      <c r="C16" s="64">
        <v>8.01</v>
      </c>
      <c r="D16" s="64">
        <v>11.26</v>
      </c>
      <c r="E16" s="64">
        <v>4.6100000000000003</v>
      </c>
      <c r="F16" s="64">
        <v>1.79</v>
      </c>
      <c r="G16" s="64">
        <v>13.87</v>
      </c>
      <c r="H16" s="64">
        <v>7.55</v>
      </c>
      <c r="I16" s="64">
        <v>1.79</v>
      </c>
      <c r="J16" s="64">
        <v>1.02</v>
      </c>
      <c r="K16" s="64">
        <v>143.54</v>
      </c>
      <c r="L16" s="64">
        <v>22.3</v>
      </c>
      <c r="M16" s="64">
        <v>98.75</v>
      </c>
      <c r="N16" s="64">
        <v>1.4</v>
      </c>
      <c r="O16" s="64">
        <v>0</v>
      </c>
      <c r="P16" s="64">
        <v>0.28000000000000003</v>
      </c>
      <c r="Q16" s="64">
        <v>23.33</v>
      </c>
      <c r="R16" s="198"/>
      <c r="S16" s="198"/>
      <c r="T16" s="198"/>
      <c r="U16" s="198"/>
    </row>
    <row r="17" spans="1:21" s="12" customFormat="1" x14ac:dyDescent="0.25">
      <c r="A17" s="214" t="s">
        <v>1697</v>
      </c>
      <c r="B17" s="64">
        <v>3.3</v>
      </c>
      <c r="C17" s="64">
        <v>7.96</v>
      </c>
      <c r="D17" s="64">
        <v>11.26</v>
      </c>
      <c r="E17" s="64">
        <v>4.78</v>
      </c>
      <c r="F17" s="64">
        <v>2.1800000000000002</v>
      </c>
      <c r="G17" s="64">
        <v>13.87</v>
      </c>
      <c r="H17" s="64">
        <v>7.55</v>
      </c>
      <c r="I17" s="64">
        <v>1.76</v>
      </c>
      <c r="J17" s="64">
        <v>0.88</v>
      </c>
      <c r="K17" s="64">
        <v>147.59</v>
      </c>
      <c r="L17" s="64">
        <v>22.2</v>
      </c>
      <c r="M17" s="64">
        <v>98.75</v>
      </c>
      <c r="N17" s="64">
        <v>9.1999999999999993</v>
      </c>
      <c r="O17" s="64">
        <v>0</v>
      </c>
      <c r="P17" s="64">
        <v>0.28000000000000003</v>
      </c>
      <c r="Q17" s="64">
        <v>16.29</v>
      </c>
      <c r="R17" s="198"/>
      <c r="S17" s="198"/>
      <c r="T17" s="198"/>
      <c r="U17" s="198"/>
    </row>
    <row r="18" spans="1:21" s="12" customFormat="1" x14ac:dyDescent="0.25">
      <c r="A18" s="214" t="s">
        <v>1698</v>
      </c>
      <c r="B18" s="64">
        <v>3.36</v>
      </c>
      <c r="C18" s="64">
        <v>7.93</v>
      </c>
      <c r="D18" s="64">
        <v>11.3</v>
      </c>
      <c r="E18" s="64">
        <v>4.2</v>
      </c>
      <c r="F18" s="64">
        <v>2.08</v>
      </c>
      <c r="G18" s="64">
        <v>13.87</v>
      </c>
      <c r="H18" s="64">
        <v>7.55</v>
      </c>
      <c r="I18" s="64">
        <v>1.87</v>
      </c>
      <c r="J18" s="64">
        <v>0.94</v>
      </c>
      <c r="K18" s="64">
        <v>147.85</v>
      </c>
      <c r="L18" s="64">
        <v>22.19</v>
      </c>
      <c r="M18" s="64">
        <v>98.75</v>
      </c>
      <c r="N18" s="64">
        <v>8.9</v>
      </c>
      <c r="O18" s="64">
        <v>0</v>
      </c>
      <c r="P18" s="64">
        <v>0.27</v>
      </c>
      <c r="Q18" s="64">
        <v>11.94</v>
      </c>
      <c r="R18" s="198"/>
      <c r="S18" s="198"/>
      <c r="T18" s="198"/>
      <c r="U18" s="198"/>
    </row>
    <row r="19" spans="1:21" s="12" customFormat="1" x14ac:dyDescent="0.25">
      <c r="A19" s="214" t="s">
        <v>1699</v>
      </c>
      <c r="B19" s="64">
        <v>3.48</v>
      </c>
      <c r="C19" s="64">
        <v>7.33</v>
      </c>
      <c r="D19" s="64">
        <v>10.81</v>
      </c>
      <c r="E19" s="64">
        <v>4.32</v>
      </c>
      <c r="F19" s="64">
        <v>0.78</v>
      </c>
      <c r="G19" s="64">
        <v>13.55</v>
      </c>
      <c r="H19" s="64">
        <v>6.9</v>
      </c>
      <c r="I19" s="64">
        <v>1.79</v>
      </c>
      <c r="J19" s="64">
        <v>0.95</v>
      </c>
      <c r="K19" s="64">
        <v>146.66</v>
      </c>
      <c r="L19" s="64">
        <v>22.32</v>
      </c>
      <c r="M19" s="64">
        <v>98.74</v>
      </c>
      <c r="N19" s="64">
        <v>9</v>
      </c>
      <c r="O19" s="64">
        <v>0</v>
      </c>
      <c r="P19" s="64">
        <v>0.28000000000000003</v>
      </c>
      <c r="Q19" s="64">
        <v>7.51</v>
      </c>
      <c r="R19" s="198"/>
      <c r="S19" s="198"/>
      <c r="T19" s="198"/>
      <c r="U19" s="198"/>
    </row>
    <row r="20" spans="1:21" s="12" customFormat="1" x14ac:dyDescent="0.25">
      <c r="A20" s="214" t="s">
        <v>1700</v>
      </c>
      <c r="B20" s="64">
        <v>3.51</v>
      </c>
      <c r="C20" s="64">
        <v>7</v>
      </c>
      <c r="D20" s="64">
        <v>10.51</v>
      </c>
      <c r="E20" s="64">
        <v>4.46</v>
      </c>
      <c r="F20" s="64">
        <v>1.08</v>
      </c>
      <c r="G20" s="64">
        <v>12.76</v>
      </c>
      <c r="H20" s="64">
        <v>5.88</v>
      </c>
      <c r="I20" s="64">
        <v>1.77</v>
      </c>
      <c r="J20" s="64">
        <v>0.82</v>
      </c>
      <c r="K20" s="64">
        <v>143.82</v>
      </c>
      <c r="L20" s="64">
        <v>22.41</v>
      </c>
      <c r="M20" s="64">
        <v>98.73</v>
      </c>
      <c r="N20" s="64">
        <v>9.1999999999999993</v>
      </c>
      <c r="O20" s="64">
        <v>0</v>
      </c>
      <c r="P20" s="64">
        <v>0.27</v>
      </c>
      <c r="Q20" s="64">
        <v>5.01</v>
      </c>
      <c r="R20" s="198"/>
      <c r="S20" s="198"/>
      <c r="T20" s="198"/>
      <c r="U20" s="198"/>
    </row>
    <row r="21" spans="1:21" s="12" customFormat="1" x14ac:dyDescent="0.25">
      <c r="A21" s="214" t="s">
        <v>1701</v>
      </c>
      <c r="B21" s="64">
        <v>3.53</v>
      </c>
      <c r="C21" s="64">
        <v>6.87</v>
      </c>
      <c r="D21" s="64">
        <v>10.39</v>
      </c>
      <c r="E21" s="64">
        <v>4.5199999999999996</v>
      </c>
      <c r="F21" s="64">
        <v>0.97</v>
      </c>
      <c r="G21" s="64">
        <v>12.76</v>
      </c>
      <c r="H21" s="64">
        <v>5.88</v>
      </c>
      <c r="I21" s="64">
        <v>1.78</v>
      </c>
      <c r="J21" s="64">
        <v>0.88</v>
      </c>
      <c r="K21" s="64">
        <v>148.58000000000001</v>
      </c>
      <c r="L21" s="64">
        <v>22.36</v>
      </c>
      <c r="M21" s="64">
        <v>98.73</v>
      </c>
      <c r="N21" s="64">
        <v>9.4</v>
      </c>
      <c r="O21" s="64">
        <v>0</v>
      </c>
      <c r="P21" s="64">
        <v>0.28000000000000003</v>
      </c>
      <c r="Q21" s="64">
        <v>4.72</v>
      </c>
      <c r="R21" s="198"/>
      <c r="S21" s="198"/>
      <c r="T21" s="198"/>
      <c r="U21" s="198"/>
    </row>
    <row r="22" spans="1:21" s="12" customFormat="1" x14ac:dyDescent="0.25">
      <c r="A22" s="214" t="s">
        <v>1702</v>
      </c>
      <c r="B22" s="64">
        <v>3.48</v>
      </c>
      <c r="C22" s="64">
        <v>6.74</v>
      </c>
      <c r="D22" s="64">
        <v>10.220000000000001</v>
      </c>
      <c r="E22" s="64">
        <v>4.5999999999999996</v>
      </c>
      <c r="F22" s="64">
        <v>1.31</v>
      </c>
      <c r="G22" s="64">
        <v>12.76</v>
      </c>
      <c r="H22" s="64">
        <v>5.88</v>
      </c>
      <c r="I22" s="64">
        <v>1.79</v>
      </c>
      <c r="J22" s="64">
        <v>0.66</v>
      </c>
      <c r="K22" s="64">
        <v>151.26</v>
      </c>
      <c r="L22" s="64">
        <v>22.23</v>
      </c>
      <c r="M22" s="64">
        <v>98.74</v>
      </c>
      <c r="N22" s="64">
        <v>9.1</v>
      </c>
      <c r="O22" s="64">
        <v>0</v>
      </c>
      <c r="P22" s="64">
        <v>0.26</v>
      </c>
      <c r="Q22" s="64">
        <v>3.94</v>
      </c>
      <c r="R22" s="198"/>
      <c r="S22" s="198"/>
      <c r="T22" s="198"/>
      <c r="U22" s="198"/>
    </row>
    <row r="23" spans="1:21" s="12" customFormat="1" x14ac:dyDescent="0.25">
      <c r="A23" s="214" t="s">
        <v>1703</v>
      </c>
      <c r="B23" s="64">
        <v>3.45</v>
      </c>
      <c r="C23" s="64">
        <v>6.93</v>
      </c>
      <c r="D23" s="64">
        <v>10.37</v>
      </c>
      <c r="E23" s="64">
        <v>4.1500000000000004</v>
      </c>
      <c r="F23" s="64">
        <v>0.72</v>
      </c>
      <c r="G23" s="64">
        <v>12.77</v>
      </c>
      <c r="H23" s="64">
        <v>7.05</v>
      </c>
      <c r="I23" s="64">
        <v>1.8</v>
      </c>
      <c r="J23" s="64">
        <v>0.86</v>
      </c>
      <c r="K23" s="64">
        <v>147.5</v>
      </c>
      <c r="L23" s="64">
        <v>22.11</v>
      </c>
      <c r="M23" s="64">
        <v>98.75</v>
      </c>
      <c r="N23" s="64">
        <v>9</v>
      </c>
      <c r="O23" s="64">
        <v>0</v>
      </c>
      <c r="P23" s="64">
        <v>0.27</v>
      </c>
      <c r="Q23" s="64">
        <v>4.1500000000000004</v>
      </c>
      <c r="R23" s="198"/>
      <c r="S23" s="198"/>
      <c r="T23" s="198"/>
      <c r="U23" s="198"/>
    </row>
    <row r="24" spans="1:21" s="12" customFormat="1" x14ac:dyDescent="0.25">
      <c r="A24" s="214" t="s">
        <v>1704</v>
      </c>
      <c r="B24" s="64">
        <v>3.46</v>
      </c>
      <c r="C24" s="64">
        <v>6.79</v>
      </c>
      <c r="D24" s="64">
        <v>10.25</v>
      </c>
      <c r="E24" s="64">
        <v>3.28</v>
      </c>
      <c r="F24" s="64">
        <v>1.17</v>
      </c>
      <c r="G24" s="64">
        <v>12.8</v>
      </c>
      <c r="H24" s="64">
        <v>9.02</v>
      </c>
      <c r="I24" s="64">
        <v>1.77</v>
      </c>
      <c r="J24" s="64">
        <v>1</v>
      </c>
      <c r="K24" s="64">
        <v>149.93</v>
      </c>
      <c r="L24" s="64">
        <v>22.17</v>
      </c>
      <c r="M24" s="64">
        <v>98.73</v>
      </c>
      <c r="N24" s="64">
        <v>9</v>
      </c>
      <c r="O24" s="64">
        <v>0</v>
      </c>
      <c r="P24" s="64">
        <v>0.26</v>
      </c>
      <c r="Q24" s="64">
        <v>3.41</v>
      </c>
      <c r="R24" s="198"/>
      <c r="S24" s="198"/>
      <c r="T24" s="198"/>
      <c r="U24" s="198"/>
    </row>
    <row r="25" spans="1:21" s="12" customFormat="1" x14ac:dyDescent="0.25">
      <c r="A25" s="214" t="s">
        <v>1705</v>
      </c>
      <c r="B25" s="64">
        <v>3.46</v>
      </c>
      <c r="C25" s="64">
        <v>7.01</v>
      </c>
      <c r="D25" s="64">
        <v>10.47</v>
      </c>
      <c r="E25" s="64">
        <v>4.1500000000000004</v>
      </c>
      <c r="F25" s="64">
        <v>0.72</v>
      </c>
      <c r="G25" s="64">
        <v>12.8</v>
      </c>
      <c r="H25" s="64">
        <v>9.02</v>
      </c>
      <c r="I25" s="64">
        <v>1.78</v>
      </c>
      <c r="J25" s="64">
        <v>1.1100000000000001</v>
      </c>
      <c r="K25" s="64">
        <v>153.69999999999999</v>
      </c>
      <c r="L25" s="64">
        <v>22.26</v>
      </c>
      <c r="M25" s="64">
        <v>98.73</v>
      </c>
      <c r="N25" s="64">
        <v>9.1</v>
      </c>
      <c r="O25" s="64">
        <v>0</v>
      </c>
      <c r="P25" s="64">
        <v>0.25</v>
      </c>
      <c r="Q25" s="64">
        <v>3.95</v>
      </c>
      <c r="R25" s="198"/>
      <c r="S25" s="198"/>
      <c r="T25" s="198"/>
      <c r="U25" s="198"/>
    </row>
    <row r="26" spans="1:21" s="12" customFormat="1" x14ac:dyDescent="0.25">
      <c r="A26" s="214" t="s">
        <v>1706</v>
      </c>
      <c r="B26" s="64">
        <v>3.51</v>
      </c>
      <c r="C26" s="64">
        <v>7.97</v>
      </c>
      <c r="D26" s="64">
        <v>11.47</v>
      </c>
      <c r="E26" s="64">
        <v>3.76</v>
      </c>
      <c r="F26" s="64">
        <v>2.27</v>
      </c>
      <c r="G26" s="64">
        <v>12.8</v>
      </c>
      <c r="H26" s="64">
        <v>9.02</v>
      </c>
      <c r="I26" s="64">
        <v>1.85</v>
      </c>
      <c r="J26" s="64">
        <v>1.01</v>
      </c>
      <c r="K26" s="64">
        <v>147.1</v>
      </c>
      <c r="L26" s="64">
        <v>22.26</v>
      </c>
      <c r="M26" s="64">
        <v>98.73</v>
      </c>
      <c r="N26" s="64">
        <v>9.1</v>
      </c>
      <c r="O26" s="64">
        <v>0</v>
      </c>
      <c r="P26" s="64">
        <v>0.26</v>
      </c>
      <c r="Q26" s="64">
        <v>4.3899999999999997</v>
      </c>
      <c r="R26" s="198"/>
      <c r="S26" s="198"/>
      <c r="T26" s="198"/>
      <c r="U26" s="198"/>
    </row>
    <row r="27" spans="1:21" s="12" customFormat="1" x14ac:dyDescent="0.25">
      <c r="A27" s="214" t="s">
        <v>1707</v>
      </c>
      <c r="B27" s="64">
        <v>3.57</v>
      </c>
      <c r="C27" s="64">
        <v>8.07</v>
      </c>
      <c r="D27" s="64">
        <v>11.64</v>
      </c>
      <c r="E27" s="64">
        <v>4.1900000000000004</v>
      </c>
      <c r="F27" s="64">
        <v>1.81</v>
      </c>
      <c r="G27" s="64">
        <v>11.7</v>
      </c>
      <c r="H27" s="64">
        <v>8.31</v>
      </c>
      <c r="I27" s="64">
        <v>1.79</v>
      </c>
      <c r="J27" s="64">
        <v>0.9</v>
      </c>
      <c r="K27" s="64">
        <v>151.35</v>
      </c>
      <c r="L27" s="64">
        <v>22.31</v>
      </c>
      <c r="M27" s="64">
        <v>98.73</v>
      </c>
      <c r="N27" s="64">
        <v>9.3000000000000007</v>
      </c>
      <c r="O27" s="64">
        <v>0</v>
      </c>
      <c r="P27" s="64">
        <v>0.25</v>
      </c>
      <c r="Q27" s="64">
        <v>4.63</v>
      </c>
      <c r="R27" s="198"/>
      <c r="S27" s="198"/>
      <c r="T27" s="198"/>
      <c r="U27" s="198"/>
    </row>
    <row r="28" spans="1:21" s="12" customFormat="1" x14ac:dyDescent="0.25">
      <c r="A28" s="214" t="s">
        <v>1708</v>
      </c>
      <c r="B28" s="64">
        <v>3.59</v>
      </c>
      <c r="C28" s="64">
        <v>8.25</v>
      </c>
      <c r="D28" s="64">
        <v>11.85</v>
      </c>
      <c r="E28" s="64">
        <v>4.51</v>
      </c>
      <c r="F28" s="64">
        <v>1.49</v>
      </c>
      <c r="G28" s="64">
        <v>8.99</v>
      </c>
      <c r="H28" s="64">
        <v>7.14</v>
      </c>
      <c r="I28" s="64">
        <v>1.82</v>
      </c>
      <c r="J28" s="64">
        <v>0.84</v>
      </c>
      <c r="K28" s="64">
        <v>146.72</v>
      </c>
      <c r="L28" s="64">
        <v>22.31</v>
      </c>
      <c r="M28" s="64">
        <v>98.73</v>
      </c>
      <c r="N28" s="64">
        <v>9.4</v>
      </c>
      <c r="O28" s="64">
        <v>0</v>
      </c>
      <c r="P28" s="64">
        <v>0.25</v>
      </c>
      <c r="Q28" s="64">
        <v>4.97</v>
      </c>
      <c r="R28" s="198"/>
      <c r="S28" s="198"/>
      <c r="T28" s="198"/>
      <c r="U28" s="198"/>
    </row>
    <row r="29" spans="1:21" s="12" customFormat="1" x14ac:dyDescent="0.25">
      <c r="A29" s="214" t="s">
        <v>1709</v>
      </c>
      <c r="B29" s="64">
        <v>3.63</v>
      </c>
      <c r="C29" s="64">
        <v>8.1999999999999993</v>
      </c>
      <c r="D29" s="64">
        <v>11.83</v>
      </c>
      <c r="E29" s="64">
        <v>5.22</v>
      </c>
      <c r="F29" s="64">
        <v>2.56</v>
      </c>
      <c r="G29" s="64">
        <v>8.99</v>
      </c>
      <c r="H29" s="64">
        <v>7.14</v>
      </c>
      <c r="I29" s="64">
        <v>1.82</v>
      </c>
      <c r="J29" s="64">
        <v>0.86</v>
      </c>
      <c r="K29" s="64">
        <v>143.43</v>
      </c>
      <c r="L29" s="64">
        <v>22.33</v>
      </c>
      <c r="M29" s="64">
        <v>98.73</v>
      </c>
      <c r="N29" s="64">
        <v>9.4</v>
      </c>
      <c r="O29" s="64">
        <v>0</v>
      </c>
      <c r="P29" s="64">
        <v>0.25</v>
      </c>
      <c r="Q29" s="64">
        <v>5.05</v>
      </c>
      <c r="R29" s="198"/>
      <c r="S29" s="198"/>
      <c r="T29" s="198"/>
      <c r="U29" s="198"/>
    </row>
    <row r="30" spans="1:21" s="12" customFormat="1" x14ac:dyDescent="0.25">
      <c r="A30" s="214" t="s">
        <v>1710</v>
      </c>
      <c r="B30" s="64">
        <v>3.91</v>
      </c>
      <c r="C30" s="64">
        <v>8.5500000000000007</v>
      </c>
      <c r="D30" s="64">
        <v>12.45</v>
      </c>
      <c r="E30" s="64">
        <v>4.6500000000000004</v>
      </c>
      <c r="F30" s="64">
        <v>1.71</v>
      </c>
      <c r="G30" s="64">
        <v>8.99</v>
      </c>
      <c r="H30" s="64">
        <v>7.14</v>
      </c>
      <c r="I30" s="64">
        <v>1.79</v>
      </c>
      <c r="J30" s="64">
        <v>0.5</v>
      </c>
      <c r="K30" s="64">
        <v>143.78</v>
      </c>
      <c r="L30" s="64">
        <v>22.34</v>
      </c>
      <c r="M30" s="64">
        <v>98.73</v>
      </c>
      <c r="N30" s="64">
        <v>9.4</v>
      </c>
      <c r="O30" s="64">
        <v>0</v>
      </c>
      <c r="P30" s="64">
        <v>0.26</v>
      </c>
      <c r="Q30" s="64">
        <v>5.03</v>
      </c>
      <c r="R30" s="198"/>
      <c r="S30" s="198"/>
      <c r="T30" s="198"/>
      <c r="U30" s="198"/>
    </row>
    <row r="31" spans="1:21" s="12" customFormat="1" x14ac:dyDescent="0.25">
      <c r="A31" s="214" t="s">
        <v>1711</v>
      </c>
      <c r="B31" s="64">
        <v>5.4</v>
      </c>
      <c r="C31" s="64">
        <v>7.81</v>
      </c>
      <c r="D31" s="64">
        <v>13.21</v>
      </c>
      <c r="E31" s="64">
        <v>4.59</v>
      </c>
      <c r="F31" s="64">
        <v>0.79</v>
      </c>
      <c r="G31" s="64">
        <v>10.56</v>
      </c>
      <c r="H31" s="64">
        <v>7.37</v>
      </c>
      <c r="I31" s="64">
        <v>1.84</v>
      </c>
      <c r="J31" s="64">
        <v>0.59</v>
      </c>
      <c r="K31" s="64">
        <v>149.72</v>
      </c>
      <c r="L31" s="64">
        <v>22.32</v>
      </c>
      <c r="M31" s="64">
        <v>98.73</v>
      </c>
      <c r="N31" s="64">
        <v>9.8000000000000007</v>
      </c>
      <c r="O31" s="64">
        <v>0</v>
      </c>
      <c r="P31" s="64">
        <v>0.26</v>
      </c>
      <c r="Q31" s="64">
        <v>5.31</v>
      </c>
      <c r="R31" s="198"/>
      <c r="S31" s="198"/>
      <c r="T31" s="198"/>
      <c r="U31" s="198"/>
    </row>
    <row r="32" spans="1:21" s="12" customFormat="1" x14ac:dyDescent="0.25">
      <c r="A32" s="214" t="s">
        <v>1712</v>
      </c>
      <c r="B32" s="64">
        <v>6.62</v>
      </c>
      <c r="C32" s="64">
        <v>8.01</v>
      </c>
      <c r="D32" s="64">
        <v>14.63</v>
      </c>
      <c r="E32" s="64">
        <v>4.5599999999999996</v>
      </c>
      <c r="F32" s="64">
        <v>1.1499999999999999</v>
      </c>
      <c r="G32" s="64">
        <v>14.44</v>
      </c>
      <c r="H32" s="64">
        <v>8.2899999999999991</v>
      </c>
      <c r="I32" s="64">
        <v>1.88</v>
      </c>
      <c r="J32" s="64">
        <v>0.6</v>
      </c>
      <c r="K32" s="64">
        <v>143.19</v>
      </c>
      <c r="L32" s="64">
        <v>22.27</v>
      </c>
      <c r="M32" s="64">
        <v>98.73</v>
      </c>
      <c r="N32" s="64">
        <v>12.4</v>
      </c>
      <c r="O32" s="64">
        <v>0</v>
      </c>
      <c r="P32" s="64">
        <v>0.26</v>
      </c>
      <c r="Q32" s="64">
        <v>4.76</v>
      </c>
      <c r="R32" s="198"/>
      <c r="S32" s="198"/>
      <c r="T32" s="198"/>
      <c r="U32" s="198"/>
    </row>
    <row r="33" spans="1:21" s="12" customFormat="1" x14ac:dyDescent="0.25">
      <c r="A33" s="214" t="s">
        <v>1713</v>
      </c>
      <c r="B33" s="64">
        <v>5.45</v>
      </c>
      <c r="C33" s="64">
        <v>8.58</v>
      </c>
      <c r="D33" s="64">
        <v>14.03</v>
      </c>
      <c r="E33" s="64">
        <v>4.8499999999999996</v>
      </c>
      <c r="F33" s="64">
        <v>0.68</v>
      </c>
      <c r="G33" s="64">
        <v>14.44</v>
      </c>
      <c r="H33" s="64">
        <v>8.2899999999999991</v>
      </c>
      <c r="I33" s="64">
        <v>1.76</v>
      </c>
      <c r="J33" s="64">
        <v>0.84</v>
      </c>
      <c r="K33" s="64">
        <v>148.85</v>
      </c>
      <c r="L33" s="64">
        <v>22.31</v>
      </c>
      <c r="M33" s="64">
        <v>98.73</v>
      </c>
      <c r="N33" s="64">
        <v>19.899999999999999</v>
      </c>
      <c r="O33" s="64">
        <v>0</v>
      </c>
      <c r="P33" s="64">
        <v>0.25</v>
      </c>
      <c r="Q33" s="64">
        <v>5.56</v>
      </c>
      <c r="R33" s="198"/>
      <c r="S33" s="198"/>
      <c r="T33" s="198"/>
      <c r="U33" s="198"/>
    </row>
    <row r="34" spans="1:21" s="12" customFormat="1" x14ac:dyDescent="0.25">
      <c r="A34" s="214" t="s">
        <v>1714</v>
      </c>
      <c r="B34" s="64">
        <v>5.41</v>
      </c>
      <c r="C34" s="64">
        <v>8.24</v>
      </c>
      <c r="D34" s="64">
        <v>13.65</v>
      </c>
      <c r="E34" s="64">
        <v>4.59</v>
      </c>
      <c r="F34" s="64">
        <v>1.22</v>
      </c>
      <c r="G34" s="64">
        <v>14.44</v>
      </c>
      <c r="H34" s="64">
        <v>8.2899999999999991</v>
      </c>
      <c r="I34" s="64">
        <v>1.82</v>
      </c>
      <c r="J34" s="64">
        <v>0.7</v>
      </c>
      <c r="K34" s="64">
        <v>149.54</v>
      </c>
      <c r="L34" s="64">
        <v>22.35</v>
      </c>
      <c r="M34" s="64">
        <v>98.73</v>
      </c>
      <c r="N34" s="64">
        <v>16.899999999999999</v>
      </c>
      <c r="O34" s="64">
        <v>0</v>
      </c>
      <c r="P34" s="64">
        <v>0.26</v>
      </c>
      <c r="Q34" s="64">
        <v>5.47</v>
      </c>
      <c r="R34" s="198"/>
      <c r="S34" s="198"/>
      <c r="T34" s="198"/>
      <c r="U34" s="198"/>
    </row>
    <row r="35" spans="1:21" s="12" customFormat="1" x14ac:dyDescent="0.25">
      <c r="A35" s="214" t="s">
        <v>1715</v>
      </c>
      <c r="B35" s="64">
        <v>5.71</v>
      </c>
      <c r="C35" s="64">
        <v>8.84</v>
      </c>
      <c r="D35" s="64">
        <v>14.54</v>
      </c>
      <c r="E35" s="64">
        <v>4.7</v>
      </c>
      <c r="F35" s="64">
        <v>0.84</v>
      </c>
      <c r="G35" s="64">
        <v>14.2</v>
      </c>
      <c r="H35" s="64">
        <v>8.9600000000000009</v>
      </c>
      <c r="I35" s="64">
        <v>1.8</v>
      </c>
      <c r="J35" s="64">
        <v>0.67</v>
      </c>
      <c r="K35" s="64">
        <v>149.55000000000001</v>
      </c>
      <c r="L35" s="64">
        <v>22.4</v>
      </c>
      <c r="M35" s="64">
        <v>98.73</v>
      </c>
      <c r="N35" s="64">
        <v>28.3</v>
      </c>
      <c r="O35" s="64">
        <v>0</v>
      </c>
      <c r="P35" s="64">
        <v>0.26</v>
      </c>
      <c r="Q35" s="64">
        <v>6.31</v>
      </c>
      <c r="R35" s="198"/>
      <c r="S35" s="198"/>
      <c r="T35" s="198"/>
      <c r="U35" s="198"/>
    </row>
    <row r="36" spans="1:21" s="12" customFormat="1" x14ac:dyDescent="0.25">
      <c r="A36" s="214" t="s">
        <v>1716</v>
      </c>
      <c r="B36" s="64">
        <v>5.86</v>
      </c>
      <c r="C36" s="64">
        <v>8.8699999999999992</v>
      </c>
      <c r="D36" s="64">
        <v>14.73</v>
      </c>
      <c r="E36" s="64">
        <v>4.5999999999999996</v>
      </c>
      <c r="F36" s="64">
        <v>0.71</v>
      </c>
      <c r="G36" s="64">
        <v>13.61</v>
      </c>
      <c r="H36" s="64">
        <v>10.16</v>
      </c>
      <c r="I36" s="64">
        <v>1.83</v>
      </c>
      <c r="J36" s="64">
        <v>0.95</v>
      </c>
      <c r="K36" s="64">
        <v>148.53</v>
      </c>
      <c r="L36" s="64">
        <v>22.53</v>
      </c>
      <c r="M36" s="64">
        <v>98.73</v>
      </c>
      <c r="N36" s="64">
        <v>49.6</v>
      </c>
      <c r="O36" s="64">
        <v>0</v>
      </c>
      <c r="P36" s="64">
        <v>0.28999999999999998</v>
      </c>
      <c r="Q36" s="64">
        <v>6.05</v>
      </c>
      <c r="R36" s="198"/>
      <c r="S36" s="198"/>
      <c r="T36" s="198"/>
      <c r="U36" s="198"/>
    </row>
    <row r="37" spans="1:21" s="12" customFormat="1" x14ac:dyDescent="0.25">
      <c r="A37" s="214" t="s">
        <v>1717</v>
      </c>
      <c r="B37" s="64">
        <v>6.09</v>
      </c>
      <c r="C37" s="64">
        <v>9.44</v>
      </c>
      <c r="D37" s="64">
        <v>15.54</v>
      </c>
      <c r="E37" s="64">
        <v>4.46</v>
      </c>
      <c r="F37" s="64">
        <v>1.34</v>
      </c>
      <c r="G37" s="64">
        <v>13.61</v>
      </c>
      <c r="H37" s="64">
        <v>10.16</v>
      </c>
      <c r="I37" s="64">
        <v>1.83</v>
      </c>
      <c r="J37" s="64">
        <v>1.1599999999999999</v>
      </c>
      <c r="K37" s="64">
        <v>146.18</v>
      </c>
      <c r="L37" s="64">
        <v>22.75</v>
      </c>
      <c r="M37" s="64">
        <v>98.64</v>
      </c>
      <c r="N37" s="64">
        <v>132.19999999999999</v>
      </c>
      <c r="O37" s="64">
        <v>0</v>
      </c>
      <c r="P37" s="64">
        <v>0.21</v>
      </c>
      <c r="Q37" s="64">
        <v>7.22</v>
      </c>
      <c r="R37" s="198"/>
      <c r="S37" s="198"/>
      <c r="T37" s="198"/>
      <c r="U37" s="198"/>
    </row>
    <row r="38" spans="1:21" s="12" customFormat="1" x14ac:dyDescent="0.25">
      <c r="A38" s="214" t="s">
        <v>1718</v>
      </c>
      <c r="B38" s="64">
        <v>6.03</v>
      </c>
      <c r="C38" s="64">
        <v>9.76</v>
      </c>
      <c r="D38" s="64">
        <v>15.79</v>
      </c>
      <c r="E38" s="64">
        <v>4.67</v>
      </c>
      <c r="F38" s="64">
        <v>1.84</v>
      </c>
      <c r="G38" s="64">
        <v>13.61</v>
      </c>
      <c r="H38" s="64">
        <v>10.16</v>
      </c>
      <c r="I38" s="64">
        <v>1.78</v>
      </c>
      <c r="J38" s="64">
        <v>0.28999999999999998</v>
      </c>
      <c r="K38" s="64">
        <v>172.57</v>
      </c>
      <c r="L38" s="64">
        <v>23.09</v>
      </c>
      <c r="M38" s="64">
        <v>97.35</v>
      </c>
      <c r="N38" s="64">
        <v>110.1</v>
      </c>
      <c r="O38" s="64">
        <v>0</v>
      </c>
      <c r="P38" s="64">
        <v>0.24</v>
      </c>
      <c r="Q38" s="64">
        <v>6.9</v>
      </c>
      <c r="R38" s="198"/>
      <c r="S38" s="198"/>
      <c r="T38" s="198"/>
      <c r="U38" s="198"/>
    </row>
    <row r="39" spans="1:21" s="12" customFormat="1" x14ac:dyDescent="0.25">
      <c r="A39" s="214" t="s">
        <v>1719</v>
      </c>
      <c r="B39" s="64">
        <v>5.83</v>
      </c>
      <c r="C39" s="64">
        <v>9.9700000000000006</v>
      </c>
      <c r="D39" s="64">
        <v>15.8</v>
      </c>
      <c r="E39" s="64">
        <v>4.29</v>
      </c>
      <c r="F39" s="64">
        <v>1.33</v>
      </c>
      <c r="G39" s="64">
        <v>13.83</v>
      </c>
      <c r="H39" s="64">
        <v>10.71</v>
      </c>
      <c r="I39" s="64">
        <v>1.75</v>
      </c>
      <c r="J39" s="64">
        <v>0.28000000000000003</v>
      </c>
      <c r="K39" s="64">
        <v>171.95</v>
      </c>
      <c r="L39" s="64">
        <v>22.94</v>
      </c>
      <c r="M39" s="64">
        <v>97.77</v>
      </c>
      <c r="N39" s="64">
        <v>98.7</v>
      </c>
      <c r="O39" s="64">
        <v>0</v>
      </c>
      <c r="P39" s="64">
        <v>0.24</v>
      </c>
      <c r="Q39" s="64">
        <v>6.4</v>
      </c>
      <c r="R39" s="198"/>
      <c r="S39" s="198"/>
      <c r="T39" s="198"/>
      <c r="U39" s="198"/>
    </row>
    <row r="40" spans="1:21" s="12" customFormat="1" x14ac:dyDescent="0.25">
      <c r="A40" s="214" t="s">
        <v>1720</v>
      </c>
      <c r="B40" s="64">
        <v>5.6</v>
      </c>
      <c r="C40" s="64">
        <v>10.77</v>
      </c>
      <c r="D40" s="64">
        <v>16.37</v>
      </c>
      <c r="E40" s="64">
        <v>4.37</v>
      </c>
      <c r="F40" s="64">
        <v>0.96</v>
      </c>
      <c r="G40" s="64">
        <v>14.38</v>
      </c>
      <c r="H40" s="64">
        <v>11.62</v>
      </c>
      <c r="I40" s="64">
        <v>1.85</v>
      </c>
      <c r="J40" s="64">
        <v>0.51</v>
      </c>
      <c r="K40" s="64">
        <v>164.67</v>
      </c>
      <c r="L40" s="64">
        <v>23.06</v>
      </c>
      <c r="M40" s="64">
        <v>96.77</v>
      </c>
      <c r="N40" s="64">
        <v>155.19999999999999</v>
      </c>
      <c r="O40" s="64">
        <v>0</v>
      </c>
      <c r="P40" s="64">
        <v>0.24</v>
      </c>
      <c r="Q40" s="64">
        <v>6.55</v>
      </c>
      <c r="R40" s="198"/>
      <c r="S40" s="198"/>
      <c r="T40" s="198"/>
      <c r="U40" s="198"/>
    </row>
    <row r="41" spans="1:21" s="12" customFormat="1" x14ac:dyDescent="0.25">
      <c r="A41" s="214" t="s">
        <v>1721</v>
      </c>
      <c r="B41" s="64">
        <v>5.42</v>
      </c>
      <c r="C41" s="64">
        <v>10.84</v>
      </c>
      <c r="D41" s="64">
        <v>16.260000000000002</v>
      </c>
      <c r="E41" s="64">
        <v>4.33</v>
      </c>
      <c r="F41" s="64">
        <v>1.31</v>
      </c>
      <c r="G41" s="64">
        <v>14.38</v>
      </c>
      <c r="H41" s="64">
        <v>11.62</v>
      </c>
      <c r="I41" s="64">
        <v>1.75</v>
      </c>
      <c r="J41" s="64">
        <v>0.54</v>
      </c>
      <c r="K41" s="64">
        <v>173.34</v>
      </c>
      <c r="L41" s="64">
        <v>23.38</v>
      </c>
      <c r="M41" s="64">
        <v>94.06</v>
      </c>
      <c r="N41" s="64">
        <v>192.1</v>
      </c>
      <c r="O41" s="64">
        <v>0</v>
      </c>
      <c r="P41" s="64">
        <v>0.24</v>
      </c>
      <c r="Q41" s="64">
        <v>6.66</v>
      </c>
      <c r="R41" s="198"/>
      <c r="S41" s="198"/>
      <c r="T41" s="198"/>
      <c r="U41" s="198"/>
    </row>
    <row r="42" spans="1:21" s="12" customFormat="1" x14ac:dyDescent="0.25">
      <c r="A42" s="214" t="s">
        <v>1722</v>
      </c>
      <c r="B42" s="64">
        <v>5.12</v>
      </c>
      <c r="C42" s="64">
        <v>10.51</v>
      </c>
      <c r="D42" s="64">
        <v>15.63</v>
      </c>
      <c r="E42" s="64">
        <v>4.46</v>
      </c>
      <c r="F42" s="64">
        <v>1.1599999999999999</v>
      </c>
      <c r="G42" s="64">
        <v>14.38</v>
      </c>
      <c r="H42" s="64">
        <v>11.62</v>
      </c>
      <c r="I42" s="64">
        <v>1.75</v>
      </c>
      <c r="J42" s="64">
        <v>0.24</v>
      </c>
      <c r="K42" s="64">
        <v>168.69</v>
      </c>
      <c r="L42" s="64">
        <v>23.71</v>
      </c>
      <c r="M42" s="64">
        <v>92.85</v>
      </c>
      <c r="N42" s="64">
        <v>247.5</v>
      </c>
      <c r="O42" s="64">
        <v>0</v>
      </c>
      <c r="P42" s="64">
        <v>0.24</v>
      </c>
      <c r="Q42" s="64">
        <v>6.59</v>
      </c>
      <c r="R42" s="198"/>
      <c r="S42" s="198"/>
      <c r="T42" s="198"/>
      <c r="U42" s="198"/>
    </row>
    <row r="43" spans="1:21" s="12" customFormat="1" x14ac:dyDescent="0.25">
      <c r="A43" s="214" t="s">
        <v>1723</v>
      </c>
      <c r="B43" s="64">
        <v>4.9000000000000004</v>
      </c>
      <c r="C43" s="64">
        <v>10.26</v>
      </c>
      <c r="D43" s="64">
        <v>15.16</v>
      </c>
      <c r="E43" s="64">
        <v>4.8</v>
      </c>
      <c r="F43" s="64">
        <v>0.51</v>
      </c>
      <c r="G43" s="64">
        <v>14.89</v>
      </c>
      <c r="H43" s="64">
        <v>10.74</v>
      </c>
      <c r="I43" s="64">
        <v>1.78</v>
      </c>
      <c r="J43" s="64">
        <v>0.45</v>
      </c>
      <c r="K43" s="64">
        <v>171.94</v>
      </c>
      <c r="L43" s="64">
        <v>24.49</v>
      </c>
      <c r="M43" s="64">
        <v>88.02</v>
      </c>
      <c r="N43" s="64">
        <v>514.70000000000005</v>
      </c>
      <c r="O43" s="64">
        <v>0</v>
      </c>
      <c r="P43" s="64">
        <v>0.23</v>
      </c>
      <c r="Q43" s="64">
        <v>7.22</v>
      </c>
      <c r="R43" s="198"/>
      <c r="S43" s="198"/>
      <c r="T43" s="198"/>
      <c r="U43" s="198"/>
    </row>
    <row r="44" spans="1:21" s="12" customFormat="1" x14ac:dyDescent="0.25">
      <c r="A44" s="214" t="s">
        <v>1724</v>
      </c>
      <c r="B44" s="64">
        <v>4.5999999999999996</v>
      </c>
      <c r="C44" s="64">
        <v>9.68</v>
      </c>
      <c r="D44" s="64">
        <v>14.28</v>
      </c>
      <c r="E44" s="64">
        <v>4.5999999999999996</v>
      </c>
      <c r="F44" s="64">
        <v>1.04</v>
      </c>
      <c r="G44" s="64">
        <v>16.16</v>
      </c>
      <c r="H44" s="64">
        <v>9.2899999999999991</v>
      </c>
      <c r="I44" s="64">
        <v>1.79</v>
      </c>
      <c r="J44" s="64">
        <v>0.25</v>
      </c>
      <c r="K44" s="64">
        <v>168.53</v>
      </c>
      <c r="L44" s="64">
        <v>25.39</v>
      </c>
      <c r="M44" s="64">
        <v>83.87</v>
      </c>
      <c r="N44" s="64">
        <v>561.1</v>
      </c>
      <c r="O44" s="64">
        <v>0</v>
      </c>
      <c r="P44" s="64">
        <v>0.24</v>
      </c>
      <c r="Q44" s="64">
        <v>6.02</v>
      </c>
      <c r="R44" s="198"/>
      <c r="S44" s="198"/>
      <c r="T44" s="198"/>
      <c r="U44" s="198"/>
    </row>
    <row r="45" spans="1:21" s="12" customFormat="1" x14ac:dyDescent="0.25">
      <c r="A45" s="214" t="s">
        <v>1725</v>
      </c>
      <c r="B45" s="64">
        <v>4.34</v>
      </c>
      <c r="C45" s="64">
        <v>9.68</v>
      </c>
      <c r="D45" s="64">
        <v>14.02</v>
      </c>
      <c r="E45" s="64">
        <v>3.57</v>
      </c>
      <c r="F45" s="64">
        <v>1.47</v>
      </c>
      <c r="G45" s="64">
        <v>16.16</v>
      </c>
      <c r="H45" s="64">
        <v>9.2899999999999991</v>
      </c>
      <c r="I45" s="64">
        <v>1.76</v>
      </c>
      <c r="J45" s="64">
        <v>0.48</v>
      </c>
      <c r="K45" s="64">
        <v>164.9</v>
      </c>
      <c r="L45" s="64">
        <v>25.5</v>
      </c>
      <c r="M45" s="64">
        <v>83.39</v>
      </c>
      <c r="N45" s="64">
        <v>536.9</v>
      </c>
      <c r="O45" s="64">
        <v>0</v>
      </c>
      <c r="P45" s="64">
        <v>0.23</v>
      </c>
      <c r="Q45" s="64">
        <v>5.17</v>
      </c>
      <c r="R45" s="198"/>
      <c r="S45" s="198"/>
      <c r="T45" s="198"/>
      <c r="U45" s="198"/>
    </row>
    <row r="46" spans="1:21" s="12" customFormat="1" x14ac:dyDescent="0.25">
      <c r="A46" s="214" t="s">
        <v>1726</v>
      </c>
      <c r="B46" s="64">
        <v>4.17</v>
      </c>
      <c r="C46" s="64">
        <v>9.69</v>
      </c>
      <c r="D46" s="64">
        <v>13.86</v>
      </c>
      <c r="E46" s="64">
        <v>3.58</v>
      </c>
      <c r="F46" s="64">
        <v>1.98</v>
      </c>
      <c r="G46" s="64">
        <v>16.16</v>
      </c>
      <c r="H46" s="64">
        <v>9.2899999999999991</v>
      </c>
      <c r="I46" s="64">
        <v>1.84</v>
      </c>
      <c r="J46" s="64">
        <v>0.33</v>
      </c>
      <c r="K46" s="64">
        <v>177.16</v>
      </c>
      <c r="L46" s="64">
        <v>25.67</v>
      </c>
      <c r="M46" s="64">
        <v>82.98</v>
      </c>
      <c r="N46" s="64">
        <v>583.79999999999995</v>
      </c>
      <c r="O46" s="64">
        <v>0</v>
      </c>
      <c r="P46" s="64">
        <v>0.24</v>
      </c>
      <c r="Q46" s="64">
        <v>2.66</v>
      </c>
      <c r="R46" s="198"/>
      <c r="S46" s="198"/>
      <c r="T46" s="198"/>
      <c r="U46" s="198"/>
    </row>
    <row r="47" spans="1:21" s="12" customFormat="1" x14ac:dyDescent="0.25">
      <c r="A47" s="214" t="s">
        <v>1727</v>
      </c>
      <c r="B47" s="64">
        <v>3.98</v>
      </c>
      <c r="C47" s="64">
        <v>9.61</v>
      </c>
      <c r="D47" s="64">
        <v>13.59</v>
      </c>
      <c r="E47" s="64">
        <v>4.22</v>
      </c>
      <c r="F47" s="64">
        <v>1.55</v>
      </c>
      <c r="G47" s="64">
        <v>17.079999999999998</v>
      </c>
      <c r="H47" s="64">
        <v>9.1300000000000008</v>
      </c>
      <c r="I47" s="64">
        <v>1.81</v>
      </c>
      <c r="J47" s="64">
        <v>0.67</v>
      </c>
      <c r="K47" s="64">
        <v>156.94</v>
      </c>
      <c r="L47" s="64">
        <v>25.94</v>
      </c>
      <c r="M47" s="64">
        <v>82.53</v>
      </c>
      <c r="N47" s="64">
        <v>526.79999999999995</v>
      </c>
      <c r="O47" s="64">
        <v>0</v>
      </c>
      <c r="P47" s="64">
        <v>0.24</v>
      </c>
      <c r="Q47" s="64">
        <v>2.33</v>
      </c>
      <c r="R47" s="198"/>
      <c r="S47" s="198"/>
      <c r="T47" s="198"/>
      <c r="U47" s="198"/>
    </row>
    <row r="48" spans="1:21" s="12" customFormat="1" x14ac:dyDescent="0.25">
      <c r="A48" s="214" t="s">
        <v>1728</v>
      </c>
      <c r="B48" s="64">
        <v>3.87</v>
      </c>
      <c r="C48" s="64">
        <v>9.4</v>
      </c>
      <c r="D48" s="64">
        <v>13.27</v>
      </c>
      <c r="E48" s="64">
        <v>3.81</v>
      </c>
      <c r="F48" s="64">
        <v>2.0499999999999998</v>
      </c>
      <c r="G48" s="64">
        <v>19.350000000000001</v>
      </c>
      <c r="H48" s="64">
        <v>8.8699999999999992</v>
      </c>
      <c r="I48" s="64">
        <v>1.74</v>
      </c>
      <c r="J48" s="64">
        <v>0.22</v>
      </c>
      <c r="K48" s="64">
        <v>156.81</v>
      </c>
      <c r="L48" s="64">
        <v>26.02</v>
      </c>
      <c r="M48" s="64">
        <v>79.989999999999995</v>
      </c>
      <c r="N48" s="64">
        <v>550.1</v>
      </c>
      <c r="O48" s="64">
        <v>0</v>
      </c>
      <c r="P48" s="64">
        <v>0.23</v>
      </c>
      <c r="Q48" s="64">
        <v>1.18</v>
      </c>
      <c r="R48" s="198"/>
      <c r="S48" s="198"/>
      <c r="T48" s="198"/>
      <c r="U48" s="198"/>
    </row>
    <row r="49" spans="1:21" s="12" customFormat="1" x14ac:dyDescent="0.25">
      <c r="A49" s="214" t="s">
        <v>1729</v>
      </c>
      <c r="B49" s="64">
        <v>3.63</v>
      </c>
      <c r="C49" s="64">
        <v>9.66</v>
      </c>
      <c r="D49" s="64">
        <v>13.29</v>
      </c>
      <c r="E49" s="64">
        <v>3.79</v>
      </c>
      <c r="F49" s="64">
        <v>1.53</v>
      </c>
      <c r="G49" s="64">
        <v>19.350000000000001</v>
      </c>
      <c r="H49" s="64">
        <v>8.8699999999999992</v>
      </c>
      <c r="I49" s="64">
        <v>1.85</v>
      </c>
      <c r="J49" s="64">
        <v>7.0000000000000007E-2</v>
      </c>
      <c r="K49" s="64">
        <v>34.11</v>
      </c>
      <c r="L49" s="64">
        <v>26.71</v>
      </c>
      <c r="M49" s="64">
        <v>76.150000000000006</v>
      </c>
      <c r="N49" s="64">
        <v>724.2</v>
      </c>
      <c r="O49" s="64">
        <v>0</v>
      </c>
      <c r="P49" s="64">
        <v>0.26</v>
      </c>
      <c r="Q49" s="64">
        <v>2.16</v>
      </c>
      <c r="R49" s="198"/>
      <c r="S49" s="198"/>
      <c r="T49" s="198"/>
      <c r="U49" s="198"/>
    </row>
    <row r="50" spans="1:21" s="12" customFormat="1" x14ac:dyDescent="0.25">
      <c r="A50" s="214" t="s">
        <v>1730</v>
      </c>
      <c r="B50" s="64">
        <v>3.29</v>
      </c>
      <c r="C50" s="64">
        <v>10.42</v>
      </c>
      <c r="D50" s="64">
        <v>13.71</v>
      </c>
      <c r="E50" s="64">
        <v>4.2699999999999996</v>
      </c>
      <c r="F50" s="64">
        <v>2.2400000000000002</v>
      </c>
      <c r="G50" s="64">
        <v>19.350000000000001</v>
      </c>
      <c r="H50" s="64">
        <v>8.8699999999999992</v>
      </c>
      <c r="I50" s="64">
        <v>1.78</v>
      </c>
      <c r="J50" s="64">
        <v>0.2</v>
      </c>
      <c r="K50" s="64">
        <v>176.96</v>
      </c>
      <c r="L50" s="64">
        <v>26.44</v>
      </c>
      <c r="M50" s="64">
        <v>76.09</v>
      </c>
      <c r="N50" s="64">
        <v>768.8</v>
      </c>
      <c r="O50" s="64">
        <v>0</v>
      </c>
      <c r="P50" s="64">
        <v>0.26</v>
      </c>
      <c r="Q50" s="64">
        <v>1.93</v>
      </c>
      <c r="R50" s="198"/>
      <c r="S50" s="198"/>
      <c r="T50" s="198"/>
      <c r="U50" s="198"/>
    </row>
    <row r="51" spans="1:21" s="12" customFormat="1" x14ac:dyDescent="0.25">
      <c r="A51" s="214" t="s">
        <v>1731</v>
      </c>
      <c r="B51" s="64">
        <v>2.85</v>
      </c>
      <c r="C51" s="64">
        <v>10.83</v>
      </c>
      <c r="D51" s="64">
        <v>13.68</v>
      </c>
      <c r="E51" s="64">
        <v>4.05</v>
      </c>
      <c r="F51" s="64">
        <v>2.27</v>
      </c>
      <c r="G51" s="64">
        <v>19.05</v>
      </c>
      <c r="H51" s="64">
        <v>8.4700000000000006</v>
      </c>
      <c r="I51" s="64">
        <v>1.75</v>
      </c>
      <c r="J51" s="64">
        <v>0.02</v>
      </c>
      <c r="K51" s="64">
        <v>32.65</v>
      </c>
      <c r="L51" s="64">
        <v>26.97</v>
      </c>
      <c r="M51" s="64">
        <v>74.75</v>
      </c>
      <c r="N51" s="64">
        <v>663.6</v>
      </c>
      <c r="O51" s="64">
        <v>0</v>
      </c>
      <c r="P51" s="64">
        <v>0.25</v>
      </c>
      <c r="Q51" s="64">
        <v>1.63</v>
      </c>
      <c r="R51" s="198"/>
      <c r="S51" s="198"/>
      <c r="T51" s="198"/>
      <c r="U51" s="198"/>
    </row>
    <row r="52" spans="1:21" s="12" customFormat="1" x14ac:dyDescent="0.25">
      <c r="A52" s="214" t="s">
        <v>1732</v>
      </c>
      <c r="B52" s="64">
        <v>2.65</v>
      </c>
      <c r="C52" s="64">
        <v>10.76</v>
      </c>
      <c r="D52" s="64">
        <v>13.41</v>
      </c>
      <c r="E52" s="64">
        <v>4.5199999999999996</v>
      </c>
      <c r="F52" s="64">
        <v>1.7</v>
      </c>
      <c r="G52" s="64">
        <v>18.32</v>
      </c>
      <c r="H52" s="64">
        <v>7.73</v>
      </c>
      <c r="I52" s="64">
        <v>1.83</v>
      </c>
      <c r="J52" s="64">
        <v>0.37</v>
      </c>
      <c r="K52" s="64">
        <v>172.03</v>
      </c>
      <c r="L52" s="64">
        <v>26.8</v>
      </c>
      <c r="M52" s="64">
        <v>76.150000000000006</v>
      </c>
      <c r="N52" s="64">
        <v>709.4</v>
      </c>
      <c r="O52" s="64">
        <v>0</v>
      </c>
      <c r="P52" s="64">
        <v>0.26</v>
      </c>
      <c r="Q52" s="64">
        <v>2.1</v>
      </c>
      <c r="R52" s="198"/>
      <c r="S52" s="198"/>
      <c r="T52" s="198"/>
      <c r="U52" s="198"/>
    </row>
    <row r="53" spans="1:21" s="12" customFormat="1" x14ac:dyDescent="0.25">
      <c r="A53" s="214" t="s">
        <v>1733</v>
      </c>
      <c r="B53" s="64">
        <v>2.44</v>
      </c>
      <c r="C53" s="64">
        <v>10.14</v>
      </c>
      <c r="D53" s="64">
        <v>12.58</v>
      </c>
      <c r="E53" s="64">
        <v>3.58</v>
      </c>
      <c r="F53" s="64">
        <v>2.11</v>
      </c>
      <c r="G53" s="64">
        <v>18.32</v>
      </c>
      <c r="H53" s="64">
        <v>7.73</v>
      </c>
      <c r="I53" s="64">
        <v>1.83</v>
      </c>
      <c r="J53" s="64">
        <v>0.22</v>
      </c>
      <c r="K53" s="64">
        <v>163.09</v>
      </c>
      <c r="L53" s="64">
        <v>26.67</v>
      </c>
      <c r="M53" s="64">
        <v>76.52</v>
      </c>
      <c r="N53" s="64">
        <v>110.4</v>
      </c>
      <c r="O53" s="64">
        <v>0</v>
      </c>
      <c r="P53" s="64">
        <v>0.25</v>
      </c>
      <c r="Q53" s="64">
        <v>1.2</v>
      </c>
      <c r="R53" s="198"/>
      <c r="S53" s="198"/>
      <c r="T53" s="198"/>
      <c r="U53" s="198"/>
    </row>
    <row r="54" spans="1:21" s="12" customFormat="1" x14ac:dyDescent="0.25">
      <c r="A54" s="214" t="s">
        <v>1734</v>
      </c>
      <c r="B54" s="64">
        <v>2.42</v>
      </c>
      <c r="C54" s="64">
        <v>9.9</v>
      </c>
      <c r="D54" s="64">
        <v>12.32</v>
      </c>
      <c r="E54" s="64">
        <v>4.34</v>
      </c>
      <c r="F54" s="64">
        <v>1.68</v>
      </c>
      <c r="G54" s="64">
        <v>18.32</v>
      </c>
      <c r="H54" s="64">
        <v>7.73</v>
      </c>
      <c r="I54" s="64">
        <v>1.84</v>
      </c>
      <c r="J54" s="64">
        <v>0.09</v>
      </c>
      <c r="K54" s="64">
        <v>130.26</v>
      </c>
      <c r="L54" s="64">
        <v>26.31</v>
      </c>
      <c r="M54" s="64">
        <v>78.66</v>
      </c>
      <c r="N54" s="220" t="s">
        <v>36</v>
      </c>
      <c r="O54" s="64">
        <v>0</v>
      </c>
      <c r="P54" s="64">
        <v>0.26</v>
      </c>
      <c r="Q54" s="64">
        <v>0.52</v>
      </c>
      <c r="R54" s="198"/>
      <c r="S54" s="198"/>
      <c r="T54" s="198"/>
      <c r="U54" s="198"/>
    </row>
    <row r="55" spans="1:21" s="12" customFormat="1" x14ac:dyDescent="0.25">
      <c r="A55" s="214" t="s">
        <v>1735</v>
      </c>
      <c r="B55" s="64">
        <v>2.54</v>
      </c>
      <c r="C55" s="64">
        <v>9.4499999999999993</v>
      </c>
      <c r="D55" s="64">
        <v>11.98</v>
      </c>
      <c r="E55" s="64">
        <v>3.95</v>
      </c>
      <c r="F55" s="64">
        <v>1.63</v>
      </c>
      <c r="G55" s="64">
        <v>18</v>
      </c>
      <c r="H55" s="64">
        <v>7.44</v>
      </c>
      <c r="I55" s="64">
        <v>1.76</v>
      </c>
      <c r="J55" s="64">
        <v>7.0000000000000007E-2</v>
      </c>
      <c r="K55" s="64">
        <v>207.24</v>
      </c>
      <c r="L55" s="64">
        <v>26.23</v>
      </c>
      <c r="M55" s="64">
        <v>77.150000000000006</v>
      </c>
      <c r="N55" s="220" t="s">
        <v>36</v>
      </c>
      <c r="O55" s="64">
        <v>0</v>
      </c>
      <c r="P55" s="64">
        <v>0.24</v>
      </c>
      <c r="Q55" s="64">
        <v>0.04</v>
      </c>
      <c r="R55" s="198"/>
      <c r="S55" s="198"/>
      <c r="T55" s="198"/>
      <c r="U55" s="198"/>
    </row>
    <row r="56" spans="1:21" s="12" customFormat="1" x14ac:dyDescent="0.25">
      <c r="A56" s="214" t="s">
        <v>1736</v>
      </c>
      <c r="B56" s="64">
        <v>2.7</v>
      </c>
      <c r="C56" s="64">
        <v>9.25</v>
      </c>
      <c r="D56" s="64">
        <v>11.94</v>
      </c>
      <c r="E56" s="64">
        <v>4.45</v>
      </c>
      <c r="F56" s="64">
        <v>1.68</v>
      </c>
      <c r="G56" s="64">
        <v>17.21</v>
      </c>
      <c r="H56" s="64">
        <v>6.36</v>
      </c>
      <c r="I56" s="64">
        <v>1.81</v>
      </c>
      <c r="J56" s="64">
        <v>0.06</v>
      </c>
      <c r="K56" s="64">
        <v>37.840000000000003</v>
      </c>
      <c r="L56" s="64">
        <v>26.71</v>
      </c>
      <c r="M56" s="64">
        <v>74.95</v>
      </c>
      <c r="N56" s="220" t="s">
        <v>36</v>
      </c>
      <c r="O56" s="64">
        <v>0</v>
      </c>
      <c r="P56" s="64">
        <v>0.27</v>
      </c>
      <c r="Q56" s="220" t="s">
        <v>36</v>
      </c>
      <c r="R56" s="198"/>
      <c r="S56" s="198"/>
      <c r="T56" s="198"/>
      <c r="U56" s="198"/>
    </row>
    <row r="57" spans="1:21" s="12" customFormat="1" x14ac:dyDescent="0.25">
      <c r="A57" s="214" t="s">
        <v>1737</v>
      </c>
      <c r="B57" s="64">
        <v>2.83</v>
      </c>
      <c r="C57" s="64">
        <v>9.7200000000000006</v>
      </c>
      <c r="D57" s="64">
        <v>12.55</v>
      </c>
      <c r="E57" s="64">
        <v>4.2</v>
      </c>
      <c r="F57" s="64">
        <v>1.42</v>
      </c>
      <c r="G57" s="64">
        <v>17.21</v>
      </c>
      <c r="H57" s="64">
        <v>6.36</v>
      </c>
      <c r="I57" s="64">
        <v>1.77</v>
      </c>
      <c r="J57" s="64">
        <v>0.18</v>
      </c>
      <c r="K57" s="64">
        <v>12.08</v>
      </c>
      <c r="L57" s="64">
        <v>26.68</v>
      </c>
      <c r="M57" s="64">
        <v>75.180000000000007</v>
      </c>
      <c r="N57" s="220" t="s">
        <v>36</v>
      </c>
      <c r="O57" s="64">
        <v>0</v>
      </c>
      <c r="P57" s="64">
        <v>0.28000000000000003</v>
      </c>
      <c r="Q57" s="220" t="s">
        <v>36</v>
      </c>
      <c r="R57" s="198"/>
      <c r="S57" s="198"/>
      <c r="T57" s="198"/>
      <c r="U57" s="198"/>
    </row>
    <row r="58" spans="1:21" s="12" customFormat="1" x14ac:dyDescent="0.25">
      <c r="A58" s="214" t="s">
        <v>1738</v>
      </c>
      <c r="B58" s="64">
        <v>3.86</v>
      </c>
      <c r="C58" s="64">
        <v>11.73</v>
      </c>
      <c r="D58" s="64">
        <v>15.59</v>
      </c>
      <c r="E58" s="64">
        <v>3.96</v>
      </c>
      <c r="F58" s="64">
        <v>3.18</v>
      </c>
      <c r="G58" s="64">
        <v>17.21</v>
      </c>
      <c r="H58" s="64">
        <v>6.36</v>
      </c>
      <c r="I58" s="64">
        <v>1.84</v>
      </c>
      <c r="J58" s="64">
        <v>0.13</v>
      </c>
      <c r="K58" s="64">
        <v>46.72</v>
      </c>
      <c r="L58" s="64">
        <v>26.6</v>
      </c>
      <c r="M58" s="64">
        <v>76.239999999999995</v>
      </c>
      <c r="N58" s="64">
        <v>27.2</v>
      </c>
      <c r="O58" s="64">
        <v>0</v>
      </c>
      <c r="P58" s="64">
        <v>0.28999999999999998</v>
      </c>
      <c r="Q58" s="220" t="s">
        <v>36</v>
      </c>
      <c r="R58" s="198"/>
      <c r="S58" s="198"/>
      <c r="T58" s="198"/>
      <c r="U58" s="198"/>
    </row>
    <row r="59" spans="1:21" s="12" customFormat="1" x14ac:dyDescent="0.25">
      <c r="A59" s="214" t="s">
        <v>1739</v>
      </c>
      <c r="B59" s="64">
        <v>3.2</v>
      </c>
      <c r="C59" s="64">
        <v>10.49</v>
      </c>
      <c r="D59" s="64">
        <v>13.69</v>
      </c>
      <c r="E59" s="64">
        <v>4.28</v>
      </c>
      <c r="F59" s="64">
        <v>1.3</v>
      </c>
      <c r="G59" s="64">
        <v>17.05</v>
      </c>
      <c r="H59" s="64">
        <v>5.74</v>
      </c>
      <c r="I59" s="64">
        <v>1.85</v>
      </c>
      <c r="J59" s="64">
        <v>7.0000000000000007E-2</v>
      </c>
      <c r="K59" s="64">
        <v>33.18</v>
      </c>
      <c r="L59" s="64">
        <v>26.59</v>
      </c>
      <c r="M59" s="64">
        <v>76.94</v>
      </c>
      <c r="N59" s="64">
        <v>476.6</v>
      </c>
      <c r="O59" s="64">
        <v>0</v>
      </c>
      <c r="P59" s="64">
        <v>0.3</v>
      </c>
      <c r="Q59" s="64">
        <v>0.3</v>
      </c>
      <c r="R59" s="198"/>
      <c r="S59" s="198"/>
      <c r="T59" s="198"/>
      <c r="U59" s="198"/>
    </row>
    <row r="60" spans="1:21" s="12" customFormat="1" x14ac:dyDescent="0.25">
      <c r="A60" s="214" t="s">
        <v>1740</v>
      </c>
      <c r="B60" s="64">
        <v>2.94</v>
      </c>
      <c r="C60" s="64">
        <v>9.76</v>
      </c>
      <c r="D60" s="64">
        <v>12.7</v>
      </c>
      <c r="E60" s="64">
        <v>4.0199999999999996</v>
      </c>
      <c r="F60" s="64">
        <v>2.02</v>
      </c>
      <c r="G60" s="64">
        <v>16.66</v>
      </c>
      <c r="H60" s="64">
        <v>4.7</v>
      </c>
      <c r="I60" s="64">
        <v>1.74</v>
      </c>
      <c r="J60" s="64">
        <v>0.14000000000000001</v>
      </c>
      <c r="K60" s="64">
        <v>37.659999999999997</v>
      </c>
      <c r="L60" s="64">
        <v>27.46</v>
      </c>
      <c r="M60" s="64">
        <v>72.989999999999995</v>
      </c>
      <c r="N60" s="64">
        <v>627.70000000000005</v>
      </c>
      <c r="O60" s="64">
        <v>0</v>
      </c>
      <c r="P60" s="64">
        <v>0.28999999999999998</v>
      </c>
      <c r="Q60" s="64">
        <v>0.16</v>
      </c>
      <c r="R60" s="198"/>
      <c r="S60" s="198"/>
      <c r="T60" s="198"/>
      <c r="U60" s="198"/>
    </row>
    <row r="61" spans="1:21" s="12" customFormat="1" x14ac:dyDescent="0.25">
      <c r="A61" s="214" t="s">
        <v>1741</v>
      </c>
      <c r="B61" s="64">
        <v>2.97</v>
      </c>
      <c r="C61" s="64">
        <v>11.43</v>
      </c>
      <c r="D61" s="64">
        <v>14.4</v>
      </c>
      <c r="E61" s="64">
        <v>3.91</v>
      </c>
      <c r="F61" s="64">
        <v>2.0499999999999998</v>
      </c>
      <c r="G61" s="64">
        <v>16.66</v>
      </c>
      <c r="H61" s="64">
        <v>4.7</v>
      </c>
      <c r="I61" s="64">
        <v>1.83</v>
      </c>
      <c r="J61" s="64">
        <v>7.0000000000000007E-2</v>
      </c>
      <c r="K61" s="64">
        <v>205.06</v>
      </c>
      <c r="L61" s="64">
        <v>27.23</v>
      </c>
      <c r="M61" s="64">
        <v>72.7</v>
      </c>
      <c r="N61" s="64">
        <v>541.9</v>
      </c>
      <c r="O61" s="64">
        <v>0</v>
      </c>
      <c r="P61" s="64">
        <v>0.28999999999999998</v>
      </c>
      <c r="Q61" s="64">
        <v>1.03</v>
      </c>
      <c r="R61" s="198"/>
      <c r="S61" s="198"/>
      <c r="T61" s="198"/>
      <c r="U61" s="198"/>
    </row>
    <row r="62" spans="1:21" s="12" customFormat="1" x14ac:dyDescent="0.25">
      <c r="A62" s="214" t="s">
        <v>1742</v>
      </c>
      <c r="B62" s="64">
        <v>2.87</v>
      </c>
      <c r="C62" s="64">
        <v>12.21</v>
      </c>
      <c r="D62" s="64">
        <v>15.08</v>
      </c>
      <c r="E62" s="64">
        <v>4.58</v>
      </c>
      <c r="F62" s="64">
        <v>2.9</v>
      </c>
      <c r="G62" s="64">
        <v>16.66</v>
      </c>
      <c r="H62" s="64">
        <v>4.7</v>
      </c>
      <c r="I62" s="64">
        <v>1.87</v>
      </c>
      <c r="J62" s="64">
        <v>0.11</v>
      </c>
      <c r="K62" s="64">
        <v>35.83</v>
      </c>
      <c r="L62" s="64">
        <v>27.48</v>
      </c>
      <c r="M62" s="64">
        <v>70.45</v>
      </c>
      <c r="N62" s="64">
        <v>739.8</v>
      </c>
      <c r="O62" s="64">
        <v>0</v>
      </c>
      <c r="P62" s="64">
        <v>0.3</v>
      </c>
      <c r="Q62" s="64">
        <v>1.65</v>
      </c>
      <c r="R62" s="198"/>
      <c r="S62" s="198"/>
      <c r="T62" s="198"/>
      <c r="U62" s="198"/>
    </row>
    <row r="63" spans="1:21" s="12" customFormat="1" x14ac:dyDescent="0.25">
      <c r="A63" s="214" t="s">
        <v>1743</v>
      </c>
      <c r="B63" s="64">
        <v>2.67</v>
      </c>
      <c r="C63" s="64">
        <v>11.5</v>
      </c>
      <c r="D63" s="64">
        <v>14.17</v>
      </c>
      <c r="E63" s="64">
        <v>3.59</v>
      </c>
      <c r="F63" s="64">
        <v>2.94</v>
      </c>
      <c r="G63" s="64">
        <v>17.45</v>
      </c>
      <c r="H63" s="64">
        <v>4.75</v>
      </c>
      <c r="I63" s="64">
        <v>1.81</v>
      </c>
      <c r="J63" s="64">
        <v>7.0000000000000007E-2</v>
      </c>
      <c r="K63" s="64">
        <v>15.21</v>
      </c>
      <c r="L63" s="64">
        <v>27.42</v>
      </c>
      <c r="M63" s="64">
        <v>72</v>
      </c>
      <c r="N63" s="64">
        <v>526</v>
      </c>
      <c r="O63" s="64">
        <v>0</v>
      </c>
      <c r="P63" s="64">
        <v>0.3</v>
      </c>
      <c r="Q63" s="64">
        <v>1.91</v>
      </c>
      <c r="R63" s="198"/>
      <c r="S63" s="198"/>
      <c r="T63" s="198"/>
      <c r="U63" s="198"/>
    </row>
    <row r="64" spans="1:21" s="12" customFormat="1" x14ac:dyDescent="0.25">
      <c r="A64" s="214" t="s">
        <v>1744</v>
      </c>
      <c r="B64" s="64">
        <v>2.87</v>
      </c>
      <c r="C64" s="64">
        <v>12.13</v>
      </c>
      <c r="D64" s="64">
        <v>15</v>
      </c>
      <c r="E64" s="64">
        <v>4.62</v>
      </c>
      <c r="F64" s="64">
        <v>1.82</v>
      </c>
      <c r="G64" s="64">
        <v>19.38</v>
      </c>
      <c r="H64" s="64">
        <v>4.8499999999999996</v>
      </c>
      <c r="I64" s="64">
        <v>1.8</v>
      </c>
      <c r="J64" s="64">
        <v>0.02</v>
      </c>
      <c r="K64" s="64">
        <v>11.88</v>
      </c>
      <c r="L64" s="64">
        <v>27.08</v>
      </c>
      <c r="M64" s="64">
        <v>72.319999999999993</v>
      </c>
      <c r="N64" s="64">
        <v>325.7</v>
      </c>
      <c r="O64" s="64">
        <v>0</v>
      </c>
      <c r="P64" s="64">
        <v>0.28999999999999998</v>
      </c>
      <c r="Q64" s="64">
        <v>2.76</v>
      </c>
      <c r="R64" s="198"/>
      <c r="S64" s="198"/>
      <c r="T64" s="198"/>
      <c r="U64" s="198"/>
    </row>
    <row r="65" spans="1:21" s="12" customFormat="1" x14ac:dyDescent="0.25">
      <c r="A65" s="214" t="s">
        <v>1745</v>
      </c>
      <c r="B65" s="64">
        <v>2.89</v>
      </c>
      <c r="C65" s="64">
        <v>11.86</v>
      </c>
      <c r="D65" s="64">
        <v>14.75</v>
      </c>
      <c r="E65" s="64">
        <v>4.3899999999999997</v>
      </c>
      <c r="F65" s="64">
        <v>2.29</v>
      </c>
      <c r="G65" s="64">
        <v>19.38</v>
      </c>
      <c r="H65" s="64">
        <v>4.8499999999999996</v>
      </c>
      <c r="I65" s="64">
        <v>1.79</v>
      </c>
      <c r="J65" s="64">
        <v>0.15</v>
      </c>
      <c r="K65" s="64">
        <v>26.22</v>
      </c>
      <c r="L65" s="64">
        <v>26.22</v>
      </c>
      <c r="M65" s="64">
        <v>77.290000000000006</v>
      </c>
      <c r="N65" s="64">
        <v>256.89999999999998</v>
      </c>
      <c r="O65" s="64">
        <v>0</v>
      </c>
      <c r="P65" s="64">
        <v>0.3</v>
      </c>
      <c r="Q65" s="64">
        <v>2.09</v>
      </c>
      <c r="R65" s="198"/>
      <c r="S65" s="198"/>
      <c r="T65" s="198"/>
      <c r="U65" s="198"/>
    </row>
    <row r="66" spans="1:21" s="12" customFormat="1" x14ac:dyDescent="0.25">
      <c r="A66" s="214" t="s">
        <v>1746</v>
      </c>
      <c r="B66" s="64">
        <v>2.8</v>
      </c>
      <c r="C66" s="64">
        <v>11.54</v>
      </c>
      <c r="D66" s="64">
        <v>14.34</v>
      </c>
      <c r="E66" s="64">
        <v>4.5999999999999996</v>
      </c>
      <c r="F66" s="64">
        <v>1.31</v>
      </c>
      <c r="G66" s="64">
        <v>19.38</v>
      </c>
      <c r="H66" s="64">
        <v>4.8499999999999996</v>
      </c>
      <c r="I66" s="64">
        <v>1.79</v>
      </c>
      <c r="J66" s="64">
        <v>0.1</v>
      </c>
      <c r="K66" s="64">
        <v>29.32</v>
      </c>
      <c r="L66" s="64">
        <v>26.73</v>
      </c>
      <c r="M66" s="64">
        <v>75.459999999999994</v>
      </c>
      <c r="N66" s="64">
        <v>302.3</v>
      </c>
      <c r="O66" s="64">
        <v>0</v>
      </c>
      <c r="P66" s="64">
        <v>0.28999999999999998</v>
      </c>
      <c r="Q66" s="64">
        <v>2.5099999999999998</v>
      </c>
      <c r="R66" s="198"/>
      <c r="S66" s="198"/>
      <c r="T66" s="198"/>
      <c r="U66" s="198"/>
    </row>
    <row r="67" spans="1:21" s="12" customFormat="1" x14ac:dyDescent="0.25">
      <c r="A67" s="214" t="s">
        <v>1747</v>
      </c>
      <c r="B67" s="64">
        <v>3.03</v>
      </c>
      <c r="C67" s="64">
        <v>11.06</v>
      </c>
      <c r="D67" s="64">
        <v>14.09</v>
      </c>
      <c r="E67" s="64">
        <v>3.82</v>
      </c>
      <c r="F67" s="64">
        <v>1.43</v>
      </c>
      <c r="G67" s="64">
        <v>20.18</v>
      </c>
      <c r="H67" s="64">
        <v>5.7</v>
      </c>
      <c r="I67" s="64">
        <v>1.8</v>
      </c>
      <c r="J67" s="64">
        <v>0.24</v>
      </c>
      <c r="K67" s="64">
        <v>15.54</v>
      </c>
      <c r="L67" s="64">
        <v>26.83</v>
      </c>
      <c r="M67" s="64">
        <v>75.180000000000007</v>
      </c>
      <c r="N67" s="64">
        <v>181.6</v>
      </c>
      <c r="O67" s="64">
        <v>0</v>
      </c>
      <c r="P67" s="64">
        <v>0.31</v>
      </c>
      <c r="Q67" s="64">
        <v>1.41</v>
      </c>
      <c r="R67" s="198"/>
      <c r="S67" s="198"/>
      <c r="T67" s="198"/>
      <c r="U67" s="198"/>
    </row>
    <row r="68" spans="1:21" s="12" customFormat="1" x14ac:dyDescent="0.25">
      <c r="A68" s="214" t="s">
        <v>1748</v>
      </c>
      <c r="B68" s="64">
        <v>3.14</v>
      </c>
      <c r="C68" s="64">
        <v>10.91</v>
      </c>
      <c r="D68" s="64">
        <v>14.05</v>
      </c>
      <c r="E68" s="64">
        <v>3.86</v>
      </c>
      <c r="F68" s="64">
        <v>1.82</v>
      </c>
      <c r="G68" s="64">
        <v>22.14</v>
      </c>
      <c r="H68" s="64">
        <v>7.31</v>
      </c>
      <c r="I68" s="64">
        <v>1.76</v>
      </c>
      <c r="J68" s="64">
        <v>0.21</v>
      </c>
      <c r="K68" s="64">
        <v>39.64</v>
      </c>
      <c r="L68" s="64">
        <v>26.92</v>
      </c>
      <c r="M68" s="64">
        <v>73.599999999999994</v>
      </c>
      <c r="N68" s="64">
        <v>130.5</v>
      </c>
      <c r="O68" s="64">
        <v>0</v>
      </c>
      <c r="P68" s="64">
        <v>0.32</v>
      </c>
      <c r="Q68" s="64">
        <v>0.88</v>
      </c>
      <c r="R68" s="198"/>
      <c r="S68" s="198"/>
      <c r="T68" s="198"/>
      <c r="U68" s="198"/>
    </row>
    <row r="69" spans="1:21" s="12" customFormat="1" x14ac:dyDescent="0.25">
      <c r="A69" s="214" t="s">
        <v>1749</v>
      </c>
      <c r="B69" s="64">
        <v>3.32</v>
      </c>
      <c r="C69" s="64">
        <v>11.3</v>
      </c>
      <c r="D69" s="64">
        <v>14.61</v>
      </c>
      <c r="E69" s="64">
        <v>3.35</v>
      </c>
      <c r="F69" s="64">
        <v>1.23</v>
      </c>
      <c r="G69" s="64">
        <v>22.14</v>
      </c>
      <c r="H69" s="64">
        <v>7.31</v>
      </c>
      <c r="I69" s="64">
        <v>1.81</v>
      </c>
      <c r="J69" s="64">
        <v>0.14000000000000001</v>
      </c>
      <c r="K69" s="64">
        <v>12.91</v>
      </c>
      <c r="L69" s="64">
        <v>26.92</v>
      </c>
      <c r="M69" s="64">
        <v>72.34</v>
      </c>
      <c r="N69" s="64">
        <v>130.5</v>
      </c>
      <c r="O69" s="64">
        <v>0</v>
      </c>
      <c r="P69" s="64">
        <v>0.33</v>
      </c>
      <c r="Q69" s="64">
        <v>2.0699999999999998</v>
      </c>
      <c r="R69" s="198"/>
      <c r="S69" s="198"/>
      <c r="T69" s="198"/>
      <c r="U69" s="198"/>
    </row>
    <row r="70" spans="1:21" s="12" customFormat="1" x14ac:dyDescent="0.25">
      <c r="A70" s="214" t="s">
        <v>1750</v>
      </c>
      <c r="B70" s="64">
        <v>3.6</v>
      </c>
      <c r="C70" s="64">
        <v>11.84</v>
      </c>
      <c r="D70" s="64">
        <v>15.44</v>
      </c>
      <c r="E70" s="64">
        <v>3.29</v>
      </c>
      <c r="F70" s="64">
        <v>1.72</v>
      </c>
      <c r="G70" s="64">
        <v>22.14</v>
      </c>
      <c r="H70" s="64">
        <v>7.31</v>
      </c>
      <c r="I70" s="64">
        <v>1.87</v>
      </c>
      <c r="J70" s="64">
        <v>0.3</v>
      </c>
      <c r="K70" s="64">
        <v>351.88</v>
      </c>
      <c r="L70" s="64">
        <v>27.17</v>
      </c>
      <c r="M70" s="64">
        <v>72.64</v>
      </c>
      <c r="N70" s="64">
        <v>165.8</v>
      </c>
      <c r="O70" s="64">
        <v>0</v>
      </c>
      <c r="P70" s="64">
        <v>0.33</v>
      </c>
      <c r="Q70" s="64">
        <v>0.96</v>
      </c>
      <c r="R70" s="198"/>
      <c r="S70" s="198"/>
      <c r="T70" s="198"/>
      <c r="U70" s="198"/>
    </row>
    <row r="71" spans="1:21" s="12" customFormat="1" x14ac:dyDescent="0.25">
      <c r="A71" s="214" t="s">
        <v>1751</v>
      </c>
      <c r="B71" s="64">
        <v>4.1399999999999997</v>
      </c>
      <c r="C71" s="64">
        <v>12.09</v>
      </c>
      <c r="D71" s="64">
        <v>16.22</v>
      </c>
      <c r="E71" s="64">
        <v>3.69</v>
      </c>
      <c r="F71" s="64">
        <v>1.76</v>
      </c>
      <c r="G71" s="64">
        <v>22.81</v>
      </c>
      <c r="H71" s="64">
        <v>8.42</v>
      </c>
      <c r="I71" s="64">
        <v>1.73</v>
      </c>
      <c r="J71" s="64">
        <v>0.06</v>
      </c>
      <c r="K71" s="64">
        <v>358.67</v>
      </c>
      <c r="L71" s="64">
        <v>27.12</v>
      </c>
      <c r="M71" s="64">
        <v>72.36</v>
      </c>
      <c r="N71" s="64">
        <v>164.7</v>
      </c>
      <c r="O71" s="64">
        <v>0</v>
      </c>
      <c r="P71" s="64">
        <v>0.36</v>
      </c>
      <c r="Q71" s="64">
        <v>0.41</v>
      </c>
      <c r="R71" s="198"/>
      <c r="S71" s="198"/>
      <c r="T71" s="198"/>
      <c r="U71" s="198"/>
    </row>
    <row r="72" spans="1:21" s="12" customFormat="1" x14ac:dyDescent="0.25">
      <c r="A72" s="214" t="s">
        <v>1752</v>
      </c>
      <c r="B72" s="64">
        <v>4.22</v>
      </c>
      <c r="C72" s="64">
        <v>12.59</v>
      </c>
      <c r="D72" s="64">
        <v>16.82</v>
      </c>
      <c r="E72" s="64">
        <v>3.62</v>
      </c>
      <c r="F72" s="64">
        <v>1.33</v>
      </c>
      <c r="G72" s="64">
        <v>24.47</v>
      </c>
      <c r="H72" s="64">
        <v>10.18</v>
      </c>
      <c r="I72" s="64">
        <v>1.81</v>
      </c>
      <c r="J72" s="64">
        <v>0.25</v>
      </c>
      <c r="K72" s="64">
        <v>358.66</v>
      </c>
      <c r="L72" s="64">
        <v>26.88</v>
      </c>
      <c r="M72" s="64">
        <v>73.22</v>
      </c>
      <c r="N72" s="64">
        <v>161</v>
      </c>
      <c r="O72" s="64">
        <v>0</v>
      </c>
      <c r="P72" s="64">
        <v>0.34</v>
      </c>
      <c r="Q72" s="64">
        <v>0.56000000000000005</v>
      </c>
      <c r="R72" s="198"/>
      <c r="S72" s="198"/>
      <c r="T72" s="198"/>
      <c r="U72" s="198"/>
    </row>
    <row r="73" spans="1:21" s="12" customFormat="1" x14ac:dyDescent="0.25">
      <c r="A73" s="214" t="s">
        <v>1753</v>
      </c>
      <c r="B73" s="64">
        <v>7.11</v>
      </c>
      <c r="C73" s="64">
        <v>15.21</v>
      </c>
      <c r="D73" s="64">
        <v>22.32</v>
      </c>
      <c r="E73" s="64">
        <v>4.63</v>
      </c>
      <c r="F73" s="64">
        <v>3.2</v>
      </c>
      <c r="G73" s="64">
        <v>24.47</v>
      </c>
      <c r="H73" s="64">
        <v>10.18</v>
      </c>
      <c r="I73" s="64">
        <v>1.78</v>
      </c>
      <c r="J73" s="64">
        <v>0.19</v>
      </c>
      <c r="K73" s="64">
        <v>351.24</v>
      </c>
      <c r="L73" s="64">
        <v>27.29</v>
      </c>
      <c r="M73" s="64">
        <v>72.23</v>
      </c>
      <c r="N73" s="64">
        <v>102.8</v>
      </c>
      <c r="O73" s="64">
        <v>0</v>
      </c>
      <c r="P73" s="64">
        <v>0.4</v>
      </c>
      <c r="Q73" s="64">
        <v>0.17</v>
      </c>
      <c r="R73" s="198"/>
      <c r="S73" s="198"/>
      <c r="T73" s="198"/>
      <c r="U73" s="198"/>
    </row>
    <row r="74" spans="1:21" s="12" customFormat="1" x14ac:dyDescent="0.25">
      <c r="A74" s="214" t="s">
        <v>1754</v>
      </c>
      <c r="B74" s="64">
        <v>5.36</v>
      </c>
      <c r="C74" s="64">
        <v>15.03</v>
      </c>
      <c r="D74" s="64">
        <v>20.39</v>
      </c>
      <c r="E74" s="64">
        <v>4.3600000000000003</v>
      </c>
      <c r="F74" s="64">
        <v>1.82</v>
      </c>
      <c r="G74" s="64">
        <v>24.47</v>
      </c>
      <c r="H74" s="64">
        <v>10.18</v>
      </c>
      <c r="I74" s="64">
        <v>1.81</v>
      </c>
      <c r="J74" s="64">
        <v>0.1</v>
      </c>
      <c r="K74" s="64">
        <v>23.9</v>
      </c>
      <c r="L74" s="64">
        <v>26.74</v>
      </c>
      <c r="M74" s="64">
        <v>74.099999999999994</v>
      </c>
      <c r="N74" s="64">
        <v>75.7</v>
      </c>
      <c r="O74" s="64">
        <v>0</v>
      </c>
      <c r="P74" s="64">
        <v>0.36</v>
      </c>
      <c r="Q74" s="64">
        <v>0.17</v>
      </c>
      <c r="R74" s="198"/>
      <c r="S74" s="198"/>
      <c r="T74" s="198"/>
      <c r="U74" s="198"/>
    </row>
    <row r="75" spans="1:21" s="12" customFormat="1" x14ac:dyDescent="0.25">
      <c r="A75" s="214" t="s">
        <v>1755</v>
      </c>
      <c r="B75" s="64">
        <v>4.08</v>
      </c>
      <c r="C75" s="64">
        <v>13.77</v>
      </c>
      <c r="D75" s="64">
        <v>17.850000000000001</v>
      </c>
      <c r="E75" s="64">
        <v>4.4400000000000004</v>
      </c>
      <c r="F75" s="64">
        <v>3.06</v>
      </c>
      <c r="G75" s="64">
        <v>25.14</v>
      </c>
      <c r="H75" s="64">
        <v>9.66</v>
      </c>
      <c r="I75" s="64">
        <v>1.8</v>
      </c>
      <c r="J75" s="64">
        <v>0.04</v>
      </c>
      <c r="K75" s="64">
        <v>103.84</v>
      </c>
      <c r="L75" s="64">
        <v>26.26</v>
      </c>
      <c r="M75" s="64">
        <v>74.849999999999994</v>
      </c>
      <c r="N75" s="64">
        <v>64.5</v>
      </c>
      <c r="O75" s="64">
        <v>0</v>
      </c>
      <c r="P75" s="64">
        <v>0.36</v>
      </c>
      <c r="Q75" s="64">
        <v>0.36</v>
      </c>
      <c r="R75" s="198"/>
      <c r="S75" s="198"/>
      <c r="T75" s="198"/>
      <c r="U75" s="198"/>
    </row>
    <row r="76" spans="1:21" s="12" customFormat="1" x14ac:dyDescent="0.25">
      <c r="A76" s="214" t="s">
        <v>1756</v>
      </c>
      <c r="B76" s="64">
        <v>3.42</v>
      </c>
      <c r="C76" s="64">
        <v>13.51</v>
      </c>
      <c r="D76" s="64">
        <v>16.940000000000001</v>
      </c>
      <c r="E76" s="64">
        <v>4.38</v>
      </c>
      <c r="F76" s="64">
        <v>3.1</v>
      </c>
      <c r="G76" s="64">
        <v>26.78</v>
      </c>
      <c r="H76" s="64">
        <v>8.82</v>
      </c>
      <c r="I76" s="64">
        <v>1.87</v>
      </c>
      <c r="J76" s="64">
        <v>0.11</v>
      </c>
      <c r="K76" s="64">
        <v>65.89</v>
      </c>
      <c r="L76" s="64">
        <v>26.22</v>
      </c>
      <c r="M76" s="64">
        <v>76.16</v>
      </c>
      <c r="N76" s="64">
        <v>56.5</v>
      </c>
      <c r="O76" s="64">
        <v>0</v>
      </c>
      <c r="P76" s="64">
        <v>0.35</v>
      </c>
      <c r="Q76" s="64">
        <v>0.5</v>
      </c>
      <c r="R76" s="198"/>
      <c r="S76" s="198"/>
      <c r="T76" s="198"/>
      <c r="U76" s="198"/>
    </row>
    <row r="77" spans="1:21" s="12" customFormat="1" x14ac:dyDescent="0.25">
      <c r="A77" s="214" t="s">
        <v>1757</v>
      </c>
      <c r="B77" s="64">
        <v>3.31</v>
      </c>
      <c r="C77" s="64">
        <v>12.53</v>
      </c>
      <c r="D77" s="64">
        <v>15.83</v>
      </c>
      <c r="E77" s="64">
        <v>3.54</v>
      </c>
      <c r="F77" s="64">
        <v>1.53</v>
      </c>
      <c r="G77" s="64">
        <v>26.78</v>
      </c>
      <c r="H77" s="64">
        <v>8.82</v>
      </c>
      <c r="I77" s="64">
        <v>1.76</v>
      </c>
      <c r="J77" s="64">
        <v>7.0000000000000007E-2</v>
      </c>
      <c r="K77" s="64">
        <v>19.79</v>
      </c>
      <c r="L77" s="64">
        <v>26.11</v>
      </c>
      <c r="M77" s="64">
        <v>77.69</v>
      </c>
      <c r="N77" s="64">
        <v>48.6</v>
      </c>
      <c r="O77" s="64">
        <v>0</v>
      </c>
      <c r="P77" s="64">
        <v>0.37</v>
      </c>
      <c r="Q77" s="220" t="s">
        <v>36</v>
      </c>
      <c r="R77" s="198"/>
      <c r="S77" s="198"/>
      <c r="T77" s="198"/>
      <c r="U77" s="198"/>
    </row>
    <row r="78" spans="1:21" s="12" customFormat="1" x14ac:dyDescent="0.25">
      <c r="A78" s="214" t="s">
        <v>1758</v>
      </c>
      <c r="B78" s="64">
        <v>3.83</v>
      </c>
      <c r="C78" s="64">
        <v>12.14</v>
      </c>
      <c r="D78" s="64">
        <v>15.97</v>
      </c>
      <c r="E78" s="64">
        <v>4.01</v>
      </c>
      <c r="F78" s="64">
        <v>1.28</v>
      </c>
      <c r="G78" s="64">
        <v>26.78</v>
      </c>
      <c r="H78" s="64">
        <v>8.82</v>
      </c>
      <c r="I78" s="64">
        <v>1.81</v>
      </c>
      <c r="J78" s="64">
        <v>0.15</v>
      </c>
      <c r="K78" s="64">
        <v>27.7</v>
      </c>
      <c r="L78" s="64">
        <v>25.83</v>
      </c>
      <c r="M78" s="64">
        <v>80.09</v>
      </c>
      <c r="N78" s="64">
        <v>35.6</v>
      </c>
      <c r="O78" s="64">
        <v>0</v>
      </c>
      <c r="P78" s="64">
        <v>0.38</v>
      </c>
      <c r="Q78" s="220" t="s">
        <v>36</v>
      </c>
      <c r="R78" s="198"/>
      <c r="S78" s="198"/>
      <c r="T78" s="198"/>
      <c r="U78" s="198"/>
    </row>
    <row r="79" spans="1:21" s="12" customFormat="1" x14ac:dyDescent="0.25">
      <c r="A79" s="214" t="s">
        <v>1759</v>
      </c>
      <c r="B79" s="64">
        <v>4.87</v>
      </c>
      <c r="C79" s="64">
        <v>10.62</v>
      </c>
      <c r="D79" s="64">
        <v>15.49</v>
      </c>
      <c r="E79" s="64">
        <v>4.3</v>
      </c>
      <c r="F79" s="64">
        <v>2.2400000000000002</v>
      </c>
      <c r="G79" s="64">
        <v>26.9</v>
      </c>
      <c r="H79" s="64">
        <v>8.82</v>
      </c>
      <c r="I79" s="64">
        <v>1.82</v>
      </c>
      <c r="J79" s="64">
        <v>0.13</v>
      </c>
      <c r="K79" s="64">
        <v>26.31</v>
      </c>
      <c r="L79" s="64">
        <v>25.58</v>
      </c>
      <c r="M79" s="64">
        <v>81.400000000000006</v>
      </c>
      <c r="N79" s="64">
        <v>24.9</v>
      </c>
      <c r="O79" s="64">
        <v>0</v>
      </c>
      <c r="P79" s="64">
        <v>0.38</v>
      </c>
      <c r="Q79" s="220" t="s">
        <v>36</v>
      </c>
      <c r="R79" s="198"/>
      <c r="S79" s="198"/>
      <c r="T79" s="198"/>
      <c r="U79" s="198"/>
    </row>
    <row r="80" spans="1:21" s="12" customFormat="1" x14ac:dyDescent="0.25">
      <c r="A80" s="214" t="s">
        <v>1760</v>
      </c>
      <c r="B80" s="64">
        <v>4.01</v>
      </c>
      <c r="C80" s="64">
        <v>11.32</v>
      </c>
      <c r="D80" s="64">
        <v>15.33</v>
      </c>
      <c r="E80" s="64">
        <v>4.4000000000000004</v>
      </c>
      <c r="F80" s="64">
        <v>1.93</v>
      </c>
      <c r="G80" s="64">
        <v>27.18</v>
      </c>
      <c r="H80" s="64">
        <v>8.83</v>
      </c>
      <c r="I80" s="64">
        <v>1.8</v>
      </c>
      <c r="J80" s="64">
        <v>0.1</v>
      </c>
      <c r="K80" s="64">
        <v>43.21</v>
      </c>
      <c r="L80" s="64">
        <v>25.27</v>
      </c>
      <c r="M80" s="64">
        <v>82.97</v>
      </c>
      <c r="N80" s="64">
        <v>16.5</v>
      </c>
      <c r="O80" s="64">
        <v>0</v>
      </c>
      <c r="P80" s="64">
        <v>0.4</v>
      </c>
      <c r="Q80" s="220" t="s">
        <v>36</v>
      </c>
      <c r="R80" s="198"/>
      <c r="S80" s="198"/>
      <c r="T80" s="198"/>
      <c r="U80" s="198"/>
    </row>
    <row r="81" spans="1:26" s="12" customFormat="1" x14ac:dyDescent="0.25">
      <c r="A81" s="214" t="s">
        <v>1761</v>
      </c>
      <c r="B81" s="64">
        <v>3.51</v>
      </c>
      <c r="C81" s="64">
        <v>14.67</v>
      </c>
      <c r="D81" s="64">
        <v>18.18</v>
      </c>
      <c r="E81" s="64">
        <v>4.58</v>
      </c>
      <c r="F81" s="64">
        <v>3.95</v>
      </c>
      <c r="G81" s="64">
        <v>27.18</v>
      </c>
      <c r="H81" s="64">
        <v>8.83</v>
      </c>
      <c r="I81" s="64">
        <v>1.79</v>
      </c>
      <c r="J81" s="64">
        <v>0.06</v>
      </c>
      <c r="K81" s="64">
        <v>184.51</v>
      </c>
      <c r="L81" s="64">
        <v>25.01</v>
      </c>
      <c r="M81" s="64">
        <v>84.47</v>
      </c>
      <c r="N81" s="64">
        <v>10.1</v>
      </c>
      <c r="O81" s="64">
        <v>0</v>
      </c>
      <c r="P81" s="64">
        <v>0.43</v>
      </c>
      <c r="Q81" s="64">
        <v>0.98</v>
      </c>
      <c r="R81" s="198"/>
      <c r="S81" s="198"/>
      <c r="T81" s="198"/>
      <c r="U81" s="198"/>
    </row>
    <row r="82" spans="1:26" s="12" customFormat="1" x14ac:dyDescent="0.25">
      <c r="A82" s="214" t="s">
        <v>1762</v>
      </c>
      <c r="B82" s="64">
        <v>3.51</v>
      </c>
      <c r="C82" s="64">
        <v>12.72</v>
      </c>
      <c r="D82" s="64">
        <v>16.23</v>
      </c>
      <c r="E82" s="64">
        <v>3.27</v>
      </c>
      <c r="F82" s="64">
        <v>1.89</v>
      </c>
      <c r="G82" s="64">
        <v>27.18</v>
      </c>
      <c r="H82" s="64">
        <v>8.83</v>
      </c>
      <c r="I82" s="64">
        <v>1.78</v>
      </c>
      <c r="J82" s="64">
        <v>0.09</v>
      </c>
      <c r="K82" s="64">
        <v>202.25</v>
      </c>
      <c r="L82" s="64">
        <v>24.89</v>
      </c>
      <c r="M82" s="64">
        <v>85.87</v>
      </c>
      <c r="N82" s="64">
        <v>9.5</v>
      </c>
      <c r="O82" s="64">
        <v>0</v>
      </c>
      <c r="P82" s="64">
        <v>0.41</v>
      </c>
      <c r="Q82" s="64">
        <v>2.46</v>
      </c>
      <c r="R82" s="198"/>
      <c r="S82" s="198"/>
      <c r="T82" s="198"/>
      <c r="U82" s="198"/>
    </row>
    <row r="83" spans="1:26" s="12" customFormat="1" x14ac:dyDescent="0.25">
      <c r="A83" s="214" t="s">
        <v>1763</v>
      </c>
      <c r="B83" s="64">
        <v>4.55</v>
      </c>
      <c r="C83" s="64">
        <v>17.059999999999999</v>
      </c>
      <c r="D83" s="64">
        <v>21.61</v>
      </c>
      <c r="E83" s="64">
        <v>4.41</v>
      </c>
      <c r="F83" s="64">
        <v>3.26</v>
      </c>
      <c r="G83" s="64">
        <v>27.19</v>
      </c>
      <c r="H83" s="64">
        <v>9.66</v>
      </c>
      <c r="I83" s="64">
        <v>1.85</v>
      </c>
      <c r="J83" s="64">
        <v>0.09</v>
      </c>
      <c r="K83" s="64">
        <v>189.47</v>
      </c>
      <c r="L83" s="64">
        <v>24.78</v>
      </c>
      <c r="M83" s="64">
        <v>87.5</v>
      </c>
      <c r="N83" s="64">
        <v>9.4</v>
      </c>
      <c r="O83" s="64">
        <v>0</v>
      </c>
      <c r="P83" s="64">
        <v>0.45</v>
      </c>
      <c r="Q83" s="64">
        <v>3.01</v>
      </c>
      <c r="R83" s="198"/>
      <c r="S83" s="198"/>
      <c r="T83" s="198"/>
      <c r="U83" s="198"/>
    </row>
    <row r="84" spans="1:26" s="12" customFormat="1" x14ac:dyDescent="0.25">
      <c r="A84" s="214" t="s">
        <v>1764</v>
      </c>
      <c r="B84" s="64">
        <v>4.47</v>
      </c>
      <c r="C84" s="64">
        <v>19.510000000000002</v>
      </c>
      <c r="D84" s="64">
        <v>23.98</v>
      </c>
      <c r="E84" s="64">
        <v>4.29</v>
      </c>
      <c r="F84" s="64">
        <v>3.65</v>
      </c>
      <c r="G84" s="64">
        <v>27.22</v>
      </c>
      <c r="H84" s="64">
        <v>10.97</v>
      </c>
      <c r="I84" s="64">
        <v>1.83</v>
      </c>
      <c r="J84" s="64">
        <v>0.05</v>
      </c>
      <c r="K84" s="64">
        <v>195.76</v>
      </c>
      <c r="L84" s="64">
        <v>24.63</v>
      </c>
      <c r="M84" s="64">
        <v>89.07</v>
      </c>
      <c r="N84" s="64">
        <v>9.5</v>
      </c>
      <c r="O84" s="64">
        <v>0</v>
      </c>
      <c r="P84" s="64">
        <v>0.48</v>
      </c>
      <c r="Q84" s="64">
        <v>1.52</v>
      </c>
      <c r="R84" s="198"/>
      <c r="S84" s="198"/>
      <c r="T84" s="198"/>
      <c r="U84" s="198"/>
    </row>
    <row r="85" spans="1:26" s="12" customFormat="1" x14ac:dyDescent="0.25">
      <c r="A85" s="214" t="s">
        <v>1765</v>
      </c>
      <c r="B85" s="64">
        <v>4.38</v>
      </c>
      <c r="C85" s="64">
        <v>20.95</v>
      </c>
      <c r="D85" s="64">
        <v>25.33</v>
      </c>
      <c r="E85" s="64">
        <v>4.43</v>
      </c>
      <c r="F85" s="64">
        <v>5.81</v>
      </c>
      <c r="G85" s="64">
        <v>27.22</v>
      </c>
      <c r="H85" s="64">
        <v>10.97</v>
      </c>
      <c r="I85" s="64">
        <v>1.84</v>
      </c>
      <c r="J85" s="64">
        <v>0.04</v>
      </c>
      <c r="K85" s="64">
        <v>189.66</v>
      </c>
      <c r="L85" s="64">
        <v>24.54</v>
      </c>
      <c r="M85" s="64">
        <v>89.44</v>
      </c>
      <c r="N85" s="64">
        <v>9.4</v>
      </c>
      <c r="O85" s="64">
        <v>0</v>
      </c>
      <c r="P85" s="64">
        <v>0.46</v>
      </c>
      <c r="Q85" s="64">
        <v>1.8</v>
      </c>
      <c r="R85" s="198"/>
      <c r="S85" s="198"/>
      <c r="T85" s="198"/>
      <c r="U85" s="198"/>
    </row>
    <row r="86" spans="1:26" s="12" customFormat="1" x14ac:dyDescent="0.25">
      <c r="A86" s="214" t="s">
        <v>1766</v>
      </c>
      <c r="B86" s="64">
        <v>3.89</v>
      </c>
      <c r="C86" s="64">
        <v>21.93</v>
      </c>
      <c r="D86" s="64">
        <v>25.82</v>
      </c>
      <c r="E86" s="64">
        <v>4.43</v>
      </c>
      <c r="F86" s="64">
        <v>6.24</v>
      </c>
      <c r="G86" s="64">
        <v>27.22</v>
      </c>
      <c r="H86" s="64">
        <v>10.97</v>
      </c>
      <c r="I86" s="64">
        <v>1.81</v>
      </c>
      <c r="J86" s="64">
        <v>0.05</v>
      </c>
      <c r="K86" s="64">
        <v>260.95999999999998</v>
      </c>
      <c r="L86" s="64">
        <v>24.43</v>
      </c>
      <c r="M86" s="64">
        <v>90.52</v>
      </c>
      <c r="N86" s="64">
        <v>9.5</v>
      </c>
      <c r="O86" s="64">
        <v>0</v>
      </c>
      <c r="P86" s="64">
        <v>0.5</v>
      </c>
      <c r="Q86" s="64">
        <v>1.83</v>
      </c>
      <c r="R86" s="198"/>
      <c r="S86" s="198"/>
      <c r="T86" s="198"/>
      <c r="U86" s="198"/>
    </row>
    <row r="87" spans="1:26" s="12" customFormat="1" x14ac:dyDescent="0.25">
      <c r="A87" s="214" t="s">
        <v>1767</v>
      </c>
      <c r="B87" s="64">
        <v>3.3</v>
      </c>
      <c r="C87" s="64">
        <v>23.05</v>
      </c>
      <c r="D87" s="64">
        <v>26.35</v>
      </c>
      <c r="E87" s="64">
        <v>4.93</v>
      </c>
      <c r="F87" s="64">
        <v>5.32</v>
      </c>
      <c r="G87" s="64">
        <v>27.01</v>
      </c>
      <c r="H87" s="64">
        <v>10.44</v>
      </c>
      <c r="I87" s="64">
        <v>1.78</v>
      </c>
      <c r="J87" s="64">
        <v>7.0000000000000007E-2</v>
      </c>
      <c r="K87" s="64">
        <v>199.8</v>
      </c>
      <c r="L87" s="64">
        <v>24.3</v>
      </c>
      <c r="M87" s="64">
        <v>91.87</v>
      </c>
      <c r="N87" s="64">
        <v>9.4</v>
      </c>
      <c r="O87" s="64">
        <v>0</v>
      </c>
      <c r="P87" s="64">
        <v>0.53</v>
      </c>
      <c r="Q87" s="64">
        <v>2.4900000000000002</v>
      </c>
      <c r="R87" s="198"/>
      <c r="S87" s="198"/>
      <c r="T87" s="198"/>
      <c r="U87" s="198"/>
    </row>
    <row r="88" spans="1:26" s="12" customFormat="1" x14ac:dyDescent="0.25">
      <c r="A88" s="214" t="s">
        <v>1768</v>
      </c>
      <c r="B88" s="64">
        <v>4.8499999999999996</v>
      </c>
      <c r="C88" s="64">
        <v>26.75</v>
      </c>
      <c r="D88" s="64">
        <v>31.6</v>
      </c>
      <c r="E88" s="64">
        <v>3.75</v>
      </c>
      <c r="F88" s="64">
        <v>4</v>
      </c>
      <c r="G88" s="64">
        <v>26.5</v>
      </c>
      <c r="H88" s="64">
        <v>9.4</v>
      </c>
      <c r="I88" s="64">
        <v>1.74</v>
      </c>
      <c r="J88" s="64">
        <v>7.0000000000000007E-2</v>
      </c>
      <c r="K88" s="64">
        <v>189.45</v>
      </c>
      <c r="L88" s="64">
        <v>24.29</v>
      </c>
      <c r="M88" s="64">
        <v>93.05</v>
      </c>
      <c r="N88" s="64">
        <v>9.4</v>
      </c>
      <c r="O88" s="64">
        <v>0</v>
      </c>
      <c r="P88" s="64">
        <v>0.61</v>
      </c>
      <c r="Q88" s="64">
        <v>3.01</v>
      </c>
      <c r="R88" s="198"/>
      <c r="S88" s="198"/>
      <c r="T88" s="198"/>
      <c r="U88" s="198"/>
    </row>
    <row r="89" spans="1:26" s="12" customFormat="1" x14ac:dyDescent="0.25">
      <c r="A89" s="214" t="s">
        <v>1769</v>
      </c>
      <c r="B89" s="64">
        <v>5.0199999999999996</v>
      </c>
      <c r="C89" s="64">
        <v>20.97</v>
      </c>
      <c r="D89" s="64">
        <v>25.99</v>
      </c>
      <c r="E89" s="64">
        <v>4.29</v>
      </c>
      <c r="F89" s="64">
        <v>1.46</v>
      </c>
      <c r="G89" s="64">
        <v>26.5</v>
      </c>
      <c r="H89" s="64">
        <v>9.4</v>
      </c>
      <c r="I89" s="64">
        <v>1.8</v>
      </c>
      <c r="J89" s="64">
        <v>0.17</v>
      </c>
      <c r="K89" s="64">
        <v>157.63999999999999</v>
      </c>
      <c r="L89" s="64">
        <v>24.17</v>
      </c>
      <c r="M89" s="64">
        <v>93.7</v>
      </c>
      <c r="N89" s="64">
        <v>9.4</v>
      </c>
      <c r="O89" s="64">
        <v>0</v>
      </c>
      <c r="P89" s="64">
        <v>0.54</v>
      </c>
      <c r="Q89" s="64">
        <v>3.53</v>
      </c>
      <c r="R89" s="198"/>
      <c r="S89" s="198"/>
      <c r="T89" s="198"/>
      <c r="U89" s="198"/>
    </row>
    <row r="90" spans="1:26" s="12" customFormat="1" x14ac:dyDescent="0.25">
      <c r="A90" s="214" t="s">
        <v>1770</v>
      </c>
      <c r="B90" s="64">
        <v>6.55</v>
      </c>
      <c r="C90" s="64">
        <v>26.02</v>
      </c>
      <c r="D90" s="64">
        <v>32.58</v>
      </c>
      <c r="E90" s="64">
        <v>4.5999999999999996</v>
      </c>
      <c r="F90" s="64">
        <v>3.47</v>
      </c>
      <c r="G90" s="64">
        <v>26.5</v>
      </c>
      <c r="H90" s="64">
        <v>9.4</v>
      </c>
      <c r="I90" s="64">
        <v>1.81</v>
      </c>
      <c r="J90" s="64">
        <v>0.06</v>
      </c>
      <c r="K90" s="64">
        <v>194.57</v>
      </c>
      <c r="L90" s="64">
        <v>24.12</v>
      </c>
      <c r="M90" s="64">
        <v>93.98</v>
      </c>
      <c r="N90" s="64">
        <v>9.4</v>
      </c>
      <c r="O90" s="64">
        <v>0</v>
      </c>
      <c r="P90" s="64">
        <v>0.59</v>
      </c>
      <c r="Q90" s="64">
        <v>3.4</v>
      </c>
      <c r="R90" s="198"/>
      <c r="S90" s="198"/>
      <c r="T90" s="198"/>
      <c r="U90" s="198"/>
    </row>
    <row r="91" spans="1:26" s="12" customFormat="1" x14ac:dyDescent="0.25">
      <c r="A91" s="214" t="s">
        <v>1771</v>
      </c>
      <c r="B91" s="64">
        <v>4.67</v>
      </c>
      <c r="C91" s="64">
        <v>19.239999999999998</v>
      </c>
      <c r="D91" s="64">
        <v>23.91</v>
      </c>
      <c r="E91" s="64">
        <v>4.2699999999999996</v>
      </c>
      <c r="F91" s="64">
        <v>2.8</v>
      </c>
      <c r="G91" s="64">
        <v>28.4</v>
      </c>
      <c r="H91" s="64">
        <v>11.33</v>
      </c>
      <c r="I91" s="64">
        <v>1.81</v>
      </c>
      <c r="J91" s="64">
        <v>0.1</v>
      </c>
      <c r="K91" s="64">
        <v>216.42</v>
      </c>
      <c r="L91" s="64">
        <v>24.14</v>
      </c>
      <c r="M91" s="64">
        <v>94.01</v>
      </c>
      <c r="N91" s="64">
        <v>9.1</v>
      </c>
      <c r="O91" s="64">
        <v>0</v>
      </c>
      <c r="P91" s="64">
        <v>0.52</v>
      </c>
      <c r="Q91" s="64">
        <v>2.33</v>
      </c>
      <c r="R91" s="198"/>
      <c r="S91" s="198"/>
      <c r="T91" s="198"/>
      <c r="U91" s="198"/>
    </row>
    <row r="92" spans="1:26" s="12" customFormat="1" x14ac:dyDescent="0.25">
      <c r="A92" s="214" t="s">
        <v>1772</v>
      </c>
      <c r="B92" s="64">
        <v>5.85</v>
      </c>
      <c r="C92" s="64">
        <v>16</v>
      </c>
      <c r="D92" s="64">
        <v>21.85</v>
      </c>
      <c r="E92" s="64">
        <v>4.57</v>
      </c>
      <c r="F92" s="64">
        <v>1.92</v>
      </c>
      <c r="G92" s="64">
        <v>33.08</v>
      </c>
      <c r="H92" s="64">
        <v>14.36</v>
      </c>
      <c r="I92" s="64">
        <v>1.84</v>
      </c>
      <c r="J92" s="64">
        <v>0.04</v>
      </c>
      <c r="K92" s="64">
        <v>225.48</v>
      </c>
      <c r="L92" s="64">
        <v>24.26</v>
      </c>
      <c r="M92" s="64">
        <v>93.6</v>
      </c>
      <c r="N92" s="64">
        <v>9.4</v>
      </c>
      <c r="O92" s="64">
        <v>0</v>
      </c>
      <c r="P92" s="64">
        <v>0.52</v>
      </c>
      <c r="Q92" s="64">
        <v>3.92</v>
      </c>
      <c r="R92" s="198"/>
      <c r="S92" s="198"/>
      <c r="T92" s="198"/>
      <c r="U92" s="198"/>
    </row>
    <row r="93" spans="1:26" s="12" customFormat="1" x14ac:dyDescent="0.25">
      <c r="A93" s="214" t="s">
        <v>1773</v>
      </c>
      <c r="B93" s="64">
        <v>5.25</v>
      </c>
      <c r="C93" s="64">
        <v>20.5</v>
      </c>
      <c r="D93" s="64">
        <v>25.75</v>
      </c>
      <c r="E93" s="64">
        <v>4.82</v>
      </c>
      <c r="F93" s="64">
        <v>3.98</v>
      </c>
      <c r="G93" s="64">
        <v>33.08</v>
      </c>
      <c r="H93" s="64">
        <v>14.36</v>
      </c>
      <c r="I93" s="64">
        <v>1.87</v>
      </c>
      <c r="J93" s="64">
        <v>0.1</v>
      </c>
      <c r="K93" s="64">
        <v>179.83</v>
      </c>
      <c r="L93" s="64">
        <v>24.14</v>
      </c>
      <c r="M93" s="64">
        <v>95.02</v>
      </c>
      <c r="N93" s="64">
        <v>9.4</v>
      </c>
      <c r="O93" s="64">
        <v>0</v>
      </c>
      <c r="P93" s="64">
        <v>0.53</v>
      </c>
      <c r="Q93" s="64">
        <v>3.55</v>
      </c>
      <c r="R93" s="198"/>
      <c r="S93" s="198"/>
      <c r="T93" s="198"/>
      <c r="U93" s="198"/>
    </row>
    <row r="94" spans="1:26" s="12" customFormat="1" x14ac:dyDescent="0.25">
      <c r="A94" s="214" t="s">
        <v>1774</v>
      </c>
      <c r="B94" s="64">
        <v>5.72</v>
      </c>
      <c r="C94" s="64">
        <v>17</v>
      </c>
      <c r="D94" s="64">
        <v>22.72</v>
      </c>
      <c r="E94" s="64">
        <v>4.07</v>
      </c>
      <c r="F94" s="64">
        <v>2.1800000000000002</v>
      </c>
      <c r="G94" s="64">
        <v>33.08</v>
      </c>
      <c r="H94" s="64">
        <v>14.36</v>
      </c>
      <c r="I94" s="64">
        <v>1.85</v>
      </c>
      <c r="J94" s="64">
        <v>0.24</v>
      </c>
      <c r="K94" s="64">
        <v>150.66999999999999</v>
      </c>
      <c r="L94" s="64">
        <v>24.12</v>
      </c>
      <c r="M94" s="64">
        <v>95.86</v>
      </c>
      <c r="N94" s="64">
        <v>9.3000000000000007</v>
      </c>
      <c r="O94" s="64">
        <v>0</v>
      </c>
      <c r="P94" s="64">
        <v>0.53</v>
      </c>
      <c r="Q94" s="64">
        <v>2.74</v>
      </c>
      <c r="R94" s="198"/>
      <c r="S94" s="198"/>
      <c r="T94" s="198"/>
      <c r="U94" s="198"/>
    </row>
    <row r="95" spans="1:26" s="12" customFormat="1" x14ac:dyDescent="0.25">
      <c r="A95" s="214" t="s">
        <v>1775</v>
      </c>
      <c r="B95" s="64">
        <v>6.44</v>
      </c>
      <c r="C95" s="64">
        <v>15.4</v>
      </c>
      <c r="D95" s="64">
        <v>21.83</v>
      </c>
      <c r="E95" s="64">
        <v>3.88</v>
      </c>
      <c r="F95" s="64">
        <v>1.1299999999999999</v>
      </c>
      <c r="G95" s="64">
        <v>32.24</v>
      </c>
      <c r="H95" s="64">
        <v>13.69</v>
      </c>
      <c r="I95" s="64">
        <v>1.79</v>
      </c>
      <c r="J95" s="64">
        <v>0.04</v>
      </c>
      <c r="K95" s="64">
        <v>27.6</v>
      </c>
      <c r="L95" s="64">
        <v>24.16</v>
      </c>
      <c r="M95" s="64">
        <v>94.96</v>
      </c>
      <c r="N95" s="64">
        <v>9.5</v>
      </c>
      <c r="O95" s="64">
        <v>0</v>
      </c>
      <c r="P95" s="64">
        <v>0.56000000000000005</v>
      </c>
      <c r="Q95" s="64">
        <v>4.05</v>
      </c>
      <c r="R95" s="198"/>
      <c r="S95" s="198"/>
      <c r="T95" s="198"/>
      <c r="U95" s="198"/>
    </row>
    <row r="96" spans="1:26" s="12" customFormat="1" x14ac:dyDescent="0.25">
      <c r="A96" s="214" t="s">
        <v>1776</v>
      </c>
      <c r="B96" s="64">
        <v>6.98</v>
      </c>
      <c r="C96" s="64">
        <v>15.07</v>
      </c>
      <c r="D96" s="64">
        <v>22.05</v>
      </c>
      <c r="E96" s="64">
        <v>4.7</v>
      </c>
      <c r="F96" s="64">
        <v>1</v>
      </c>
      <c r="G96" s="64">
        <v>30.18</v>
      </c>
      <c r="H96" s="64">
        <v>12.62</v>
      </c>
      <c r="I96" s="64">
        <v>1.81</v>
      </c>
      <c r="J96" s="64">
        <v>0.19</v>
      </c>
      <c r="K96" s="64">
        <v>26.5</v>
      </c>
      <c r="L96" s="64">
        <v>24.11</v>
      </c>
      <c r="M96" s="64">
        <v>95.06</v>
      </c>
      <c r="N96" s="64">
        <v>9.4</v>
      </c>
      <c r="O96" s="64">
        <v>0</v>
      </c>
      <c r="P96" s="64">
        <v>0.55000000000000004</v>
      </c>
      <c r="Q96" s="64">
        <v>4.43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1777</v>
      </c>
      <c r="B97" s="64">
        <v>6.5</v>
      </c>
      <c r="C97" s="64">
        <v>13.81</v>
      </c>
      <c r="D97" s="64">
        <v>20.32</v>
      </c>
      <c r="E97" s="64">
        <v>4.08</v>
      </c>
      <c r="F97" s="64">
        <v>2.44</v>
      </c>
      <c r="G97" s="64">
        <v>30.18</v>
      </c>
      <c r="H97" s="64">
        <v>12.62</v>
      </c>
      <c r="I97" s="64">
        <v>1.77</v>
      </c>
      <c r="J97" s="64">
        <v>0.17</v>
      </c>
      <c r="K97" s="64">
        <v>19.739999999999998</v>
      </c>
      <c r="L97" s="64">
        <v>23.98</v>
      </c>
      <c r="M97" s="64">
        <v>91.89</v>
      </c>
      <c r="N97" s="64">
        <v>9.4</v>
      </c>
      <c r="O97" s="64">
        <v>0</v>
      </c>
      <c r="P97" s="64">
        <v>0.55000000000000004</v>
      </c>
      <c r="Q97" s="64">
        <v>8.1300000000000008</v>
      </c>
      <c r="R97" s="198"/>
      <c r="S97" s="198"/>
      <c r="T97" s="198"/>
      <c r="U97" s="198"/>
    </row>
    <row r="98" spans="1:33" s="12" customFormat="1" x14ac:dyDescent="0.25">
      <c r="A98" s="214" t="s">
        <v>1778</v>
      </c>
      <c r="B98" s="64">
        <v>8.32</v>
      </c>
      <c r="C98" s="64">
        <v>15.04</v>
      </c>
      <c r="D98" s="64">
        <v>23.36</v>
      </c>
      <c r="E98" s="64">
        <v>4.38</v>
      </c>
      <c r="F98" s="64">
        <v>1.94</v>
      </c>
      <c r="G98" s="64">
        <v>30.18</v>
      </c>
      <c r="H98" s="64">
        <v>12.62</v>
      </c>
      <c r="I98" s="64">
        <v>1.81</v>
      </c>
      <c r="J98" s="64">
        <v>0.12</v>
      </c>
      <c r="K98" s="64">
        <v>23.51</v>
      </c>
      <c r="L98" s="64">
        <v>23.88</v>
      </c>
      <c r="M98" s="64">
        <v>92.42</v>
      </c>
      <c r="N98" s="64">
        <v>9.5</v>
      </c>
      <c r="O98" s="64">
        <v>0</v>
      </c>
      <c r="P98" s="64">
        <v>0.56000000000000005</v>
      </c>
      <c r="Q98" s="64">
        <v>10.95</v>
      </c>
      <c r="R98" s="198"/>
      <c r="S98" s="198"/>
      <c r="T98" s="198"/>
      <c r="U98" s="198"/>
    </row>
    <row r="99" spans="1:33" s="12" customFormat="1" x14ac:dyDescent="0.25">
      <c r="A99" s="214" t="s">
        <v>1779</v>
      </c>
      <c r="B99" s="64">
        <v>7.22</v>
      </c>
      <c r="C99" s="64">
        <v>14.95</v>
      </c>
      <c r="D99" s="64">
        <v>22.18</v>
      </c>
      <c r="E99" s="64">
        <v>4.28</v>
      </c>
      <c r="F99" s="64">
        <v>2.2999999999999998</v>
      </c>
      <c r="G99" s="64">
        <v>31.79</v>
      </c>
      <c r="H99" s="64">
        <v>13.02</v>
      </c>
      <c r="I99" s="64">
        <v>1.76</v>
      </c>
      <c r="J99" s="64">
        <v>0.13</v>
      </c>
      <c r="K99" s="64">
        <v>20.99</v>
      </c>
      <c r="L99" s="64">
        <v>23.68</v>
      </c>
      <c r="M99" s="64">
        <v>93.93</v>
      </c>
      <c r="N99" s="64">
        <v>9.5</v>
      </c>
      <c r="O99" s="64">
        <v>0</v>
      </c>
      <c r="P99" s="64">
        <v>0.52</v>
      </c>
      <c r="Q99" s="64">
        <v>10.64</v>
      </c>
      <c r="R99" s="198"/>
      <c r="S99" s="198"/>
      <c r="T99" s="198"/>
      <c r="U99" s="198"/>
    </row>
    <row r="100" spans="1:33" s="12" customFormat="1" x14ac:dyDescent="0.25">
      <c r="A100" s="214" t="s">
        <v>1780</v>
      </c>
      <c r="B100" s="64">
        <v>6.33</v>
      </c>
      <c r="C100" s="64">
        <v>13.39</v>
      </c>
      <c r="D100" s="64">
        <v>19.71</v>
      </c>
      <c r="E100" s="64">
        <v>4.8600000000000003</v>
      </c>
      <c r="F100" s="64">
        <v>1.65</v>
      </c>
      <c r="G100" s="64">
        <v>35.75</v>
      </c>
      <c r="H100" s="64">
        <v>13.66</v>
      </c>
      <c r="I100" s="64">
        <v>1.76</v>
      </c>
      <c r="J100" s="64">
        <v>0.13</v>
      </c>
      <c r="K100" s="64">
        <v>21.34</v>
      </c>
      <c r="L100" s="64">
        <v>23.52</v>
      </c>
      <c r="M100" s="64">
        <v>96.14</v>
      </c>
      <c r="N100" s="64">
        <v>9.4</v>
      </c>
      <c r="O100" s="64">
        <v>0</v>
      </c>
      <c r="P100" s="64">
        <v>0.52</v>
      </c>
      <c r="Q100" s="64">
        <v>8.11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1781</v>
      </c>
      <c r="B101" s="64">
        <v>5.86</v>
      </c>
      <c r="C101" s="64">
        <v>11.81</v>
      </c>
      <c r="D101" s="64">
        <v>17.66</v>
      </c>
      <c r="E101" s="64">
        <v>3.6</v>
      </c>
      <c r="F101" s="64">
        <v>0.96</v>
      </c>
      <c r="G101" s="64">
        <v>35.75</v>
      </c>
      <c r="H101" s="64">
        <v>13.66</v>
      </c>
      <c r="I101" s="64">
        <v>1.8</v>
      </c>
      <c r="J101" s="64">
        <v>7.0000000000000007E-2</v>
      </c>
      <c r="K101" s="64">
        <v>17</v>
      </c>
      <c r="L101" s="64">
        <v>23.34</v>
      </c>
      <c r="M101" s="64">
        <v>97.51</v>
      </c>
      <c r="N101" s="64">
        <v>9.5</v>
      </c>
      <c r="O101" s="64">
        <v>0</v>
      </c>
      <c r="P101" s="64">
        <v>0.51</v>
      </c>
      <c r="Q101" s="64">
        <v>5</v>
      </c>
      <c r="R101" s="198"/>
      <c r="S101" s="198"/>
      <c r="T101" s="198"/>
      <c r="U101" s="198"/>
    </row>
    <row r="102" spans="1:33" s="12" customFormat="1" x14ac:dyDescent="0.25">
      <c r="A102" s="214" t="s">
        <v>1782</v>
      </c>
      <c r="B102" s="64">
        <v>5.36</v>
      </c>
      <c r="C102" s="64">
        <v>11.07</v>
      </c>
      <c r="D102" s="64">
        <v>16.43</v>
      </c>
      <c r="E102" s="64">
        <v>3.71</v>
      </c>
      <c r="F102" s="64">
        <v>1.76</v>
      </c>
      <c r="G102" s="64">
        <v>35.75</v>
      </c>
      <c r="H102" s="64">
        <v>13.66</v>
      </c>
      <c r="I102" s="64">
        <v>1.86</v>
      </c>
      <c r="J102" s="64">
        <v>0.02</v>
      </c>
      <c r="K102" s="64">
        <v>78.069999999999993</v>
      </c>
      <c r="L102" s="64">
        <v>23.16</v>
      </c>
      <c r="M102" s="64">
        <v>98.64</v>
      </c>
      <c r="N102" s="64">
        <v>9.5</v>
      </c>
      <c r="O102" s="64">
        <v>0</v>
      </c>
      <c r="P102" s="64">
        <v>0.48</v>
      </c>
      <c r="Q102" s="64">
        <v>2.16</v>
      </c>
      <c r="R102" s="198"/>
      <c r="S102" s="198"/>
      <c r="T102" s="198"/>
      <c r="U102" s="198"/>
    </row>
    <row r="103" spans="1:33" s="12" customFormat="1" x14ac:dyDescent="0.25">
      <c r="A103" s="214" t="s">
        <v>1783</v>
      </c>
      <c r="B103" s="64">
        <v>5.27</v>
      </c>
      <c r="C103" s="64">
        <v>9.84</v>
      </c>
      <c r="D103" s="64">
        <v>15.11</v>
      </c>
      <c r="E103" s="64">
        <v>3.86</v>
      </c>
      <c r="F103" s="64">
        <v>1.1499999999999999</v>
      </c>
      <c r="G103" s="64">
        <v>34.32</v>
      </c>
      <c r="H103" s="64">
        <v>13.27</v>
      </c>
      <c r="I103" s="64">
        <v>1.79</v>
      </c>
      <c r="J103" s="64">
        <v>0.04</v>
      </c>
      <c r="K103" s="64">
        <v>29.55</v>
      </c>
      <c r="L103" s="64">
        <v>23.04</v>
      </c>
      <c r="M103" s="64">
        <v>98.72</v>
      </c>
      <c r="N103" s="64">
        <v>9.3000000000000007</v>
      </c>
      <c r="O103" s="64">
        <v>0</v>
      </c>
      <c r="P103" s="64">
        <v>0.5</v>
      </c>
      <c r="Q103" s="64">
        <v>1.68</v>
      </c>
      <c r="R103" s="198"/>
      <c r="S103" s="198"/>
      <c r="T103" s="198"/>
      <c r="U103" s="198"/>
    </row>
    <row r="104" spans="1:33" s="12" customFormat="1" x14ac:dyDescent="0.25">
      <c r="A104" s="214" t="s">
        <v>1784</v>
      </c>
      <c r="B104" s="64">
        <v>4.6900000000000004</v>
      </c>
      <c r="C104" s="64">
        <v>10.34</v>
      </c>
      <c r="D104" s="64">
        <v>15.03</v>
      </c>
      <c r="E104" s="64">
        <v>4.08</v>
      </c>
      <c r="F104" s="64">
        <v>2.2000000000000002</v>
      </c>
      <c r="G104" s="64">
        <v>30.79</v>
      </c>
      <c r="H104" s="64">
        <v>11.45</v>
      </c>
      <c r="I104" s="64">
        <v>1.79</v>
      </c>
      <c r="J104" s="64">
        <v>0.14000000000000001</v>
      </c>
      <c r="K104" s="64">
        <v>194.97</v>
      </c>
      <c r="L104" s="64">
        <v>22.92</v>
      </c>
      <c r="M104" s="64">
        <v>98.73</v>
      </c>
      <c r="N104" s="64">
        <v>9.3000000000000007</v>
      </c>
      <c r="O104" s="64">
        <v>0</v>
      </c>
      <c r="P104" s="64">
        <v>0.44</v>
      </c>
      <c r="Q104" s="64">
        <v>1.28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2.42</v>
      </c>
      <c r="C106" s="67">
        <f>MIN(C9:C104)</f>
        <v>6.74</v>
      </c>
      <c r="D106" s="67">
        <f t="shared" ref="D106:Q106" si="0">MIN(D9:D104)</f>
        <v>10.220000000000001</v>
      </c>
      <c r="E106" s="67">
        <f t="shared" si="0"/>
        <v>3.27</v>
      </c>
      <c r="F106" s="67">
        <f t="shared" si="0"/>
        <v>0.51</v>
      </c>
      <c r="G106" s="67">
        <f t="shared" si="0"/>
        <v>8.99</v>
      </c>
      <c r="H106" s="67">
        <f t="shared" si="0"/>
        <v>4.45</v>
      </c>
      <c r="I106" s="67">
        <f t="shared" si="0"/>
        <v>1.73</v>
      </c>
      <c r="J106" s="67">
        <f t="shared" si="0"/>
        <v>0.02</v>
      </c>
      <c r="K106" s="67">
        <f t="shared" si="0"/>
        <v>11.88</v>
      </c>
      <c r="L106" s="67">
        <f t="shared" si="0"/>
        <v>22.11</v>
      </c>
      <c r="M106" s="67">
        <f t="shared" si="0"/>
        <v>70.45</v>
      </c>
      <c r="N106" s="67">
        <f t="shared" si="0"/>
        <v>1.4</v>
      </c>
      <c r="O106" s="67">
        <f t="shared" si="0"/>
        <v>0</v>
      </c>
      <c r="P106" s="67">
        <f t="shared" si="0"/>
        <v>0.21</v>
      </c>
      <c r="Q106" s="67">
        <f t="shared" si="0"/>
        <v>0.04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8.32</v>
      </c>
      <c r="C107" s="66">
        <f t="shared" ref="C107:Q107" si="1">MAX(C9:C104)</f>
        <v>26.75</v>
      </c>
      <c r="D107" s="66">
        <f t="shared" si="1"/>
        <v>32.58</v>
      </c>
      <c r="E107" s="66">
        <f t="shared" si="1"/>
        <v>5.22</v>
      </c>
      <c r="F107" s="66">
        <f t="shared" si="1"/>
        <v>6.24</v>
      </c>
      <c r="G107" s="66">
        <f t="shared" si="1"/>
        <v>35.75</v>
      </c>
      <c r="H107" s="66">
        <f t="shared" si="1"/>
        <v>14.36</v>
      </c>
      <c r="I107" s="66">
        <f t="shared" si="1"/>
        <v>1.88</v>
      </c>
      <c r="J107" s="66">
        <f t="shared" si="1"/>
        <v>1.3</v>
      </c>
      <c r="K107" s="66">
        <f t="shared" si="1"/>
        <v>358.67</v>
      </c>
      <c r="L107" s="66">
        <f t="shared" si="1"/>
        <v>27.48</v>
      </c>
      <c r="M107" s="66">
        <f t="shared" si="1"/>
        <v>98.75</v>
      </c>
      <c r="N107" s="66">
        <f t="shared" si="1"/>
        <v>768.8</v>
      </c>
      <c r="O107" s="66">
        <f t="shared" si="1"/>
        <v>0</v>
      </c>
      <c r="P107" s="66">
        <f t="shared" si="1"/>
        <v>0.61</v>
      </c>
      <c r="Q107" s="66">
        <f t="shared" si="1"/>
        <v>23.33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4.2632291666666662</v>
      </c>
      <c r="C108" s="67">
        <f t="shared" ref="C108:Q108" si="2">AVERAGE(C9:C104)</f>
        <v>11.575104166666662</v>
      </c>
      <c r="D108" s="67">
        <f t="shared" si="2"/>
        <v>15.837916666666667</v>
      </c>
      <c r="E108" s="67">
        <f t="shared" si="2"/>
        <v>4.2321875000000011</v>
      </c>
      <c r="F108" s="67">
        <f t="shared" si="2"/>
        <v>1.9146875000000003</v>
      </c>
      <c r="G108" s="67">
        <f t="shared" si="2"/>
        <v>20.264270833333338</v>
      </c>
      <c r="H108" s="67">
        <f t="shared" si="2"/>
        <v>8.7568750000000062</v>
      </c>
      <c r="I108" s="67">
        <f t="shared" si="2"/>
        <v>1.8031250000000008</v>
      </c>
      <c r="J108" s="67">
        <f t="shared" si="2"/>
        <v>0.38187500000000019</v>
      </c>
      <c r="K108" s="67">
        <f t="shared" si="2"/>
        <v>130.58062499999991</v>
      </c>
      <c r="L108" s="67">
        <f t="shared" si="2"/>
        <v>24.458229166666666</v>
      </c>
      <c r="M108" s="67">
        <f t="shared" si="2"/>
        <v>88.433437499999982</v>
      </c>
      <c r="N108" s="67">
        <f t="shared" si="2"/>
        <v>151.31999999999994</v>
      </c>
      <c r="O108" s="67">
        <f t="shared" si="2"/>
        <v>0</v>
      </c>
      <c r="P108" s="67">
        <f t="shared" si="2"/>
        <v>0.33874999999999994</v>
      </c>
      <c r="Q108" s="67">
        <f t="shared" si="2"/>
        <v>4.334044943820226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1.2920147422913759</v>
      </c>
      <c r="C109" s="67">
        <f t="shared" ref="C109:Q109" si="3">STDEV(C9:C104)</f>
        <v>4.2600158128670493</v>
      </c>
      <c r="D109" s="67">
        <f t="shared" si="3"/>
        <v>4.8425662871677888</v>
      </c>
      <c r="E109" s="67">
        <f t="shared" si="3"/>
        <v>0.41331574046458658</v>
      </c>
      <c r="F109" s="67">
        <f t="shared" si="3"/>
        <v>1.0604377975008337</v>
      </c>
      <c r="G109" s="67">
        <f t="shared" si="3"/>
        <v>7.1482739535744324</v>
      </c>
      <c r="H109" s="67">
        <f t="shared" si="3"/>
        <v>2.611431272209467</v>
      </c>
      <c r="I109" s="67">
        <f t="shared" si="3"/>
        <v>3.5845061320252093E-2</v>
      </c>
      <c r="J109" s="67">
        <f t="shared" si="3"/>
        <v>0.37044017202867091</v>
      </c>
      <c r="K109" s="67">
        <f t="shared" si="3"/>
        <v>81.280117796906339</v>
      </c>
      <c r="L109" s="67">
        <f t="shared" si="3"/>
        <v>1.8442228400526683</v>
      </c>
      <c r="M109" s="67">
        <f t="shared" si="3"/>
        <v>10.342808417153858</v>
      </c>
      <c r="N109" s="67">
        <f t="shared" si="3"/>
        <v>225.24628732208001</v>
      </c>
      <c r="O109" s="67">
        <f t="shared" si="3"/>
        <v>0</v>
      </c>
      <c r="P109" s="67">
        <f t="shared" si="3"/>
        <v>0.11011238278279739</v>
      </c>
      <c r="Q109" s="67">
        <f t="shared" si="3"/>
        <v>3.7864893548405383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COUNT(N9:N104)+11</f>
        <v>96</v>
      </c>
      <c r="O110" s="66">
        <f t="shared" si="4"/>
        <v>96</v>
      </c>
      <c r="P110" s="66">
        <f t="shared" si="4"/>
        <v>96</v>
      </c>
      <c r="Q110" s="66">
        <f>COUNT(Q9:Q104)+7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1785</v>
      </c>
      <c r="B9" s="64">
        <v>5</v>
      </c>
      <c r="C9" s="64">
        <v>9.4</v>
      </c>
      <c r="D9" s="64">
        <v>14.41</v>
      </c>
      <c r="E9" s="64">
        <v>4.92</v>
      </c>
      <c r="F9" s="64">
        <v>0.65</v>
      </c>
      <c r="G9" s="64">
        <v>30.79</v>
      </c>
      <c r="H9" s="64">
        <v>11.45</v>
      </c>
      <c r="I9" s="64">
        <v>1.79</v>
      </c>
      <c r="J9" s="64">
        <v>0.03</v>
      </c>
      <c r="K9" s="64">
        <v>188.71</v>
      </c>
      <c r="L9" s="64">
        <v>22.73</v>
      </c>
      <c r="M9" s="64">
        <v>98.73</v>
      </c>
      <c r="N9" s="64">
        <v>9.4</v>
      </c>
      <c r="O9" s="64">
        <v>0</v>
      </c>
      <c r="P9" s="64">
        <v>0.47</v>
      </c>
      <c r="Q9" s="64">
        <v>1.88</v>
      </c>
      <c r="R9" s="198"/>
      <c r="S9" s="198"/>
      <c r="T9" s="198"/>
      <c r="U9" s="198"/>
    </row>
    <row r="10" spans="1:21" s="12" customFormat="1" x14ac:dyDescent="0.25">
      <c r="A10" s="214" t="s">
        <v>1786</v>
      </c>
      <c r="B10" s="64">
        <v>4.72</v>
      </c>
      <c r="C10" s="64">
        <v>8.98</v>
      </c>
      <c r="D10" s="64">
        <v>13.71</v>
      </c>
      <c r="E10" s="64">
        <v>4.3099999999999996</v>
      </c>
      <c r="F10" s="64">
        <v>2.36</v>
      </c>
      <c r="G10" s="64">
        <v>30.79</v>
      </c>
      <c r="H10" s="64">
        <v>11.45</v>
      </c>
      <c r="I10" s="64">
        <v>1.73</v>
      </c>
      <c r="J10" s="64">
        <v>0.03</v>
      </c>
      <c r="K10" s="64">
        <v>248.49</v>
      </c>
      <c r="L10" s="64">
        <v>22.61</v>
      </c>
      <c r="M10" s="64">
        <v>98.73</v>
      </c>
      <c r="N10" s="64">
        <v>9.3000000000000007</v>
      </c>
      <c r="O10" s="64">
        <v>0</v>
      </c>
      <c r="P10" s="64">
        <v>0.43</v>
      </c>
      <c r="Q10" s="64">
        <v>1.74</v>
      </c>
      <c r="R10" s="198"/>
      <c r="S10" s="198"/>
      <c r="T10" s="198"/>
      <c r="U10" s="198"/>
    </row>
    <row r="11" spans="1:21" s="12" customFormat="1" x14ac:dyDescent="0.25">
      <c r="A11" s="214" t="s">
        <v>1787</v>
      </c>
      <c r="B11" s="64">
        <v>4.82</v>
      </c>
      <c r="C11" s="64">
        <v>8.39</v>
      </c>
      <c r="D11" s="64">
        <v>13.21</v>
      </c>
      <c r="E11" s="64">
        <v>4.04</v>
      </c>
      <c r="F11" s="64">
        <v>1.28</v>
      </c>
      <c r="G11" s="64">
        <v>29.85</v>
      </c>
      <c r="H11" s="64">
        <v>12.23</v>
      </c>
      <c r="I11" s="64">
        <v>1.76</v>
      </c>
      <c r="J11" s="64">
        <v>0.02</v>
      </c>
      <c r="K11" s="64">
        <v>355.66</v>
      </c>
      <c r="L11" s="64">
        <v>22.57</v>
      </c>
      <c r="M11" s="64">
        <v>98.73</v>
      </c>
      <c r="N11" s="64">
        <v>9.1999999999999993</v>
      </c>
      <c r="O11" s="64">
        <v>0</v>
      </c>
      <c r="P11" s="64">
        <v>0.44</v>
      </c>
      <c r="Q11" s="64">
        <v>2.14</v>
      </c>
      <c r="R11" s="198"/>
      <c r="S11" s="198"/>
      <c r="T11" s="198"/>
      <c r="U11" s="198"/>
    </row>
    <row r="12" spans="1:21" s="12" customFormat="1" x14ac:dyDescent="0.25">
      <c r="A12" s="214" t="s">
        <v>1788</v>
      </c>
      <c r="B12" s="64">
        <v>4.28</v>
      </c>
      <c r="C12" s="64">
        <v>9.52</v>
      </c>
      <c r="D12" s="64">
        <v>13.8</v>
      </c>
      <c r="E12" s="64">
        <v>4.59</v>
      </c>
      <c r="F12" s="64">
        <v>3.64</v>
      </c>
      <c r="G12" s="64">
        <v>27.54</v>
      </c>
      <c r="H12" s="64">
        <v>13.47</v>
      </c>
      <c r="I12" s="64">
        <v>1.8</v>
      </c>
      <c r="J12" s="64">
        <v>0.02</v>
      </c>
      <c r="K12" s="64">
        <v>64.02</v>
      </c>
      <c r="L12" s="64">
        <v>22.55</v>
      </c>
      <c r="M12" s="64">
        <v>98.73</v>
      </c>
      <c r="N12" s="64">
        <v>9.1999999999999993</v>
      </c>
      <c r="O12" s="64">
        <v>0</v>
      </c>
      <c r="P12" s="64">
        <v>0.37</v>
      </c>
      <c r="Q12" s="64">
        <v>2.97</v>
      </c>
      <c r="R12" s="198"/>
      <c r="S12" s="198"/>
      <c r="T12" s="198"/>
      <c r="U12" s="198"/>
    </row>
    <row r="13" spans="1:21" s="12" customFormat="1" x14ac:dyDescent="0.25">
      <c r="A13" s="214" t="s">
        <v>1789</v>
      </c>
      <c r="B13" s="64">
        <v>3.99</v>
      </c>
      <c r="C13" s="64">
        <v>10.09</v>
      </c>
      <c r="D13" s="64">
        <v>14.08</v>
      </c>
      <c r="E13" s="64">
        <v>4.28</v>
      </c>
      <c r="F13" s="64">
        <v>3.58</v>
      </c>
      <c r="G13" s="64">
        <v>27.54</v>
      </c>
      <c r="H13" s="64">
        <v>13.47</v>
      </c>
      <c r="I13" s="64">
        <v>1.77</v>
      </c>
      <c r="J13" s="64">
        <v>0</v>
      </c>
      <c r="K13" s="64">
        <v>104.39</v>
      </c>
      <c r="L13" s="64">
        <v>22.49</v>
      </c>
      <c r="M13" s="64">
        <v>98.73</v>
      </c>
      <c r="N13" s="64">
        <v>9.3000000000000007</v>
      </c>
      <c r="O13" s="64">
        <v>0</v>
      </c>
      <c r="P13" s="64">
        <v>0.32</v>
      </c>
      <c r="Q13" s="64">
        <v>2.99</v>
      </c>
      <c r="R13" s="198"/>
      <c r="S13" s="198"/>
      <c r="T13" s="198"/>
      <c r="U13" s="198"/>
    </row>
    <row r="14" spans="1:21" s="12" customFormat="1" x14ac:dyDescent="0.25">
      <c r="A14" s="214" t="s">
        <v>1790</v>
      </c>
      <c r="B14" s="64">
        <v>3.71</v>
      </c>
      <c r="C14" s="64">
        <v>9.84</v>
      </c>
      <c r="D14" s="64">
        <v>13.55</v>
      </c>
      <c r="E14" s="64">
        <v>3.93</v>
      </c>
      <c r="F14" s="64">
        <v>5.33</v>
      </c>
      <c r="G14" s="64">
        <v>27.54</v>
      </c>
      <c r="H14" s="64">
        <v>13.47</v>
      </c>
      <c r="I14" s="64">
        <v>1.78</v>
      </c>
      <c r="J14" s="64">
        <v>0.2</v>
      </c>
      <c r="K14" s="64">
        <v>137.94999999999999</v>
      </c>
      <c r="L14" s="64">
        <v>22.34</v>
      </c>
      <c r="M14" s="64">
        <v>98.73</v>
      </c>
      <c r="N14" s="64">
        <v>9.1</v>
      </c>
      <c r="O14" s="64">
        <v>0</v>
      </c>
      <c r="P14" s="64">
        <v>0.34</v>
      </c>
      <c r="Q14" s="64">
        <v>3.21</v>
      </c>
      <c r="R14" s="198"/>
      <c r="S14" s="198"/>
      <c r="T14" s="198"/>
      <c r="U14" s="198"/>
    </row>
    <row r="15" spans="1:21" s="12" customFormat="1" x14ac:dyDescent="0.25">
      <c r="A15" s="214" t="s">
        <v>1791</v>
      </c>
      <c r="B15" s="64">
        <v>3.65</v>
      </c>
      <c r="C15" s="64">
        <v>9.93</v>
      </c>
      <c r="D15" s="64">
        <v>13.58</v>
      </c>
      <c r="E15" s="64">
        <v>4.22</v>
      </c>
      <c r="F15" s="64">
        <v>4.68</v>
      </c>
      <c r="G15" s="64">
        <v>26.63</v>
      </c>
      <c r="H15" s="64">
        <v>11.98</v>
      </c>
      <c r="I15" s="64">
        <v>1.77</v>
      </c>
      <c r="J15" s="64">
        <v>0.03</v>
      </c>
      <c r="K15" s="64">
        <v>156.87</v>
      </c>
      <c r="L15" s="64">
        <v>22.19</v>
      </c>
      <c r="M15" s="64">
        <v>98.75</v>
      </c>
      <c r="N15" s="64">
        <v>9.4</v>
      </c>
      <c r="O15" s="64">
        <v>0</v>
      </c>
      <c r="P15" s="64">
        <v>0.32</v>
      </c>
      <c r="Q15" s="64">
        <v>3.84</v>
      </c>
      <c r="R15" s="198"/>
      <c r="S15" s="198"/>
      <c r="T15" s="198"/>
      <c r="U15" s="198"/>
    </row>
    <row r="16" spans="1:21" s="12" customFormat="1" x14ac:dyDescent="0.25">
      <c r="A16" s="214" t="s">
        <v>1792</v>
      </c>
      <c r="B16" s="64">
        <v>3.9</v>
      </c>
      <c r="C16" s="64">
        <v>9.76</v>
      </c>
      <c r="D16" s="64">
        <v>13.66</v>
      </c>
      <c r="E16" s="64">
        <v>4.55</v>
      </c>
      <c r="F16" s="64">
        <v>2.16</v>
      </c>
      <c r="G16" s="64">
        <v>24.39</v>
      </c>
      <c r="H16" s="64">
        <v>9.4700000000000006</v>
      </c>
      <c r="I16" s="64">
        <v>1.74</v>
      </c>
      <c r="J16" s="64">
        <v>0.1</v>
      </c>
      <c r="K16" s="64">
        <v>193.08</v>
      </c>
      <c r="L16" s="64">
        <v>22.15</v>
      </c>
      <c r="M16" s="64">
        <v>98.76</v>
      </c>
      <c r="N16" s="64">
        <v>9.3000000000000007</v>
      </c>
      <c r="O16" s="64">
        <v>0</v>
      </c>
      <c r="P16" s="64">
        <v>0.36</v>
      </c>
      <c r="Q16" s="64">
        <v>4.2699999999999996</v>
      </c>
      <c r="R16" s="198"/>
      <c r="S16" s="198"/>
      <c r="T16" s="198"/>
      <c r="U16" s="198"/>
    </row>
    <row r="17" spans="1:21" s="12" customFormat="1" x14ac:dyDescent="0.25">
      <c r="A17" s="214" t="s">
        <v>1793</v>
      </c>
      <c r="B17" s="64">
        <v>4.76</v>
      </c>
      <c r="C17" s="64">
        <v>8.5500000000000007</v>
      </c>
      <c r="D17" s="64">
        <v>13.31</v>
      </c>
      <c r="E17" s="64">
        <v>4.6900000000000004</v>
      </c>
      <c r="F17" s="64">
        <v>0.72</v>
      </c>
      <c r="G17" s="64">
        <v>24.39</v>
      </c>
      <c r="H17" s="64">
        <v>9.4700000000000006</v>
      </c>
      <c r="I17" s="64">
        <v>1.83</v>
      </c>
      <c r="J17" s="64">
        <v>0.01</v>
      </c>
      <c r="K17" s="64">
        <v>323.13</v>
      </c>
      <c r="L17" s="64">
        <v>21.98</v>
      </c>
      <c r="M17" s="64">
        <v>98.75</v>
      </c>
      <c r="N17" s="64">
        <v>9.5</v>
      </c>
      <c r="O17" s="64">
        <v>0</v>
      </c>
      <c r="P17" s="64">
        <v>0.39</v>
      </c>
      <c r="Q17" s="64">
        <v>4.83</v>
      </c>
      <c r="R17" s="198"/>
      <c r="S17" s="198"/>
      <c r="T17" s="198"/>
      <c r="U17" s="198"/>
    </row>
    <row r="18" spans="1:21" s="12" customFormat="1" x14ac:dyDescent="0.25">
      <c r="A18" s="214" t="s">
        <v>1794</v>
      </c>
      <c r="B18" s="64">
        <v>4.43</v>
      </c>
      <c r="C18" s="64">
        <v>9.25</v>
      </c>
      <c r="D18" s="64">
        <v>13.68</v>
      </c>
      <c r="E18" s="64">
        <v>4.68</v>
      </c>
      <c r="F18" s="64">
        <v>2.0299999999999998</v>
      </c>
      <c r="G18" s="64">
        <v>24.39</v>
      </c>
      <c r="H18" s="64">
        <v>9.4700000000000006</v>
      </c>
      <c r="I18" s="64">
        <v>1.76</v>
      </c>
      <c r="J18" s="64">
        <v>0.04</v>
      </c>
      <c r="K18" s="64">
        <v>267.27999999999997</v>
      </c>
      <c r="L18" s="64">
        <v>21.87</v>
      </c>
      <c r="M18" s="64">
        <v>98.75</v>
      </c>
      <c r="N18" s="64">
        <v>9.4</v>
      </c>
      <c r="O18" s="64">
        <v>0</v>
      </c>
      <c r="P18" s="64">
        <v>0.35</v>
      </c>
      <c r="Q18" s="64">
        <v>4.3600000000000003</v>
      </c>
      <c r="R18" s="198"/>
      <c r="S18" s="198"/>
      <c r="T18" s="198"/>
      <c r="U18" s="198"/>
    </row>
    <row r="19" spans="1:21" s="12" customFormat="1" x14ac:dyDescent="0.25">
      <c r="A19" s="214" t="s">
        <v>1795</v>
      </c>
      <c r="B19" s="64">
        <v>4.7699999999999996</v>
      </c>
      <c r="C19" s="64">
        <v>8.2200000000000006</v>
      </c>
      <c r="D19" s="64">
        <v>12.99</v>
      </c>
      <c r="E19" s="64">
        <v>4.53</v>
      </c>
      <c r="F19" s="64">
        <v>1.32</v>
      </c>
      <c r="G19" s="64">
        <v>23.34</v>
      </c>
      <c r="H19" s="64">
        <v>10.28</v>
      </c>
      <c r="I19" s="64">
        <v>1.8</v>
      </c>
      <c r="J19" s="64">
        <v>0.1</v>
      </c>
      <c r="K19" s="64">
        <v>224.08</v>
      </c>
      <c r="L19" s="64">
        <v>21.95</v>
      </c>
      <c r="M19" s="64">
        <v>98.75</v>
      </c>
      <c r="N19" s="64">
        <v>9.1</v>
      </c>
      <c r="O19" s="64">
        <v>0</v>
      </c>
      <c r="P19" s="64">
        <v>0.38</v>
      </c>
      <c r="Q19" s="64">
        <v>4.4800000000000004</v>
      </c>
      <c r="R19" s="198"/>
      <c r="S19" s="198"/>
      <c r="T19" s="198"/>
      <c r="U19" s="198"/>
    </row>
    <row r="20" spans="1:21" s="12" customFormat="1" x14ac:dyDescent="0.25">
      <c r="A20" s="214" t="s">
        <v>1796</v>
      </c>
      <c r="B20" s="64">
        <v>4.49</v>
      </c>
      <c r="C20" s="64">
        <v>8.81</v>
      </c>
      <c r="D20" s="64">
        <v>13.3</v>
      </c>
      <c r="E20" s="64">
        <v>4.5999999999999996</v>
      </c>
      <c r="F20" s="64">
        <v>1.49</v>
      </c>
      <c r="G20" s="64">
        <v>20.76</v>
      </c>
      <c r="H20" s="64">
        <v>11.62</v>
      </c>
      <c r="I20" s="64">
        <v>1.81</v>
      </c>
      <c r="J20" s="64">
        <v>0.04</v>
      </c>
      <c r="K20" s="64">
        <v>189.83</v>
      </c>
      <c r="L20" s="64">
        <v>22.02</v>
      </c>
      <c r="M20" s="64">
        <v>98.75</v>
      </c>
      <c r="N20" s="64">
        <v>9.1999999999999993</v>
      </c>
      <c r="O20" s="64">
        <v>0</v>
      </c>
      <c r="P20" s="64">
        <v>0.34</v>
      </c>
      <c r="Q20" s="64">
        <v>4.7300000000000004</v>
      </c>
      <c r="R20" s="198"/>
      <c r="S20" s="198"/>
      <c r="T20" s="198"/>
      <c r="U20" s="198"/>
    </row>
    <row r="21" spans="1:21" s="12" customFormat="1" x14ac:dyDescent="0.25">
      <c r="A21" s="214" t="s">
        <v>1797</v>
      </c>
      <c r="B21" s="64">
        <v>4.7</v>
      </c>
      <c r="C21" s="64">
        <v>7.97</v>
      </c>
      <c r="D21" s="64">
        <v>12.67</v>
      </c>
      <c r="E21" s="64">
        <v>4.7699999999999996</v>
      </c>
      <c r="F21" s="64">
        <v>1.1200000000000001</v>
      </c>
      <c r="G21" s="64">
        <v>20.76</v>
      </c>
      <c r="H21" s="64">
        <v>11.62</v>
      </c>
      <c r="I21" s="64">
        <v>1.82</v>
      </c>
      <c r="J21" s="64">
        <v>0.15</v>
      </c>
      <c r="K21" s="64">
        <v>155.18</v>
      </c>
      <c r="L21" s="64">
        <v>21.87</v>
      </c>
      <c r="M21" s="64">
        <v>98.75</v>
      </c>
      <c r="N21" s="64">
        <v>9.3000000000000007</v>
      </c>
      <c r="O21" s="64">
        <v>0</v>
      </c>
      <c r="P21" s="64">
        <v>0.37</v>
      </c>
      <c r="Q21" s="64">
        <v>4.8099999999999996</v>
      </c>
      <c r="R21" s="198"/>
      <c r="S21" s="198"/>
      <c r="T21" s="198"/>
      <c r="U21" s="198"/>
    </row>
    <row r="22" spans="1:21" s="12" customFormat="1" x14ac:dyDescent="0.25">
      <c r="A22" s="214" t="s">
        <v>1798</v>
      </c>
      <c r="B22" s="64">
        <v>4.6100000000000003</v>
      </c>
      <c r="C22" s="64">
        <v>8.8800000000000008</v>
      </c>
      <c r="D22" s="64">
        <v>13.49</v>
      </c>
      <c r="E22" s="64">
        <v>3.88</v>
      </c>
      <c r="F22" s="64">
        <v>1.56</v>
      </c>
      <c r="G22" s="64">
        <v>20.76</v>
      </c>
      <c r="H22" s="64">
        <v>11.62</v>
      </c>
      <c r="I22" s="64">
        <v>1.81</v>
      </c>
      <c r="J22" s="64">
        <v>7.0000000000000007E-2</v>
      </c>
      <c r="K22" s="64">
        <v>217.56</v>
      </c>
      <c r="L22" s="64">
        <v>21.96</v>
      </c>
      <c r="M22" s="64">
        <v>98.75</v>
      </c>
      <c r="N22" s="64">
        <v>9.1</v>
      </c>
      <c r="O22" s="64">
        <v>0</v>
      </c>
      <c r="P22" s="64">
        <v>0.33</v>
      </c>
      <c r="Q22" s="64">
        <v>4.5199999999999996</v>
      </c>
      <c r="R22" s="198"/>
      <c r="S22" s="198"/>
      <c r="T22" s="198"/>
      <c r="U22" s="198"/>
    </row>
    <row r="23" spans="1:21" s="12" customFormat="1" x14ac:dyDescent="0.25">
      <c r="A23" s="214" t="s">
        <v>1799</v>
      </c>
      <c r="B23" s="64">
        <v>4.6399999999999997</v>
      </c>
      <c r="C23" s="64">
        <v>8.07</v>
      </c>
      <c r="D23" s="64">
        <v>12.72</v>
      </c>
      <c r="E23" s="64">
        <v>4.5999999999999996</v>
      </c>
      <c r="F23" s="64">
        <v>1.55</v>
      </c>
      <c r="G23" s="64">
        <v>19.39</v>
      </c>
      <c r="H23" s="64">
        <v>10.4</v>
      </c>
      <c r="I23" s="64">
        <v>1.82</v>
      </c>
      <c r="J23" s="64">
        <v>0.13</v>
      </c>
      <c r="K23" s="64">
        <v>158.69</v>
      </c>
      <c r="L23" s="64">
        <v>21.84</v>
      </c>
      <c r="M23" s="64">
        <v>98.75</v>
      </c>
      <c r="N23" s="64">
        <v>9.1999999999999993</v>
      </c>
      <c r="O23" s="64">
        <v>0</v>
      </c>
      <c r="P23" s="64">
        <v>0.34</v>
      </c>
      <c r="Q23" s="64">
        <v>4.33</v>
      </c>
      <c r="R23" s="198"/>
      <c r="S23" s="198"/>
      <c r="T23" s="198"/>
      <c r="U23" s="198"/>
    </row>
    <row r="24" spans="1:21" s="12" customFormat="1" x14ac:dyDescent="0.25">
      <c r="A24" s="214" t="s">
        <v>1800</v>
      </c>
      <c r="B24" s="64">
        <v>3.86</v>
      </c>
      <c r="C24" s="64">
        <v>9.9</v>
      </c>
      <c r="D24" s="64">
        <v>13.76</v>
      </c>
      <c r="E24" s="64">
        <v>3.21</v>
      </c>
      <c r="F24" s="64">
        <v>3.11</v>
      </c>
      <c r="G24" s="64">
        <v>16</v>
      </c>
      <c r="H24" s="64">
        <v>8.41</v>
      </c>
      <c r="I24" s="64">
        <v>1.76</v>
      </c>
      <c r="J24" s="64">
        <v>7.0000000000000007E-2</v>
      </c>
      <c r="K24" s="64">
        <v>218.84</v>
      </c>
      <c r="L24" s="64">
        <v>21.69</v>
      </c>
      <c r="M24" s="64">
        <v>98.77</v>
      </c>
      <c r="N24" s="64">
        <v>9.4</v>
      </c>
      <c r="O24" s="64">
        <v>0</v>
      </c>
      <c r="P24" s="64">
        <v>0.3</v>
      </c>
      <c r="Q24" s="64">
        <v>5.29</v>
      </c>
      <c r="R24" s="198"/>
      <c r="S24" s="198"/>
      <c r="T24" s="198"/>
      <c r="U24" s="198"/>
    </row>
    <row r="25" spans="1:21" s="12" customFormat="1" x14ac:dyDescent="0.25">
      <c r="A25" s="214" t="s">
        <v>1801</v>
      </c>
      <c r="B25" s="64">
        <v>4.0599999999999996</v>
      </c>
      <c r="C25" s="64">
        <v>10.24</v>
      </c>
      <c r="D25" s="64">
        <v>14.3</v>
      </c>
      <c r="E25" s="64">
        <v>3.23</v>
      </c>
      <c r="F25" s="64">
        <v>2.4</v>
      </c>
      <c r="G25" s="64">
        <v>16</v>
      </c>
      <c r="H25" s="64">
        <v>8.41</v>
      </c>
      <c r="I25" s="64">
        <v>1.69</v>
      </c>
      <c r="J25" s="64">
        <v>0.25</v>
      </c>
      <c r="K25" s="64">
        <v>152.56</v>
      </c>
      <c r="L25" s="64">
        <v>21.73</v>
      </c>
      <c r="M25" s="64">
        <v>98.77</v>
      </c>
      <c r="N25" s="64">
        <v>9.1</v>
      </c>
      <c r="O25" s="64">
        <v>0</v>
      </c>
      <c r="P25" s="64">
        <v>0.3</v>
      </c>
      <c r="Q25" s="64">
        <v>5.32</v>
      </c>
      <c r="R25" s="198"/>
      <c r="S25" s="198"/>
      <c r="T25" s="198"/>
      <c r="U25" s="198"/>
    </row>
    <row r="26" spans="1:21" s="12" customFormat="1" x14ac:dyDescent="0.25">
      <c r="A26" s="214" t="s">
        <v>1802</v>
      </c>
      <c r="B26" s="64">
        <v>4.46</v>
      </c>
      <c r="C26" s="64">
        <v>9.4</v>
      </c>
      <c r="D26" s="64">
        <v>13.86</v>
      </c>
      <c r="E26" s="64">
        <v>3.59</v>
      </c>
      <c r="F26" s="64">
        <v>1.35</v>
      </c>
      <c r="G26" s="64">
        <v>16</v>
      </c>
      <c r="H26" s="64">
        <v>8.41</v>
      </c>
      <c r="I26" s="64">
        <v>1.73</v>
      </c>
      <c r="J26" s="64">
        <v>0.03</v>
      </c>
      <c r="K26" s="64">
        <v>63.21</v>
      </c>
      <c r="L26" s="64">
        <v>21.81</v>
      </c>
      <c r="M26" s="64">
        <v>98.77</v>
      </c>
      <c r="N26" s="64">
        <v>9.4</v>
      </c>
      <c r="O26" s="64">
        <v>0</v>
      </c>
      <c r="P26" s="64">
        <v>0.33</v>
      </c>
      <c r="Q26" s="64">
        <v>5.32</v>
      </c>
      <c r="R26" s="198"/>
      <c r="S26" s="198"/>
      <c r="T26" s="198"/>
      <c r="U26" s="198"/>
    </row>
    <row r="27" spans="1:21" s="12" customFormat="1" x14ac:dyDescent="0.25">
      <c r="A27" s="214" t="s">
        <v>1803</v>
      </c>
      <c r="B27" s="64">
        <v>4.74</v>
      </c>
      <c r="C27" s="64">
        <v>8.99</v>
      </c>
      <c r="D27" s="64">
        <v>13.72</v>
      </c>
      <c r="E27" s="64">
        <v>3.31</v>
      </c>
      <c r="F27" s="64">
        <v>1.08</v>
      </c>
      <c r="G27" s="64">
        <v>17.22</v>
      </c>
      <c r="H27" s="64">
        <v>7.5</v>
      </c>
      <c r="I27" s="64">
        <v>1.77</v>
      </c>
      <c r="J27" s="64">
        <v>0.36</v>
      </c>
      <c r="K27" s="64">
        <v>147.11000000000001</v>
      </c>
      <c r="L27" s="64">
        <v>21.76</v>
      </c>
      <c r="M27" s="64">
        <v>98.77</v>
      </c>
      <c r="N27" s="64">
        <v>9</v>
      </c>
      <c r="O27" s="64">
        <v>0</v>
      </c>
      <c r="P27" s="64">
        <v>0.33</v>
      </c>
      <c r="Q27" s="64">
        <v>5.45</v>
      </c>
      <c r="R27" s="198"/>
      <c r="S27" s="198"/>
      <c r="T27" s="198"/>
      <c r="U27" s="198"/>
    </row>
    <row r="28" spans="1:21" s="12" customFormat="1" x14ac:dyDescent="0.25">
      <c r="A28" s="214" t="s">
        <v>1804</v>
      </c>
      <c r="B28" s="64">
        <v>5.15</v>
      </c>
      <c r="C28" s="64">
        <v>8.9</v>
      </c>
      <c r="D28" s="64">
        <v>14.05</v>
      </c>
      <c r="E28" s="64">
        <v>3.69</v>
      </c>
      <c r="F28" s="64">
        <v>0.89</v>
      </c>
      <c r="G28" s="64">
        <v>20.22</v>
      </c>
      <c r="H28" s="64">
        <v>6.04</v>
      </c>
      <c r="I28" s="64">
        <v>1.79</v>
      </c>
      <c r="J28" s="64">
        <v>0.02</v>
      </c>
      <c r="K28" s="64">
        <v>169.45</v>
      </c>
      <c r="L28" s="64">
        <v>21.75</v>
      </c>
      <c r="M28" s="64">
        <v>98.78</v>
      </c>
      <c r="N28" s="64">
        <v>9.3000000000000007</v>
      </c>
      <c r="O28" s="64">
        <v>0</v>
      </c>
      <c r="P28" s="64">
        <v>0.33</v>
      </c>
      <c r="Q28" s="64">
        <v>5.86</v>
      </c>
      <c r="R28" s="198"/>
      <c r="S28" s="198"/>
      <c r="T28" s="198"/>
      <c r="U28" s="198"/>
    </row>
    <row r="29" spans="1:21" s="12" customFormat="1" x14ac:dyDescent="0.25">
      <c r="A29" s="214" t="s">
        <v>1805</v>
      </c>
      <c r="B29" s="64">
        <v>5.72</v>
      </c>
      <c r="C29" s="64">
        <v>9.34</v>
      </c>
      <c r="D29" s="64">
        <v>15.07</v>
      </c>
      <c r="E29" s="64">
        <v>3.4</v>
      </c>
      <c r="F29" s="64">
        <v>0.65</v>
      </c>
      <c r="G29" s="64">
        <v>20.22</v>
      </c>
      <c r="H29" s="64">
        <v>6.04</v>
      </c>
      <c r="I29" s="64">
        <v>1.8</v>
      </c>
      <c r="J29" s="64">
        <v>0.26</v>
      </c>
      <c r="K29" s="64">
        <v>148.12</v>
      </c>
      <c r="L29" s="64">
        <v>21.66</v>
      </c>
      <c r="M29" s="64">
        <v>98.8</v>
      </c>
      <c r="N29" s="64">
        <v>9.1999999999999993</v>
      </c>
      <c r="O29" s="64">
        <v>0</v>
      </c>
      <c r="P29" s="64">
        <v>0.33</v>
      </c>
      <c r="Q29" s="64">
        <v>5.92</v>
      </c>
      <c r="R29" s="198"/>
      <c r="S29" s="198"/>
      <c r="T29" s="198"/>
      <c r="U29" s="198"/>
    </row>
    <row r="30" spans="1:21" s="12" customFormat="1" x14ac:dyDescent="0.25">
      <c r="A30" s="214" t="s">
        <v>1806</v>
      </c>
      <c r="B30" s="64">
        <v>6.15</v>
      </c>
      <c r="C30" s="64">
        <v>8.5</v>
      </c>
      <c r="D30" s="64">
        <v>14.65</v>
      </c>
      <c r="E30" s="64">
        <v>3.44</v>
      </c>
      <c r="F30" s="64">
        <v>0.9</v>
      </c>
      <c r="G30" s="64">
        <v>20.22</v>
      </c>
      <c r="H30" s="64">
        <v>6.04</v>
      </c>
      <c r="I30" s="64">
        <v>1.77</v>
      </c>
      <c r="J30" s="64">
        <v>0.14000000000000001</v>
      </c>
      <c r="K30" s="64">
        <v>141.66999999999999</v>
      </c>
      <c r="L30" s="64">
        <v>21.65</v>
      </c>
      <c r="M30" s="64">
        <v>98.8</v>
      </c>
      <c r="N30" s="64">
        <v>9.4</v>
      </c>
      <c r="O30" s="64">
        <v>0</v>
      </c>
      <c r="P30" s="64">
        <v>0.35</v>
      </c>
      <c r="Q30" s="64">
        <v>5.66</v>
      </c>
      <c r="R30" s="198"/>
      <c r="S30" s="198"/>
      <c r="T30" s="198"/>
      <c r="U30" s="198"/>
    </row>
    <row r="31" spans="1:21" s="12" customFormat="1" x14ac:dyDescent="0.25">
      <c r="A31" s="214" t="s">
        <v>1807</v>
      </c>
      <c r="B31" s="64">
        <v>6.56</v>
      </c>
      <c r="C31" s="64">
        <v>8.9600000000000009</v>
      </c>
      <c r="D31" s="64">
        <v>15.52</v>
      </c>
      <c r="E31" s="64">
        <v>3.62</v>
      </c>
      <c r="F31" s="64">
        <v>0.57999999999999996</v>
      </c>
      <c r="G31" s="64">
        <v>19.77</v>
      </c>
      <c r="H31" s="64">
        <v>6.4</v>
      </c>
      <c r="I31" s="64">
        <v>1.75</v>
      </c>
      <c r="J31" s="64">
        <v>0.41</v>
      </c>
      <c r="K31" s="64">
        <v>161.68</v>
      </c>
      <c r="L31" s="64">
        <v>21.69</v>
      </c>
      <c r="M31" s="64">
        <v>98.8</v>
      </c>
      <c r="N31" s="64">
        <v>11.1</v>
      </c>
      <c r="O31" s="64">
        <v>0</v>
      </c>
      <c r="P31" s="64">
        <v>0.33</v>
      </c>
      <c r="Q31" s="64">
        <v>6.45</v>
      </c>
      <c r="R31" s="198"/>
      <c r="S31" s="198"/>
      <c r="T31" s="198"/>
      <c r="U31" s="198"/>
    </row>
    <row r="32" spans="1:21" s="12" customFormat="1" x14ac:dyDescent="0.25">
      <c r="A32" s="214" t="s">
        <v>1808</v>
      </c>
      <c r="B32" s="64">
        <v>7.3</v>
      </c>
      <c r="C32" s="64">
        <v>8.5299999999999994</v>
      </c>
      <c r="D32" s="64">
        <v>15.83</v>
      </c>
      <c r="E32" s="64">
        <v>3.22</v>
      </c>
      <c r="F32" s="64">
        <v>1.17</v>
      </c>
      <c r="G32" s="64">
        <v>18.66</v>
      </c>
      <c r="H32" s="64">
        <v>7.9</v>
      </c>
      <c r="I32" s="64">
        <v>1.77</v>
      </c>
      <c r="J32" s="64">
        <v>0.48</v>
      </c>
      <c r="K32" s="64">
        <v>163.36000000000001</v>
      </c>
      <c r="L32" s="64">
        <v>21.75</v>
      </c>
      <c r="M32" s="64">
        <v>98.8</v>
      </c>
      <c r="N32" s="64">
        <v>18.3</v>
      </c>
      <c r="O32" s="64">
        <v>0</v>
      </c>
      <c r="P32" s="64">
        <v>0.34</v>
      </c>
      <c r="Q32" s="64">
        <v>5.94</v>
      </c>
      <c r="R32" s="198"/>
      <c r="S32" s="198"/>
      <c r="T32" s="198"/>
      <c r="U32" s="198"/>
    </row>
    <row r="33" spans="1:21" s="12" customFormat="1" x14ac:dyDescent="0.25">
      <c r="A33" s="214" t="s">
        <v>1809</v>
      </c>
      <c r="B33" s="64">
        <v>8.14</v>
      </c>
      <c r="C33" s="64">
        <v>9.3800000000000008</v>
      </c>
      <c r="D33" s="64">
        <v>17.52</v>
      </c>
      <c r="E33" s="64">
        <v>3.5</v>
      </c>
      <c r="F33" s="64">
        <v>0.2</v>
      </c>
      <c r="G33" s="64">
        <v>18.66</v>
      </c>
      <c r="H33" s="64">
        <v>7.9</v>
      </c>
      <c r="I33" s="64">
        <v>1.82</v>
      </c>
      <c r="J33" s="64">
        <v>0.3</v>
      </c>
      <c r="K33" s="64">
        <v>144.46</v>
      </c>
      <c r="L33" s="64">
        <v>21.84</v>
      </c>
      <c r="M33" s="64">
        <v>98.79</v>
      </c>
      <c r="N33" s="64">
        <v>36.9</v>
      </c>
      <c r="O33" s="64">
        <v>0</v>
      </c>
      <c r="P33" s="64">
        <v>0.33</v>
      </c>
      <c r="Q33" s="64">
        <v>6.75</v>
      </c>
      <c r="R33" s="198"/>
      <c r="S33" s="198"/>
      <c r="T33" s="198"/>
      <c r="U33" s="198"/>
    </row>
    <row r="34" spans="1:21" s="12" customFormat="1" x14ac:dyDescent="0.25">
      <c r="A34" s="214" t="s">
        <v>1810</v>
      </c>
      <c r="B34" s="64">
        <v>8.64</v>
      </c>
      <c r="C34" s="64">
        <v>8.85</v>
      </c>
      <c r="D34" s="64">
        <v>17.489999999999998</v>
      </c>
      <c r="E34" s="64">
        <v>3.13</v>
      </c>
      <c r="F34" s="64">
        <v>0.85</v>
      </c>
      <c r="G34" s="64">
        <v>18.66</v>
      </c>
      <c r="H34" s="64">
        <v>7.9</v>
      </c>
      <c r="I34" s="64">
        <v>1.81</v>
      </c>
      <c r="J34" s="64">
        <v>0.23</v>
      </c>
      <c r="K34" s="64">
        <v>172.85</v>
      </c>
      <c r="L34" s="64">
        <v>22.12</v>
      </c>
      <c r="M34" s="64">
        <v>98.75</v>
      </c>
      <c r="N34" s="64">
        <v>37.799999999999997</v>
      </c>
      <c r="O34" s="64">
        <v>0</v>
      </c>
      <c r="P34" s="64">
        <v>0.34</v>
      </c>
      <c r="Q34" s="64">
        <v>6.11</v>
      </c>
      <c r="R34" s="198"/>
      <c r="S34" s="198"/>
      <c r="T34" s="198"/>
      <c r="U34" s="198"/>
    </row>
    <row r="35" spans="1:21" s="12" customFormat="1" x14ac:dyDescent="0.25">
      <c r="A35" s="214" t="s">
        <v>1811</v>
      </c>
      <c r="B35" s="64">
        <v>9</v>
      </c>
      <c r="C35" s="64">
        <v>9.67</v>
      </c>
      <c r="D35" s="64">
        <v>18.670000000000002</v>
      </c>
      <c r="E35" s="64">
        <v>3.09</v>
      </c>
      <c r="F35" s="64">
        <v>0.67</v>
      </c>
      <c r="G35" s="64">
        <v>17.649999999999999</v>
      </c>
      <c r="H35" s="64">
        <v>7.76</v>
      </c>
      <c r="I35" s="64">
        <v>1.82</v>
      </c>
      <c r="J35" s="64">
        <v>0.43</v>
      </c>
      <c r="K35" s="64">
        <v>146.69</v>
      </c>
      <c r="L35" s="64">
        <v>22.15</v>
      </c>
      <c r="M35" s="64">
        <v>98.75</v>
      </c>
      <c r="N35" s="64">
        <v>51.2</v>
      </c>
      <c r="O35" s="64">
        <v>0</v>
      </c>
      <c r="P35" s="64">
        <v>0.36</v>
      </c>
      <c r="Q35" s="64">
        <v>8.1199999999999992</v>
      </c>
      <c r="R35" s="198"/>
      <c r="S35" s="198"/>
      <c r="T35" s="198"/>
      <c r="U35" s="198"/>
    </row>
    <row r="36" spans="1:21" s="12" customFormat="1" x14ac:dyDescent="0.25">
      <c r="A36" s="214" t="s">
        <v>1812</v>
      </c>
      <c r="B36" s="64">
        <v>9.23</v>
      </c>
      <c r="C36" s="64">
        <v>9.73</v>
      </c>
      <c r="D36" s="64">
        <v>18.96</v>
      </c>
      <c r="E36" s="64">
        <v>4.18</v>
      </c>
      <c r="F36" s="64">
        <v>1.18</v>
      </c>
      <c r="G36" s="64">
        <v>15.16</v>
      </c>
      <c r="H36" s="64">
        <v>7.51</v>
      </c>
      <c r="I36" s="64">
        <v>1.78</v>
      </c>
      <c r="J36" s="64">
        <v>0.46</v>
      </c>
      <c r="K36" s="64">
        <v>161.07</v>
      </c>
      <c r="L36" s="64">
        <v>22.89</v>
      </c>
      <c r="M36" s="64">
        <v>98.35</v>
      </c>
      <c r="N36" s="64">
        <v>185.1</v>
      </c>
      <c r="O36" s="64">
        <v>0</v>
      </c>
      <c r="P36" s="64">
        <v>0.35</v>
      </c>
      <c r="Q36" s="64">
        <v>8.52</v>
      </c>
      <c r="R36" s="198"/>
      <c r="S36" s="198"/>
      <c r="T36" s="198"/>
      <c r="U36" s="198"/>
    </row>
    <row r="37" spans="1:21" s="12" customFormat="1" x14ac:dyDescent="0.25">
      <c r="A37" s="214" t="s">
        <v>1813</v>
      </c>
      <c r="B37" s="64">
        <v>10.76</v>
      </c>
      <c r="C37" s="64">
        <v>10.87</v>
      </c>
      <c r="D37" s="64">
        <v>21.63</v>
      </c>
      <c r="E37" s="64">
        <v>3.69</v>
      </c>
      <c r="F37" s="64">
        <v>0.7</v>
      </c>
      <c r="G37" s="64">
        <v>15.16</v>
      </c>
      <c r="H37" s="64">
        <v>7.51</v>
      </c>
      <c r="I37" s="64">
        <v>1.79</v>
      </c>
      <c r="J37" s="64">
        <v>0.82</v>
      </c>
      <c r="K37" s="64">
        <v>150.30000000000001</v>
      </c>
      <c r="L37" s="64">
        <v>24.18</v>
      </c>
      <c r="M37" s="64">
        <v>93</v>
      </c>
      <c r="N37" s="64">
        <v>266.5</v>
      </c>
      <c r="O37" s="64">
        <v>0</v>
      </c>
      <c r="P37" s="64">
        <v>0.33</v>
      </c>
      <c r="Q37" s="64">
        <v>8.57</v>
      </c>
      <c r="R37" s="198"/>
      <c r="S37" s="198"/>
      <c r="T37" s="198"/>
      <c r="U37" s="198"/>
    </row>
    <row r="38" spans="1:21" s="12" customFormat="1" x14ac:dyDescent="0.25">
      <c r="A38" s="214" t="s">
        <v>1814</v>
      </c>
      <c r="B38" s="64">
        <v>9.67</v>
      </c>
      <c r="C38" s="64">
        <v>9.86</v>
      </c>
      <c r="D38" s="64">
        <v>19.53</v>
      </c>
      <c r="E38" s="64">
        <v>3.96</v>
      </c>
      <c r="F38" s="64">
        <v>2.04</v>
      </c>
      <c r="G38" s="64">
        <v>15.16</v>
      </c>
      <c r="H38" s="64">
        <v>7.51</v>
      </c>
      <c r="I38" s="64">
        <v>1.83</v>
      </c>
      <c r="J38" s="64">
        <v>0.59</v>
      </c>
      <c r="K38" s="64">
        <v>143.31</v>
      </c>
      <c r="L38" s="64">
        <v>24.96</v>
      </c>
      <c r="M38" s="64">
        <v>89.28</v>
      </c>
      <c r="N38" s="64">
        <v>330.3</v>
      </c>
      <c r="O38" s="64">
        <v>0</v>
      </c>
      <c r="P38" s="64">
        <v>0.33</v>
      </c>
      <c r="Q38" s="64">
        <v>9.01</v>
      </c>
      <c r="R38" s="198"/>
      <c r="S38" s="198"/>
      <c r="T38" s="198"/>
      <c r="U38" s="198"/>
    </row>
    <row r="39" spans="1:21" s="12" customFormat="1" x14ac:dyDescent="0.25">
      <c r="A39" s="214" t="s">
        <v>1815</v>
      </c>
      <c r="B39" s="64">
        <v>9.19</v>
      </c>
      <c r="C39" s="64">
        <v>9.2899999999999991</v>
      </c>
      <c r="D39" s="64">
        <v>18.48</v>
      </c>
      <c r="E39" s="64">
        <v>3.95</v>
      </c>
      <c r="F39" s="64">
        <v>1.33</v>
      </c>
      <c r="G39" s="64">
        <v>16.73</v>
      </c>
      <c r="H39" s="64">
        <v>7.1</v>
      </c>
      <c r="I39" s="64">
        <v>1.84</v>
      </c>
      <c r="J39" s="64">
        <v>0.16</v>
      </c>
      <c r="K39" s="64">
        <v>139.03</v>
      </c>
      <c r="L39" s="64">
        <v>25.84</v>
      </c>
      <c r="M39" s="64">
        <v>86.7</v>
      </c>
      <c r="N39" s="64">
        <v>389.3</v>
      </c>
      <c r="O39" s="64">
        <v>0</v>
      </c>
      <c r="P39" s="64">
        <v>0.33</v>
      </c>
      <c r="Q39" s="64">
        <v>8.48</v>
      </c>
      <c r="R39" s="198"/>
      <c r="S39" s="198"/>
      <c r="T39" s="198"/>
      <c r="U39" s="198"/>
    </row>
    <row r="40" spans="1:21" s="12" customFormat="1" x14ac:dyDescent="0.25">
      <c r="A40" s="214" t="s">
        <v>1816</v>
      </c>
      <c r="B40" s="64">
        <v>8.92</v>
      </c>
      <c r="C40" s="64">
        <v>9.48</v>
      </c>
      <c r="D40" s="64">
        <v>18.399999999999999</v>
      </c>
      <c r="E40" s="64">
        <v>3.01</v>
      </c>
      <c r="F40" s="64">
        <v>0.44</v>
      </c>
      <c r="G40" s="64">
        <v>20.59</v>
      </c>
      <c r="H40" s="64">
        <v>6.42</v>
      </c>
      <c r="I40" s="64">
        <v>1.83</v>
      </c>
      <c r="J40" s="64">
        <v>0.06</v>
      </c>
      <c r="K40" s="64">
        <v>170.87</v>
      </c>
      <c r="L40" s="64">
        <v>26.36</v>
      </c>
      <c r="M40" s="64">
        <v>83.51</v>
      </c>
      <c r="N40" s="64">
        <v>443</v>
      </c>
      <c r="O40" s="64">
        <v>0</v>
      </c>
      <c r="P40" s="64">
        <v>0.34</v>
      </c>
      <c r="Q40" s="64">
        <v>7.44</v>
      </c>
      <c r="R40" s="198"/>
      <c r="S40" s="198"/>
      <c r="T40" s="198"/>
      <c r="U40" s="198"/>
    </row>
    <row r="41" spans="1:21" s="12" customFormat="1" x14ac:dyDescent="0.25">
      <c r="A41" s="214" t="s">
        <v>1817</v>
      </c>
      <c r="B41" s="64">
        <v>8.35</v>
      </c>
      <c r="C41" s="64">
        <v>9.59</v>
      </c>
      <c r="D41" s="64">
        <v>17.940000000000001</v>
      </c>
      <c r="E41" s="64">
        <v>3.57</v>
      </c>
      <c r="F41" s="64">
        <v>1.67</v>
      </c>
      <c r="G41" s="64">
        <v>20.59</v>
      </c>
      <c r="H41" s="64">
        <v>6.42</v>
      </c>
      <c r="I41" s="64">
        <v>1.83</v>
      </c>
      <c r="J41" s="64">
        <v>0.69</v>
      </c>
      <c r="K41" s="64">
        <v>140.05000000000001</v>
      </c>
      <c r="L41" s="64">
        <v>26.71</v>
      </c>
      <c r="M41" s="64">
        <v>82.01</v>
      </c>
      <c r="N41" s="64">
        <v>500.8</v>
      </c>
      <c r="O41" s="64">
        <v>0</v>
      </c>
      <c r="P41" s="64">
        <v>0.33</v>
      </c>
      <c r="Q41" s="64">
        <v>6.5</v>
      </c>
      <c r="R41" s="198"/>
      <c r="S41" s="198"/>
      <c r="T41" s="198"/>
      <c r="U41" s="198"/>
    </row>
    <row r="42" spans="1:21" s="12" customFormat="1" x14ac:dyDescent="0.25">
      <c r="A42" s="214" t="s">
        <v>1818</v>
      </c>
      <c r="B42" s="64">
        <v>7.84</v>
      </c>
      <c r="C42" s="64">
        <v>9.2899999999999991</v>
      </c>
      <c r="D42" s="64">
        <v>17.13</v>
      </c>
      <c r="E42" s="64">
        <v>3.68</v>
      </c>
      <c r="F42" s="64">
        <v>1.97</v>
      </c>
      <c r="G42" s="64">
        <v>20.59</v>
      </c>
      <c r="H42" s="64">
        <v>6.42</v>
      </c>
      <c r="I42" s="64">
        <v>1.81</v>
      </c>
      <c r="J42" s="64">
        <v>0.04</v>
      </c>
      <c r="K42" s="64">
        <v>183.23</v>
      </c>
      <c r="L42" s="64">
        <v>27.06</v>
      </c>
      <c r="M42" s="64">
        <v>80.39</v>
      </c>
      <c r="N42" s="64">
        <v>551.70000000000005</v>
      </c>
      <c r="O42" s="64">
        <v>0</v>
      </c>
      <c r="P42" s="64">
        <v>0.34</v>
      </c>
      <c r="Q42" s="64">
        <v>5.27</v>
      </c>
      <c r="R42" s="198"/>
      <c r="S42" s="198"/>
      <c r="T42" s="198"/>
      <c r="U42" s="198"/>
    </row>
    <row r="43" spans="1:21" s="12" customFormat="1" x14ac:dyDescent="0.25">
      <c r="A43" s="214" t="s">
        <v>1819</v>
      </c>
      <c r="B43" s="64">
        <v>7.31</v>
      </c>
      <c r="C43" s="64">
        <v>9.83</v>
      </c>
      <c r="D43" s="64">
        <v>17.14</v>
      </c>
      <c r="E43" s="64">
        <v>3.62</v>
      </c>
      <c r="F43" s="64">
        <v>1.49</v>
      </c>
      <c r="G43" s="64">
        <v>20.3</v>
      </c>
      <c r="H43" s="64">
        <v>6.96</v>
      </c>
      <c r="I43" s="64">
        <v>1.81</v>
      </c>
      <c r="J43" s="64">
        <v>0.4</v>
      </c>
      <c r="K43" s="64">
        <v>138.41999999999999</v>
      </c>
      <c r="L43" s="64">
        <v>27.04</v>
      </c>
      <c r="M43" s="64">
        <v>81.150000000000006</v>
      </c>
      <c r="N43" s="64">
        <v>626.6</v>
      </c>
      <c r="O43" s="64">
        <v>0</v>
      </c>
      <c r="P43" s="64">
        <v>0.32</v>
      </c>
      <c r="Q43" s="64">
        <v>5.76</v>
      </c>
      <c r="R43" s="198"/>
      <c r="S43" s="198"/>
      <c r="T43" s="198"/>
      <c r="U43" s="198"/>
    </row>
    <row r="44" spans="1:21" s="12" customFormat="1" x14ac:dyDescent="0.25">
      <c r="A44" s="214" t="s">
        <v>1820</v>
      </c>
      <c r="B44" s="64">
        <v>6.92</v>
      </c>
      <c r="C44" s="64">
        <v>9.74</v>
      </c>
      <c r="D44" s="64">
        <v>16.66</v>
      </c>
      <c r="E44" s="64">
        <v>3.18</v>
      </c>
      <c r="F44" s="64">
        <v>1.44</v>
      </c>
      <c r="G44" s="64">
        <v>19.57</v>
      </c>
      <c r="H44" s="64">
        <v>7.82</v>
      </c>
      <c r="I44" s="64">
        <v>1.81</v>
      </c>
      <c r="J44" s="64">
        <v>0.19</v>
      </c>
      <c r="K44" s="64">
        <v>351.19</v>
      </c>
      <c r="L44" s="64">
        <v>29.55</v>
      </c>
      <c r="M44" s="64">
        <v>71.06</v>
      </c>
      <c r="N44" s="64">
        <v>620.29999999999995</v>
      </c>
      <c r="O44" s="64">
        <v>0</v>
      </c>
      <c r="P44" s="64">
        <v>0.34</v>
      </c>
      <c r="Q44" s="64">
        <v>4.4000000000000004</v>
      </c>
      <c r="R44" s="198"/>
      <c r="S44" s="198"/>
      <c r="T44" s="198"/>
      <c r="U44" s="198"/>
    </row>
    <row r="45" spans="1:21" s="12" customFormat="1" x14ac:dyDescent="0.25">
      <c r="A45" s="214" t="s">
        <v>1821</v>
      </c>
      <c r="B45" s="64">
        <v>6.6</v>
      </c>
      <c r="C45" s="64">
        <v>10.119999999999999</v>
      </c>
      <c r="D45" s="64">
        <v>16.72</v>
      </c>
      <c r="E45" s="64">
        <v>3.57</v>
      </c>
      <c r="F45" s="64">
        <v>1.54</v>
      </c>
      <c r="G45" s="64">
        <v>19.57</v>
      </c>
      <c r="H45" s="64">
        <v>7.82</v>
      </c>
      <c r="I45" s="64">
        <v>1.81</v>
      </c>
      <c r="J45" s="64">
        <v>0.18</v>
      </c>
      <c r="K45" s="64">
        <v>97.86</v>
      </c>
      <c r="L45" s="64">
        <v>29.36</v>
      </c>
      <c r="M45" s="64">
        <v>71.260000000000005</v>
      </c>
      <c r="N45" s="64">
        <v>697.1</v>
      </c>
      <c r="O45" s="64">
        <v>0</v>
      </c>
      <c r="P45" s="64">
        <v>0.33</v>
      </c>
      <c r="Q45" s="64">
        <v>5.1100000000000003</v>
      </c>
      <c r="R45" s="198"/>
      <c r="S45" s="198"/>
      <c r="T45" s="198"/>
      <c r="U45" s="198"/>
    </row>
    <row r="46" spans="1:21" s="12" customFormat="1" x14ac:dyDescent="0.25">
      <c r="A46" s="214" t="s">
        <v>1822</v>
      </c>
      <c r="B46" s="64">
        <v>7</v>
      </c>
      <c r="C46" s="64">
        <v>10.89</v>
      </c>
      <c r="D46" s="64">
        <v>17.88</v>
      </c>
      <c r="E46" s="64">
        <v>3.66</v>
      </c>
      <c r="F46" s="64">
        <v>1.18</v>
      </c>
      <c r="G46" s="64">
        <v>19.57</v>
      </c>
      <c r="H46" s="64">
        <v>7.82</v>
      </c>
      <c r="I46" s="64">
        <v>1.81</v>
      </c>
      <c r="J46" s="64">
        <v>0.17</v>
      </c>
      <c r="K46" s="64">
        <v>7.08</v>
      </c>
      <c r="L46" s="64">
        <v>30.3</v>
      </c>
      <c r="M46" s="64">
        <v>67.650000000000006</v>
      </c>
      <c r="N46" s="64">
        <v>738.1</v>
      </c>
      <c r="O46" s="64">
        <v>0</v>
      </c>
      <c r="P46" s="64">
        <v>0.35</v>
      </c>
      <c r="Q46" s="64">
        <v>4.41</v>
      </c>
      <c r="R46" s="198"/>
      <c r="S46" s="198"/>
      <c r="T46" s="198"/>
      <c r="U46" s="198"/>
    </row>
    <row r="47" spans="1:21" s="12" customFormat="1" x14ac:dyDescent="0.25">
      <c r="A47" s="214" t="s">
        <v>1823</v>
      </c>
      <c r="B47" s="64">
        <v>6.73</v>
      </c>
      <c r="C47" s="64">
        <v>11.97</v>
      </c>
      <c r="D47" s="64">
        <v>18.7</v>
      </c>
      <c r="E47" s="64">
        <v>3.61</v>
      </c>
      <c r="F47" s="64">
        <v>1.68</v>
      </c>
      <c r="G47" s="64">
        <v>20.68</v>
      </c>
      <c r="H47" s="64">
        <v>7.53</v>
      </c>
      <c r="I47" s="64">
        <v>1.72</v>
      </c>
      <c r="J47" s="64">
        <v>0.11</v>
      </c>
      <c r="K47" s="64">
        <v>359.7</v>
      </c>
      <c r="L47" s="64">
        <v>30.03</v>
      </c>
      <c r="M47" s="64">
        <v>65.680000000000007</v>
      </c>
      <c r="N47" s="64">
        <v>766.5</v>
      </c>
      <c r="O47" s="64">
        <v>0</v>
      </c>
      <c r="P47" s="64">
        <v>0.4</v>
      </c>
      <c r="Q47" s="64">
        <v>4.5199999999999996</v>
      </c>
      <c r="R47" s="198"/>
      <c r="S47" s="198"/>
      <c r="T47" s="198"/>
      <c r="U47" s="198"/>
    </row>
    <row r="48" spans="1:21" s="12" customFormat="1" x14ac:dyDescent="0.25">
      <c r="A48" s="214" t="s">
        <v>1824</v>
      </c>
      <c r="B48" s="64">
        <v>6.3</v>
      </c>
      <c r="C48" s="64">
        <v>12.94</v>
      </c>
      <c r="D48" s="64">
        <v>19.23</v>
      </c>
      <c r="E48" s="64">
        <v>3.28</v>
      </c>
      <c r="F48" s="64">
        <v>1.77</v>
      </c>
      <c r="G48" s="64">
        <v>23.41</v>
      </c>
      <c r="H48" s="64">
        <v>7.05</v>
      </c>
      <c r="I48" s="64">
        <v>1.82</v>
      </c>
      <c r="J48" s="64">
        <v>0.37</v>
      </c>
      <c r="K48" s="64">
        <v>355.57</v>
      </c>
      <c r="L48" s="64">
        <v>29.22</v>
      </c>
      <c r="M48" s="64">
        <v>68.66</v>
      </c>
      <c r="N48" s="64">
        <v>773.3</v>
      </c>
      <c r="O48" s="64">
        <v>0</v>
      </c>
      <c r="P48" s="64">
        <v>0.42</v>
      </c>
      <c r="Q48" s="64">
        <v>4.99</v>
      </c>
      <c r="R48" s="198"/>
      <c r="S48" s="198"/>
      <c r="T48" s="198"/>
      <c r="U48" s="198"/>
    </row>
    <row r="49" spans="1:21" s="12" customFormat="1" x14ac:dyDescent="0.25">
      <c r="A49" s="214" t="s">
        <v>1825</v>
      </c>
      <c r="B49" s="64">
        <v>6.2</v>
      </c>
      <c r="C49" s="64">
        <v>14.87</v>
      </c>
      <c r="D49" s="64">
        <v>21.07</v>
      </c>
      <c r="E49" s="64">
        <v>3.74</v>
      </c>
      <c r="F49" s="64">
        <v>1.81</v>
      </c>
      <c r="G49" s="64">
        <v>23.41</v>
      </c>
      <c r="H49" s="64">
        <v>7.05</v>
      </c>
      <c r="I49" s="64">
        <v>1.79</v>
      </c>
      <c r="J49" s="64">
        <v>0.13</v>
      </c>
      <c r="K49" s="64">
        <v>11.9</v>
      </c>
      <c r="L49" s="64">
        <v>30.03</v>
      </c>
      <c r="M49" s="64">
        <v>63.83</v>
      </c>
      <c r="N49" s="64">
        <v>875.9</v>
      </c>
      <c r="O49" s="64">
        <v>0</v>
      </c>
      <c r="P49" s="64">
        <v>0.45</v>
      </c>
      <c r="Q49" s="64">
        <v>4.66</v>
      </c>
      <c r="R49" s="198"/>
      <c r="S49" s="198"/>
      <c r="T49" s="198"/>
      <c r="U49" s="198"/>
    </row>
    <row r="50" spans="1:21" s="12" customFormat="1" x14ac:dyDescent="0.25">
      <c r="A50" s="214" t="s">
        <v>1826</v>
      </c>
      <c r="B50" s="64">
        <v>5.54</v>
      </c>
      <c r="C50" s="64">
        <v>14.92</v>
      </c>
      <c r="D50" s="64">
        <v>20.45</v>
      </c>
      <c r="E50" s="64">
        <v>3.71</v>
      </c>
      <c r="F50" s="64">
        <v>1.78</v>
      </c>
      <c r="G50" s="64">
        <v>23.41</v>
      </c>
      <c r="H50" s="64">
        <v>7.05</v>
      </c>
      <c r="I50" s="64">
        <v>1.82</v>
      </c>
      <c r="J50" s="64">
        <v>0.16</v>
      </c>
      <c r="K50" s="64">
        <v>4.91</v>
      </c>
      <c r="L50" s="64">
        <v>29.37</v>
      </c>
      <c r="M50" s="64">
        <v>65.3</v>
      </c>
      <c r="N50" s="64">
        <v>743.8</v>
      </c>
      <c r="O50" s="64">
        <v>0</v>
      </c>
      <c r="P50" s="64">
        <v>0.48</v>
      </c>
      <c r="Q50" s="64">
        <v>4.51</v>
      </c>
      <c r="R50" s="198"/>
      <c r="S50" s="198"/>
      <c r="T50" s="198"/>
      <c r="U50" s="198"/>
    </row>
    <row r="51" spans="1:21" s="12" customFormat="1" x14ac:dyDescent="0.25">
      <c r="A51" s="214" t="s">
        <v>1827</v>
      </c>
      <c r="B51" s="64">
        <v>4.91</v>
      </c>
      <c r="C51" s="64">
        <v>15.6</v>
      </c>
      <c r="D51" s="64">
        <v>20.52</v>
      </c>
      <c r="E51" s="64">
        <v>3.67</v>
      </c>
      <c r="F51" s="64">
        <v>2.0499999999999998</v>
      </c>
      <c r="G51" s="64">
        <v>25.31</v>
      </c>
      <c r="H51" s="64">
        <v>9.4</v>
      </c>
      <c r="I51" s="64">
        <v>1.82</v>
      </c>
      <c r="J51" s="64">
        <v>0.22</v>
      </c>
      <c r="K51" s="64">
        <v>15.88</v>
      </c>
      <c r="L51" s="64">
        <v>30.27</v>
      </c>
      <c r="M51" s="64">
        <v>60.68</v>
      </c>
      <c r="N51" s="64">
        <v>866</v>
      </c>
      <c r="O51" s="64">
        <v>0</v>
      </c>
      <c r="P51" s="64">
        <v>0.51</v>
      </c>
      <c r="Q51" s="64">
        <v>4.1900000000000004</v>
      </c>
      <c r="R51" s="198"/>
      <c r="S51" s="198"/>
      <c r="T51" s="198"/>
      <c r="U51" s="198"/>
    </row>
    <row r="52" spans="1:21" s="12" customFormat="1" x14ac:dyDescent="0.25">
      <c r="A52" s="214" t="s">
        <v>1828</v>
      </c>
      <c r="B52" s="64">
        <v>4.17</v>
      </c>
      <c r="C52" s="64">
        <v>15.17</v>
      </c>
      <c r="D52" s="64">
        <v>19.34</v>
      </c>
      <c r="E52" s="64">
        <v>3.69</v>
      </c>
      <c r="F52" s="64">
        <v>1.65</v>
      </c>
      <c r="G52" s="64">
        <v>30</v>
      </c>
      <c r="H52" s="64">
        <v>13.1</v>
      </c>
      <c r="I52" s="64">
        <v>1.8</v>
      </c>
      <c r="J52" s="64">
        <v>0.09</v>
      </c>
      <c r="K52" s="64">
        <v>4.67</v>
      </c>
      <c r="L52" s="64">
        <v>28.49</v>
      </c>
      <c r="M52" s="64">
        <v>63.46</v>
      </c>
      <c r="N52" s="64">
        <v>589.70000000000005</v>
      </c>
      <c r="O52" s="64">
        <v>0</v>
      </c>
      <c r="P52" s="64">
        <v>0.49</v>
      </c>
      <c r="Q52" s="64">
        <v>4.0999999999999996</v>
      </c>
      <c r="R52" s="198"/>
      <c r="S52" s="198"/>
      <c r="T52" s="198"/>
      <c r="U52" s="198"/>
    </row>
    <row r="53" spans="1:21" s="12" customFormat="1" x14ac:dyDescent="0.25">
      <c r="A53" s="214" t="s">
        <v>1829</v>
      </c>
      <c r="B53" s="64">
        <v>3.4</v>
      </c>
      <c r="C53" s="64">
        <v>13.82</v>
      </c>
      <c r="D53" s="64">
        <v>17.22</v>
      </c>
      <c r="E53" s="64">
        <v>3.66</v>
      </c>
      <c r="F53" s="64">
        <v>2.34</v>
      </c>
      <c r="G53" s="64">
        <v>30</v>
      </c>
      <c r="H53" s="64">
        <v>13.1</v>
      </c>
      <c r="I53" s="64">
        <v>1.79</v>
      </c>
      <c r="J53" s="64">
        <v>0.11</v>
      </c>
      <c r="K53" s="64">
        <v>43.49</v>
      </c>
      <c r="L53" s="64">
        <v>28.27</v>
      </c>
      <c r="M53" s="64">
        <v>65.52</v>
      </c>
      <c r="N53" s="64">
        <v>698.9</v>
      </c>
      <c r="O53" s="64">
        <v>0</v>
      </c>
      <c r="P53" s="64">
        <v>0.46</v>
      </c>
      <c r="Q53" s="64">
        <v>2.41</v>
      </c>
      <c r="R53" s="198"/>
      <c r="S53" s="198"/>
      <c r="T53" s="198"/>
      <c r="U53" s="198"/>
    </row>
    <row r="54" spans="1:21" s="12" customFormat="1" x14ac:dyDescent="0.25">
      <c r="A54" s="214" t="s">
        <v>1830</v>
      </c>
      <c r="B54" s="64">
        <v>2.98</v>
      </c>
      <c r="C54" s="64">
        <v>13.1</v>
      </c>
      <c r="D54" s="64">
        <v>16.079999999999998</v>
      </c>
      <c r="E54" s="64">
        <v>3.27</v>
      </c>
      <c r="F54" s="64">
        <v>2.74</v>
      </c>
      <c r="G54" s="64">
        <v>30</v>
      </c>
      <c r="H54" s="64">
        <v>13.1</v>
      </c>
      <c r="I54" s="64">
        <v>1.79</v>
      </c>
      <c r="J54" s="64">
        <v>0.24</v>
      </c>
      <c r="K54" s="64">
        <v>27.77</v>
      </c>
      <c r="L54" s="64">
        <v>29.14</v>
      </c>
      <c r="M54" s="64">
        <v>62.24</v>
      </c>
      <c r="N54" s="64">
        <v>995.3</v>
      </c>
      <c r="O54" s="64">
        <v>0</v>
      </c>
      <c r="P54" s="64">
        <v>0.45</v>
      </c>
      <c r="Q54" s="64">
        <v>0.86</v>
      </c>
      <c r="R54" s="198"/>
      <c r="S54" s="198"/>
      <c r="T54" s="198"/>
      <c r="U54" s="198"/>
    </row>
    <row r="55" spans="1:21" s="12" customFormat="1" x14ac:dyDescent="0.25">
      <c r="A55" s="214" t="s">
        <v>1831</v>
      </c>
      <c r="B55" s="64">
        <v>2.73</v>
      </c>
      <c r="C55" s="64">
        <v>12.71</v>
      </c>
      <c r="D55" s="64">
        <v>15.45</v>
      </c>
      <c r="E55" s="64">
        <v>3.35</v>
      </c>
      <c r="F55" s="64">
        <v>3.04</v>
      </c>
      <c r="G55" s="64">
        <v>29.29</v>
      </c>
      <c r="H55" s="64">
        <v>12.63</v>
      </c>
      <c r="I55" s="64">
        <v>1.85</v>
      </c>
      <c r="J55" s="64">
        <v>0.21</v>
      </c>
      <c r="K55" s="64">
        <v>15.32</v>
      </c>
      <c r="L55" s="64">
        <v>29.21</v>
      </c>
      <c r="M55" s="64">
        <v>62.64</v>
      </c>
      <c r="N55" s="64">
        <v>829.3</v>
      </c>
      <c r="O55" s="64">
        <v>0</v>
      </c>
      <c r="P55" s="64">
        <v>0.44</v>
      </c>
      <c r="Q55" s="64">
        <v>0.04</v>
      </c>
      <c r="R55" s="198"/>
      <c r="S55" s="198"/>
      <c r="T55" s="198"/>
      <c r="U55" s="198"/>
    </row>
    <row r="56" spans="1:21" s="12" customFormat="1" x14ac:dyDescent="0.25">
      <c r="A56" s="214" t="s">
        <v>1832</v>
      </c>
      <c r="B56" s="64">
        <v>2.85</v>
      </c>
      <c r="C56" s="64">
        <v>12.83</v>
      </c>
      <c r="D56" s="64">
        <v>15.68</v>
      </c>
      <c r="E56" s="64">
        <v>4.3</v>
      </c>
      <c r="F56" s="64">
        <v>2.17</v>
      </c>
      <c r="G56" s="64">
        <v>27.52</v>
      </c>
      <c r="H56" s="64">
        <v>10.7</v>
      </c>
      <c r="I56" s="64">
        <v>1.79</v>
      </c>
      <c r="J56" s="64">
        <v>0.38</v>
      </c>
      <c r="K56" s="64">
        <v>9.5399999999999991</v>
      </c>
      <c r="L56" s="64">
        <v>29.98</v>
      </c>
      <c r="M56" s="64">
        <v>60</v>
      </c>
      <c r="N56" s="64">
        <v>860.1</v>
      </c>
      <c r="O56" s="64">
        <v>0</v>
      </c>
      <c r="P56" s="64">
        <v>0.46</v>
      </c>
      <c r="Q56" s="64">
        <v>0.72</v>
      </c>
      <c r="R56" s="198"/>
      <c r="S56" s="198"/>
      <c r="T56" s="198"/>
      <c r="U56" s="198"/>
    </row>
    <row r="57" spans="1:21" s="12" customFormat="1" x14ac:dyDescent="0.25">
      <c r="A57" s="214" t="s">
        <v>1833</v>
      </c>
      <c r="B57" s="64">
        <v>3.61</v>
      </c>
      <c r="C57" s="64">
        <v>14.17</v>
      </c>
      <c r="D57" s="64">
        <v>17.78</v>
      </c>
      <c r="E57" s="64">
        <v>5</v>
      </c>
      <c r="F57" s="64">
        <v>1.65</v>
      </c>
      <c r="G57" s="64">
        <v>27.52</v>
      </c>
      <c r="H57" s="64">
        <v>10.7</v>
      </c>
      <c r="I57" s="64">
        <v>1.78</v>
      </c>
      <c r="J57" s="64">
        <v>0.23</v>
      </c>
      <c r="K57" s="64">
        <v>352.95</v>
      </c>
      <c r="L57" s="64">
        <v>29.77</v>
      </c>
      <c r="M57" s="64">
        <v>61.72</v>
      </c>
      <c r="N57" s="64">
        <v>929.9</v>
      </c>
      <c r="O57" s="64">
        <v>0</v>
      </c>
      <c r="P57" s="64">
        <v>0.44</v>
      </c>
      <c r="Q57" s="64">
        <v>2.89</v>
      </c>
      <c r="R57" s="198"/>
      <c r="S57" s="198"/>
      <c r="T57" s="198"/>
      <c r="U57" s="198"/>
    </row>
    <row r="58" spans="1:21" s="12" customFormat="1" x14ac:dyDescent="0.25">
      <c r="A58" s="214" t="s">
        <v>1834</v>
      </c>
      <c r="B58" s="64">
        <v>3.32</v>
      </c>
      <c r="C58" s="64">
        <v>14.16</v>
      </c>
      <c r="D58" s="64">
        <v>17.48</v>
      </c>
      <c r="E58" s="64">
        <v>4.67</v>
      </c>
      <c r="F58" s="64">
        <v>2.41</v>
      </c>
      <c r="G58" s="64">
        <v>27.52</v>
      </c>
      <c r="H58" s="64">
        <v>10.7</v>
      </c>
      <c r="I58" s="64">
        <v>1.8</v>
      </c>
      <c r="J58" s="64">
        <v>0.33</v>
      </c>
      <c r="K58" s="64">
        <v>22.15</v>
      </c>
      <c r="L58" s="64">
        <v>29.81</v>
      </c>
      <c r="M58" s="64">
        <v>60.7</v>
      </c>
      <c r="N58" s="64">
        <v>973.6</v>
      </c>
      <c r="O58" s="64">
        <v>0</v>
      </c>
      <c r="P58" s="64">
        <v>0.44</v>
      </c>
      <c r="Q58" s="64">
        <v>4.8600000000000003</v>
      </c>
      <c r="R58" s="198"/>
      <c r="S58" s="198"/>
      <c r="T58" s="198"/>
      <c r="U58" s="198"/>
    </row>
    <row r="59" spans="1:21" s="12" customFormat="1" x14ac:dyDescent="0.25">
      <c r="A59" s="214" t="s">
        <v>1835</v>
      </c>
      <c r="B59" s="64">
        <v>2.91</v>
      </c>
      <c r="C59" s="64">
        <v>14.88</v>
      </c>
      <c r="D59" s="64">
        <v>17.79</v>
      </c>
      <c r="E59" s="64">
        <v>4.38</v>
      </c>
      <c r="F59" s="64">
        <v>3.22</v>
      </c>
      <c r="G59" s="64">
        <v>27.95</v>
      </c>
      <c r="H59" s="64">
        <v>10.16</v>
      </c>
      <c r="I59" s="64">
        <v>1.83</v>
      </c>
      <c r="J59" s="64">
        <v>0.06</v>
      </c>
      <c r="K59" s="64">
        <v>14.59</v>
      </c>
      <c r="L59" s="64">
        <v>29.41</v>
      </c>
      <c r="M59" s="64">
        <v>61.41</v>
      </c>
      <c r="N59" s="64">
        <v>955.2</v>
      </c>
      <c r="O59" s="64">
        <v>0</v>
      </c>
      <c r="P59" s="64">
        <v>0.44</v>
      </c>
      <c r="Q59" s="64">
        <v>40.15</v>
      </c>
      <c r="R59" s="198"/>
      <c r="S59" s="198"/>
      <c r="T59" s="198"/>
      <c r="U59" s="198"/>
    </row>
    <row r="60" spans="1:21" s="12" customFormat="1" x14ac:dyDescent="0.25">
      <c r="A60" s="214" t="s">
        <v>1836</v>
      </c>
      <c r="B60" s="64">
        <v>2.59</v>
      </c>
      <c r="C60" s="64">
        <v>14.9</v>
      </c>
      <c r="D60" s="64">
        <v>17.489999999999998</v>
      </c>
      <c r="E60" s="64">
        <v>4.62</v>
      </c>
      <c r="F60" s="64">
        <v>3.52</v>
      </c>
      <c r="G60" s="64">
        <v>29.01</v>
      </c>
      <c r="H60" s="64">
        <v>9.3000000000000007</v>
      </c>
      <c r="I60" s="64">
        <v>1.73</v>
      </c>
      <c r="J60" s="64">
        <v>0.11</v>
      </c>
      <c r="K60" s="64">
        <v>173.35</v>
      </c>
      <c r="L60" s="64">
        <v>29.25</v>
      </c>
      <c r="M60" s="64">
        <v>62.04</v>
      </c>
      <c r="N60" s="64">
        <v>888.2</v>
      </c>
      <c r="O60" s="64">
        <v>0</v>
      </c>
      <c r="P60" s="64">
        <v>0.42</v>
      </c>
      <c r="Q60" s="64">
        <v>75.91</v>
      </c>
      <c r="R60" s="198"/>
      <c r="S60" s="198"/>
      <c r="T60" s="198"/>
      <c r="U60" s="198"/>
    </row>
    <row r="61" spans="1:21" s="12" customFormat="1" x14ac:dyDescent="0.25">
      <c r="A61" s="214" t="s">
        <v>1837</v>
      </c>
      <c r="B61" s="64">
        <v>2.4900000000000002</v>
      </c>
      <c r="C61" s="64">
        <v>14.61</v>
      </c>
      <c r="D61" s="64">
        <v>17.100000000000001</v>
      </c>
      <c r="E61" s="64">
        <v>5.21</v>
      </c>
      <c r="F61" s="64">
        <v>3.73</v>
      </c>
      <c r="G61" s="64">
        <v>29.01</v>
      </c>
      <c r="H61" s="64">
        <v>9.3000000000000007</v>
      </c>
      <c r="I61" s="64">
        <v>1.78</v>
      </c>
      <c r="J61" s="64">
        <v>0.03</v>
      </c>
      <c r="K61" s="64">
        <v>133.07</v>
      </c>
      <c r="L61" s="64">
        <v>29.03</v>
      </c>
      <c r="M61" s="64">
        <v>62.6</v>
      </c>
      <c r="N61" s="64">
        <v>882</v>
      </c>
      <c r="O61" s="64">
        <v>0</v>
      </c>
      <c r="P61" s="64">
        <v>0.38</v>
      </c>
      <c r="Q61" s="64">
        <v>88.62</v>
      </c>
      <c r="R61" s="198"/>
      <c r="S61" s="198"/>
      <c r="T61" s="198"/>
      <c r="U61" s="198"/>
    </row>
    <row r="62" spans="1:21" s="12" customFormat="1" x14ac:dyDescent="0.25">
      <c r="A62" s="214" t="s">
        <v>1838</v>
      </c>
      <c r="B62" s="64">
        <v>2.65</v>
      </c>
      <c r="C62" s="64">
        <v>13.65</v>
      </c>
      <c r="D62" s="64">
        <v>16.3</v>
      </c>
      <c r="E62" s="64">
        <v>5.9</v>
      </c>
      <c r="F62" s="64">
        <v>2.84</v>
      </c>
      <c r="G62" s="64">
        <v>29.01</v>
      </c>
      <c r="H62" s="64">
        <v>9.3000000000000007</v>
      </c>
      <c r="I62" s="64">
        <v>1.79</v>
      </c>
      <c r="J62" s="64">
        <v>0.32</v>
      </c>
      <c r="K62" s="64">
        <v>339.84</v>
      </c>
      <c r="L62" s="64">
        <v>30.85</v>
      </c>
      <c r="M62" s="64">
        <v>58.52</v>
      </c>
      <c r="N62" s="64">
        <v>622.5</v>
      </c>
      <c r="O62" s="64">
        <v>0</v>
      </c>
      <c r="P62" s="64">
        <v>0.4</v>
      </c>
      <c r="Q62" s="64">
        <v>88.73</v>
      </c>
      <c r="R62" s="198"/>
      <c r="S62" s="198"/>
      <c r="T62" s="198"/>
      <c r="U62" s="198"/>
    </row>
    <row r="63" spans="1:21" s="12" customFormat="1" x14ac:dyDescent="0.25">
      <c r="A63" s="214" t="s">
        <v>1839</v>
      </c>
      <c r="B63" s="64">
        <v>3.17</v>
      </c>
      <c r="C63" s="64">
        <v>14.94</v>
      </c>
      <c r="D63" s="64">
        <v>18.11</v>
      </c>
      <c r="E63" s="64">
        <v>5.42</v>
      </c>
      <c r="F63" s="64">
        <v>2.15</v>
      </c>
      <c r="G63" s="64">
        <v>28.62</v>
      </c>
      <c r="H63" s="64">
        <v>10.01</v>
      </c>
      <c r="I63" s="64">
        <v>1.8</v>
      </c>
      <c r="J63" s="64">
        <v>0.3</v>
      </c>
      <c r="K63" s="64">
        <v>346.4</v>
      </c>
      <c r="L63" s="64">
        <v>31.54</v>
      </c>
      <c r="M63" s="64">
        <v>55.8</v>
      </c>
      <c r="N63" s="64">
        <v>436.7</v>
      </c>
      <c r="O63" s="64">
        <v>0</v>
      </c>
      <c r="P63" s="64">
        <v>0.42</v>
      </c>
      <c r="Q63" s="64">
        <v>89.4</v>
      </c>
      <c r="R63" s="198"/>
      <c r="S63" s="198"/>
      <c r="T63" s="198"/>
      <c r="U63" s="198"/>
    </row>
    <row r="64" spans="1:21" s="12" customFormat="1" x14ac:dyDescent="0.25">
      <c r="A64" s="214" t="s">
        <v>1840</v>
      </c>
      <c r="B64" s="64">
        <v>3.3</v>
      </c>
      <c r="C64" s="64">
        <v>14.43</v>
      </c>
      <c r="D64" s="64">
        <v>17.73</v>
      </c>
      <c r="E64" s="64">
        <v>4.8499999999999996</v>
      </c>
      <c r="F64" s="64">
        <v>2.13</v>
      </c>
      <c r="G64" s="64">
        <v>27.65</v>
      </c>
      <c r="H64" s="64">
        <v>11.12</v>
      </c>
      <c r="I64" s="64">
        <v>1.79</v>
      </c>
      <c r="J64" s="64">
        <v>0.28000000000000003</v>
      </c>
      <c r="K64" s="64">
        <v>358.58</v>
      </c>
      <c r="L64" s="64">
        <v>30.32</v>
      </c>
      <c r="M64" s="64">
        <v>58.87</v>
      </c>
      <c r="N64" s="64">
        <v>465.5</v>
      </c>
      <c r="O64" s="64">
        <v>0</v>
      </c>
      <c r="P64" s="64">
        <v>0.41</v>
      </c>
      <c r="Q64" s="64">
        <v>82.4</v>
      </c>
      <c r="R64" s="198"/>
      <c r="S64" s="198"/>
      <c r="T64" s="198"/>
      <c r="U64" s="198"/>
    </row>
    <row r="65" spans="1:21" s="12" customFormat="1" x14ac:dyDescent="0.25">
      <c r="A65" s="214" t="s">
        <v>1841</v>
      </c>
      <c r="B65" s="64">
        <v>3.23</v>
      </c>
      <c r="C65" s="64">
        <v>13.88</v>
      </c>
      <c r="D65" s="64">
        <v>17.11</v>
      </c>
      <c r="E65" s="64">
        <v>4.76</v>
      </c>
      <c r="F65" s="64">
        <v>2.72</v>
      </c>
      <c r="G65" s="64">
        <v>27.65</v>
      </c>
      <c r="H65" s="64">
        <v>11.12</v>
      </c>
      <c r="I65" s="64">
        <v>1.85</v>
      </c>
      <c r="J65" s="64">
        <v>0.34</v>
      </c>
      <c r="K65" s="64">
        <v>359.19</v>
      </c>
      <c r="L65" s="64">
        <v>29.51</v>
      </c>
      <c r="M65" s="64">
        <v>60.83</v>
      </c>
      <c r="N65" s="64">
        <v>228.6</v>
      </c>
      <c r="O65" s="64">
        <v>0</v>
      </c>
      <c r="P65" s="64">
        <v>0.42</v>
      </c>
      <c r="Q65" s="64">
        <v>69.900000000000006</v>
      </c>
      <c r="R65" s="198"/>
      <c r="S65" s="198"/>
      <c r="T65" s="198"/>
      <c r="U65" s="198"/>
    </row>
    <row r="66" spans="1:21" s="12" customFormat="1" x14ac:dyDescent="0.25">
      <c r="A66" s="214" t="s">
        <v>1842</v>
      </c>
      <c r="B66" s="64">
        <v>2.86</v>
      </c>
      <c r="C66" s="64">
        <v>13.35</v>
      </c>
      <c r="D66" s="64">
        <v>16.21</v>
      </c>
      <c r="E66" s="64">
        <v>5.14</v>
      </c>
      <c r="F66" s="64">
        <v>3.19</v>
      </c>
      <c r="G66" s="64">
        <v>27.65</v>
      </c>
      <c r="H66" s="64">
        <v>11.12</v>
      </c>
      <c r="I66" s="64">
        <v>1.74</v>
      </c>
      <c r="J66" s="64">
        <v>0.31</v>
      </c>
      <c r="K66" s="64">
        <v>162.66</v>
      </c>
      <c r="L66" s="64">
        <v>28.98</v>
      </c>
      <c r="M66" s="64">
        <v>62.75</v>
      </c>
      <c r="N66" s="64">
        <v>250.2</v>
      </c>
      <c r="O66" s="64">
        <v>0</v>
      </c>
      <c r="P66" s="64">
        <v>0.4</v>
      </c>
      <c r="Q66" s="64">
        <v>58.25</v>
      </c>
      <c r="R66" s="198"/>
      <c r="S66" s="198"/>
      <c r="T66" s="198"/>
      <c r="U66" s="198"/>
    </row>
    <row r="67" spans="1:21" s="12" customFormat="1" x14ac:dyDescent="0.25">
      <c r="A67" s="214" t="s">
        <v>1843</v>
      </c>
      <c r="B67" s="64">
        <v>2.67</v>
      </c>
      <c r="C67" s="64">
        <v>12.66</v>
      </c>
      <c r="D67" s="64">
        <v>15.33</v>
      </c>
      <c r="E67" s="64">
        <v>4.46</v>
      </c>
      <c r="F67" s="64">
        <v>2.96</v>
      </c>
      <c r="G67" s="64">
        <v>27.87</v>
      </c>
      <c r="H67" s="64">
        <v>11.16</v>
      </c>
      <c r="I67" s="64">
        <v>1.86</v>
      </c>
      <c r="J67" s="64">
        <v>0.3</v>
      </c>
      <c r="K67" s="64">
        <v>26.36</v>
      </c>
      <c r="L67" s="64">
        <v>28.82</v>
      </c>
      <c r="M67" s="64">
        <v>63.3</v>
      </c>
      <c r="N67" s="64">
        <v>226.1</v>
      </c>
      <c r="O67" s="64">
        <v>0</v>
      </c>
      <c r="P67" s="64">
        <v>0.39</v>
      </c>
      <c r="Q67" s="64">
        <v>45.62</v>
      </c>
      <c r="R67" s="198"/>
      <c r="S67" s="198"/>
      <c r="T67" s="198"/>
      <c r="U67" s="198"/>
    </row>
    <row r="68" spans="1:21" s="12" customFormat="1" x14ac:dyDescent="0.25">
      <c r="A68" s="214" t="s">
        <v>1844</v>
      </c>
      <c r="B68" s="64">
        <v>2.56</v>
      </c>
      <c r="C68" s="64">
        <v>12.52</v>
      </c>
      <c r="D68" s="64">
        <v>15.08</v>
      </c>
      <c r="E68" s="64">
        <v>4.4800000000000004</v>
      </c>
      <c r="F68" s="64">
        <v>2.77</v>
      </c>
      <c r="G68" s="64">
        <v>28.41</v>
      </c>
      <c r="H68" s="64">
        <v>11.22</v>
      </c>
      <c r="I68" s="64">
        <v>1.77</v>
      </c>
      <c r="J68" s="64">
        <v>0.01</v>
      </c>
      <c r="K68" s="64">
        <v>102.58</v>
      </c>
      <c r="L68" s="64">
        <v>28.59</v>
      </c>
      <c r="M68" s="64">
        <v>64.349999999999994</v>
      </c>
      <c r="N68" s="64">
        <v>162.9</v>
      </c>
      <c r="O68" s="64">
        <v>0</v>
      </c>
      <c r="P68" s="64">
        <v>0.41</v>
      </c>
      <c r="Q68" s="64">
        <v>39.19</v>
      </c>
      <c r="R68" s="198"/>
      <c r="S68" s="198"/>
      <c r="T68" s="198"/>
      <c r="U68" s="198"/>
    </row>
    <row r="69" spans="1:21" s="12" customFormat="1" x14ac:dyDescent="0.25">
      <c r="A69" s="214" t="s">
        <v>1845</v>
      </c>
      <c r="B69" s="64">
        <v>2.62</v>
      </c>
      <c r="C69" s="64">
        <v>12.03</v>
      </c>
      <c r="D69" s="64">
        <v>14.65</v>
      </c>
      <c r="E69" s="64">
        <v>4.4000000000000004</v>
      </c>
      <c r="F69" s="64">
        <v>2.3199999999999998</v>
      </c>
      <c r="G69" s="64">
        <v>28.41</v>
      </c>
      <c r="H69" s="64">
        <v>11.22</v>
      </c>
      <c r="I69" s="64">
        <v>1.87</v>
      </c>
      <c r="J69" s="64">
        <v>0.25</v>
      </c>
      <c r="K69" s="64">
        <v>354.83</v>
      </c>
      <c r="L69" s="64">
        <v>28.61</v>
      </c>
      <c r="M69" s="64">
        <v>65.55</v>
      </c>
      <c r="N69" s="64">
        <v>167</v>
      </c>
      <c r="O69" s="64">
        <v>0</v>
      </c>
      <c r="P69" s="64">
        <v>0.4</v>
      </c>
      <c r="Q69" s="64">
        <v>37.299999999999997</v>
      </c>
      <c r="R69" s="198"/>
      <c r="S69" s="198"/>
      <c r="T69" s="198"/>
      <c r="U69" s="198"/>
    </row>
    <row r="70" spans="1:21" s="12" customFormat="1" x14ac:dyDescent="0.25">
      <c r="A70" s="214" t="s">
        <v>1846</v>
      </c>
      <c r="B70" s="64">
        <v>3.84</v>
      </c>
      <c r="C70" s="64">
        <v>14.73</v>
      </c>
      <c r="D70" s="64">
        <v>18.579999999999998</v>
      </c>
      <c r="E70" s="64">
        <v>4.57</v>
      </c>
      <c r="F70" s="64">
        <v>3.12</v>
      </c>
      <c r="G70" s="64">
        <v>28.41</v>
      </c>
      <c r="H70" s="64">
        <v>11.22</v>
      </c>
      <c r="I70" s="64">
        <v>1.87</v>
      </c>
      <c r="J70" s="64">
        <v>0.21</v>
      </c>
      <c r="K70" s="64">
        <v>3.41</v>
      </c>
      <c r="L70" s="64">
        <v>28.93</v>
      </c>
      <c r="M70" s="64">
        <v>64.010000000000005</v>
      </c>
      <c r="N70" s="64">
        <v>116.7</v>
      </c>
      <c r="O70" s="64">
        <v>0</v>
      </c>
      <c r="P70" s="64">
        <v>0.4</v>
      </c>
      <c r="Q70" s="64">
        <v>27.19</v>
      </c>
      <c r="R70" s="198"/>
      <c r="S70" s="198"/>
      <c r="T70" s="198"/>
      <c r="U70" s="198"/>
    </row>
    <row r="71" spans="1:21" s="12" customFormat="1" x14ac:dyDescent="0.25">
      <c r="A71" s="214" t="s">
        <v>1847</v>
      </c>
      <c r="B71" s="64">
        <v>3.74</v>
      </c>
      <c r="C71" s="64">
        <v>15.08</v>
      </c>
      <c r="D71" s="64">
        <v>18.809999999999999</v>
      </c>
      <c r="E71" s="64">
        <v>5.16</v>
      </c>
      <c r="F71" s="64">
        <v>3.21</v>
      </c>
      <c r="G71" s="64">
        <v>27.89</v>
      </c>
      <c r="H71" s="64">
        <v>10.34</v>
      </c>
      <c r="I71" s="64">
        <v>1.78</v>
      </c>
      <c r="J71" s="64">
        <v>0.28000000000000003</v>
      </c>
      <c r="K71" s="64">
        <v>8.75</v>
      </c>
      <c r="L71" s="64">
        <v>28.7</v>
      </c>
      <c r="M71" s="64">
        <v>62.59</v>
      </c>
      <c r="N71" s="64">
        <v>95.3</v>
      </c>
      <c r="O71" s="64">
        <v>0</v>
      </c>
      <c r="P71" s="64">
        <v>0.39</v>
      </c>
      <c r="Q71" s="64">
        <v>15.24</v>
      </c>
      <c r="R71" s="198"/>
      <c r="S71" s="198"/>
      <c r="T71" s="198"/>
      <c r="U71" s="198"/>
    </row>
    <row r="72" spans="1:21" s="12" customFormat="1" x14ac:dyDescent="0.25">
      <c r="A72" s="214" t="s">
        <v>1848</v>
      </c>
      <c r="B72" s="64">
        <v>3.01</v>
      </c>
      <c r="C72" s="64">
        <v>14</v>
      </c>
      <c r="D72" s="64">
        <v>17.010000000000002</v>
      </c>
      <c r="E72" s="64">
        <v>3.22</v>
      </c>
      <c r="F72" s="64">
        <v>3.33</v>
      </c>
      <c r="G72" s="64">
        <v>26.63</v>
      </c>
      <c r="H72" s="64">
        <v>8.9499999999999993</v>
      </c>
      <c r="I72" s="64">
        <v>1.77</v>
      </c>
      <c r="J72" s="64">
        <v>0.16</v>
      </c>
      <c r="K72" s="64">
        <v>13.18</v>
      </c>
      <c r="L72" s="64">
        <v>28.57</v>
      </c>
      <c r="M72" s="64">
        <v>64.31</v>
      </c>
      <c r="N72" s="64">
        <v>86.6</v>
      </c>
      <c r="O72" s="64">
        <v>0</v>
      </c>
      <c r="P72" s="64">
        <v>0.38</v>
      </c>
      <c r="Q72" s="64">
        <v>10.33</v>
      </c>
      <c r="R72" s="198"/>
      <c r="S72" s="198"/>
      <c r="T72" s="198"/>
      <c r="U72" s="198"/>
    </row>
    <row r="73" spans="1:21" s="12" customFormat="1" x14ac:dyDescent="0.25">
      <c r="A73" s="214" t="s">
        <v>1849</v>
      </c>
      <c r="B73" s="64">
        <v>3.14</v>
      </c>
      <c r="C73" s="64">
        <v>16.12</v>
      </c>
      <c r="D73" s="64">
        <v>19.260000000000002</v>
      </c>
      <c r="E73" s="64">
        <v>3.63</v>
      </c>
      <c r="F73" s="64">
        <v>3.55</v>
      </c>
      <c r="G73" s="64">
        <v>26.63</v>
      </c>
      <c r="H73" s="64">
        <v>8.9499999999999993</v>
      </c>
      <c r="I73" s="64">
        <v>1.83</v>
      </c>
      <c r="J73" s="64">
        <v>0.17</v>
      </c>
      <c r="K73" s="64">
        <v>23.66</v>
      </c>
      <c r="L73" s="64">
        <v>28.41</v>
      </c>
      <c r="M73" s="64">
        <v>65.150000000000006</v>
      </c>
      <c r="N73" s="64">
        <v>77.5</v>
      </c>
      <c r="O73" s="64">
        <v>0</v>
      </c>
      <c r="P73" s="64">
        <v>0.38</v>
      </c>
      <c r="Q73" s="64">
        <v>7.98</v>
      </c>
      <c r="R73" s="198"/>
      <c r="S73" s="198"/>
      <c r="T73" s="198"/>
      <c r="U73" s="198"/>
    </row>
    <row r="74" spans="1:21" s="12" customFormat="1" x14ac:dyDescent="0.25">
      <c r="A74" s="214" t="s">
        <v>1850</v>
      </c>
      <c r="B74" s="64">
        <v>6.12</v>
      </c>
      <c r="C74" s="64">
        <v>20.48</v>
      </c>
      <c r="D74" s="64">
        <v>26.6</v>
      </c>
      <c r="E74" s="64">
        <v>3.79</v>
      </c>
      <c r="F74" s="64">
        <v>4.93</v>
      </c>
      <c r="G74" s="64">
        <v>26.63</v>
      </c>
      <c r="H74" s="64">
        <v>8.9499999999999993</v>
      </c>
      <c r="I74" s="64">
        <v>1.83</v>
      </c>
      <c r="J74" s="64">
        <v>0.11</v>
      </c>
      <c r="K74" s="64">
        <v>3.97</v>
      </c>
      <c r="L74" s="64">
        <v>28.38</v>
      </c>
      <c r="M74" s="64">
        <v>64.36</v>
      </c>
      <c r="N74" s="64">
        <v>67</v>
      </c>
      <c r="O74" s="64">
        <v>0</v>
      </c>
      <c r="P74" s="64">
        <v>0.41</v>
      </c>
      <c r="Q74" s="64">
        <v>6.75</v>
      </c>
      <c r="R74" s="198"/>
      <c r="S74" s="198"/>
      <c r="T74" s="198"/>
      <c r="U74" s="198"/>
    </row>
    <row r="75" spans="1:21" s="12" customFormat="1" x14ac:dyDescent="0.25">
      <c r="A75" s="214" t="s">
        <v>1851</v>
      </c>
      <c r="B75" s="64">
        <v>4.26</v>
      </c>
      <c r="C75" s="64">
        <v>17.22</v>
      </c>
      <c r="D75" s="64">
        <v>21.48</v>
      </c>
      <c r="E75" s="64">
        <v>3.58</v>
      </c>
      <c r="F75" s="64">
        <v>2.58</v>
      </c>
      <c r="G75" s="64">
        <v>26.91</v>
      </c>
      <c r="H75" s="64">
        <v>8.83</v>
      </c>
      <c r="I75" s="64">
        <v>1.8</v>
      </c>
      <c r="J75" s="64">
        <v>0.2</v>
      </c>
      <c r="K75" s="64">
        <v>21.12</v>
      </c>
      <c r="L75" s="64">
        <v>28.12</v>
      </c>
      <c r="M75" s="64">
        <v>64.05</v>
      </c>
      <c r="N75" s="64">
        <v>56.4</v>
      </c>
      <c r="O75" s="64">
        <v>0</v>
      </c>
      <c r="P75" s="64">
        <v>0.39</v>
      </c>
      <c r="Q75" s="64">
        <v>6.38</v>
      </c>
      <c r="R75" s="198"/>
      <c r="S75" s="198"/>
      <c r="T75" s="198"/>
      <c r="U75" s="198"/>
    </row>
    <row r="76" spans="1:21" s="12" customFormat="1" x14ac:dyDescent="0.25">
      <c r="A76" s="214" t="s">
        <v>1852</v>
      </c>
      <c r="B76" s="64">
        <v>3.04</v>
      </c>
      <c r="C76" s="64">
        <v>13.33</v>
      </c>
      <c r="D76" s="64">
        <v>16.36</v>
      </c>
      <c r="E76" s="64">
        <v>4.03</v>
      </c>
      <c r="F76" s="64">
        <v>3.79</v>
      </c>
      <c r="G76" s="64">
        <v>27.6</v>
      </c>
      <c r="H76" s="64">
        <v>8.6300000000000008</v>
      </c>
      <c r="I76" s="64">
        <v>1.75</v>
      </c>
      <c r="J76" s="64">
        <v>0.24</v>
      </c>
      <c r="K76" s="64">
        <v>26.56</v>
      </c>
      <c r="L76" s="64">
        <v>27.88</v>
      </c>
      <c r="M76" s="64">
        <v>65.540000000000006</v>
      </c>
      <c r="N76" s="64">
        <v>50.3</v>
      </c>
      <c r="O76" s="64">
        <v>0</v>
      </c>
      <c r="P76" s="64">
        <v>0.37</v>
      </c>
      <c r="Q76" s="64">
        <v>5.72</v>
      </c>
      <c r="R76" s="198"/>
      <c r="S76" s="198"/>
      <c r="T76" s="198"/>
      <c r="U76" s="198"/>
    </row>
    <row r="77" spans="1:21" s="12" customFormat="1" x14ac:dyDescent="0.25">
      <c r="A77" s="214" t="s">
        <v>1853</v>
      </c>
      <c r="B77" s="64">
        <v>3.14</v>
      </c>
      <c r="C77" s="64">
        <v>12.54</v>
      </c>
      <c r="D77" s="64">
        <v>15.69</v>
      </c>
      <c r="E77" s="64">
        <v>4.5599999999999996</v>
      </c>
      <c r="F77" s="64">
        <v>4.17</v>
      </c>
      <c r="G77" s="64">
        <v>27.6</v>
      </c>
      <c r="H77" s="64">
        <v>8.6300000000000008</v>
      </c>
      <c r="I77" s="64">
        <v>1.79</v>
      </c>
      <c r="J77" s="64">
        <v>0.13</v>
      </c>
      <c r="K77" s="64">
        <v>114.71</v>
      </c>
      <c r="L77" s="64">
        <v>27.68</v>
      </c>
      <c r="M77" s="64">
        <v>67.040000000000006</v>
      </c>
      <c r="N77" s="64">
        <v>42.7</v>
      </c>
      <c r="O77" s="64">
        <v>0</v>
      </c>
      <c r="P77" s="64">
        <v>0.37</v>
      </c>
      <c r="Q77" s="64">
        <v>3.79</v>
      </c>
      <c r="R77" s="198"/>
      <c r="S77" s="198"/>
      <c r="T77" s="198"/>
      <c r="U77" s="198"/>
    </row>
    <row r="78" spans="1:21" s="12" customFormat="1" x14ac:dyDescent="0.25">
      <c r="A78" s="214" t="s">
        <v>1854</v>
      </c>
      <c r="B78" s="64">
        <v>2.79</v>
      </c>
      <c r="C78" s="64">
        <v>11.48</v>
      </c>
      <c r="D78" s="64">
        <v>14.28</v>
      </c>
      <c r="E78" s="64">
        <v>3.8</v>
      </c>
      <c r="F78" s="64">
        <v>2.14</v>
      </c>
      <c r="G78" s="64">
        <v>27.6</v>
      </c>
      <c r="H78" s="64">
        <v>8.6300000000000008</v>
      </c>
      <c r="I78" s="64">
        <v>1.79</v>
      </c>
      <c r="J78" s="64">
        <v>0.09</v>
      </c>
      <c r="K78" s="64">
        <v>17.41</v>
      </c>
      <c r="L78" s="64">
        <v>27.41</v>
      </c>
      <c r="M78" s="64">
        <v>67.709999999999994</v>
      </c>
      <c r="N78" s="64">
        <v>33.1</v>
      </c>
      <c r="O78" s="64">
        <v>0</v>
      </c>
      <c r="P78" s="64">
        <v>0.38</v>
      </c>
      <c r="Q78" s="64">
        <v>3.64</v>
      </c>
      <c r="R78" s="198"/>
      <c r="S78" s="198"/>
      <c r="T78" s="198"/>
      <c r="U78" s="198"/>
    </row>
    <row r="79" spans="1:21" s="12" customFormat="1" x14ac:dyDescent="0.25">
      <c r="A79" s="214" t="s">
        <v>1855</v>
      </c>
      <c r="B79" s="64">
        <v>2.57</v>
      </c>
      <c r="C79" s="64">
        <v>11.19</v>
      </c>
      <c r="D79" s="64">
        <v>13.76</v>
      </c>
      <c r="E79" s="64">
        <v>3.81</v>
      </c>
      <c r="F79" s="64">
        <v>3.81</v>
      </c>
      <c r="G79" s="64">
        <v>26.67</v>
      </c>
      <c r="H79" s="64">
        <v>8.3800000000000008</v>
      </c>
      <c r="I79" s="64">
        <v>1.81</v>
      </c>
      <c r="J79" s="64">
        <v>0.09</v>
      </c>
      <c r="K79" s="64">
        <v>48.92</v>
      </c>
      <c r="L79" s="64">
        <v>27.16</v>
      </c>
      <c r="M79" s="64">
        <v>69.27</v>
      </c>
      <c r="N79" s="64">
        <v>23.7</v>
      </c>
      <c r="O79" s="64">
        <v>0</v>
      </c>
      <c r="P79" s="64">
        <v>0.37</v>
      </c>
      <c r="Q79" s="64">
        <v>3.57</v>
      </c>
      <c r="R79" s="198"/>
      <c r="S79" s="198"/>
      <c r="T79" s="198"/>
      <c r="U79" s="198"/>
    </row>
    <row r="80" spans="1:21" s="12" customFormat="1" x14ac:dyDescent="0.25">
      <c r="A80" s="214" t="s">
        <v>1856</v>
      </c>
      <c r="B80" s="64">
        <v>2.52</v>
      </c>
      <c r="C80" s="64">
        <v>11.18</v>
      </c>
      <c r="D80" s="64">
        <v>13.7</v>
      </c>
      <c r="E80" s="64">
        <v>3.99</v>
      </c>
      <c r="F80" s="64">
        <v>4.22</v>
      </c>
      <c r="G80" s="64">
        <v>24.37</v>
      </c>
      <c r="H80" s="64">
        <v>7.34</v>
      </c>
      <c r="I80" s="64">
        <v>1.79</v>
      </c>
      <c r="J80" s="64">
        <v>0.11</v>
      </c>
      <c r="K80" s="64">
        <v>37.69</v>
      </c>
      <c r="L80" s="64">
        <v>26.91</v>
      </c>
      <c r="M80" s="64">
        <v>70.569999999999993</v>
      </c>
      <c r="N80" s="64">
        <v>14.2</v>
      </c>
      <c r="O80" s="64">
        <v>0</v>
      </c>
      <c r="P80" s="64">
        <v>0.38</v>
      </c>
      <c r="Q80" s="64">
        <v>2.0299999999999998</v>
      </c>
      <c r="R80" s="198"/>
      <c r="S80" s="198"/>
      <c r="T80" s="198"/>
      <c r="U80" s="198"/>
    </row>
    <row r="81" spans="1:26" s="12" customFormat="1" x14ac:dyDescent="0.25">
      <c r="A81" s="214" t="s">
        <v>1857</v>
      </c>
      <c r="B81" s="64">
        <v>2.62</v>
      </c>
      <c r="C81" s="64">
        <v>11.54</v>
      </c>
      <c r="D81" s="64">
        <v>14.17</v>
      </c>
      <c r="E81" s="64">
        <v>4.1399999999999997</v>
      </c>
      <c r="F81" s="64">
        <v>3.6</v>
      </c>
      <c r="G81" s="64">
        <v>24.37</v>
      </c>
      <c r="H81" s="64">
        <v>7.34</v>
      </c>
      <c r="I81" s="64">
        <v>1.89</v>
      </c>
      <c r="J81" s="64">
        <v>0.06</v>
      </c>
      <c r="K81" s="64">
        <v>15.91</v>
      </c>
      <c r="L81" s="64">
        <v>26.71</v>
      </c>
      <c r="M81" s="64">
        <v>72.25</v>
      </c>
      <c r="N81" s="64">
        <v>10.1</v>
      </c>
      <c r="O81" s="64">
        <v>0</v>
      </c>
      <c r="P81" s="64">
        <v>0.4</v>
      </c>
      <c r="Q81" s="64">
        <v>3.9</v>
      </c>
      <c r="R81" s="198"/>
      <c r="S81" s="198"/>
      <c r="T81" s="198"/>
      <c r="U81" s="198"/>
    </row>
    <row r="82" spans="1:26" s="12" customFormat="1" x14ac:dyDescent="0.25">
      <c r="A82" s="214" t="s">
        <v>1858</v>
      </c>
      <c r="B82" s="64">
        <v>3.9</v>
      </c>
      <c r="C82" s="64">
        <v>17.34</v>
      </c>
      <c r="D82" s="64">
        <v>21.24</v>
      </c>
      <c r="E82" s="64">
        <v>4.21</v>
      </c>
      <c r="F82" s="64">
        <v>7.78</v>
      </c>
      <c r="G82" s="64">
        <v>24.37</v>
      </c>
      <c r="H82" s="64">
        <v>7.34</v>
      </c>
      <c r="I82" s="64">
        <v>1.81</v>
      </c>
      <c r="J82" s="64">
        <v>7.0000000000000007E-2</v>
      </c>
      <c r="K82" s="64">
        <v>24.59</v>
      </c>
      <c r="L82" s="64">
        <v>26.48</v>
      </c>
      <c r="M82" s="64">
        <v>74.38</v>
      </c>
      <c r="N82" s="64">
        <v>9.5</v>
      </c>
      <c r="O82" s="64">
        <v>0</v>
      </c>
      <c r="P82" s="64">
        <v>0.55000000000000004</v>
      </c>
      <c r="Q82" s="64">
        <v>4.7</v>
      </c>
      <c r="R82" s="198"/>
      <c r="S82" s="198"/>
      <c r="T82" s="198"/>
      <c r="U82" s="198"/>
    </row>
    <row r="83" spans="1:26" s="12" customFormat="1" x14ac:dyDescent="0.25">
      <c r="A83" s="214" t="s">
        <v>1859</v>
      </c>
      <c r="B83" s="64">
        <v>6.7</v>
      </c>
      <c r="C83" s="64">
        <v>19.96</v>
      </c>
      <c r="D83" s="64">
        <v>26.66</v>
      </c>
      <c r="E83" s="64">
        <v>3.88</v>
      </c>
      <c r="F83" s="64">
        <v>4.09</v>
      </c>
      <c r="G83" s="64">
        <v>24.99</v>
      </c>
      <c r="H83" s="64">
        <v>7.41</v>
      </c>
      <c r="I83" s="64">
        <v>1.79</v>
      </c>
      <c r="J83" s="64">
        <v>0.11</v>
      </c>
      <c r="K83" s="64">
        <v>24.66</v>
      </c>
      <c r="L83" s="64">
        <v>26.36</v>
      </c>
      <c r="M83" s="64">
        <v>75.010000000000005</v>
      </c>
      <c r="N83" s="64">
        <v>9.4</v>
      </c>
      <c r="O83" s="64">
        <v>0</v>
      </c>
      <c r="P83" s="64">
        <v>0.52</v>
      </c>
      <c r="Q83" s="64">
        <v>4.63</v>
      </c>
      <c r="R83" s="198"/>
      <c r="S83" s="198"/>
      <c r="T83" s="198"/>
      <c r="U83" s="198"/>
    </row>
    <row r="84" spans="1:26" s="12" customFormat="1" x14ac:dyDescent="0.25">
      <c r="A84" s="214" t="s">
        <v>1860</v>
      </c>
      <c r="B84" s="64">
        <v>8.61</v>
      </c>
      <c r="C84" s="64">
        <v>20.170000000000002</v>
      </c>
      <c r="D84" s="64">
        <v>28.77</v>
      </c>
      <c r="E84" s="64">
        <v>4.5</v>
      </c>
      <c r="F84" s="64">
        <v>4.66</v>
      </c>
      <c r="G84" s="64">
        <v>26.5</v>
      </c>
      <c r="H84" s="64">
        <v>7.52</v>
      </c>
      <c r="I84" s="64">
        <v>1.78</v>
      </c>
      <c r="J84" s="64">
        <v>0.13</v>
      </c>
      <c r="K84" s="64">
        <v>21.72</v>
      </c>
      <c r="L84" s="64">
        <v>26.19</v>
      </c>
      <c r="M84" s="64">
        <v>78</v>
      </c>
      <c r="N84" s="64">
        <v>9.3000000000000007</v>
      </c>
      <c r="O84" s="64">
        <v>0</v>
      </c>
      <c r="P84" s="64">
        <v>0.63</v>
      </c>
      <c r="Q84" s="64">
        <v>5.07</v>
      </c>
      <c r="R84" s="198"/>
      <c r="S84" s="198"/>
      <c r="T84" s="198"/>
      <c r="U84" s="198"/>
    </row>
    <row r="85" spans="1:26" s="12" customFormat="1" x14ac:dyDescent="0.25">
      <c r="A85" s="214" t="s">
        <v>1861</v>
      </c>
      <c r="B85" s="64">
        <v>5.79</v>
      </c>
      <c r="C85" s="64">
        <v>19.72</v>
      </c>
      <c r="D85" s="64">
        <v>25.52</v>
      </c>
      <c r="E85" s="64">
        <v>4.47</v>
      </c>
      <c r="F85" s="64">
        <v>4.0199999999999996</v>
      </c>
      <c r="G85" s="64">
        <v>26.5</v>
      </c>
      <c r="H85" s="64">
        <v>7.52</v>
      </c>
      <c r="I85" s="64">
        <v>1.83</v>
      </c>
      <c r="J85" s="64">
        <v>0.15</v>
      </c>
      <c r="K85" s="64">
        <v>16.13</v>
      </c>
      <c r="L85" s="64">
        <v>26.03</v>
      </c>
      <c r="M85" s="64">
        <v>78.959999999999994</v>
      </c>
      <c r="N85" s="64">
        <v>9.3000000000000007</v>
      </c>
      <c r="O85" s="64">
        <v>0</v>
      </c>
      <c r="P85" s="64">
        <v>0.56000000000000005</v>
      </c>
      <c r="Q85" s="64">
        <v>5.43</v>
      </c>
      <c r="R85" s="198"/>
      <c r="S85" s="198"/>
      <c r="T85" s="198"/>
      <c r="U85" s="198"/>
    </row>
    <row r="86" spans="1:26" s="12" customFormat="1" x14ac:dyDescent="0.25">
      <c r="A86" s="214" t="s">
        <v>1862</v>
      </c>
      <c r="B86" s="64">
        <v>9.1300000000000008</v>
      </c>
      <c r="C86" s="64">
        <v>19.22</v>
      </c>
      <c r="D86" s="64">
        <v>28.1</v>
      </c>
      <c r="E86" s="64">
        <v>4.55</v>
      </c>
      <c r="F86" s="64">
        <v>3.68</v>
      </c>
      <c r="G86" s="64">
        <v>26.5</v>
      </c>
      <c r="H86" s="64">
        <v>7.52</v>
      </c>
      <c r="I86" s="64">
        <v>1.75</v>
      </c>
      <c r="J86" s="64">
        <v>0.11</v>
      </c>
      <c r="K86" s="64">
        <v>347.86</v>
      </c>
      <c r="L86" s="64">
        <v>25.97</v>
      </c>
      <c r="M86" s="64">
        <v>80.34</v>
      </c>
      <c r="N86" s="64">
        <v>9.3000000000000007</v>
      </c>
      <c r="O86" s="64">
        <v>0</v>
      </c>
      <c r="P86" s="64">
        <v>0.65</v>
      </c>
      <c r="Q86" s="64">
        <v>5.44</v>
      </c>
      <c r="R86" s="198"/>
      <c r="S86" s="198"/>
      <c r="T86" s="198"/>
      <c r="U86" s="198"/>
    </row>
    <row r="87" spans="1:26" s="12" customFormat="1" x14ac:dyDescent="0.25">
      <c r="A87" s="214" t="s">
        <v>1863</v>
      </c>
      <c r="B87" s="64">
        <v>5.86</v>
      </c>
      <c r="C87" s="64">
        <v>14.05</v>
      </c>
      <c r="D87" s="64">
        <v>19.91</v>
      </c>
      <c r="E87" s="64">
        <v>3.94</v>
      </c>
      <c r="F87" s="64">
        <v>1.45</v>
      </c>
      <c r="G87" s="64">
        <v>27.92</v>
      </c>
      <c r="H87" s="64">
        <v>7.48</v>
      </c>
      <c r="I87" s="64">
        <v>1.82</v>
      </c>
      <c r="J87" s="64">
        <v>0.16</v>
      </c>
      <c r="K87" s="64">
        <v>8.0500000000000007</v>
      </c>
      <c r="L87" s="64">
        <v>25.7</v>
      </c>
      <c r="M87" s="64">
        <v>82.35</v>
      </c>
      <c r="N87" s="64">
        <v>9.4</v>
      </c>
      <c r="O87" s="64">
        <v>0</v>
      </c>
      <c r="P87" s="64">
        <v>0.6</v>
      </c>
      <c r="Q87" s="64">
        <v>5.82</v>
      </c>
      <c r="R87" s="198"/>
      <c r="S87" s="198"/>
      <c r="T87" s="198"/>
      <c r="U87" s="198"/>
    </row>
    <row r="88" spans="1:26" s="12" customFormat="1" x14ac:dyDescent="0.25">
      <c r="A88" s="214" t="s">
        <v>1864</v>
      </c>
      <c r="B88" s="64">
        <v>7.47</v>
      </c>
      <c r="C88" s="64">
        <v>15.34</v>
      </c>
      <c r="D88" s="64">
        <v>22.82</v>
      </c>
      <c r="E88" s="64">
        <v>4.49</v>
      </c>
      <c r="F88" s="64">
        <v>1.83</v>
      </c>
      <c r="G88" s="64">
        <v>31.42</v>
      </c>
      <c r="H88" s="64">
        <v>7.41</v>
      </c>
      <c r="I88" s="64">
        <v>1.78</v>
      </c>
      <c r="J88" s="64">
        <v>0.17</v>
      </c>
      <c r="K88" s="64">
        <v>18.579999999999998</v>
      </c>
      <c r="L88" s="64">
        <v>25.66</v>
      </c>
      <c r="M88" s="64">
        <v>82.08</v>
      </c>
      <c r="N88" s="64">
        <v>9.1999999999999993</v>
      </c>
      <c r="O88" s="64">
        <v>0</v>
      </c>
      <c r="P88" s="64">
        <v>0.61</v>
      </c>
      <c r="Q88" s="64">
        <v>5.87</v>
      </c>
      <c r="R88" s="198"/>
      <c r="S88" s="198"/>
      <c r="T88" s="198"/>
      <c r="U88" s="198"/>
    </row>
    <row r="89" spans="1:26" s="12" customFormat="1" x14ac:dyDescent="0.25">
      <c r="A89" s="214" t="s">
        <v>1865</v>
      </c>
      <c r="B89" s="64">
        <v>10.17</v>
      </c>
      <c r="C89" s="64">
        <v>17.600000000000001</v>
      </c>
      <c r="D89" s="64">
        <v>27.77</v>
      </c>
      <c r="E89" s="64">
        <v>4.7699999999999996</v>
      </c>
      <c r="F89" s="64">
        <v>2.2599999999999998</v>
      </c>
      <c r="G89" s="64">
        <v>31.42</v>
      </c>
      <c r="H89" s="64">
        <v>7.41</v>
      </c>
      <c r="I89" s="64">
        <v>1.78</v>
      </c>
      <c r="J89" s="64">
        <v>0.1</v>
      </c>
      <c r="K89" s="64">
        <v>19.16</v>
      </c>
      <c r="L89" s="64">
        <v>25.63</v>
      </c>
      <c r="M89" s="64">
        <v>82.95</v>
      </c>
      <c r="N89" s="64">
        <v>9.3000000000000007</v>
      </c>
      <c r="O89" s="64">
        <v>0</v>
      </c>
      <c r="P89" s="64">
        <v>0.66</v>
      </c>
      <c r="Q89" s="64">
        <v>4.87</v>
      </c>
      <c r="R89" s="198"/>
      <c r="S89" s="198"/>
      <c r="T89" s="198"/>
      <c r="U89" s="198"/>
    </row>
    <row r="90" spans="1:26" s="12" customFormat="1" x14ac:dyDescent="0.25">
      <c r="A90" s="214" t="s">
        <v>1866</v>
      </c>
      <c r="B90" s="64">
        <v>12.27</v>
      </c>
      <c r="C90" s="64">
        <v>15.98</v>
      </c>
      <c r="D90" s="64">
        <v>28.25</v>
      </c>
      <c r="E90" s="64">
        <v>4.78</v>
      </c>
      <c r="F90" s="64">
        <v>1.17</v>
      </c>
      <c r="G90" s="64">
        <v>31.42</v>
      </c>
      <c r="H90" s="64">
        <v>7.41</v>
      </c>
      <c r="I90" s="64">
        <v>1.82</v>
      </c>
      <c r="J90" s="64">
        <v>0.16</v>
      </c>
      <c r="K90" s="64">
        <v>347.87</v>
      </c>
      <c r="L90" s="64">
        <v>25.46</v>
      </c>
      <c r="M90" s="64">
        <v>84.51</v>
      </c>
      <c r="N90" s="64">
        <v>9.4</v>
      </c>
      <c r="O90" s="64">
        <v>0</v>
      </c>
      <c r="P90" s="64">
        <v>0.71</v>
      </c>
      <c r="Q90" s="64">
        <v>6.25</v>
      </c>
      <c r="R90" s="198"/>
      <c r="S90" s="198"/>
      <c r="T90" s="198"/>
      <c r="U90" s="198"/>
    </row>
    <row r="91" spans="1:26" s="12" customFormat="1" x14ac:dyDescent="0.25">
      <c r="A91" s="214" t="s">
        <v>1867</v>
      </c>
      <c r="B91" s="64">
        <v>13.65</v>
      </c>
      <c r="C91" s="64">
        <v>18.399999999999999</v>
      </c>
      <c r="D91" s="64">
        <v>32.049999999999997</v>
      </c>
      <c r="E91" s="64">
        <v>4.92</v>
      </c>
      <c r="F91" s="64">
        <v>2.72</v>
      </c>
      <c r="G91" s="64">
        <v>33</v>
      </c>
      <c r="H91" s="64">
        <v>8.48</v>
      </c>
      <c r="I91" s="64">
        <v>1.78</v>
      </c>
      <c r="J91" s="64">
        <v>0.12</v>
      </c>
      <c r="K91" s="64">
        <v>0.14000000000000001</v>
      </c>
      <c r="L91" s="64">
        <v>25.24</v>
      </c>
      <c r="M91" s="64">
        <v>85.87</v>
      </c>
      <c r="N91" s="64">
        <v>9.4</v>
      </c>
      <c r="O91" s="64">
        <v>0</v>
      </c>
      <c r="P91" s="64">
        <v>0.75</v>
      </c>
      <c r="Q91" s="64">
        <v>5.81</v>
      </c>
      <c r="R91" s="198"/>
      <c r="S91" s="198"/>
      <c r="T91" s="198"/>
      <c r="U91" s="198"/>
    </row>
    <row r="92" spans="1:26" s="12" customFormat="1" x14ac:dyDescent="0.25">
      <c r="A92" s="214" t="s">
        <v>1868</v>
      </c>
      <c r="B92" s="64">
        <v>12.94</v>
      </c>
      <c r="C92" s="64">
        <v>15.32</v>
      </c>
      <c r="D92" s="64">
        <v>28.27</v>
      </c>
      <c r="E92" s="64">
        <v>5.25</v>
      </c>
      <c r="F92" s="64">
        <v>1.88</v>
      </c>
      <c r="G92" s="64">
        <v>36.880000000000003</v>
      </c>
      <c r="H92" s="64">
        <v>10.18</v>
      </c>
      <c r="I92" s="64">
        <v>1.8</v>
      </c>
      <c r="J92" s="64">
        <v>0.16</v>
      </c>
      <c r="K92" s="64">
        <v>347.81</v>
      </c>
      <c r="L92" s="64">
        <v>25.23</v>
      </c>
      <c r="M92" s="64">
        <v>85.53</v>
      </c>
      <c r="N92" s="64">
        <v>9.3000000000000007</v>
      </c>
      <c r="O92" s="64">
        <v>0</v>
      </c>
      <c r="P92" s="64">
        <v>0.75</v>
      </c>
      <c r="Q92" s="64">
        <v>6.12</v>
      </c>
      <c r="R92" s="198"/>
      <c r="S92" s="198"/>
      <c r="T92" s="198"/>
      <c r="U92" s="198"/>
    </row>
    <row r="93" spans="1:26" s="12" customFormat="1" x14ac:dyDescent="0.25">
      <c r="A93" s="214" t="s">
        <v>1869</v>
      </c>
      <c r="B93" s="64">
        <v>16.27</v>
      </c>
      <c r="C93" s="64">
        <v>20.29</v>
      </c>
      <c r="D93" s="64">
        <v>36.57</v>
      </c>
      <c r="E93" s="64">
        <v>5.53</v>
      </c>
      <c r="F93" s="64">
        <v>2.5</v>
      </c>
      <c r="G93" s="64">
        <v>36.880000000000003</v>
      </c>
      <c r="H93" s="64">
        <v>10.18</v>
      </c>
      <c r="I93" s="64">
        <v>1.79</v>
      </c>
      <c r="J93" s="64">
        <v>0.1</v>
      </c>
      <c r="K93" s="64">
        <v>341.38</v>
      </c>
      <c r="L93" s="64">
        <v>25.15</v>
      </c>
      <c r="M93" s="64">
        <v>86.52</v>
      </c>
      <c r="N93" s="64">
        <v>9.3000000000000007</v>
      </c>
      <c r="O93" s="64">
        <v>0</v>
      </c>
      <c r="P93" s="64">
        <v>0.9</v>
      </c>
      <c r="Q93" s="64">
        <v>7.88</v>
      </c>
      <c r="R93" s="198"/>
      <c r="S93" s="198"/>
      <c r="T93" s="198"/>
      <c r="U93" s="198"/>
    </row>
    <row r="94" spans="1:26" s="12" customFormat="1" x14ac:dyDescent="0.25">
      <c r="A94" s="214" t="s">
        <v>1870</v>
      </c>
      <c r="B94" s="64">
        <v>18.43</v>
      </c>
      <c r="C94" s="64">
        <v>26.95</v>
      </c>
      <c r="D94" s="64">
        <v>45.39</v>
      </c>
      <c r="E94" s="64">
        <v>5.47</v>
      </c>
      <c r="F94" s="64">
        <v>3.95</v>
      </c>
      <c r="G94" s="64">
        <v>36.880000000000003</v>
      </c>
      <c r="H94" s="64">
        <v>10.18</v>
      </c>
      <c r="I94" s="64">
        <v>1.82</v>
      </c>
      <c r="J94" s="64">
        <v>0.04</v>
      </c>
      <c r="K94" s="64">
        <v>322.32</v>
      </c>
      <c r="L94" s="64">
        <v>25.1</v>
      </c>
      <c r="M94" s="64">
        <v>87.18</v>
      </c>
      <c r="N94" s="64">
        <v>9.3000000000000007</v>
      </c>
      <c r="O94" s="64">
        <v>0</v>
      </c>
      <c r="P94" s="64">
        <v>1.03</v>
      </c>
      <c r="Q94" s="64">
        <v>7.95</v>
      </c>
      <c r="R94" s="198"/>
      <c r="S94" s="198"/>
      <c r="T94" s="198"/>
      <c r="U94" s="198"/>
    </row>
    <row r="95" spans="1:26" s="12" customFormat="1" x14ac:dyDescent="0.25">
      <c r="A95" s="214" t="s">
        <v>1871</v>
      </c>
      <c r="B95" s="64">
        <v>22.87</v>
      </c>
      <c r="C95" s="64">
        <v>30.14</v>
      </c>
      <c r="D95" s="64">
        <v>53.01</v>
      </c>
      <c r="E95" s="64">
        <v>5.1100000000000003</v>
      </c>
      <c r="F95" s="64">
        <v>3.69</v>
      </c>
      <c r="G95" s="64">
        <v>38.9</v>
      </c>
      <c r="H95" s="64">
        <v>10.63</v>
      </c>
      <c r="I95" s="64">
        <v>1.79</v>
      </c>
      <c r="J95" s="64">
        <v>0.05</v>
      </c>
      <c r="K95" s="64">
        <v>344.95</v>
      </c>
      <c r="L95" s="64">
        <v>25.06</v>
      </c>
      <c r="M95" s="64">
        <v>87.03</v>
      </c>
      <c r="N95" s="64">
        <v>9.4</v>
      </c>
      <c r="O95" s="64">
        <v>0</v>
      </c>
      <c r="P95" s="64">
        <v>1.01</v>
      </c>
      <c r="Q95" s="64">
        <v>7.99</v>
      </c>
      <c r="R95" s="198"/>
      <c r="S95" s="198"/>
      <c r="T95" s="198"/>
      <c r="U95" s="198"/>
    </row>
    <row r="96" spans="1:26" s="12" customFormat="1" x14ac:dyDescent="0.25">
      <c r="A96" s="214" t="s">
        <v>1872</v>
      </c>
      <c r="B96" s="64">
        <v>24.66</v>
      </c>
      <c r="C96" s="64">
        <v>26.17</v>
      </c>
      <c r="D96" s="64">
        <v>50.83</v>
      </c>
      <c r="E96" s="64">
        <v>5.18</v>
      </c>
      <c r="F96" s="64">
        <v>2.31</v>
      </c>
      <c r="G96" s="64">
        <v>43.87</v>
      </c>
      <c r="H96" s="64">
        <v>11.34</v>
      </c>
      <c r="I96" s="64">
        <v>1.82</v>
      </c>
      <c r="J96" s="64">
        <v>0.14000000000000001</v>
      </c>
      <c r="K96" s="64">
        <v>329.08</v>
      </c>
      <c r="L96" s="64">
        <v>24.91</v>
      </c>
      <c r="M96" s="64">
        <v>88.22</v>
      </c>
      <c r="N96" s="64">
        <v>9.4</v>
      </c>
      <c r="O96" s="64">
        <v>0</v>
      </c>
      <c r="P96" s="64">
        <v>0.97</v>
      </c>
      <c r="Q96" s="64">
        <v>8.3800000000000008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1873</v>
      </c>
      <c r="B97" s="64">
        <v>29.24</v>
      </c>
      <c r="C97" s="64">
        <v>28.16</v>
      </c>
      <c r="D97" s="64">
        <v>57.4</v>
      </c>
      <c r="E97" s="64">
        <v>5.69</v>
      </c>
      <c r="F97" s="64">
        <v>2.1</v>
      </c>
      <c r="G97" s="64">
        <v>43.87</v>
      </c>
      <c r="H97" s="64">
        <v>11.34</v>
      </c>
      <c r="I97" s="64">
        <v>1.84</v>
      </c>
      <c r="J97" s="64">
        <v>0.1</v>
      </c>
      <c r="K97" s="64">
        <v>334.84</v>
      </c>
      <c r="L97" s="64">
        <v>24.7</v>
      </c>
      <c r="M97" s="64">
        <v>90.36</v>
      </c>
      <c r="N97" s="64">
        <v>9.4</v>
      </c>
      <c r="O97" s="64">
        <v>0</v>
      </c>
      <c r="P97" s="64">
        <v>1.03</v>
      </c>
      <c r="Q97" s="64">
        <v>9.3699999999999992</v>
      </c>
      <c r="R97" s="198"/>
      <c r="S97" s="198"/>
      <c r="T97" s="198"/>
      <c r="U97" s="198"/>
    </row>
    <row r="98" spans="1:33" s="12" customFormat="1" x14ac:dyDescent="0.25">
      <c r="A98" s="214" t="s">
        <v>1874</v>
      </c>
      <c r="B98" s="64">
        <v>16.3</v>
      </c>
      <c r="C98" s="64">
        <v>21.83</v>
      </c>
      <c r="D98" s="64">
        <v>38.130000000000003</v>
      </c>
      <c r="E98" s="64">
        <v>5.23</v>
      </c>
      <c r="F98" s="64">
        <v>1.08</v>
      </c>
      <c r="G98" s="64">
        <v>43.87</v>
      </c>
      <c r="H98" s="64">
        <v>11.34</v>
      </c>
      <c r="I98" s="64">
        <v>1.78</v>
      </c>
      <c r="J98" s="64">
        <v>0.1</v>
      </c>
      <c r="K98" s="64">
        <v>351.39</v>
      </c>
      <c r="L98" s="64">
        <v>24.66</v>
      </c>
      <c r="M98" s="64">
        <v>90.32</v>
      </c>
      <c r="N98" s="64">
        <v>9.4</v>
      </c>
      <c r="O98" s="64">
        <v>0</v>
      </c>
      <c r="P98" s="64">
        <v>0.85</v>
      </c>
      <c r="Q98" s="64">
        <v>9.85</v>
      </c>
      <c r="R98" s="198"/>
      <c r="S98" s="198"/>
      <c r="T98" s="198"/>
      <c r="U98" s="198"/>
    </row>
    <row r="99" spans="1:33" s="12" customFormat="1" x14ac:dyDescent="0.25">
      <c r="A99" s="214" t="s">
        <v>1875</v>
      </c>
      <c r="B99" s="64">
        <v>17.53</v>
      </c>
      <c r="C99" s="64">
        <v>17.05</v>
      </c>
      <c r="D99" s="64">
        <v>34.58</v>
      </c>
      <c r="E99" s="64">
        <v>4.63</v>
      </c>
      <c r="F99" s="64">
        <v>1.64</v>
      </c>
      <c r="G99" s="64">
        <v>46.87</v>
      </c>
      <c r="H99" s="64">
        <v>12.27</v>
      </c>
      <c r="I99" s="64">
        <v>1.81</v>
      </c>
      <c r="J99" s="64">
        <v>0.1</v>
      </c>
      <c r="K99" s="64">
        <v>340.54</v>
      </c>
      <c r="L99" s="64">
        <v>24.57</v>
      </c>
      <c r="M99" s="64">
        <v>91.27</v>
      </c>
      <c r="N99" s="64">
        <v>9.4</v>
      </c>
      <c r="O99" s="64">
        <v>0</v>
      </c>
      <c r="P99" s="64">
        <v>0.89</v>
      </c>
      <c r="Q99" s="64">
        <v>10.5</v>
      </c>
      <c r="R99" s="198"/>
      <c r="S99" s="198"/>
      <c r="T99" s="198"/>
      <c r="U99" s="198"/>
    </row>
    <row r="100" spans="1:33" s="12" customFormat="1" x14ac:dyDescent="0.25">
      <c r="A100" s="214" t="s">
        <v>1876</v>
      </c>
      <c r="B100" s="64">
        <v>19.32</v>
      </c>
      <c r="C100" s="64">
        <v>22.73</v>
      </c>
      <c r="D100" s="64">
        <v>42.04</v>
      </c>
      <c r="E100" s="64">
        <v>5.08</v>
      </c>
      <c r="F100" s="64">
        <v>2.75</v>
      </c>
      <c r="G100" s="64">
        <v>54.27</v>
      </c>
      <c r="H100" s="64">
        <v>13.73</v>
      </c>
      <c r="I100" s="64">
        <v>1.8</v>
      </c>
      <c r="J100" s="64">
        <v>0.12</v>
      </c>
      <c r="K100" s="64">
        <v>334.1</v>
      </c>
      <c r="L100" s="64">
        <v>24.4</v>
      </c>
      <c r="M100" s="64">
        <v>92.22</v>
      </c>
      <c r="N100" s="64">
        <v>9.3000000000000007</v>
      </c>
      <c r="O100" s="64">
        <v>0</v>
      </c>
      <c r="P100" s="64">
        <v>0.89</v>
      </c>
      <c r="Q100" s="64">
        <v>10.34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1877</v>
      </c>
      <c r="B101" s="64">
        <v>20.3</v>
      </c>
      <c r="C101" s="64">
        <v>15.46</v>
      </c>
      <c r="D101" s="64">
        <v>35.76</v>
      </c>
      <c r="E101" s="64">
        <v>5.08</v>
      </c>
      <c r="F101" s="64">
        <v>2.09</v>
      </c>
      <c r="G101" s="64">
        <v>54.27</v>
      </c>
      <c r="H101" s="64">
        <v>13.73</v>
      </c>
      <c r="I101" s="64">
        <v>1.84</v>
      </c>
      <c r="J101" s="64">
        <v>0.06</v>
      </c>
      <c r="K101" s="64">
        <v>309.47000000000003</v>
      </c>
      <c r="L101" s="64">
        <v>24.28</v>
      </c>
      <c r="M101" s="64">
        <v>92.63</v>
      </c>
      <c r="N101" s="64">
        <v>9.5</v>
      </c>
      <c r="O101" s="64">
        <v>0</v>
      </c>
      <c r="P101" s="64">
        <v>0.89</v>
      </c>
      <c r="Q101" s="64">
        <v>10.029999999999999</v>
      </c>
      <c r="R101" s="198"/>
      <c r="S101" s="198"/>
      <c r="T101" s="198"/>
      <c r="U101" s="198"/>
    </row>
    <row r="102" spans="1:33" s="12" customFormat="1" x14ac:dyDescent="0.25">
      <c r="A102" s="214" t="s">
        <v>1878</v>
      </c>
      <c r="B102" s="64">
        <v>16.03</v>
      </c>
      <c r="C102" s="64">
        <v>18.39</v>
      </c>
      <c r="D102" s="64">
        <v>34.42</v>
      </c>
      <c r="E102" s="64">
        <v>4.74</v>
      </c>
      <c r="F102" s="64">
        <v>1.83</v>
      </c>
      <c r="G102" s="64">
        <v>54.27</v>
      </c>
      <c r="H102" s="64">
        <v>13.73</v>
      </c>
      <c r="I102" s="64">
        <v>1.79</v>
      </c>
      <c r="J102" s="64">
        <v>7.0000000000000007E-2</v>
      </c>
      <c r="K102" s="64">
        <v>244.48</v>
      </c>
      <c r="L102" s="64">
        <v>24.34</v>
      </c>
      <c r="M102" s="64">
        <v>92.11</v>
      </c>
      <c r="N102" s="64">
        <v>9.1999999999999993</v>
      </c>
      <c r="O102" s="64">
        <v>0</v>
      </c>
      <c r="P102" s="64">
        <v>0.76</v>
      </c>
      <c r="Q102" s="64">
        <v>11.35</v>
      </c>
      <c r="R102" s="198"/>
      <c r="S102" s="198"/>
      <c r="T102" s="198"/>
      <c r="U102" s="198"/>
    </row>
    <row r="103" spans="1:33" s="12" customFormat="1" x14ac:dyDescent="0.25">
      <c r="A103" s="214" t="s">
        <v>1879</v>
      </c>
      <c r="B103" s="64">
        <v>19.190000000000001</v>
      </c>
      <c r="C103" s="64">
        <v>19.239999999999998</v>
      </c>
      <c r="D103" s="64">
        <v>38.43</v>
      </c>
      <c r="E103" s="64">
        <v>5.26</v>
      </c>
      <c r="F103" s="64">
        <v>2.33</v>
      </c>
      <c r="G103" s="64">
        <v>53.24</v>
      </c>
      <c r="H103" s="64">
        <v>14.23</v>
      </c>
      <c r="I103" s="64">
        <v>1.76</v>
      </c>
      <c r="J103" s="64">
        <v>0.06</v>
      </c>
      <c r="K103" s="64">
        <v>288.48</v>
      </c>
      <c r="L103" s="64">
        <v>24.07</v>
      </c>
      <c r="M103" s="64">
        <v>93.89</v>
      </c>
      <c r="N103" s="64">
        <v>9.5</v>
      </c>
      <c r="O103" s="64">
        <v>0</v>
      </c>
      <c r="P103" s="64">
        <v>0.85</v>
      </c>
      <c r="Q103" s="64">
        <v>9.8800000000000008</v>
      </c>
      <c r="R103" s="198"/>
      <c r="S103" s="198"/>
      <c r="T103" s="198"/>
      <c r="U103" s="198"/>
    </row>
    <row r="104" spans="1:33" s="12" customFormat="1" x14ac:dyDescent="0.25">
      <c r="A104" s="214" t="s">
        <v>1880</v>
      </c>
      <c r="B104" s="64">
        <v>14.92</v>
      </c>
      <c r="C104" s="64">
        <v>15.37</v>
      </c>
      <c r="D104" s="64">
        <v>30.29</v>
      </c>
      <c r="E104" s="64">
        <v>4.84</v>
      </c>
      <c r="F104" s="64">
        <v>1.96</v>
      </c>
      <c r="G104" s="64">
        <v>50.71</v>
      </c>
      <c r="H104" s="64">
        <v>16.28</v>
      </c>
      <c r="I104" s="64">
        <v>1.9</v>
      </c>
      <c r="J104" s="64">
        <v>0.08</v>
      </c>
      <c r="K104" s="64">
        <v>358.9</v>
      </c>
      <c r="L104" s="64">
        <v>24.02</v>
      </c>
      <c r="M104" s="64">
        <v>93.13</v>
      </c>
      <c r="N104" s="64">
        <v>9.3000000000000007</v>
      </c>
      <c r="O104" s="64">
        <v>0</v>
      </c>
      <c r="P104" s="64">
        <v>0.77</v>
      </c>
      <c r="Q104" s="64">
        <v>10.31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2.4900000000000002</v>
      </c>
      <c r="C106" s="67">
        <f>MIN(C9:C104)</f>
        <v>7.97</v>
      </c>
      <c r="D106" s="67">
        <f t="shared" ref="D106:Q106" si="0">MIN(D9:D104)</f>
        <v>12.67</v>
      </c>
      <c r="E106" s="67">
        <f t="shared" si="0"/>
        <v>3.01</v>
      </c>
      <c r="F106" s="67">
        <f t="shared" si="0"/>
        <v>0.2</v>
      </c>
      <c r="G106" s="67">
        <f t="shared" si="0"/>
        <v>15.16</v>
      </c>
      <c r="H106" s="67">
        <f t="shared" si="0"/>
        <v>6.04</v>
      </c>
      <c r="I106" s="67">
        <f t="shared" si="0"/>
        <v>1.69</v>
      </c>
      <c r="J106" s="67">
        <f t="shared" si="0"/>
        <v>0</v>
      </c>
      <c r="K106" s="67">
        <f t="shared" si="0"/>
        <v>0.14000000000000001</v>
      </c>
      <c r="L106" s="67">
        <f t="shared" si="0"/>
        <v>21.65</v>
      </c>
      <c r="M106" s="67">
        <f t="shared" si="0"/>
        <v>55.8</v>
      </c>
      <c r="N106" s="67">
        <f t="shared" si="0"/>
        <v>9</v>
      </c>
      <c r="O106" s="67">
        <f t="shared" si="0"/>
        <v>0</v>
      </c>
      <c r="P106" s="67">
        <f t="shared" si="0"/>
        <v>0.3</v>
      </c>
      <c r="Q106" s="67">
        <f t="shared" si="0"/>
        <v>0.04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29.24</v>
      </c>
      <c r="C107" s="66">
        <f t="shared" ref="C107:Q107" si="1">MAX(C9:C104)</f>
        <v>30.14</v>
      </c>
      <c r="D107" s="66">
        <f t="shared" si="1"/>
        <v>57.4</v>
      </c>
      <c r="E107" s="66">
        <f t="shared" si="1"/>
        <v>5.9</v>
      </c>
      <c r="F107" s="66">
        <f t="shared" si="1"/>
        <v>7.78</v>
      </c>
      <c r="G107" s="66">
        <f t="shared" si="1"/>
        <v>54.27</v>
      </c>
      <c r="H107" s="66">
        <f t="shared" si="1"/>
        <v>16.28</v>
      </c>
      <c r="I107" s="66">
        <f t="shared" si="1"/>
        <v>1.9</v>
      </c>
      <c r="J107" s="66">
        <f t="shared" si="1"/>
        <v>0.82</v>
      </c>
      <c r="K107" s="66">
        <f t="shared" si="1"/>
        <v>359.7</v>
      </c>
      <c r="L107" s="66">
        <f t="shared" si="1"/>
        <v>31.54</v>
      </c>
      <c r="M107" s="66">
        <f t="shared" si="1"/>
        <v>98.8</v>
      </c>
      <c r="N107" s="66">
        <f t="shared" si="1"/>
        <v>995.3</v>
      </c>
      <c r="O107" s="66">
        <f t="shared" si="1"/>
        <v>0</v>
      </c>
      <c r="P107" s="66">
        <f t="shared" si="1"/>
        <v>1.03</v>
      </c>
      <c r="Q107" s="66">
        <f t="shared" si="1"/>
        <v>89.4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7.1684374999999996</v>
      </c>
      <c r="C108" s="67">
        <f t="shared" ref="C108:Q108" si="2">AVERAGE(C9:C104)</f>
        <v>13.509270833333337</v>
      </c>
      <c r="D108" s="67">
        <f t="shared" si="2"/>
        <v>20.675833333333337</v>
      </c>
      <c r="E108" s="67">
        <f t="shared" si="2"/>
        <v>4.2347916666666672</v>
      </c>
      <c r="F108" s="67">
        <f t="shared" si="2"/>
        <v>2.3454166666666665</v>
      </c>
      <c r="G108" s="67">
        <f t="shared" si="2"/>
        <v>27.401770833333334</v>
      </c>
      <c r="H108" s="67">
        <f t="shared" si="2"/>
        <v>9.5570833333333365</v>
      </c>
      <c r="I108" s="67">
        <f t="shared" si="2"/>
        <v>1.7977083333333332</v>
      </c>
      <c r="J108" s="67">
        <f t="shared" si="2"/>
        <v>0.17614583333333342</v>
      </c>
      <c r="K108" s="67">
        <f t="shared" si="2"/>
        <v>161.50437499999992</v>
      </c>
      <c r="L108" s="67">
        <f t="shared" si="2"/>
        <v>25.849374999999998</v>
      </c>
      <c r="M108" s="67">
        <f t="shared" si="2"/>
        <v>81.031354166666702</v>
      </c>
      <c r="N108" s="67">
        <f t="shared" si="2"/>
        <v>226.91562500000006</v>
      </c>
      <c r="O108" s="67">
        <f t="shared" si="2"/>
        <v>0</v>
      </c>
      <c r="P108" s="67">
        <f t="shared" si="2"/>
        <v>0.47489583333333335</v>
      </c>
      <c r="Q108" s="67">
        <f t="shared" si="2"/>
        <v>12.76395833333333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5.5025692234819292</v>
      </c>
      <c r="C109" s="67">
        <f t="shared" ref="C109:Q109" si="3">STDEV(C9:C104)</f>
        <v>4.7384759363703921</v>
      </c>
      <c r="D109" s="67">
        <f t="shared" si="3"/>
        <v>9.3195033374177338</v>
      </c>
      <c r="E109" s="67">
        <f t="shared" si="3"/>
        <v>0.69564960805924658</v>
      </c>
      <c r="F109" s="67">
        <f t="shared" si="3"/>
        <v>1.2603666272508647</v>
      </c>
      <c r="G109" s="67">
        <f t="shared" si="3"/>
        <v>8.8626411644660354</v>
      </c>
      <c r="H109" s="67">
        <f t="shared" si="3"/>
        <v>2.2931582067976488</v>
      </c>
      <c r="I109" s="67">
        <f t="shared" si="3"/>
        <v>3.5495860890403519E-2</v>
      </c>
      <c r="J109" s="67">
        <f t="shared" si="3"/>
        <v>0.14836207340341853</v>
      </c>
      <c r="K109" s="67">
        <f t="shared" si="3"/>
        <v>127.42763148104275</v>
      </c>
      <c r="L109" s="67">
        <f t="shared" si="3"/>
        <v>3.0058594751269498</v>
      </c>
      <c r="M109" s="67">
        <f t="shared" si="3"/>
        <v>15.03356956735144</v>
      </c>
      <c r="N109" s="67">
        <f t="shared" si="3"/>
        <v>322.15972414091829</v>
      </c>
      <c r="O109" s="67">
        <f t="shared" si="3"/>
        <v>0</v>
      </c>
      <c r="P109" s="67">
        <f t="shared" si="3"/>
        <v>0.19102490767142702</v>
      </c>
      <c r="Q109" s="67">
        <f t="shared" si="3"/>
        <v>20.421926321798892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N111" sqref="N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1881</v>
      </c>
      <c r="B9" s="64">
        <v>11.53</v>
      </c>
      <c r="C9" s="64">
        <v>14.89</v>
      </c>
      <c r="D9" s="64">
        <v>26.42</v>
      </c>
      <c r="E9" s="64">
        <v>4.8499999999999996</v>
      </c>
      <c r="F9" s="64">
        <v>4.34</v>
      </c>
      <c r="G9" s="64">
        <v>50.71</v>
      </c>
      <c r="H9" s="64">
        <v>16.28</v>
      </c>
      <c r="I9" s="64">
        <v>1.83</v>
      </c>
      <c r="J9" s="64">
        <v>0.04</v>
      </c>
      <c r="K9" s="64">
        <v>279.76</v>
      </c>
      <c r="L9" s="64">
        <v>24.24</v>
      </c>
      <c r="M9" s="64">
        <v>91.77</v>
      </c>
      <c r="N9" s="64">
        <v>9.1999999999999993</v>
      </c>
      <c r="O9" s="64">
        <v>0</v>
      </c>
      <c r="P9" s="64">
        <v>0.67</v>
      </c>
      <c r="Q9" s="64">
        <v>9.06</v>
      </c>
      <c r="R9" s="198"/>
      <c r="S9" s="198"/>
      <c r="T9" s="198"/>
      <c r="U9" s="198"/>
    </row>
    <row r="10" spans="1:21" s="12" customFormat="1" x14ac:dyDescent="0.25">
      <c r="A10" s="214" t="s">
        <v>1882</v>
      </c>
      <c r="B10" s="64">
        <v>8.9700000000000006</v>
      </c>
      <c r="C10" s="64">
        <v>18.86</v>
      </c>
      <c r="D10" s="64">
        <v>27.84</v>
      </c>
      <c r="E10" s="64">
        <v>5.1100000000000003</v>
      </c>
      <c r="F10" s="64">
        <v>4.1100000000000003</v>
      </c>
      <c r="G10" s="64">
        <v>50.71</v>
      </c>
      <c r="H10" s="64">
        <v>16.28</v>
      </c>
      <c r="I10" s="64">
        <v>1.79</v>
      </c>
      <c r="J10" s="64">
        <v>0.01</v>
      </c>
      <c r="K10" s="64">
        <v>130.15</v>
      </c>
      <c r="L10" s="64">
        <v>23.96</v>
      </c>
      <c r="M10" s="64">
        <v>93.64</v>
      </c>
      <c r="N10" s="64">
        <v>9.4</v>
      </c>
      <c r="O10" s="64">
        <v>0</v>
      </c>
      <c r="P10" s="64">
        <v>0.67</v>
      </c>
      <c r="Q10" s="64">
        <v>8.52</v>
      </c>
      <c r="R10" s="198"/>
      <c r="S10" s="198"/>
      <c r="T10" s="198"/>
      <c r="U10" s="198"/>
    </row>
    <row r="11" spans="1:21" s="12" customFormat="1" x14ac:dyDescent="0.25">
      <c r="A11" s="214" t="s">
        <v>1883</v>
      </c>
      <c r="B11" s="64">
        <v>7.78</v>
      </c>
      <c r="C11" s="64">
        <v>19.579999999999998</v>
      </c>
      <c r="D11" s="64">
        <v>27.36</v>
      </c>
      <c r="E11" s="64">
        <v>4.46</v>
      </c>
      <c r="F11" s="64">
        <v>4.3899999999999997</v>
      </c>
      <c r="G11" s="64">
        <v>47.86</v>
      </c>
      <c r="H11" s="64">
        <v>14.81</v>
      </c>
      <c r="I11" s="64">
        <v>1.81</v>
      </c>
      <c r="J11" s="9" t="s">
        <v>36</v>
      </c>
      <c r="K11" s="64">
        <v>109.65</v>
      </c>
      <c r="L11" s="64">
        <v>23.84</v>
      </c>
      <c r="M11" s="64">
        <v>94.26</v>
      </c>
      <c r="N11" s="64">
        <v>9.3000000000000007</v>
      </c>
      <c r="O11" s="64">
        <v>0</v>
      </c>
      <c r="P11" s="64">
        <v>0.61</v>
      </c>
      <c r="Q11" s="64">
        <v>8.7899999999999991</v>
      </c>
      <c r="R11" s="198"/>
      <c r="S11" s="198"/>
      <c r="T11" s="198"/>
      <c r="U11" s="198"/>
    </row>
    <row r="12" spans="1:21" s="12" customFormat="1" x14ac:dyDescent="0.25">
      <c r="A12" s="214" t="s">
        <v>1884</v>
      </c>
      <c r="B12" s="64">
        <v>6.49</v>
      </c>
      <c r="C12" s="64">
        <v>19.88</v>
      </c>
      <c r="D12" s="64">
        <v>26.37</v>
      </c>
      <c r="E12" s="64">
        <v>4.9000000000000004</v>
      </c>
      <c r="F12" s="64">
        <v>3.34</v>
      </c>
      <c r="G12" s="64">
        <v>40.86</v>
      </c>
      <c r="H12" s="64">
        <v>12.5</v>
      </c>
      <c r="I12" s="64">
        <v>1.81</v>
      </c>
      <c r="J12" s="64">
        <v>0.08</v>
      </c>
      <c r="K12" s="64">
        <v>281.82</v>
      </c>
      <c r="L12" s="64">
        <v>23.69</v>
      </c>
      <c r="M12" s="64">
        <v>95.68</v>
      </c>
      <c r="N12" s="64">
        <v>9.5</v>
      </c>
      <c r="O12" s="64">
        <v>0</v>
      </c>
      <c r="P12" s="64">
        <v>0.59</v>
      </c>
      <c r="Q12" s="64">
        <v>9.31</v>
      </c>
      <c r="R12" s="198"/>
      <c r="S12" s="198"/>
      <c r="T12" s="198"/>
      <c r="U12" s="198"/>
    </row>
    <row r="13" spans="1:21" s="12" customFormat="1" x14ac:dyDescent="0.25">
      <c r="A13" s="214" t="s">
        <v>1885</v>
      </c>
      <c r="B13" s="64">
        <v>7.02</v>
      </c>
      <c r="C13" s="64">
        <v>21.76</v>
      </c>
      <c r="D13" s="64">
        <v>28.78</v>
      </c>
      <c r="E13" s="64">
        <v>4.6100000000000003</v>
      </c>
      <c r="F13" s="64">
        <v>2.1</v>
      </c>
      <c r="G13" s="64">
        <v>40.86</v>
      </c>
      <c r="H13" s="64">
        <v>12.5</v>
      </c>
      <c r="I13" s="64">
        <v>1.84</v>
      </c>
      <c r="J13" s="64">
        <v>0.1</v>
      </c>
      <c r="K13" s="64">
        <v>290.95</v>
      </c>
      <c r="L13" s="64">
        <v>23.42</v>
      </c>
      <c r="M13" s="64">
        <v>98.71</v>
      </c>
      <c r="N13" s="64">
        <v>9.5</v>
      </c>
      <c r="O13" s="64">
        <v>0</v>
      </c>
      <c r="P13" s="64">
        <v>0.54</v>
      </c>
      <c r="Q13" s="64">
        <v>9.81</v>
      </c>
      <c r="R13" s="198"/>
      <c r="S13" s="198"/>
      <c r="T13" s="198"/>
      <c r="U13" s="198"/>
    </row>
    <row r="14" spans="1:21" s="12" customFormat="1" x14ac:dyDescent="0.25">
      <c r="A14" s="214" t="s">
        <v>1886</v>
      </c>
      <c r="B14" s="64">
        <v>9.5299999999999994</v>
      </c>
      <c r="C14" s="64">
        <v>18.41</v>
      </c>
      <c r="D14" s="64">
        <v>27.94</v>
      </c>
      <c r="E14" s="64">
        <v>5.23</v>
      </c>
      <c r="F14" s="64">
        <v>1.84</v>
      </c>
      <c r="G14" s="64">
        <v>40.86</v>
      </c>
      <c r="H14" s="64">
        <v>12.5</v>
      </c>
      <c r="I14" s="64">
        <v>1.78</v>
      </c>
      <c r="J14" s="64">
        <v>0.04</v>
      </c>
      <c r="K14" s="64">
        <v>292.39</v>
      </c>
      <c r="L14" s="64">
        <v>23.2</v>
      </c>
      <c r="M14" s="64">
        <v>98.73</v>
      </c>
      <c r="N14" s="64">
        <v>9.3000000000000007</v>
      </c>
      <c r="O14" s="64">
        <v>0</v>
      </c>
      <c r="P14" s="64">
        <v>0.68</v>
      </c>
      <c r="Q14" s="64">
        <v>9.93</v>
      </c>
      <c r="R14" s="198"/>
      <c r="S14" s="198"/>
      <c r="T14" s="198"/>
      <c r="U14" s="198"/>
    </row>
    <row r="15" spans="1:21" s="12" customFormat="1" x14ac:dyDescent="0.25">
      <c r="A15" s="214" t="s">
        <v>1887</v>
      </c>
      <c r="B15" s="64">
        <v>11.36</v>
      </c>
      <c r="C15" s="64">
        <v>13.52</v>
      </c>
      <c r="D15" s="64">
        <v>24.88</v>
      </c>
      <c r="E15" s="64">
        <v>5.13</v>
      </c>
      <c r="F15" s="64">
        <v>1.17</v>
      </c>
      <c r="G15" s="64">
        <v>39.979999999999997</v>
      </c>
      <c r="H15" s="64">
        <v>13.38</v>
      </c>
      <c r="I15" s="64">
        <v>1.79</v>
      </c>
      <c r="J15" s="64">
        <v>7.0000000000000007E-2</v>
      </c>
      <c r="K15" s="64">
        <v>355.78</v>
      </c>
      <c r="L15" s="64">
        <v>23.17</v>
      </c>
      <c r="M15" s="64">
        <v>98.74</v>
      </c>
      <c r="N15" s="64">
        <v>9.3000000000000007</v>
      </c>
      <c r="O15" s="64">
        <v>0</v>
      </c>
      <c r="P15" s="64">
        <v>0.63</v>
      </c>
      <c r="Q15" s="64">
        <v>10.87</v>
      </c>
      <c r="R15" s="198"/>
      <c r="S15" s="198"/>
      <c r="T15" s="198"/>
      <c r="U15" s="198"/>
    </row>
    <row r="16" spans="1:21" s="12" customFormat="1" x14ac:dyDescent="0.25">
      <c r="A16" s="214" t="s">
        <v>1888</v>
      </c>
      <c r="B16" s="64">
        <v>10.87</v>
      </c>
      <c r="C16" s="64">
        <v>13.17</v>
      </c>
      <c r="D16" s="64">
        <v>24.04</v>
      </c>
      <c r="E16" s="64">
        <v>4.8</v>
      </c>
      <c r="F16" s="64">
        <v>1.85</v>
      </c>
      <c r="G16" s="64">
        <v>37.81</v>
      </c>
      <c r="H16" s="64">
        <v>14.82</v>
      </c>
      <c r="I16" s="64">
        <v>1.81</v>
      </c>
      <c r="J16" s="64">
        <v>7.0000000000000007E-2</v>
      </c>
      <c r="K16" s="64">
        <v>272.86</v>
      </c>
      <c r="L16" s="64">
        <v>23.09</v>
      </c>
      <c r="M16" s="64">
        <v>98.77</v>
      </c>
      <c r="N16" s="64">
        <v>9.1999999999999993</v>
      </c>
      <c r="O16" s="64">
        <v>0</v>
      </c>
      <c r="P16" s="64">
        <v>0.67</v>
      </c>
      <c r="Q16" s="64">
        <v>10.09</v>
      </c>
      <c r="R16" s="198"/>
      <c r="S16" s="198"/>
      <c r="T16" s="198"/>
      <c r="U16" s="198"/>
    </row>
    <row r="17" spans="1:21" s="12" customFormat="1" x14ac:dyDescent="0.25">
      <c r="A17" s="214" t="s">
        <v>1889</v>
      </c>
      <c r="B17" s="64">
        <v>12.39</v>
      </c>
      <c r="C17" s="64">
        <v>10.11</v>
      </c>
      <c r="D17" s="64">
        <v>22.5</v>
      </c>
      <c r="E17" s="64">
        <v>5.28</v>
      </c>
      <c r="F17" s="64">
        <v>0.45</v>
      </c>
      <c r="G17" s="64">
        <v>37.81</v>
      </c>
      <c r="H17" s="64">
        <v>14.82</v>
      </c>
      <c r="I17" s="64">
        <v>1.74</v>
      </c>
      <c r="J17" s="64">
        <v>0.05</v>
      </c>
      <c r="K17" s="64">
        <v>42.52</v>
      </c>
      <c r="L17" s="64">
        <v>23.48</v>
      </c>
      <c r="M17" s="64">
        <v>98.73</v>
      </c>
      <c r="N17" s="64">
        <v>9.1</v>
      </c>
      <c r="O17" s="64">
        <v>0</v>
      </c>
      <c r="P17" s="64">
        <v>0.68</v>
      </c>
      <c r="Q17" s="64">
        <v>10.91</v>
      </c>
      <c r="R17" s="198"/>
      <c r="S17" s="198"/>
      <c r="T17" s="198"/>
      <c r="U17" s="198"/>
    </row>
    <row r="18" spans="1:21" s="12" customFormat="1" x14ac:dyDescent="0.25">
      <c r="A18" s="214" t="s">
        <v>1890</v>
      </c>
      <c r="B18" s="64">
        <v>11.97</v>
      </c>
      <c r="C18" s="64">
        <v>9.64</v>
      </c>
      <c r="D18" s="64">
        <v>21.61</v>
      </c>
      <c r="E18" s="64">
        <v>5.0199999999999996</v>
      </c>
      <c r="F18" s="64">
        <v>0.93</v>
      </c>
      <c r="G18" s="64">
        <v>37.81</v>
      </c>
      <c r="H18" s="64">
        <v>14.82</v>
      </c>
      <c r="I18" s="64">
        <v>1.82</v>
      </c>
      <c r="J18" s="64">
        <v>0.05</v>
      </c>
      <c r="K18" s="64">
        <v>6.48</v>
      </c>
      <c r="L18" s="64">
        <v>23.44</v>
      </c>
      <c r="M18" s="64">
        <v>98.73</v>
      </c>
      <c r="N18" s="64">
        <v>9.1</v>
      </c>
      <c r="O18" s="64">
        <v>0</v>
      </c>
      <c r="P18" s="64">
        <v>0.63</v>
      </c>
      <c r="Q18" s="64">
        <v>9.58</v>
      </c>
      <c r="R18" s="198"/>
      <c r="S18" s="198"/>
      <c r="T18" s="198"/>
      <c r="U18" s="198"/>
    </row>
    <row r="19" spans="1:21" s="12" customFormat="1" x14ac:dyDescent="0.25">
      <c r="A19" s="214" t="s">
        <v>1891</v>
      </c>
      <c r="B19" s="64">
        <v>11.27</v>
      </c>
      <c r="C19" s="64">
        <v>9.23</v>
      </c>
      <c r="D19" s="64">
        <v>20.5</v>
      </c>
      <c r="E19" s="64">
        <v>4.2</v>
      </c>
      <c r="F19" s="64">
        <v>1.28</v>
      </c>
      <c r="G19" s="64">
        <v>36.93</v>
      </c>
      <c r="H19" s="64">
        <v>13.97</v>
      </c>
      <c r="I19" s="64">
        <v>1.78</v>
      </c>
      <c r="J19" s="64">
        <v>0.04</v>
      </c>
      <c r="K19" s="64">
        <v>50.51</v>
      </c>
      <c r="L19" s="64">
        <v>23.36</v>
      </c>
      <c r="M19" s="64">
        <v>98.76</v>
      </c>
      <c r="N19" s="64">
        <v>9</v>
      </c>
      <c r="O19" s="64">
        <v>0</v>
      </c>
      <c r="P19" s="64">
        <v>0.61</v>
      </c>
      <c r="Q19" s="64">
        <v>9.7899999999999991</v>
      </c>
      <c r="R19" s="198"/>
      <c r="S19" s="198"/>
      <c r="T19" s="198"/>
      <c r="U19" s="198"/>
    </row>
    <row r="20" spans="1:21" s="12" customFormat="1" x14ac:dyDescent="0.25">
      <c r="A20" s="214" t="s">
        <v>1892</v>
      </c>
      <c r="B20" s="64">
        <v>9.77</v>
      </c>
      <c r="C20" s="64">
        <v>9.61</v>
      </c>
      <c r="D20" s="64">
        <v>19.37</v>
      </c>
      <c r="E20" s="64">
        <v>5.41</v>
      </c>
      <c r="F20" s="64">
        <v>1.33</v>
      </c>
      <c r="G20" s="64">
        <v>34.770000000000003</v>
      </c>
      <c r="H20" s="64">
        <v>12.62</v>
      </c>
      <c r="I20" s="64">
        <v>1.8</v>
      </c>
      <c r="J20" s="64">
        <v>0.02</v>
      </c>
      <c r="K20" s="64">
        <v>309.97000000000003</v>
      </c>
      <c r="L20" s="64">
        <v>23.22</v>
      </c>
      <c r="M20" s="64">
        <v>98.78</v>
      </c>
      <c r="N20" s="64">
        <v>9.1</v>
      </c>
      <c r="O20" s="64">
        <v>0</v>
      </c>
      <c r="P20" s="64">
        <v>0.57999999999999996</v>
      </c>
      <c r="Q20" s="64">
        <v>8.92</v>
      </c>
      <c r="R20" s="198"/>
      <c r="S20" s="198"/>
      <c r="T20" s="198"/>
      <c r="U20" s="198"/>
    </row>
    <row r="21" spans="1:21" s="12" customFormat="1" x14ac:dyDescent="0.25">
      <c r="A21" s="214" t="s">
        <v>1893</v>
      </c>
      <c r="B21" s="64">
        <v>10.15</v>
      </c>
      <c r="C21" s="64">
        <v>9.16</v>
      </c>
      <c r="D21" s="64">
        <v>19.309999999999999</v>
      </c>
      <c r="E21" s="64">
        <v>5.2</v>
      </c>
      <c r="F21" s="64">
        <v>1.22</v>
      </c>
      <c r="G21" s="64">
        <v>34.770000000000003</v>
      </c>
      <c r="H21" s="64">
        <v>12.62</v>
      </c>
      <c r="I21" s="64">
        <v>1.83</v>
      </c>
      <c r="J21" s="64">
        <v>0.01</v>
      </c>
      <c r="K21" s="64">
        <v>288.24</v>
      </c>
      <c r="L21" s="64">
        <v>23.24</v>
      </c>
      <c r="M21" s="64">
        <v>98.78</v>
      </c>
      <c r="N21" s="64">
        <v>9</v>
      </c>
      <c r="O21" s="64">
        <v>0</v>
      </c>
      <c r="P21" s="64">
        <v>0.54</v>
      </c>
      <c r="Q21" s="64">
        <v>9.7799999999999994</v>
      </c>
      <c r="R21" s="198"/>
      <c r="S21" s="198"/>
      <c r="T21" s="198"/>
      <c r="U21" s="198"/>
    </row>
    <row r="22" spans="1:21" s="12" customFormat="1" x14ac:dyDescent="0.25">
      <c r="A22" s="214" t="s">
        <v>1894</v>
      </c>
      <c r="B22" s="64">
        <v>8.86</v>
      </c>
      <c r="C22" s="64">
        <v>9.6300000000000008</v>
      </c>
      <c r="D22" s="64">
        <v>18.5</v>
      </c>
      <c r="E22" s="64">
        <v>4.7</v>
      </c>
      <c r="F22" s="64">
        <v>2.4500000000000002</v>
      </c>
      <c r="G22" s="64">
        <v>34.770000000000003</v>
      </c>
      <c r="H22" s="64">
        <v>12.62</v>
      </c>
      <c r="I22" s="64">
        <v>1.77</v>
      </c>
      <c r="J22" s="64">
        <v>0.06</v>
      </c>
      <c r="K22" s="64">
        <v>2.11</v>
      </c>
      <c r="L22" s="64">
        <v>23.19</v>
      </c>
      <c r="M22" s="64">
        <v>98.78</v>
      </c>
      <c r="N22" s="64">
        <v>9.1</v>
      </c>
      <c r="O22" s="64">
        <v>0</v>
      </c>
      <c r="P22" s="64">
        <v>0.53</v>
      </c>
      <c r="Q22" s="64">
        <v>10.07</v>
      </c>
      <c r="R22" s="198"/>
      <c r="S22" s="198"/>
      <c r="T22" s="198"/>
      <c r="U22" s="198"/>
    </row>
    <row r="23" spans="1:21" s="12" customFormat="1" x14ac:dyDescent="0.25">
      <c r="A23" s="214" t="s">
        <v>1895</v>
      </c>
      <c r="B23" s="64">
        <v>9.52</v>
      </c>
      <c r="C23" s="64">
        <v>9.15</v>
      </c>
      <c r="D23" s="64">
        <v>18.670000000000002</v>
      </c>
      <c r="E23" s="64">
        <v>4.6500000000000004</v>
      </c>
      <c r="F23" s="64">
        <v>1.29</v>
      </c>
      <c r="G23" s="64">
        <v>34.5</v>
      </c>
      <c r="H23" s="64">
        <v>11.35</v>
      </c>
      <c r="I23" s="64">
        <v>1.87</v>
      </c>
      <c r="J23" s="64">
        <v>0.1</v>
      </c>
      <c r="K23" s="64">
        <v>23.76</v>
      </c>
      <c r="L23" s="64">
        <v>23.13</v>
      </c>
      <c r="M23" s="64">
        <v>98.78</v>
      </c>
      <c r="N23" s="64">
        <v>9</v>
      </c>
      <c r="O23" s="64">
        <v>0</v>
      </c>
      <c r="P23" s="64">
        <v>0.55000000000000004</v>
      </c>
      <c r="Q23" s="64">
        <v>10.01</v>
      </c>
      <c r="R23" s="198"/>
      <c r="S23" s="198"/>
      <c r="T23" s="198"/>
      <c r="U23" s="198"/>
    </row>
    <row r="24" spans="1:21" s="12" customFormat="1" x14ac:dyDescent="0.25">
      <c r="A24" s="214" t="s">
        <v>1896</v>
      </c>
      <c r="B24" s="64">
        <v>9.58</v>
      </c>
      <c r="C24" s="64">
        <v>9.02</v>
      </c>
      <c r="D24" s="64">
        <v>18.600000000000001</v>
      </c>
      <c r="E24" s="64">
        <v>3.2</v>
      </c>
      <c r="F24" s="64">
        <v>0.97</v>
      </c>
      <c r="G24" s="64">
        <v>33.840000000000003</v>
      </c>
      <c r="H24" s="64">
        <v>9.26</v>
      </c>
      <c r="I24" s="64">
        <v>1.79</v>
      </c>
      <c r="J24" s="64">
        <v>0.14000000000000001</v>
      </c>
      <c r="K24" s="64">
        <v>8.48</v>
      </c>
      <c r="L24" s="64">
        <v>23.09</v>
      </c>
      <c r="M24" s="64">
        <v>98.78</v>
      </c>
      <c r="N24" s="64">
        <v>9.1</v>
      </c>
      <c r="O24" s="64">
        <v>0</v>
      </c>
      <c r="P24" s="64">
        <v>0.53</v>
      </c>
      <c r="Q24" s="64">
        <v>9.8699999999999992</v>
      </c>
      <c r="R24" s="198"/>
      <c r="S24" s="198"/>
      <c r="T24" s="198"/>
      <c r="U24" s="198"/>
    </row>
    <row r="25" spans="1:21" s="12" customFormat="1" x14ac:dyDescent="0.25">
      <c r="A25" s="214" t="s">
        <v>1897</v>
      </c>
      <c r="B25" s="64">
        <v>8.9700000000000006</v>
      </c>
      <c r="C25" s="64">
        <v>9.26</v>
      </c>
      <c r="D25" s="64">
        <v>18.23</v>
      </c>
      <c r="E25" s="64">
        <v>3.32</v>
      </c>
      <c r="F25" s="64">
        <v>1.3</v>
      </c>
      <c r="G25" s="64">
        <v>33.840000000000003</v>
      </c>
      <c r="H25" s="64">
        <v>9.26</v>
      </c>
      <c r="I25" s="64">
        <v>1.8</v>
      </c>
      <c r="J25" s="64">
        <v>0.05</v>
      </c>
      <c r="K25" s="64">
        <v>351.69</v>
      </c>
      <c r="L25" s="64">
        <v>22.96</v>
      </c>
      <c r="M25" s="64">
        <v>98.78</v>
      </c>
      <c r="N25" s="64">
        <v>9.1999999999999993</v>
      </c>
      <c r="O25" s="64">
        <v>0</v>
      </c>
      <c r="P25" s="64">
        <v>0.52</v>
      </c>
      <c r="Q25" s="64">
        <v>9.17</v>
      </c>
      <c r="R25" s="198"/>
      <c r="S25" s="198"/>
      <c r="T25" s="198"/>
      <c r="U25" s="198"/>
    </row>
    <row r="26" spans="1:21" s="12" customFormat="1" x14ac:dyDescent="0.25">
      <c r="A26" s="214" t="s">
        <v>1898</v>
      </c>
      <c r="B26" s="64">
        <v>9.15</v>
      </c>
      <c r="C26" s="64">
        <v>9.23</v>
      </c>
      <c r="D26" s="64">
        <v>18.38</v>
      </c>
      <c r="E26" s="64">
        <v>3.53</v>
      </c>
      <c r="F26" s="64">
        <v>0.42</v>
      </c>
      <c r="G26" s="64">
        <v>33.840000000000003</v>
      </c>
      <c r="H26" s="64">
        <v>9.26</v>
      </c>
      <c r="I26" s="64">
        <v>1.77</v>
      </c>
      <c r="J26" s="64">
        <v>0.06</v>
      </c>
      <c r="K26" s="64">
        <v>350.7</v>
      </c>
      <c r="L26" s="64">
        <v>22.92</v>
      </c>
      <c r="M26" s="64">
        <v>98.78</v>
      </c>
      <c r="N26" s="64">
        <v>9.1</v>
      </c>
      <c r="O26" s="64">
        <v>0</v>
      </c>
      <c r="P26" s="64">
        <v>0.53</v>
      </c>
      <c r="Q26" s="64">
        <v>8.75</v>
      </c>
      <c r="R26" s="198"/>
      <c r="S26" s="198"/>
      <c r="T26" s="198"/>
      <c r="U26" s="198"/>
    </row>
    <row r="27" spans="1:21" s="12" customFormat="1" x14ac:dyDescent="0.25">
      <c r="A27" s="214" t="s">
        <v>1899</v>
      </c>
      <c r="B27" s="64">
        <v>9.01</v>
      </c>
      <c r="C27" s="64">
        <v>8.6199999999999992</v>
      </c>
      <c r="D27" s="64">
        <v>17.63</v>
      </c>
      <c r="E27" s="64">
        <v>4.04</v>
      </c>
      <c r="F27" s="64">
        <v>0.6</v>
      </c>
      <c r="G27" s="64">
        <v>32.380000000000003</v>
      </c>
      <c r="H27" s="64">
        <v>10.130000000000001</v>
      </c>
      <c r="I27" s="64">
        <v>1.77</v>
      </c>
      <c r="J27" s="64">
        <v>0.13</v>
      </c>
      <c r="K27" s="64">
        <v>29.55</v>
      </c>
      <c r="L27" s="64">
        <v>22.89</v>
      </c>
      <c r="M27" s="64">
        <v>98.78</v>
      </c>
      <c r="N27" s="64">
        <v>9.1</v>
      </c>
      <c r="O27" s="64">
        <v>0</v>
      </c>
      <c r="P27" s="64">
        <v>0.5</v>
      </c>
      <c r="Q27" s="64">
        <v>7.59</v>
      </c>
      <c r="R27" s="198"/>
      <c r="S27" s="198"/>
      <c r="T27" s="198"/>
      <c r="U27" s="198"/>
    </row>
    <row r="28" spans="1:21" s="12" customFormat="1" x14ac:dyDescent="0.25">
      <c r="A28" s="214" t="s">
        <v>1900</v>
      </c>
      <c r="B28" s="64">
        <v>9.0299999999999994</v>
      </c>
      <c r="C28" s="64">
        <v>8.3699999999999992</v>
      </c>
      <c r="D28" s="64">
        <v>17.399999999999999</v>
      </c>
      <c r="E28" s="64">
        <v>4.2</v>
      </c>
      <c r="F28" s="64">
        <v>0.73</v>
      </c>
      <c r="G28" s="64">
        <v>28.78</v>
      </c>
      <c r="H28" s="64">
        <v>11.49</v>
      </c>
      <c r="I28" s="64">
        <v>1.76</v>
      </c>
      <c r="J28" s="64">
        <v>0.11</v>
      </c>
      <c r="K28" s="64">
        <v>11.34</v>
      </c>
      <c r="L28" s="64">
        <v>22.79</v>
      </c>
      <c r="M28" s="64">
        <v>98.78</v>
      </c>
      <c r="N28" s="64">
        <v>9.1999999999999993</v>
      </c>
      <c r="O28" s="64">
        <v>0</v>
      </c>
      <c r="P28" s="64">
        <v>0.51</v>
      </c>
      <c r="Q28" s="64">
        <v>7.05</v>
      </c>
      <c r="R28" s="198"/>
      <c r="S28" s="198"/>
      <c r="T28" s="198"/>
      <c r="U28" s="198"/>
    </row>
    <row r="29" spans="1:21" s="12" customFormat="1" x14ac:dyDescent="0.25">
      <c r="A29" s="214" t="s">
        <v>1901</v>
      </c>
      <c r="B29" s="64">
        <v>9.42</v>
      </c>
      <c r="C29" s="64">
        <v>8.7799999999999994</v>
      </c>
      <c r="D29" s="64">
        <v>18.190000000000001</v>
      </c>
      <c r="E29" s="64">
        <v>3.79</v>
      </c>
      <c r="F29" s="64">
        <v>0.41</v>
      </c>
      <c r="G29" s="64">
        <v>28.78</v>
      </c>
      <c r="H29" s="64">
        <v>11.49</v>
      </c>
      <c r="I29" s="64">
        <v>1.85</v>
      </c>
      <c r="J29" s="64">
        <v>0.11</v>
      </c>
      <c r="K29" s="64">
        <v>352.95</v>
      </c>
      <c r="L29" s="64">
        <v>22.74</v>
      </c>
      <c r="M29" s="64">
        <v>98.78</v>
      </c>
      <c r="N29" s="64">
        <v>9.1</v>
      </c>
      <c r="O29" s="64">
        <v>0</v>
      </c>
      <c r="P29" s="64">
        <v>0.49</v>
      </c>
      <c r="Q29" s="64">
        <v>7.78</v>
      </c>
      <c r="R29" s="198"/>
      <c r="S29" s="198"/>
      <c r="T29" s="198"/>
      <c r="U29" s="198"/>
    </row>
    <row r="30" spans="1:21" s="12" customFormat="1" x14ac:dyDescent="0.25">
      <c r="A30" s="214" t="s">
        <v>1902</v>
      </c>
      <c r="B30" s="64">
        <v>9.65</v>
      </c>
      <c r="C30" s="64">
        <v>8.43</v>
      </c>
      <c r="D30" s="64">
        <v>18.079999999999998</v>
      </c>
      <c r="E30" s="64">
        <v>3.92</v>
      </c>
      <c r="F30" s="64">
        <v>0.89</v>
      </c>
      <c r="G30" s="64">
        <v>28.78</v>
      </c>
      <c r="H30" s="64">
        <v>11.49</v>
      </c>
      <c r="I30" s="64">
        <v>1.79</v>
      </c>
      <c r="J30" s="64">
        <v>0.15</v>
      </c>
      <c r="K30" s="64">
        <v>11.34</v>
      </c>
      <c r="L30" s="64">
        <v>22.69</v>
      </c>
      <c r="M30" s="64">
        <v>98.78</v>
      </c>
      <c r="N30" s="64">
        <v>9.1</v>
      </c>
      <c r="O30" s="64">
        <v>0</v>
      </c>
      <c r="P30" s="64">
        <v>0.51</v>
      </c>
      <c r="Q30" s="64">
        <v>6.97</v>
      </c>
      <c r="R30" s="198"/>
      <c r="S30" s="198"/>
      <c r="T30" s="198"/>
      <c r="U30" s="198"/>
    </row>
    <row r="31" spans="1:21" s="12" customFormat="1" x14ac:dyDescent="0.25">
      <c r="A31" s="214" t="s">
        <v>1903</v>
      </c>
      <c r="B31" s="64">
        <v>9.94</v>
      </c>
      <c r="C31" s="64">
        <v>9.08</v>
      </c>
      <c r="D31" s="64">
        <v>19.02</v>
      </c>
      <c r="E31" s="64">
        <v>3.56</v>
      </c>
      <c r="F31" s="64">
        <v>0.49</v>
      </c>
      <c r="G31" s="64">
        <v>28.3</v>
      </c>
      <c r="H31" s="64">
        <v>10.92</v>
      </c>
      <c r="I31" s="64">
        <v>1.8</v>
      </c>
      <c r="J31" s="64">
        <v>0.04</v>
      </c>
      <c r="K31" s="64">
        <v>356.33</v>
      </c>
      <c r="L31" s="64">
        <v>22.66</v>
      </c>
      <c r="M31" s="64">
        <v>98.78</v>
      </c>
      <c r="N31" s="64">
        <v>10.8</v>
      </c>
      <c r="O31" s="64">
        <v>0</v>
      </c>
      <c r="P31" s="64">
        <v>0.48</v>
      </c>
      <c r="Q31" s="64">
        <v>7.47</v>
      </c>
      <c r="R31" s="198"/>
      <c r="S31" s="198"/>
      <c r="T31" s="198"/>
      <c r="U31" s="198"/>
    </row>
    <row r="32" spans="1:21" s="12" customFormat="1" x14ac:dyDescent="0.25">
      <c r="A32" s="214" t="s">
        <v>1904</v>
      </c>
      <c r="B32" s="64">
        <v>10.32</v>
      </c>
      <c r="C32" s="64">
        <v>8.8800000000000008</v>
      </c>
      <c r="D32" s="64">
        <v>19.2</v>
      </c>
      <c r="E32" s="64">
        <v>3.94</v>
      </c>
      <c r="F32" s="64">
        <v>0.9</v>
      </c>
      <c r="G32" s="64">
        <v>27.1</v>
      </c>
      <c r="H32" s="64">
        <v>8.5</v>
      </c>
      <c r="I32" s="64">
        <v>1.79</v>
      </c>
      <c r="J32" s="64">
        <v>0.09</v>
      </c>
      <c r="K32" s="64">
        <v>337.24</v>
      </c>
      <c r="L32" s="64">
        <v>22.7</v>
      </c>
      <c r="M32" s="64">
        <v>98.78</v>
      </c>
      <c r="N32" s="64">
        <v>24.2</v>
      </c>
      <c r="O32" s="64">
        <v>0</v>
      </c>
      <c r="P32" s="64">
        <v>0.5</v>
      </c>
      <c r="Q32" s="64">
        <v>6.66</v>
      </c>
      <c r="R32" s="198"/>
      <c r="S32" s="198"/>
      <c r="T32" s="198"/>
      <c r="U32" s="198"/>
    </row>
    <row r="33" spans="1:21" s="12" customFormat="1" x14ac:dyDescent="0.25">
      <c r="A33" s="214" t="s">
        <v>1905</v>
      </c>
      <c r="B33" s="64">
        <v>15.31</v>
      </c>
      <c r="C33" s="64">
        <v>12.35</v>
      </c>
      <c r="D33" s="64">
        <v>27.66</v>
      </c>
      <c r="E33" s="64">
        <v>3.82</v>
      </c>
      <c r="F33" s="64">
        <v>0.5</v>
      </c>
      <c r="G33" s="64">
        <v>27.1</v>
      </c>
      <c r="H33" s="64">
        <v>8.5</v>
      </c>
      <c r="I33" s="64">
        <v>1.8</v>
      </c>
      <c r="J33" s="64">
        <v>0.13</v>
      </c>
      <c r="K33" s="64">
        <v>321.76</v>
      </c>
      <c r="L33" s="64">
        <v>23.03</v>
      </c>
      <c r="M33" s="64">
        <v>98.78</v>
      </c>
      <c r="N33" s="64">
        <v>49.4</v>
      </c>
      <c r="O33" s="64">
        <v>0</v>
      </c>
      <c r="P33" s="64">
        <v>0.54</v>
      </c>
      <c r="Q33" s="64">
        <v>8.82</v>
      </c>
      <c r="R33" s="198"/>
      <c r="S33" s="198"/>
      <c r="T33" s="198"/>
      <c r="U33" s="198"/>
    </row>
    <row r="34" spans="1:21" s="12" customFormat="1" x14ac:dyDescent="0.25">
      <c r="A34" s="214" t="s">
        <v>1906</v>
      </c>
      <c r="B34" s="64">
        <v>16.32</v>
      </c>
      <c r="C34" s="64">
        <v>13.35</v>
      </c>
      <c r="D34" s="64">
        <v>29.68</v>
      </c>
      <c r="E34" s="64">
        <v>4.21</v>
      </c>
      <c r="F34" s="64">
        <v>1.18</v>
      </c>
      <c r="G34" s="64">
        <v>27.1</v>
      </c>
      <c r="H34" s="64">
        <v>8.5</v>
      </c>
      <c r="I34" s="64">
        <v>1.84</v>
      </c>
      <c r="J34" s="64">
        <v>0.18</v>
      </c>
      <c r="K34" s="64">
        <v>334.9</v>
      </c>
      <c r="L34" s="64">
        <v>23.64</v>
      </c>
      <c r="M34" s="64">
        <v>98.52</v>
      </c>
      <c r="N34" s="64">
        <v>77.7</v>
      </c>
      <c r="O34" s="64">
        <v>0</v>
      </c>
      <c r="P34" s="64">
        <v>0.52</v>
      </c>
      <c r="Q34" s="64">
        <v>8.67</v>
      </c>
      <c r="R34" s="198"/>
      <c r="S34" s="198"/>
      <c r="T34" s="198"/>
      <c r="U34" s="198"/>
    </row>
    <row r="35" spans="1:21" s="12" customFormat="1" x14ac:dyDescent="0.25">
      <c r="A35" s="214" t="s">
        <v>1907</v>
      </c>
      <c r="B35" s="64">
        <v>14.46</v>
      </c>
      <c r="C35" s="64">
        <v>14.27</v>
      </c>
      <c r="D35" s="64">
        <v>28.72</v>
      </c>
      <c r="E35" s="64">
        <v>4.08</v>
      </c>
      <c r="F35" s="64">
        <v>0.71</v>
      </c>
      <c r="G35" s="64">
        <v>30.37</v>
      </c>
      <c r="H35" s="64">
        <v>11.04</v>
      </c>
      <c r="I35" s="64">
        <v>1.81</v>
      </c>
      <c r="J35" s="64">
        <v>0.15</v>
      </c>
      <c r="K35" s="64">
        <v>1.7</v>
      </c>
      <c r="L35" s="64">
        <v>24.63</v>
      </c>
      <c r="M35" s="64">
        <v>94</v>
      </c>
      <c r="N35" s="64">
        <v>119</v>
      </c>
      <c r="O35" s="64">
        <v>0</v>
      </c>
      <c r="P35" s="64">
        <v>0.53</v>
      </c>
      <c r="Q35" s="64">
        <v>8.94</v>
      </c>
      <c r="R35" s="198"/>
      <c r="S35" s="198"/>
      <c r="T35" s="198"/>
      <c r="U35" s="198"/>
    </row>
    <row r="36" spans="1:21" s="12" customFormat="1" x14ac:dyDescent="0.25">
      <c r="A36" s="214" t="s">
        <v>1908</v>
      </c>
      <c r="B36" s="64">
        <v>12.35</v>
      </c>
      <c r="C36" s="64">
        <v>11.09</v>
      </c>
      <c r="D36" s="64">
        <v>23.44</v>
      </c>
      <c r="E36" s="64">
        <v>4.0599999999999996</v>
      </c>
      <c r="F36" s="64">
        <v>0.8</v>
      </c>
      <c r="G36" s="64">
        <v>38.409999999999997</v>
      </c>
      <c r="H36" s="64">
        <v>15.05</v>
      </c>
      <c r="I36" s="64">
        <v>1.83</v>
      </c>
      <c r="J36" s="64">
        <v>0.14000000000000001</v>
      </c>
      <c r="K36" s="64">
        <v>16.13</v>
      </c>
      <c r="L36" s="64">
        <v>24.66</v>
      </c>
      <c r="M36" s="64">
        <v>93.04</v>
      </c>
      <c r="N36" s="64">
        <v>167.5</v>
      </c>
      <c r="O36" s="64">
        <v>0</v>
      </c>
      <c r="P36" s="64">
        <v>0.51</v>
      </c>
      <c r="Q36" s="64">
        <v>9.27</v>
      </c>
      <c r="R36" s="198"/>
      <c r="S36" s="198"/>
      <c r="T36" s="198"/>
      <c r="U36" s="198"/>
    </row>
    <row r="37" spans="1:21" s="12" customFormat="1" x14ac:dyDescent="0.25">
      <c r="A37" s="214" t="s">
        <v>1909</v>
      </c>
      <c r="B37" s="64">
        <v>14.43</v>
      </c>
      <c r="C37" s="64">
        <v>14.11</v>
      </c>
      <c r="D37" s="64">
        <v>28.55</v>
      </c>
      <c r="E37" s="64">
        <v>3.32</v>
      </c>
      <c r="F37" s="64">
        <v>0.82</v>
      </c>
      <c r="G37" s="64">
        <v>38.409999999999997</v>
      </c>
      <c r="H37" s="64">
        <v>15.05</v>
      </c>
      <c r="I37" s="64">
        <v>1.81</v>
      </c>
      <c r="J37" s="64">
        <v>0.19</v>
      </c>
      <c r="K37" s="64">
        <v>353.83</v>
      </c>
      <c r="L37" s="64">
        <v>25.63</v>
      </c>
      <c r="M37" s="64">
        <v>88.52</v>
      </c>
      <c r="N37" s="64">
        <v>224.2</v>
      </c>
      <c r="O37" s="64">
        <v>0</v>
      </c>
      <c r="P37" s="64">
        <v>0.55000000000000004</v>
      </c>
      <c r="Q37" s="64">
        <v>9.15</v>
      </c>
      <c r="R37" s="198"/>
      <c r="S37" s="198"/>
      <c r="T37" s="198"/>
      <c r="U37" s="198"/>
    </row>
    <row r="38" spans="1:21" s="12" customFormat="1" x14ac:dyDescent="0.25">
      <c r="A38" s="214" t="s">
        <v>1910</v>
      </c>
      <c r="B38" s="64">
        <v>13.79</v>
      </c>
      <c r="C38" s="64">
        <v>12.82</v>
      </c>
      <c r="D38" s="64">
        <v>26.62</v>
      </c>
      <c r="E38" s="64">
        <v>3.66</v>
      </c>
      <c r="F38" s="64">
        <v>0.43</v>
      </c>
      <c r="G38" s="64">
        <v>38.409999999999997</v>
      </c>
      <c r="H38" s="64">
        <v>15.05</v>
      </c>
      <c r="I38" s="64">
        <v>1.82</v>
      </c>
      <c r="J38" s="64">
        <v>0.4</v>
      </c>
      <c r="K38" s="64">
        <v>338.89</v>
      </c>
      <c r="L38" s="64">
        <v>28.06</v>
      </c>
      <c r="M38" s="64">
        <v>76.489999999999995</v>
      </c>
      <c r="N38" s="64">
        <v>307.60000000000002</v>
      </c>
      <c r="O38" s="64">
        <v>0</v>
      </c>
      <c r="P38" s="64">
        <v>0.56000000000000005</v>
      </c>
      <c r="Q38" s="64">
        <v>9.5399999999999991</v>
      </c>
      <c r="R38" s="198"/>
      <c r="S38" s="198"/>
      <c r="T38" s="198"/>
      <c r="U38" s="198"/>
    </row>
    <row r="39" spans="1:21" s="12" customFormat="1" x14ac:dyDescent="0.25">
      <c r="A39" s="214" t="s">
        <v>1911</v>
      </c>
      <c r="B39" s="64">
        <v>13.31</v>
      </c>
      <c r="C39" s="64">
        <v>11.58</v>
      </c>
      <c r="D39" s="64">
        <v>24.89</v>
      </c>
      <c r="E39" s="64">
        <v>4.07</v>
      </c>
      <c r="F39" s="64">
        <v>0.32</v>
      </c>
      <c r="G39" s="64">
        <v>39.04</v>
      </c>
      <c r="H39" s="64">
        <v>13.92</v>
      </c>
      <c r="I39" s="64">
        <v>1.92</v>
      </c>
      <c r="J39" s="64">
        <v>0.31</v>
      </c>
      <c r="K39" s="64">
        <v>336.57</v>
      </c>
      <c r="L39" s="64">
        <v>29.94</v>
      </c>
      <c r="M39" s="64">
        <v>68.349999999999994</v>
      </c>
      <c r="N39" s="64">
        <v>371.9</v>
      </c>
      <c r="O39" s="64">
        <v>0</v>
      </c>
      <c r="P39" s="64">
        <v>0.56999999999999995</v>
      </c>
      <c r="Q39" s="64">
        <v>8.67</v>
      </c>
      <c r="R39" s="198"/>
      <c r="S39" s="198"/>
      <c r="T39" s="198"/>
      <c r="U39" s="198"/>
    </row>
    <row r="40" spans="1:21" s="12" customFormat="1" x14ac:dyDescent="0.25">
      <c r="A40" s="214" t="s">
        <v>1912</v>
      </c>
      <c r="B40" s="64">
        <v>13.44</v>
      </c>
      <c r="C40" s="64">
        <v>10.91</v>
      </c>
      <c r="D40" s="64">
        <v>24.35</v>
      </c>
      <c r="E40" s="64">
        <v>4.3099999999999996</v>
      </c>
      <c r="F40" s="64">
        <v>0.78</v>
      </c>
      <c r="G40" s="64">
        <v>40.61</v>
      </c>
      <c r="H40" s="64">
        <v>12.07</v>
      </c>
      <c r="I40" s="64">
        <v>1.76</v>
      </c>
      <c r="J40" s="64">
        <v>0.38</v>
      </c>
      <c r="K40" s="64">
        <v>321.43</v>
      </c>
      <c r="L40" s="64">
        <v>31.31</v>
      </c>
      <c r="M40" s="64">
        <v>62.87</v>
      </c>
      <c r="N40" s="64">
        <v>434.4</v>
      </c>
      <c r="O40" s="64">
        <v>0</v>
      </c>
      <c r="P40" s="64">
        <v>0.6</v>
      </c>
      <c r="Q40" s="64">
        <v>8.2799999999999994</v>
      </c>
      <c r="R40" s="198"/>
      <c r="S40" s="198"/>
      <c r="T40" s="198"/>
      <c r="U40" s="198"/>
    </row>
    <row r="41" spans="1:21" s="12" customFormat="1" x14ac:dyDescent="0.25">
      <c r="A41" s="214" t="s">
        <v>1913</v>
      </c>
      <c r="B41" s="64">
        <v>13.74</v>
      </c>
      <c r="C41" s="64">
        <v>13.33</v>
      </c>
      <c r="D41" s="64">
        <v>27.07</v>
      </c>
      <c r="E41" s="64">
        <v>4.7699999999999996</v>
      </c>
      <c r="F41" s="64">
        <v>0.71</v>
      </c>
      <c r="G41" s="64">
        <v>40.61</v>
      </c>
      <c r="H41" s="64">
        <v>12.07</v>
      </c>
      <c r="I41" s="64">
        <v>1.76</v>
      </c>
      <c r="J41" s="64">
        <v>0.52</v>
      </c>
      <c r="K41" s="64">
        <v>322.61</v>
      </c>
      <c r="L41" s="64">
        <v>32.299999999999997</v>
      </c>
      <c r="M41" s="64">
        <v>59.69</v>
      </c>
      <c r="N41" s="64">
        <v>507.3</v>
      </c>
      <c r="O41" s="64">
        <v>0</v>
      </c>
      <c r="P41" s="64">
        <v>0.59</v>
      </c>
      <c r="Q41" s="64">
        <v>9.07</v>
      </c>
      <c r="R41" s="198"/>
      <c r="S41" s="198"/>
      <c r="T41" s="198"/>
      <c r="U41" s="198"/>
    </row>
    <row r="42" spans="1:21" s="12" customFormat="1" x14ac:dyDescent="0.25">
      <c r="A42" s="214" t="s">
        <v>1914</v>
      </c>
      <c r="B42" s="64">
        <v>14.99</v>
      </c>
      <c r="C42" s="64">
        <v>11.96</v>
      </c>
      <c r="D42" s="64">
        <v>26.95</v>
      </c>
      <c r="E42" s="64">
        <v>4.82</v>
      </c>
      <c r="F42" s="64">
        <v>1.33</v>
      </c>
      <c r="G42" s="64">
        <v>40.61</v>
      </c>
      <c r="H42" s="64">
        <v>12.07</v>
      </c>
      <c r="I42" s="64">
        <v>1.71</v>
      </c>
      <c r="J42" s="64">
        <v>0.56000000000000005</v>
      </c>
      <c r="K42" s="64">
        <v>322.62</v>
      </c>
      <c r="L42" s="64">
        <v>32.840000000000003</v>
      </c>
      <c r="M42" s="64">
        <v>58.07</v>
      </c>
      <c r="N42" s="64">
        <v>545.20000000000005</v>
      </c>
      <c r="O42" s="64">
        <v>0</v>
      </c>
      <c r="P42" s="64">
        <v>0.6</v>
      </c>
      <c r="Q42" s="64">
        <v>7.67</v>
      </c>
      <c r="R42" s="198"/>
      <c r="S42" s="198"/>
      <c r="T42" s="198"/>
      <c r="U42" s="198"/>
    </row>
    <row r="43" spans="1:21" s="12" customFormat="1" x14ac:dyDescent="0.25">
      <c r="A43" s="214" t="s">
        <v>1915</v>
      </c>
      <c r="B43" s="64">
        <v>13.76</v>
      </c>
      <c r="C43" s="64">
        <v>12.71</v>
      </c>
      <c r="D43" s="64">
        <v>26.47</v>
      </c>
      <c r="E43" s="64">
        <v>4.29</v>
      </c>
      <c r="F43" s="64">
        <v>0.6</v>
      </c>
      <c r="G43" s="64">
        <v>43.08</v>
      </c>
      <c r="H43" s="64">
        <v>14.13</v>
      </c>
      <c r="I43" s="64">
        <v>1.79</v>
      </c>
      <c r="J43" s="64">
        <v>0.27</v>
      </c>
      <c r="K43" s="64">
        <v>2.79</v>
      </c>
      <c r="L43" s="64">
        <v>31.91</v>
      </c>
      <c r="M43" s="64">
        <v>61.72</v>
      </c>
      <c r="N43" s="64">
        <v>609.4</v>
      </c>
      <c r="O43" s="64">
        <v>0</v>
      </c>
      <c r="P43" s="64">
        <v>0.61</v>
      </c>
      <c r="Q43" s="64">
        <v>8.16</v>
      </c>
      <c r="R43" s="198"/>
      <c r="S43" s="198"/>
      <c r="T43" s="198"/>
      <c r="U43" s="198"/>
    </row>
    <row r="44" spans="1:21" s="12" customFormat="1" x14ac:dyDescent="0.25">
      <c r="A44" s="214" t="s">
        <v>1916</v>
      </c>
      <c r="B44" s="64">
        <v>12.85</v>
      </c>
      <c r="C44" s="64">
        <v>14.41</v>
      </c>
      <c r="D44" s="64">
        <v>27.26</v>
      </c>
      <c r="E44" s="64">
        <v>3.63</v>
      </c>
      <c r="F44" s="64">
        <v>0.57999999999999996</v>
      </c>
      <c r="G44" s="64">
        <v>49.17</v>
      </c>
      <c r="H44" s="64">
        <v>17.510000000000002</v>
      </c>
      <c r="I44" s="64">
        <v>1.82</v>
      </c>
      <c r="J44" s="64">
        <v>0.32</v>
      </c>
      <c r="K44" s="64">
        <v>7.97</v>
      </c>
      <c r="L44" s="64">
        <v>32.299999999999997</v>
      </c>
      <c r="M44" s="64">
        <v>59.48</v>
      </c>
      <c r="N44" s="64">
        <v>659.1</v>
      </c>
      <c r="O44" s="64">
        <v>0</v>
      </c>
      <c r="P44" s="64">
        <v>0.6</v>
      </c>
      <c r="Q44" s="64">
        <v>8.27</v>
      </c>
      <c r="R44" s="198"/>
      <c r="S44" s="198"/>
      <c r="T44" s="198"/>
      <c r="U44" s="198"/>
    </row>
    <row r="45" spans="1:21" s="12" customFormat="1" x14ac:dyDescent="0.25">
      <c r="A45" s="214" t="s">
        <v>1917</v>
      </c>
      <c r="B45" s="64">
        <v>11.76</v>
      </c>
      <c r="C45" s="64">
        <v>17.239999999999998</v>
      </c>
      <c r="D45" s="64">
        <v>29</v>
      </c>
      <c r="E45" s="64">
        <v>4.0599999999999996</v>
      </c>
      <c r="F45" s="64">
        <v>1.17</v>
      </c>
      <c r="G45" s="64">
        <v>49.17</v>
      </c>
      <c r="H45" s="64">
        <v>17.510000000000002</v>
      </c>
      <c r="I45" s="64">
        <v>1.82</v>
      </c>
      <c r="J45" s="64">
        <v>0.32</v>
      </c>
      <c r="K45" s="64">
        <v>343.94</v>
      </c>
      <c r="L45" s="64">
        <v>31.98</v>
      </c>
      <c r="M45" s="64">
        <v>60.08</v>
      </c>
      <c r="N45" s="64">
        <v>710.8</v>
      </c>
      <c r="O45" s="64">
        <v>0</v>
      </c>
      <c r="P45" s="64">
        <v>0.61</v>
      </c>
      <c r="Q45" s="64">
        <v>8.3699999999999992</v>
      </c>
      <c r="R45" s="198"/>
      <c r="S45" s="198"/>
      <c r="T45" s="198"/>
      <c r="U45" s="198"/>
    </row>
    <row r="46" spans="1:21" s="12" customFormat="1" x14ac:dyDescent="0.25">
      <c r="A46" s="214" t="s">
        <v>1918</v>
      </c>
      <c r="B46" s="64">
        <v>11.16</v>
      </c>
      <c r="C46" s="64">
        <v>22.3</v>
      </c>
      <c r="D46" s="64">
        <v>33.46</v>
      </c>
      <c r="E46" s="64">
        <v>3.71</v>
      </c>
      <c r="F46" s="64">
        <v>1.42</v>
      </c>
      <c r="G46" s="64">
        <v>49.17</v>
      </c>
      <c r="H46" s="64">
        <v>17.510000000000002</v>
      </c>
      <c r="I46" s="64">
        <v>1.84</v>
      </c>
      <c r="J46" s="64">
        <v>0.45</v>
      </c>
      <c r="K46" s="64">
        <v>332.17</v>
      </c>
      <c r="L46" s="64">
        <v>33.270000000000003</v>
      </c>
      <c r="M46" s="64">
        <v>56.54</v>
      </c>
      <c r="N46" s="64">
        <v>709.4</v>
      </c>
      <c r="O46" s="64">
        <v>0</v>
      </c>
      <c r="P46" s="64">
        <v>0.6</v>
      </c>
      <c r="Q46" s="64">
        <v>8.39</v>
      </c>
      <c r="R46" s="198"/>
      <c r="S46" s="198"/>
      <c r="T46" s="198"/>
      <c r="U46" s="198"/>
    </row>
    <row r="47" spans="1:21" s="12" customFormat="1" x14ac:dyDescent="0.25">
      <c r="A47" s="214" t="s">
        <v>1919</v>
      </c>
      <c r="B47" s="64">
        <v>10.75</v>
      </c>
      <c r="C47" s="64">
        <v>20.39</v>
      </c>
      <c r="D47" s="64">
        <v>31.14</v>
      </c>
      <c r="E47" s="64">
        <v>4.05</v>
      </c>
      <c r="F47" s="64">
        <v>1.9</v>
      </c>
      <c r="G47" s="64">
        <v>48.59</v>
      </c>
      <c r="H47" s="64">
        <v>16.11</v>
      </c>
      <c r="I47" s="64">
        <v>1.81</v>
      </c>
      <c r="J47" s="64">
        <v>0.57999999999999996</v>
      </c>
      <c r="K47" s="64">
        <v>325.2</v>
      </c>
      <c r="L47" s="64">
        <v>34.200000000000003</v>
      </c>
      <c r="M47" s="64">
        <v>52.89</v>
      </c>
      <c r="N47" s="64">
        <v>798.1</v>
      </c>
      <c r="O47" s="64">
        <v>0</v>
      </c>
      <c r="P47" s="64">
        <v>0.6</v>
      </c>
      <c r="Q47" s="64">
        <v>8.02</v>
      </c>
      <c r="R47" s="198"/>
      <c r="S47" s="198"/>
      <c r="T47" s="198"/>
      <c r="U47" s="198"/>
    </row>
    <row r="48" spans="1:21" s="12" customFormat="1" x14ac:dyDescent="0.25">
      <c r="A48" s="214" t="s">
        <v>1920</v>
      </c>
      <c r="B48" s="64">
        <v>10.44</v>
      </c>
      <c r="C48" s="64">
        <v>19.079999999999998</v>
      </c>
      <c r="D48" s="64">
        <v>29.52</v>
      </c>
      <c r="E48" s="64">
        <v>4.46</v>
      </c>
      <c r="F48" s="64">
        <v>1.71</v>
      </c>
      <c r="G48" s="64">
        <v>47.16</v>
      </c>
      <c r="H48" s="64">
        <v>13.82</v>
      </c>
      <c r="I48" s="64">
        <v>1.81</v>
      </c>
      <c r="J48" s="64">
        <v>0.57999999999999996</v>
      </c>
      <c r="K48" s="64">
        <v>329.88</v>
      </c>
      <c r="L48" s="64">
        <v>34.479999999999997</v>
      </c>
      <c r="M48" s="64">
        <v>51.8</v>
      </c>
      <c r="N48" s="64">
        <v>836.7</v>
      </c>
      <c r="O48" s="64">
        <v>0</v>
      </c>
      <c r="P48" s="64">
        <v>0.59</v>
      </c>
      <c r="Q48" s="64">
        <v>8.1199999999999992</v>
      </c>
      <c r="R48" s="198"/>
      <c r="S48" s="198"/>
      <c r="T48" s="198"/>
      <c r="U48" s="198"/>
    </row>
    <row r="49" spans="1:21" s="12" customFormat="1" x14ac:dyDescent="0.25">
      <c r="A49" s="214" t="s">
        <v>1921</v>
      </c>
      <c r="B49" s="64">
        <v>9.43</v>
      </c>
      <c r="C49" s="64">
        <v>17.34</v>
      </c>
      <c r="D49" s="64">
        <v>26.77</v>
      </c>
      <c r="E49" s="64">
        <v>4.1500000000000004</v>
      </c>
      <c r="F49" s="64">
        <v>1.21</v>
      </c>
      <c r="G49" s="64">
        <v>47.16</v>
      </c>
      <c r="H49" s="64">
        <v>13.82</v>
      </c>
      <c r="I49" s="64">
        <v>1.77</v>
      </c>
      <c r="J49" s="64">
        <v>0.34</v>
      </c>
      <c r="K49" s="64">
        <v>352.45</v>
      </c>
      <c r="L49" s="64">
        <v>33.69</v>
      </c>
      <c r="M49" s="64">
        <v>52.5</v>
      </c>
      <c r="N49" s="64">
        <v>865.4</v>
      </c>
      <c r="O49" s="64">
        <v>0</v>
      </c>
      <c r="P49" s="64">
        <v>0.59</v>
      </c>
      <c r="Q49" s="64">
        <v>6.97</v>
      </c>
      <c r="R49" s="198"/>
      <c r="S49" s="198"/>
      <c r="T49" s="198"/>
      <c r="U49" s="198"/>
    </row>
    <row r="50" spans="1:21" s="12" customFormat="1" x14ac:dyDescent="0.25">
      <c r="A50" s="214" t="s">
        <v>1922</v>
      </c>
      <c r="B50" s="64">
        <v>8.19</v>
      </c>
      <c r="C50" s="64">
        <v>16.45</v>
      </c>
      <c r="D50" s="64">
        <v>24.64</v>
      </c>
      <c r="E50" s="64">
        <v>4.62</v>
      </c>
      <c r="F50" s="64">
        <v>1.58</v>
      </c>
      <c r="G50" s="64">
        <v>47.16</v>
      </c>
      <c r="H50" s="64">
        <v>13.82</v>
      </c>
      <c r="I50" s="64">
        <v>1.87</v>
      </c>
      <c r="J50" s="64">
        <v>0.67</v>
      </c>
      <c r="K50" s="64">
        <v>332.35</v>
      </c>
      <c r="L50" s="64">
        <v>33.94</v>
      </c>
      <c r="M50" s="64">
        <v>52.16</v>
      </c>
      <c r="N50" s="64">
        <v>821.6</v>
      </c>
      <c r="O50" s="64">
        <v>0</v>
      </c>
      <c r="P50" s="64">
        <v>0.56999999999999995</v>
      </c>
      <c r="Q50" s="64">
        <v>6.55</v>
      </c>
      <c r="R50" s="198"/>
      <c r="S50" s="198"/>
      <c r="T50" s="198"/>
      <c r="U50" s="198"/>
    </row>
    <row r="51" spans="1:21" s="12" customFormat="1" x14ac:dyDescent="0.25">
      <c r="A51" s="214" t="s">
        <v>1923</v>
      </c>
      <c r="B51" s="64">
        <v>7.31</v>
      </c>
      <c r="C51" s="64">
        <v>16.77</v>
      </c>
      <c r="D51" s="64">
        <v>24.08</v>
      </c>
      <c r="E51" s="64">
        <v>4.22</v>
      </c>
      <c r="F51" s="64">
        <v>2.04</v>
      </c>
      <c r="G51" s="64">
        <v>45.8</v>
      </c>
      <c r="H51" s="64">
        <v>13.35</v>
      </c>
      <c r="I51" s="64">
        <v>1.78</v>
      </c>
      <c r="J51" s="64">
        <v>0.48</v>
      </c>
      <c r="K51" s="64">
        <v>319.93</v>
      </c>
      <c r="L51" s="64">
        <v>33.950000000000003</v>
      </c>
      <c r="M51" s="64">
        <v>51.03</v>
      </c>
      <c r="N51" s="64">
        <v>771</v>
      </c>
      <c r="O51" s="64">
        <v>0</v>
      </c>
      <c r="P51" s="64">
        <v>0.59</v>
      </c>
      <c r="Q51" s="64">
        <v>5.27</v>
      </c>
      <c r="R51" s="198"/>
      <c r="S51" s="198"/>
      <c r="T51" s="198"/>
      <c r="U51" s="198"/>
    </row>
    <row r="52" spans="1:21" s="12" customFormat="1" x14ac:dyDescent="0.25">
      <c r="A52" s="214" t="s">
        <v>1924</v>
      </c>
      <c r="B52" s="64">
        <v>5.53</v>
      </c>
      <c r="C52" s="64">
        <v>19.14</v>
      </c>
      <c r="D52" s="64">
        <v>24.67</v>
      </c>
      <c r="E52" s="64">
        <v>3.73</v>
      </c>
      <c r="F52" s="64">
        <v>2.76</v>
      </c>
      <c r="G52" s="64">
        <v>42.46</v>
      </c>
      <c r="H52" s="64">
        <v>12.57</v>
      </c>
      <c r="I52" s="64">
        <v>1.79</v>
      </c>
      <c r="J52" s="64">
        <v>0.7</v>
      </c>
      <c r="K52" s="64">
        <v>339.16</v>
      </c>
      <c r="L52" s="64">
        <v>33.520000000000003</v>
      </c>
      <c r="M52" s="64">
        <v>51.85</v>
      </c>
      <c r="N52" s="64">
        <v>616.70000000000005</v>
      </c>
      <c r="O52" s="64">
        <v>0</v>
      </c>
      <c r="P52" s="64">
        <v>0.57999999999999996</v>
      </c>
      <c r="Q52" s="64">
        <v>4.8600000000000003</v>
      </c>
      <c r="R52" s="198"/>
      <c r="S52" s="198"/>
      <c r="T52" s="198"/>
      <c r="U52" s="198"/>
    </row>
    <row r="53" spans="1:21" s="12" customFormat="1" x14ac:dyDescent="0.25">
      <c r="A53" s="214" t="s">
        <v>1925</v>
      </c>
      <c r="B53" s="64">
        <v>6.56</v>
      </c>
      <c r="C53" s="64">
        <v>21.21</v>
      </c>
      <c r="D53" s="64">
        <v>27.77</v>
      </c>
      <c r="E53" s="64">
        <v>4.12</v>
      </c>
      <c r="F53" s="64">
        <v>5.98</v>
      </c>
      <c r="G53" s="64">
        <v>42.46</v>
      </c>
      <c r="H53" s="64">
        <v>12.57</v>
      </c>
      <c r="I53" s="64">
        <v>1.87</v>
      </c>
      <c r="J53" s="64">
        <v>1.1399999999999999</v>
      </c>
      <c r="K53" s="64">
        <v>342.46</v>
      </c>
      <c r="L53" s="64">
        <v>32.54</v>
      </c>
      <c r="M53" s="64">
        <v>54.37</v>
      </c>
      <c r="N53" s="64">
        <v>610.20000000000005</v>
      </c>
      <c r="O53" s="64">
        <v>0</v>
      </c>
      <c r="P53" s="64">
        <v>0.59</v>
      </c>
      <c r="Q53" s="64">
        <v>4.57</v>
      </c>
      <c r="R53" s="198"/>
      <c r="S53" s="198"/>
      <c r="T53" s="198"/>
      <c r="U53" s="198"/>
    </row>
    <row r="54" spans="1:21" s="12" customFormat="1" x14ac:dyDescent="0.25">
      <c r="A54" s="214" t="s">
        <v>1926</v>
      </c>
      <c r="B54" s="64">
        <v>6.13</v>
      </c>
      <c r="C54" s="64">
        <v>20.85</v>
      </c>
      <c r="D54" s="64">
        <v>26.98</v>
      </c>
      <c r="E54" s="64">
        <v>4.0599999999999996</v>
      </c>
      <c r="F54" s="64">
        <v>3.31</v>
      </c>
      <c r="G54" s="64">
        <v>42.46</v>
      </c>
      <c r="H54" s="64">
        <v>12.57</v>
      </c>
      <c r="I54" s="64">
        <v>1.91</v>
      </c>
      <c r="J54" s="64">
        <v>0.95</v>
      </c>
      <c r="K54" s="64">
        <v>328.78</v>
      </c>
      <c r="L54" s="64">
        <v>32.130000000000003</v>
      </c>
      <c r="M54" s="64">
        <v>55.14</v>
      </c>
      <c r="N54" s="64">
        <v>194.5</v>
      </c>
      <c r="O54" s="64">
        <v>0</v>
      </c>
      <c r="P54" s="64">
        <v>0.59</v>
      </c>
      <c r="Q54" s="64">
        <v>4.8600000000000003</v>
      </c>
      <c r="R54" s="198"/>
      <c r="S54" s="198"/>
      <c r="T54" s="198"/>
      <c r="U54" s="198"/>
    </row>
    <row r="55" spans="1:21" s="12" customFormat="1" x14ac:dyDescent="0.25">
      <c r="A55" s="214" t="s">
        <v>1927</v>
      </c>
      <c r="B55" s="64">
        <v>6.93</v>
      </c>
      <c r="C55" s="64">
        <v>22.94</v>
      </c>
      <c r="D55" s="64">
        <v>29.87</v>
      </c>
      <c r="E55" s="64">
        <v>4.1500000000000004</v>
      </c>
      <c r="F55" s="64">
        <v>6.09</v>
      </c>
      <c r="G55" s="64">
        <v>38.270000000000003</v>
      </c>
      <c r="H55" s="64">
        <v>12.51</v>
      </c>
      <c r="I55" s="64">
        <v>1.75</v>
      </c>
      <c r="J55" s="64">
        <v>0.69</v>
      </c>
      <c r="K55" s="64">
        <v>320.81</v>
      </c>
      <c r="L55" s="64">
        <v>31.46</v>
      </c>
      <c r="M55" s="64">
        <v>57.24</v>
      </c>
      <c r="N55" s="64">
        <v>720.5</v>
      </c>
      <c r="O55" s="64">
        <v>0</v>
      </c>
      <c r="P55" s="64">
        <v>0.62</v>
      </c>
      <c r="Q55" s="64">
        <v>5.32</v>
      </c>
      <c r="R55" s="198"/>
      <c r="S55" s="198"/>
      <c r="T55" s="198"/>
      <c r="U55" s="198"/>
    </row>
    <row r="56" spans="1:21" s="12" customFormat="1" x14ac:dyDescent="0.25">
      <c r="A56" s="214" t="s">
        <v>1928</v>
      </c>
      <c r="B56" s="64">
        <v>6.1</v>
      </c>
      <c r="C56" s="64">
        <v>24.46</v>
      </c>
      <c r="D56" s="64">
        <v>30.55</v>
      </c>
      <c r="E56" s="64">
        <v>3.15</v>
      </c>
      <c r="F56" s="64">
        <v>7.36</v>
      </c>
      <c r="G56" s="64">
        <v>27.96</v>
      </c>
      <c r="H56" s="64">
        <v>12.28</v>
      </c>
      <c r="I56" s="64">
        <v>1.8</v>
      </c>
      <c r="J56" s="64">
        <v>0.41</v>
      </c>
      <c r="K56" s="64">
        <v>341.81</v>
      </c>
      <c r="L56" s="64">
        <v>33.270000000000003</v>
      </c>
      <c r="M56" s="64">
        <v>49.7</v>
      </c>
      <c r="N56" s="64">
        <v>766.8</v>
      </c>
      <c r="O56" s="64">
        <v>0</v>
      </c>
      <c r="P56" s="64">
        <v>0.62</v>
      </c>
      <c r="Q56" s="64">
        <v>5.83</v>
      </c>
      <c r="R56" s="198"/>
      <c r="S56" s="198"/>
      <c r="T56" s="198"/>
      <c r="U56" s="198"/>
    </row>
    <row r="57" spans="1:21" s="12" customFormat="1" x14ac:dyDescent="0.25">
      <c r="A57" s="214" t="s">
        <v>1929</v>
      </c>
      <c r="B57" s="64">
        <v>6.08</v>
      </c>
      <c r="C57" s="64">
        <v>24.09</v>
      </c>
      <c r="D57" s="64">
        <v>30.17</v>
      </c>
      <c r="E57" s="64">
        <v>3.49</v>
      </c>
      <c r="F57" s="64">
        <v>11.83</v>
      </c>
      <c r="G57" s="64">
        <v>27.96</v>
      </c>
      <c r="H57" s="64">
        <v>12.28</v>
      </c>
      <c r="I57" s="64">
        <v>1.83</v>
      </c>
      <c r="J57" s="64">
        <v>0.82</v>
      </c>
      <c r="K57" s="64">
        <v>335.72</v>
      </c>
      <c r="L57" s="64">
        <v>33.1</v>
      </c>
      <c r="M57" s="64">
        <v>50.81</v>
      </c>
      <c r="N57" s="64">
        <v>637.1</v>
      </c>
      <c r="O57" s="64">
        <v>0</v>
      </c>
      <c r="P57" s="64">
        <v>0.57999999999999996</v>
      </c>
      <c r="Q57" s="64">
        <v>5.66</v>
      </c>
      <c r="R57" s="198"/>
      <c r="S57" s="198"/>
      <c r="T57" s="198"/>
      <c r="U57" s="198"/>
    </row>
    <row r="58" spans="1:21" s="12" customFormat="1" x14ac:dyDescent="0.25">
      <c r="A58" s="214" t="s">
        <v>1930</v>
      </c>
      <c r="B58" s="64">
        <v>5.41</v>
      </c>
      <c r="C58" s="64">
        <v>23.62</v>
      </c>
      <c r="D58" s="64">
        <v>29.03</v>
      </c>
      <c r="E58" s="64">
        <v>3.5</v>
      </c>
      <c r="F58" s="64">
        <v>9.4700000000000006</v>
      </c>
      <c r="G58" s="64">
        <v>27.96</v>
      </c>
      <c r="H58" s="64">
        <v>12.28</v>
      </c>
      <c r="I58" s="64">
        <v>1.68</v>
      </c>
      <c r="J58" s="64">
        <v>1.07</v>
      </c>
      <c r="K58" s="64">
        <v>337.66</v>
      </c>
      <c r="L58" s="64">
        <v>34.83</v>
      </c>
      <c r="M58" s="64">
        <v>46.55</v>
      </c>
      <c r="N58" s="210" t="s">
        <v>36</v>
      </c>
      <c r="O58" s="64">
        <v>0</v>
      </c>
      <c r="P58" s="64">
        <v>0.61</v>
      </c>
      <c r="Q58" s="64">
        <v>5.61</v>
      </c>
      <c r="R58" s="198"/>
      <c r="S58" s="198"/>
      <c r="T58" s="198"/>
      <c r="U58" s="198"/>
    </row>
    <row r="59" spans="1:21" s="12" customFormat="1" x14ac:dyDescent="0.25">
      <c r="A59" s="214" t="s">
        <v>1931</v>
      </c>
      <c r="B59" s="64">
        <v>5.98</v>
      </c>
      <c r="C59" s="64">
        <v>21.29</v>
      </c>
      <c r="D59" s="64">
        <v>27.27</v>
      </c>
      <c r="E59" s="64">
        <v>3.81</v>
      </c>
      <c r="F59" s="64">
        <v>7.37</v>
      </c>
      <c r="G59" s="64">
        <v>28.12</v>
      </c>
      <c r="H59" s="64">
        <v>11.27</v>
      </c>
      <c r="I59" s="64">
        <v>1.79</v>
      </c>
      <c r="J59" s="64">
        <v>0.86</v>
      </c>
      <c r="K59" s="64">
        <v>330.89</v>
      </c>
      <c r="L59" s="64">
        <v>34.11</v>
      </c>
      <c r="M59" s="64">
        <v>49.11</v>
      </c>
      <c r="N59" s="210" t="s">
        <v>36</v>
      </c>
      <c r="O59" s="64">
        <v>0</v>
      </c>
      <c r="P59" s="64">
        <v>0.6</v>
      </c>
      <c r="Q59" s="64">
        <v>5.62</v>
      </c>
      <c r="R59" s="198"/>
      <c r="S59" s="198"/>
      <c r="T59" s="198"/>
      <c r="U59" s="198"/>
    </row>
    <row r="60" spans="1:21" s="12" customFormat="1" x14ac:dyDescent="0.25">
      <c r="A60" s="214" t="s">
        <v>1932</v>
      </c>
      <c r="B60" s="64">
        <v>15.58</v>
      </c>
      <c r="C60" s="64">
        <v>23.88</v>
      </c>
      <c r="D60" s="64">
        <v>39.46</v>
      </c>
      <c r="E60" s="64">
        <v>3.2</v>
      </c>
      <c r="F60" s="64">
        <v>9.23</v>
      </c>
      <c r="G60" s="64">
        <v>28.49</v>
      </c>
      <c r="H60" s="64">
        <v>9.68</v>
      </c>
      <c r="I60" s="64">
        <v>1.78</v>
      </c>
      <c r="J60" s="64">
        <v>0.55000000000000004</v>
      </c>
      <c r="K60" s="64">
        <v>335.47</v>
      </c>
      <c r="L60" s="64">
        <v>33.19</v>
      </c>
      <c r="M60" s="64">
        <v>49.87</v>
      </c>
      <c r="N60" s="210" t="s">
        <v>36</v>
      </c>
      <c r="O60" s="64">
        <v>0</v>
      </c>
      <c r="P60" s="64">
        <v>0.65</v>
      </c>
      <c r="Q60" s="64">
        <v>5.35</v>
      </c>
      <c r="R60" s="198"/>
      <c r="S60" s="198"/>
      <c r="T60" s="198"/>
      <c r="U60" s="198"/>
    </row>
    <row r="61" spans="1:21" s="12" customFormat="1" x14ac:dyDescent="0.25">
      <c r="A61" s="214" t="s">
        <v>1933</v>
      </c>
      <c r="B61" s="64">
        <v>5.51</v>
      </c>
      <c r="C61" s="64">
        <v>17.690000000000001</v>
      </c>
      <c r="D61" s="64">
        <v>23.2</v>
      </c>
      <c r="E61" s="64">
        <v>3.15</v>
      </c>
      <c r="F61" s="64">
        <v>2.78</v>
      </c>
      <c r="G61" s="64">
        <v>28.49</v>
      </c>
      <c r="H61" s="64">
        <v>9.68</v>
      </c>
      <c r="I61" s="64">
        <v>1.86</v>
      </c>
      <c r="J61" s="64">
        <v>0.31</v>
      </c>
      <c r="K61" s="64">
        <v>334.91</v>
      </c>
      <c r="L61" s="64">
        <v>32.43</v>
      </c>
      <c r="M61" s="64">
        <v>51.73</v>
      </c>
      <c r="N61" s="210" t="s">
        <v>36</v>
      </c>
      <c r="O61" s="64">
        <v>0</v>
      </c>
      <c r="P61" s="64">
        <v>0.59</v>
      </c>
      <c r="Q61" s="64">
        <v>5.88</v>
      </c>
      <c r="R61" s="198"/>
      <c r="S61" s="198"/>
      <c r="T61" s="198"/>
      <c r="U61" s="198"/>
    </row>
    <row r="62" spans="1:21" s="12" customFormat="1" x14ac:dyDescent="0.25">
      <c r="A62" s="214" t="s">
        <v>1934</v>
      </c>
      <c r="B62" s="64">
        <v>4.45</v>
      </c>
      <c r="C62" s="64">
        <v>17.47</v>
      </c>
      <c r="D62" s="64">
        <v>21.92</v>
      </c>
      <c r="E62" s="64">
        <v>2.93</v>
      </c>
      <c r="F62" s="64">
        <v>2.58</v>
      </c>
      <c r="G62" s="64">
        <v>28.49</v>
      </c>
      <c r="H62" s="64">
        <v>9.68</v>
      </c>
      <c r="I62" s="64">
        <v>1.87</v>
      </c>
      <c r="J62" s="64">
        <v>0.17</v>
      </c>
      <c r="K62" s="64">
        <v>16.97</v>
      </c>
      <c r="L62" s="64">
        <v>29.5</v>
      </c>
      <c r="M62" s="64">
        <v>61.9</v>
      </c>
      <c r="N62" s="64">
        <v>5.5</v>
      </c>
      <c r="O62" s="64">
        <v>0</v>
      </c>
      <c r="P62" s="64">
        <v>0.56999999999999995</v>
      </c>
      <c r="Q62" s="64">
        <v>7.83</v>
      </c>
      <c r="R62" s="198"/>
      <c r="S62" s="198"/>
      <c r="T62" s="198"/>
      <c r="U62" s="198"/>
    </row>
    <row r="63" spans="1:21" s="12" customFormat="1" x14ac:dyDescent="0.25">
      <c r="A63" s="214" t="s">
        <v>1935</v>
      </c>
      <c r="B63" s="64">
        <v>3.09</v>
      </c>
      <c r="C63" s="64">
        <v>17.32</v>
      </c>
      <c r="D63" s="64">
        <v>20.41</v>
      </c>
      <c r="E63" s="64">
        <v>3.93</v>
      </c>
      <c r="F63" s="64">
        <v>3.57</v>
      </c>
      <c r="G63" s="64">
        <v>27.87</v>
      </c>
      <c r="H63" s="64">
        <v>11.23</v>
      </c>
      <c r="I63" s="64">
        <v>1.86</v>
      </c>
      <c r="J63" s="64">
        <v>0.28000000000000003</v>
      </c>
      <c r="K63" s="64">
        <v>21.93</v>
      </c>
      <c r="L63" s="64">
        <v>29.35</v>
      </c>
      <c r="M63" s="64">
        <v>59.77</v>
      </c>
      <c r="N63" s="64">
        <v>249.3</v>
      </c>
      <c r="O63" s="64">
        <v>0</v>
      </c>
      <c r="P63" s="64">
        <v>0.53</v>
      </c>
      <c r="Q63" s="64">
        <v>7.36</v>
      </c>
      <c r="R63" s="198"/>
      <c r="S63" s="198"/>
      <c r="T63" s="198"/>
      <c r="U63" s="198"/>
    </row>
    <row r="64" spans="1:21" s="12" customFormat="1" x14ac:dyDescent="0.25">
      <c r="A64" s="214" t="s">
        <v>1936</v>
      </c>
      <c r="B64" s="64">
        <v>2.7</v>
      </c>
      <c r="C64" s="64">
        <v>17.690000000000001</v>
      </c>
      <c r="D64" s="64">
        <v>20.39</v>
      </c>
      <c r="E64" s="64">
        <v>3.22</v>
      </c>
      <c r="F64" s="64">
        <v>4.37</v>
      </c>
      <c r="G64" s="64">
        <v>26.32</v>
      </c>
      <c r="H64" s="64">
        <v>13.68</v>
      </c>
      <c r="I64" s="64">
        <v>1.83</v>
      </c>
      <c r="J64" s="64">
        <v>0.21</v>
      </c>
      <c r="K64" s="64">
        <v>8.27</v>
      </c>
      <c r="L64" s="64">
        <v>30.35</v>
      </c>
      <c r="M64" s="64">
        <v>57.63</v>
      </c>
      <c r="N64" s="64">
        <v>444.1</v>
      </c>
      <c r="O64" s="64">
        <v>0</v>
      </c>
      <c r="P64" s="64">
        <v>0.51</v>
      </c>
      <c r="Q64" s="64">
        <v>6.69</v>
      </c>
      <c r="R64" s="198"/>
      <c r="S64" s="198"/>
      <c r="T64" s="198"/>
      <c r="U64" s="198"/>
    </row>
    <row r="65" spans="1:21" s="12" customFormat="1" x14ac:dyDescent="0.25">
      <c r="A65" s="214" t="s">
        <v>1937</v>
      </c>
      <c r="B65" s="64">
        <v>2.4300000000000002</v>
      </c>
      <c r="C65" s="64">
        <v>16.64</v>
      </c>
      <c r="D65" s="64">
        <v>19.07</v>
      </c>
      <c r="E65" s="64">
        <v>3.15</v>
      </c>
      <c r="F65" s="64">
        <v>3.19</v>
      </c>
      <c r="G65" s="64">
        <v>26.32</v>
      </c>
      <c r="H65" s="64">
        <v>13.68</v>
      </c>
      <c r="I65" s="64">
        <v>1.78</v>
      </c>
      <c r="J65" s="64">
        <v>0.05</v>
      </c>
      <c r="K65" s="64">
        <v>163.6</v>
      </c>
      <c r="L65" s="64">
        <v>29.52</v>
      </c>
      <c r="M65" s="64">
        <v>60.22</v>
      </c>
      <c r="N65" s="64">
        <v>332.2</v>
      </c>
      <c r="O65" s="64">
        <v>0</v>
      </c>
      <c r="P65" s="64">
        <v>0.48</v>
      </c>
      <c r="Q65" s="64">
        <v>5.32</v>
      </c>
      <c r="R65" s="198"/>
      <c r="S65" s="198"/>
      <c r="T65" s="198"/>
      <c r="U65" s="198"/>
    </row>
    <row r="66" spans="1:21" s="12" customFormat="1" x14ac:dyDescent="0.25">
      <c r="A66" s="214" t="s">
        <v>1938</v>
      </c>
      <c r="B66" s="64">
        <v>2.4700000000000002</v>
      </c>
      <c r="C66" s="64">
        <v>15.59</v>
      </c>
      <c r="D66" s="64">
        <v>18.059999999999999</v>
      </c>
      <c r="E66" s="64">
        <v>2.4</v>
      </c>
      <c r="F66" s="64">
        <v>3.26</v>
      </c>
      <c r="G66" s="64">
        <v>26.32</v>
      </c>
      <c r="H66" s="64">
        <v>13.68</v>
      </c>
      <c r="I66" s="64">
        <v>1.73</v>
      </c>
      <c r="J66" s="64">
        <v>0.28999999999999998</v>
      </c>
      <c r="K66" s="64">
        <v>14.25</v>
      </c>
      <c r="L66" s="64">
        <v>29.46</v>
      </c>
      <c r="M66" s="64">
        <v>61.42</v>
      </c>
      <c r="N66" s="64">
        <v>361.2</v>
      </c>
      <c r="O66" s="64">
        <v>0</v>
      </c>
      <c r="P66" s="64">
        <v>0.48</v>
      </c>
      <c r="Q66" s="64">
        <v>4.63</v>
      </c>
      <c r="R66" s="198"/>
      <c r="S66" s="198"/>
      <c r="T66" s="198"/>
      <c r="U66" s="198"/>
    </row>
    <row r="67" spans="1:21" s="12" customFormat="1" x14ac:dyDescent="0.25">
      <c r="A67" s="214" t="s">
        <v>1939</v>
      </c>
      <c r="B67" s="64">
        <v>2.61</v>
      </c>
      <c r="C67" s="64">
        <v>15.76</v>
      </c>
      <c r="D67" s="64">
        <v>18.37</v>
      </c>
      <c r="E67" s="64">
        <v>3.37</v>
      </c>
      <c r="F67" s="64">
        <v>4.43</v>
      </c>
      <c r="G67" s="64">
        <v>28.71</v>
      </c>
      <c r="H67" s="64">
        <v>12.87</v>
      </c>
      <c r="I67" s="64">
        <v>1.78</v>
      </c>
      <c r="J67" s="64">
        <v>0.21</v>
      </c>
      <c r="K67" s="64">
        <v>48.16</v>
      </c>
      <c r="L67" s="64">
        <v>29.47</v>
      </c>
      <c r="M67" s="64">
        <v>63.5</v>
      </c>
      <c r="N67" s="64">
        <v>301.39999999999998</v>
      </c>
      <c r="O67" s="64">
        <v>0</v>
      </c>
      <c r="P67" s="64">
        <v>0.54</v>
      </c>
      <c r="Q67" s="64">
        <v>4.4000000000000004</v>
      </c>
      <c r="R67" s="198"/>
      <c r="S67" s="198"/>
      <c r="T67" s="198"/>
      <c r="U67" s="198"/>
    </row>
    <row r="68" spans="1:21" s="12" customFormat="1" x14ac:dyDescent="0.25">
      <c r="A68" s="214" t="s">
        <v>1940</v>
      </c>
      <c r="B68" s="64">
        <v>2.46</v>
      </c>
      <c r="C68" s="64">
        <v>16.420000000000002</v>
      </c>
      <c r="D68" s="64">
        <v>18.88</v>
      </c>
      <c r="E68" s="64">
        <v>3.36</v>
      </c>
      <c r="F68" s="64">
        <v>3.72</v>
      </c>
      <c r="G68" s="64">
        <v>34.6</v>
      </c>
      <c r="H68" s="64">
        <v>11.55</v>
      </c>
      <c r="I68" s="64">
        <v>1.84</v>
      </c>
      <c r="J68" s="64">
        <v>0.16</v>
      </c>
      <c r="K68" s="64">
        <v>0.68</v>
      </c>
      <c r="L68" s="64">
        <v>29.22</v>
      </c>
      <c r="M68" s="64">
        <v>63.56</v>
      </c>
      <c r="N68" s="64">
        <v>214.5</v>
      </c>
      <c r="O68" s="64">
        <v>0</v>
      </c>
      <c r="P68" s="64">
        <v>0.61</v>
      </c>
      <c r="Q68" s="64">
        <v>5.04</v>
      </c>
      <c r="R68" s="198"/>
      <c r="S68" s="198"/>
      <c r="T68" s="198"/>
      <c r="U68" s="198"/>
    </row>
    <row r="69" spans="1:21" s="12" customFormat="1" x14ac:dyDescent="0.25">
      <c r="A69" s="214" t="s">
        <v>1941</v>
      </c>
      <c r="B69" s="64">
        <v>2.42</v>
      </c>
      <c r="C69" s="64">
        <v>15.4</v>
      </c>
      <c r="D69" s="64">
        <v>17.82</v>
      </c>
      <c r="E69" s="64">
        <v>3.08</v>
      </c>
      <c r="F69" s="64">
        <v>3.68</v>
      </c>
      <c r="G69" s="64">
        <v>34.6</v>
      </c>
      <c r="H69" s="64">
        <v>11.55</v>
      </c>
      <c r="I69" s="64">
        <v>1.83</v>
      </c>
      <c r="J69" s="64">
        <v>0.18</v>
      </c>
      <c r="K69" s="64">
        <v>9.58</v>
      </c>
      <c r="L69" s="64">
        <v>28.79</v>
      </c>
      <c r="M69" s="64">
        <v>65.98</v>
      </c>
      <c r="N69" s="64">
        <v>216.6</v>
      </c>
      <c r="O69" s="64">
        <v>0</v>
      </c>
      <c r="P69" s="64">
        <v>0.59</v>
      </c>
      <c r="Q69" s="64">
        <v>5.62</v>
      </c>
      <c r="R69" s="198"/>
      <c r="S69" s="198"/>
      <c r="T69" s="198"/>
      <c r="U69" s="198"/>
    </row>
    <row r="70" spans="1:21" s="12" customFormat="1" x14ac:dyDescent="0.25">
      <c r="A70" s="214" t="s">
        <v>1942</v>
      </c>
      <c r="B70" s="64">
        <v>2.35</v>
      </c>
      <c r="C70" s="64">
        <v>13.15</v>
      </c>
      <c r="D70" s="64">
        <v>15.5</v>
      </c>
      <c r="E70" s="64">
        <v>2.64</v>
      </c>
      <c r="F70" s="64">
        <v>7.21</v>
      </c>
      <c r="G70" s="64">
        <v>34.6</v>
      </c>
      <c r="H70" s="64">
        <v>11.55</v>
      </c>
      <c r="I70" s="64">
        <v>1.75</v>
      </c>
      <c r="J70" s="64">
        <v>0.06</v>
      </c>
      <c r="K70" s="64">
        <v>18.440000000000001</v>
      </c>
      <c r="L70" s="64">
        <v>28.51</v>
      </c>
      <c r="M70" s="64">
        <v>66.680000000000007</v>
      </c>
      <c r="N70" s="64">
        <v>251.7</v>
      </c>
      <c r="O70" s="64">
        <v>0</v>
      </c>
      <c r="P70" s="64">
        <v>0.51</v>
      </c>
      <c r="Q70" s="64">
        <v>4.32</v>
      </c>
      <c r="R70" s="198"/>
      <c r="S70" s="198"/>
      <c r="T70" s="198"/>
      <c r="U70" s="198"/>
    </row>
    <row r="71" spans="1:21" s="12" customFormat="1" x14ac:dyDescent="0.25">
      <c r="A71" s="214" t="s">
        <v>1943</v>
      </c>
      <c r="B71" s="64">
        <v>2.2999999999999998</v>
      </c>
      <c r="C71" s="64">
        <v>12.39</v>
      </c>
      <c r="D71" s="64">
        <v>14.68</v>
      </c>
      <c r="E71" s="64">
        <v>3.08</v>
      </c>
      <c r="F71" s="64">
        <v>6.08</v>
      </c>
      <c r="G71" s="64">
        <v>33.049999999999997</v>
      </c>
      <c r="H71" s="64">
        <v>11.36</v>
      </c>
      <c r="I71" s="64">
        <v>1.72</v>
      </c>
      <c r="J71" s="64">
        <v>0.12</v>
      </c>
      <c r="K71" s="64">
        <v>25.29</v>
      </c>
      <c r="L71" s="64">
        <v>28.62</v>
      </c>
      <c r="M71" s="64">
        <v>65.8</v>
      </c>
      <c r="N71" s="64">
        <v>232.5</v>
      </c>
      <c r="O71" s="64">
        <v>0</v>
      </c>
      <c r="P71" s="64">
        <v>0.45</v>
      </c>
      <c r="Q71" s="64">
        <v>2.98</v>
      </c>
      <c r="R71" s="198"/>
      <c r="S71" s="198"/>
      <c r="T71" s="198"/>
      <c r="U71" s="198"/>
    </row>
    <row r="72" spans="1:21" s="12" customFormat="1" x14ac:dyDescent="0.25">
      <c r="A72" s="214" t="s">
        <v>1944</v>
      </c>
      <c r="B72" s="64">
        <v>2.67</v>
      </c>
      <c r="C72" s="64">
        <v>12.83</v>
      </c>
      <c r="D72" s="64">
        <v>15.5</v>
      </c>
      <c r="E72" s="64">
        <v>3.76</v>
      </c>
      <c r="F72" s="64">
        <v>11.48</v>
      </c>
      <c r="G72" s="64">
        <v>29.22</v>
      </c>
      <c r="H72" s="64">
        <v>11.06</v>
      </c>
      <c r="I72" s="64">
        <v>1.83</v>
      </c>
      <c r="J72" s="64">
        <v>1.25</v>
      </c>
      <c r="K72" s="64">
        <v>145.55000000000001</v>
      </c>
      <c r="L72" s="64">
        <v>28.46</v>
      </c>
      <c r="M72" s="64">
        <v>68.06</v>
      </c>
      <c r="N72" s="64">
        <v>194.6</v>
      </c>
      <c r="O72" s="64">
        <v>0</v>
      </c>
      <c r="P72" s="64">
        <v>0.38</v>
      </c>
      <c r="Q72" s="64">
        <v>2.5</v>
      </c>
      <c r="R72" s="198"/>
      <c r="S72" s="198"/>
      <c r="T72" s="198"/>
      <c r="U72" s="198"/>
    </row>
    <row r="73" spans="1:21" s="12" customFormat="1" x14ac:dyDescent="0.25">
      <c r="A73" s="214" t="s">
        <v>1945</v>
      </c>
      <c r="B73" s="64">
        <v>4.1100000000000003</v>
      </c>
      <c r="C73" s="64">
        <v>11.48</v>
      </c>
      <c r="D73" s="64">
        <v>15.58</v>
      </c>
      <c r="E73" s="64">
        <v>3.62</v>
      </c>
      <c r="F73" s="64">
        <v>3.26</v>
      </c>
      <c r="G73" s="64">
        <v>29.22</v>
      </c>
      <c r="H73" s="64">
        <v>11.06</v>
      </c>
      <c r="I73" s="64">
        <v>1.81</v>
      </c>
      <c r="J73" s="64">
        <v>0.1</v>
      </c>
      <c r="K73" s="64">
        <v>19.670000000000002</v>
      </c>
      <c r="L73" s="64">
        <v>28.26</v>
      </c>
      <c r="M73" s="64">
        <v>67.78</v>
      </c>
      <c r="N73" s="64">
        <v>118.5</v>
      </c>
      <c r="O73" s="64">
        <v>0</v>
      </c>
      <c r="P73" s="64">
        <v>0.44</v>
      </c>
      <c r="Q73" s="64">
        <v>3.95</v>
      </c>
      <c r="R73" s="198"/>
      <c r="S73" s="198"/>
      <c r="T73" s="198"/>
      <c r="U73" s="198"/>
    </row>
    <row r="74" spans="1:21" s="12" customFormat="1" x14ac:dyDescent="0.25">
      <c r="A74" s="214" t="s">
        <v>1946</v>
      </c>
      <c r="B74" s="64">
        <v>4.05</v>
      </c>
      <c r="C74" s="64">
        <v>11.86</v>
      </c>
      <c r="D74" s="64">
        <v>15.91</v>
      </c>
      <c r="E74" s="64">
        <v>4.01</v>
      </c>
      <c r="F74" s="64">
        <v>3.67</v>
      </c>
      <c r="G74" s="64">
        <v>29.22</v>
      </c>
      <c r="H74" s="64">
        <v>11.06</v>
      </c>
      <c r="I74" s="64">
        <v>1.83</v>
      </c>
      <c r="J74" s="64">
        <v>0.13</v>
      </c>
      <c r="K74" s="64">
        <v>12.43</v>
      </c>
      <c r="L74" s="64">
        <v>28.49</v>
      </c>
      <c r="M74" s="64">
        <v>65.069999999999993</v>
      </c>
      <c r="N74" s="64">
        <v>105.4</v>
      </c>
      <c r="O74" s="64">
        <v>0</v>
      </c>
      <c r="P74" s="64">
        <v>0.44</v>
      </c>
      <c r="Q74" s="64">
        <v>5.28</v>
      </c>
      <c r="R74" s="198"/>
      <c r="S74" s="198"/>
      <c r="T74" s="198"/>
      <c r="U74" s="198"/>
    </row>
    <row r="75" spans="1:21" s="12" customFormat="1" x14ac:dyDescent="0.25">
      <c r="A75" s="214" t="s">
        <v>1947</v>
      </c>
      <c r="B75" s="64">
        <v>6.45</v>
      </c>
      <c r="C75" s="64">
        <v>17.23</v>
      </c>
      <c r="D75" s="64">
        <v>23.67</v>
      </c>
      <c r="E75" s="64">
        <v>4.84</v>
      </c>
      <c r="F75" s="64">
        <v>6.63</v>
      </c>
      <c r="G75" s="64">
        <v>33.33</v>
      </c>
      <c r="H75" s="64">
        <v>12.15</v>
      </c>
      <c r="I75" s="64">
        <v>1.84</v>
      </c>
      <c r="J75" s="64">
        <v>0.16</v>
      </c>
      <c r="K75" s="64">
        <v>332.15</v>
      </c>
      <c r="L75" s="64">
        <v>28.73</v>
      </c>
      <c r="M75" s="64">
        <v>63.86</v>
      </c>
      <c r="N75" s="64">
        <v>90.4</v>
      </c>
      <c r="O75" s="64">
        <v>0</v>
      </c>
      <c r="P75" s="64">
        <v>0.51</v>
      </c>
      <c r="Q75" s="64">
        <v>4.63</v>
      </c>
      <c r="R75" s="198"/>
      <c r="S75" s="198"/>
      <c r="T75" s="198"/>
      <c r="U75" s="198"/>
    </row>
    <row r="76" spans="1:21" s="12" customFormat="1" x14ac:dyDescent="0.25">
      <c r="A76" s="214" t="s">
        <v>1948</v>
      </c>
      <c r="B76" s="64">
        <v>5.14</v>
      </c>
      <c r="C76" s="64">
        <v>14.84</v>
      </c>
      <c r="D76" s="64">
        <v>19.98</v>
      </c>
      <c r="E76" s="64">
        <v>4.91</v>
      </c>
      <c r="F76" s="64">
        <v>8.2899999999999991</v>
      </c>
      <c r="G76" s="64">
        <v>43.43</v>
      </c>
      <c r="H76" s="64">
        <v>13.86</v>
      </c>
      <c r="I76" s="64">
        <v>1.76</v>
      </c>
      <c r="J76" s="64">
        <v>0.04</v>
      </c>
      <c r="K76" s="64">
        <v>302.27999999999997</v>
      </c>
      <c r="L76" s="64">
        <v>28.26</v>
      </c>
      <c r="M76" s="64">
        <v>65.489999999999995</v>
      </c>
      <c r="N76" s="64">
        <v>84</v>
      </c>
      <c r="O76" s="64">
        <v>0</v>
      </c>
      <c r="P76" s="64">
        <v>0.44</v>
      </c>
      <c r="Q76" s="64">
        <v>4.82</v>
      </c>
      <c r="R76" s="198"/>
      <c r="S76" s="198"/>
      <c r="T76" s="198"/>
      <c r="U76" s="198"/>
    </row>
    <row r="77" spans="1:21" s="12" customFormat="1" x14ac:dyDescent="0.25">
      <c r="A77" s="214" t="s">
        <v>1949</v>
      </c>
      <c r="B77" s="64">
        <v>4.71</v>
      </c>
      <c r="C77" s="64">
        <v>16.47</v>
      </c>
      <c r="D77" s="64">
        <v>21.18</v>
      </c>
      <c r="E77" s="64">
        <v>4.9400000000000004</v>
      </c>
      <c r="F77" s="64">
        <v>8.57</v>
      </c>
      <c r="G77" s="64">
        <v>43.43</v>
      </c>
      <c r="H77" s="64">
        <v>13.86</v>
      </c>
      <c r="I77" s="64">
        <v>1.8</v>
      </c>
      <c r="J77" s="64">
        <v>0.02</v>
      </c>
      <c r="K77" s="64">
        <v>275.17</v>
      </c>
      <c r="L77" s="64">
        <v>28.1</v>
      </c>
      <c r="M77" s="64">
        <v>66.430000000000007</v>
      </c>
      <c r="N77" s="64">
        <v>67.099999999999994</v>
      </c>
      <c r="O77" s="64">
        <v>0</v>
      </c>
      <c r="P77" s="64">
        <v>0.43</v>
      </c>
      <c r="Q77" s="64">
        <v>4.0599999999999996</v>
      </c>
      <c r="R77" s="198"/>
      <c r="S77" s="198"/>
      <c r="T77" s="198"/>
      <c r="U77" s="198"/>
    </row>
    <row r="78" spans="1:21" s="12" customFormat="1" x14ac:dyDescent="0.25">
      <c r="A78" s="214" t="s">
        <v>1950</v>
      </c>
      <c r="B78" s="64">
        <v>3.76</v>
      </c>
      <c r="C78" s="64">
        <v>17.86</v>
      </c>
      <c r="D78" s="64">
        <v>21.61</v>
      </c>
      <c r="E78" s="64">
        <v>4.18</v>
      </c>
      <c r="F78" s="64">
        <v>6.55</v>
      </c>
      <c r="G78" s="64">
        <v>43.43</v>
      </c>
      <c r="H78" s="64">
        <v>13.86</v>
      </c>
      <c r="I78" s="64">
        <v>1.82</v>
      </c>
      <c r="J78" s="64">
        <v>0.01</v>
      </c>
      <c r="K78" s="64">
        <v>97.17</v>
      </c>
      <c r="L78" s="64">
        <v>27.98</v>
      </c>
      <c r="M78" s="64">
        <v>67.650000000000006</v>
      </c>
      <c r="N78" s="64">
        <v>38.799999999999997</v>
      </c>
      <c r="O78" s="64">
        <v>0</v>
      </c>
      <c r="P78" s="64">
        <v>0.45</v>
      </c>
      <c r="Q78" s="64">
        <v>4.68</v>
      </c>
      <c r="R78" s="198"/>
      <c r="S78" s="198"/>
      <c r="T78" s="198"/>
      <c r="U78" s="198"/>
    </row>
    <row r="79" spans="1:21" s="12" customFormat="1" x14ac:dyDescent="0.25">
      <c r="A79" s="214" t="s">
        <v>1951</v>
      </c>
      <c r="B79" s="64">
        <v>2.58</v>
      </c>
      <c r="C79" s="64">
        <v>16.12</v>
      </c>
      <c r="D79" s="64">
        <v>18.7</v>
      </c>
      <c r="E79" s="64">
        <v>5.09</v>
      </c>
      <c r="F79" s="64">
        <v>10.49</v>
      </c>
      <c r="G79" s="64">
        <v>40.630000000000003</v>
      </c>
      <c r="H79" s="64">
        <v>13.23</v>
      </c>
      <c r="I79" s="64">
        <v>1.79</v>
      </c>
      <c r="J79" s="64">
        <v>0.21</v>
      </c>
      <c r="K79" s="64">
        <v>191.34</v>
      </c>
      <c r="L79" s="64">
        <v>27.82</v>
      </c>
      <c r="M79" s="64">
        <v>69.19</v>
      </c>
      <c r="N79" s="64">
        <v>21.9</v>
      </c>
      <c r="O79" s="64">
        <v>0</v>
      </c>
      <c r="P79" s="64">
        <v>0.39</v>
      </c>
      <c r="Q79" s="64">
        <v>5.63</v>
      </c>
      <c r="R79" s="198"/>
      <c r="S79" s="198"/>
      <c r="T79" s="198"/>
      <c r="U79" s="198"/>
    </row>
    <row r="80" spans="1:21" s="12" customFormat="1" x14ac:dyDescent="0.25">
      <c r="A80" s="214" t="s">
        <v>1952</v>
      </c>
      <c r="B80" s="64">
        <v>2.58</v>
      </c>
      <c r="C80" s="64">
        <v>17.829999999999998</v>
      </c>
      <c r="D80" s="64">
        <v>20.41</v>
      </c>
      <c r="E80" s="64">
        <v>4.57</v>
      </c>
      <c r="F80" s="64">
        <v>13.48</v>
      </c>
      <c r="G80" s="64">
        <v>33.74</v>
      </c>
      <c r="H80" s="64">
        <v>11.23</v>
      </c>
      <c r="I80" s="64">
        <v>1.79</v>
      </c>
      <c r="J80" s="64">
        <v>0.1</v>
      </c>
      <c r="K80" s="64">
        <v>187.28</v>
      </c>
      <c r="L80" s="64">
        <v>27.51</v>
      </c>
      <c r="M80" s="64">
        <v>72.17</v>
      </c>
      <c r="N80" s="64">
        <v>15.9</v>
      </c>
      <c r="O80" s="64">
        <v>0</v>
      </c>
      <c r="P80" s="64">
        <v>0.39</v>
      </c>
      <c r="Q80" s="64">
        <v>5.1100000000000003</v>
      </c>
      <c r="R80" s="198"/>
      <c r="S80" s="198"/>
      <c r="T80" s="198"/>
      <c r="U80" s="198"/>
    </row>
    <row r="81" spans="1:26" s="12" customFormat="1" x14ac:dyDescent="0.25">
      <c r="A81" s="214" t="s">
        <v>1953</v>
      </c>
      <c r="B81" s="64">
        <v>3.1</v>
      </c>
      <c r="C81" s="64">
        <v>22.39</v>
      </c>
      <c r="D81" s="64">
        <v>25.49</v>
      </c>
      <c r="E81" s="64">
        <v>4.72</v>
      </c>
      <c r="F81" s="64">
        <v>14.79</v>
      </c>
      <c r="G81" s="64">
        <v>33.74</v>
      </c>
      <c r="H81" s="64">
        <v>11.23</v>
      </c>
      <c r="I81" s="64">
        <v>1.83</v>
      </c>
      <c r="J81" s="64">
        <v>0.12</v>
      </c>
      <c r="K81" s="64">
        <v>215.83</v>
      </c>
      <c r="L81" s="64">
        <v>27.28</v>
      </c>
      <c r="M81" s="64">
        <v>74.41</v>
      </c>
      <c r="N81" s="64">
        <v>11.1</v>
      </c>
      <c r="O81" s="64">
        <v>0</v>
      </c>
      <c r="P81" s="64">
        <v>0.42</v>
      </c>
      <c r="Q81" s="64">
        <v>4.6399999999999997</v>
      </c>
      <c r="R81" s="198"/>
      <c r="S81" s="198"/>
      <c r="T81" s="198"/>
      <c r="U81" s="198"/>
    </row>
    <row r="82" spans="1:26" s="12" customFormat="1" x14ac:dyDescent="0.25">
      <c r="A82" s="214" t="s">
        <v>1954</v>
      </c>
      <c r="B82" s="64">
        <v>3.35</v>
      </c>
      <c r="C82" s="64">
        <v>21.2</v>
      </c>
      <c r="D82" s="64">
        <v>24.55</v>
      </c>
      <c r="E82" s="64">
        <v>4.62</v>
      </c>
      <c r="F82" s="64">
        <v>6.22</v>
      </c>
      <c r="G82" s="64">
        <v>33.74</v>
      </c>
      <c r="H82" s="64">
        <v>11.23</v>
      </c>
      <c r="I82" s="64">
        <v>1.79</v>
      </c>
      <c r="J82" s="64">
        <v>0.01</v>
      </c>
      <c r="K82" s="64">
        <v>16.68</v>
      </c>
      <c r="L82" s="64">
        <v>26.95</v>
      </c>
      <c r="M82" s="64">
        <v>76.38</v>
      </c>
      <c r="N82" s="64">
        <v>9.6999999999999993</v>
      </c>
      <c r="O82" s="64">
        <v>0</v>
      </c>
      <c r="P82" s="64">
        <v>0.44</v>
      </c>
      <c r="Q82" s="64">
        <v>4.38</v>
      </c>
      <c r="R82" s="198"/>
      <c r="S82" s="198"/>
      <c r="T82" s="198"/>
      <c r="U82" s="198"/>
    </row>
    <row r="83" spans="1:26" s="12" customFormat="1" x14ac:dyDescent="0.25">
      <c r="A83" s="214" t="s">
        <v>1955</v>
      </c>
      <c r="B83" s="64">
        <v>5.77</v>
      </c>
      <c r="C83" s="64">
        <v>27.23</v>
      </c>
      <c r="D83" s="64">
        <v>33</v>
      </c>
      <c r="E83" s="64">
        <v>4.8</v>
      </c>
      <c r="F83" s="64">
        <v>8.5399999999999991</v>
      </c>
      <c r="G83" s="64">
        <v>34.409999999999997</v>
      </c>
      <c r="H83" s="64">
        <v>11.79</v>
      </c>
      <c r="I83" s="64">
        <v>1.75</v>
      </c>
      <c r="J83" s="64">
        <v>0.04</v>
      </c>
      <c r="K83" s="64">
        <v>185.11</v>
      </c>
      <c r="L83" s="64">
        <v>26.72</v>
      </c>
      <c r="M83" s="64">
        <v>77.97</v>
      </c>
      <c r="N83" s="64">
        <v>9.4</v>
      </c>
      <c r="O83" s="64">
        <v>0</v>
      </c>
      <c r="P83" s="64">
        <v>0.45</v>
      </c>
      <c r="Q83" s="64">
        <v>6.35</v>
      </c>
      <c r="R83" s="198"/>
      <c r="S83" s="198"/>
      <c r="T83" s="198"/>
      <c r="U83" s="198"/>
    </row>
    <row r="84" spans="1:26" s="12" customFormat="1" x14ac:dyDescent="0.25">
      <c r="A84" s="214" t="s">
        <v>1956</v>
      </c>
      <c r="B84" s="64">
        <v>7.08</v>
      </c>
      <c r="C84" s="64">
        <v>28.64</v>
      </c>
      <c r="D84" s="64">
        <v>35.72</v>
      </c>
      <c r="E84" s="64">
        <v>4.8099999999999996</v>
      </c>
      <c r="F84" s="64">
        <v>5.58</v>
      </c>
      <c r="G84" s="64">
        <v>36.07</v>
      </c>
      <c r="H84" s="64">
        <v>12.68</v>
      </c>
      <c r="I84" s="64">
        <v>1.76</v>
      </c>
      <c r="J84" s="64">
        <v>0.03</v>
      </c>
      <c r="K84" s="64">
        <v>234.27</v>
      </c>
      <c r="L84" s="64">
        <v>26.78</v>
      </c>
      <c r="M84" s="64">
        <v>77.06</v>
      </c>
      <c r="N84" s="64">
        <v>9.3000000000000007</v>
      </c>
      <c r="O84" s="64">
        <v>0</v>
      </c>
      <c r="P84" s="64">
        <v>0.54</v>
      </c>
      <c r="Q84" s="64">
        <v>5.75</v>
      </c>
      <c r="R84" s="198"/>
      <c r="S84" s="198"/>
      <c r="T84" s="198"/>
      <c r="U84" s="198"/>
    </row>
    <row r="85" spans="1:26" s="12" customFormat="1" x14ac:dyDescent="0.25">
      <c r="A85" s="214" t="s">
        <v>1957</v>
      </c>
      <c r="B85" s="64">
        <v>8.3000000000000007</v>
      </c>
      <c r="C85" s="64">
        <v>15.29</v>
      </c>
      <c r="D85" s="64">
        <v>23.59</v>
      </c>
      <c r="E85" s="64">
        <v>4.4000000000000004</v>
      </c>
      <c r="F85" s="64">
        <v>1.93</v>
      </c>
      <c r="G85" s="64">
        <v>36.07</v>
      </c>
      <c r="H85" s="64">
        <v>12.68</v>
      </c>
      <c r="I85" s="64">
        <v>1.82</v>
      </c>
      <c r="J85" s="64">
        <v>0.14000000000000001</v>
      </c>
      <c r="K85" s="64">
        <v>3.17</v>
      </c>
      <c r="L85" s="64">
        <v>26.81</v>
      </c>
      <c r="M85" s="64">
        <v>77.790000000000006</v>
      </c>
      <c r="N85" s="64">
        <v>9.4</v>
      </c>
      <c r="O85" s="64">
        <v>0</v>
      </c>
      <c r="P85" s="64">
        <v>0.56000000000000005</v>
      </c>
      <c r="Q85" s="64">
        <v>7.48</v>
      </c>
      <c r="R85" s="198"/>
      <c r="S85" s="198"/>
      <c r="T85" s="198"/>
      <c r="U85" s="198"/>
    </row>
    <row r="86" spans="1:26" s="12" customFormat="1" x14ac:dyDescent="0.25">
      <c r="A86" s="214" t="s">
        <v>1958</v>
      </c>
      <c r="B86" s="64">
        <v>16.350000000000001</v>
      </c>
      <c r="C86" s="64">
        <v>24.23</v>
      </c>
      <c r="D86" s="64">
        <v>40.57</v>
      </c>
      <c r="E86" s="64">
        <v>4.99</v>
      </c>
      <c r="F86" s="64">
        <v>3.27</v>
      </c>
      <c r="G86" s="64">
        <v>36.07</v>
      </c>
      <c r="H86" s="64">
        <v>12.68</v>
      </c>
      <c r="I86" s="64">
        <v>1.81</v>
      </c>
      <c r="J86" s="64">
        <v>0.1</v>
      </c>
      <c r="K86" s="64">
        <v>3.94</v>
      </c>
      <c r="L86" s="64">
        <v>26.69</v>
      </c>
      <c r="M86" s="64">
        <v>80.739999999999995</v>
      </c>
      <c r="N86" s="64">
        <v>9.4</v>
      </c>
      <c r="O86" s="64">
        <v>0</v>
      </c>
      <c r="P86" s="64">
        <v>0.76</v>
      </c>
      <c r="Q86" s="64">
        <v>8.15</v>
      </c>
      <c r="R86" s="198"/>
      <c r="S86" s="198"/>
      <c r="T86" s="198"/>
      <c r="U86" s="198"/>
    </row>
    <row r="87" spans="1:26" s="12" customFormat="1" x14ac:dyDescent="0.25">
      <c r="A87" s="214" t="s">
        <v>1959</v>
      </c>
      <c r="B87" s="64">
        <v>13.44</v>
      </c>
      <c r="C87" s="64">
        <v>22.04</v>
      </c>
      <c r="D87" s="64">
        <v>35.479999999999997</v>
      </c>
      <c r="E87" s="64">
        <v>5.18</v>
      </c>
      <c r="F87" s="64">
        <v>5.46</v>
      </c>
      <c r="G87" s="64">
        <v>38.11</v>
      </c>
      <c r="H87" s="64">
        <v>12.77</v>
      </c>
      <c r="I87" s="64">
        <v>1.78</v>
      </c>
      <c r="J87" s="64">
        <v>0.13</v>
      </c>
      <c r="K87" s="64">
        <v>358.68</v>
      </c>
      <c r="L87" s="64">
        <v>26.68</v>
      </c>
      <c r="M87" s="64">
        <v>80.510000000000005</v>
      </c>
      <c r="N87" s="64">
        <v>9.3000000000000007</v>
      </c>
      <c r="O87" s="64">
        <v>0</v>
      </c>
      <c r="P87" s="64">
        <v>0.81</v>
      </c>
      <c r="Q87" s="64">
        <v>7.21</v>
      </c>
      <c r="R87" s="198"/>
      <c r="S87" s="198"/>
      <c r="T87" s="198"/>
      <c r="U87" s="198"/>
    </row>
    <row r="88" spans="1:26" s="12" customFormat="1" x14ac:dyDescent="0.25">
      <c r="A88" s="214" t="s">
        <v>1960</v>
      </c>
      <c r="B88" s="64">
        <v>12.64</v>
      </c>
      <c r="C88" s="64">
        <v>15.59</v>
      </c>
      <c r="D88" s="64">
        <v>28.23</v>
      </c>
      <c r="E88" s="64">
        <v>3.88</v>
      </c>
      <c r="F88" s="64">
        <v>1.61</v>
      </c>
      <c r="G88" s="64">
        <v>43.13</v>
      </c>
      <c r="H88" s="64">
        <v>12.9</v>
      </c>
      <c r="I88" s="64">
        <v>1.76</v>
      </c>
      <c r="J88" s="64">
        <v>0.27</v>
      </c>
      <c r="K88" s="64">
        <v>351.56</v>
      </c>
      <c r="L88" s="64">
        <v>26.74</v>
      </c>
      <c r="M88" s="64">
        <v>80.44</v>
      </c>
      <c r="N88" s="64">
        <v>9.3000000000000007</v>
      </c>
      <c r="O88" s="64">
        <v>0</v>
      </c>
      <c r="P88" s="64">
        <v>0.65</v>
      </c>
      <c r="Q88" s="64">
        <v>8.4499999999999993</v>
      </c>
      <c r="R88" s="198"/>
      <c r="S88" s="198"/>
      <c r="T88" s="198"/>
      <c r="U88" s="198"/>
    </row>
    <row r="89" spans="1:26" s="12" customFormat="1" x14ac:dyDescent="0.25">
      <c r="A89" s="214" t="s">
        <v>1961</v>
      </c>
      <c r="B89" s="64">
        <v>12.36</v>
      </c>
      <c r="C89" s="64">
        <v>15.22</v>
      </c>
      <c r="D89" s="64">
        <v>27.57</v>
      </c>
      <c r="E89" s="64">
        <v>4.38</v>
      </c>
      <c r="F89" s="64">
        <v>0.94</v>
      </c>
      <c r="G89" s="64">
        <v>43.13</v>
      </c>
      <c r="H89" s="64">
        <v>12.9</v>
      </c>
      <c r="I89" s="64">
        <v>1.87</v>
      </c>
      <c r="J89" s="64">
        <v>0.34</v>
      </c>
      <c r="K89" s="64">
        <v>335.84</v>
      </c>
      <c r="L89" s="64">
        <v>26.57</v>
      </c>
      <c r="M89" s="64">
        <v>80.87</v>
      </c>
      <c r="N89" s="64">
        <v>9.4</v>
      </c>
      <c r="O89" s="64">
        <v>0</v>
      </c>
      <c r="P89" s="64">
        <v>0.65</v>
      </c>
      <c r="Q89" s="64">
        <v>9.42</v>
      </c>
      <c r="R89" s="198"/>
      <c r="S89" s="198"/>
      <c r="T89" s="198"/>
      <c r="U89" s="198"/>
    </row>
    <row r="90" spans="1:26" s="12" customFormat="1" x14ac:dyDescent="0.25">
      <c r="A90" s="214" t="s">
        <v>1962</v>
      </c>
      <c r="B90" s="64">
        <v>14.35</v>
      </c>
      <c r="C90" s="64">
        <v>15.97</v>
      </c>
      <c r="D90" s="64">
        <v>30.28</v>
      </c>
      <c r="E90" s="64">
        <v>4.78</v>
      </c>
      <c r="F90" s="64">
        <v>1.61</v>
      </c>
      <c r="G90" s="64">
        <v>43.13</v>
      </c>
      <c r="H90" s="64">
        <v>12.9</v>
      </c>
      <c r="I90" s="64">
        <v>1.77</v>
      </c>
      <c r="J90" s="64">
        <v>0.43</v>
      </c>
      <c r="K90" s="64">
        <v>328.44</v>
      </c>
      <c r="L90" s="64">
        <v>26.36</v>
      </c>
      <c r="M90" s="64">
        <v>80</v>
      </c>
      <c r="N90" s="64">
        <v>9.4</v>
      </c>
      <c r="O90" s="64">
        <v>0</v>
      </c>
      <c r="P90" s="64">
        <v>0.65</v>
      </c>
      <c r="Q90" s="64">
        <v>7.9</v>
      </c>
      <c r="R90" s="198"/>
      <c r="S90" s="198"/>
      <c r="T90" s="198"/>
      <c r="U90" s="198"/>
    </row>
    <row r="91" spans="1:26" s="12" customFormat="1" x14ac:dyDescent="0.25">
      <c r="A91" s="214" t="s">
        <v>1963</v>
      </c>
      <c r="B91" s="64">
        <v>13.17</v>
      </c>
      <c r="C91" s="64">
        <v>14.61</v>
      </c>
      <c r="D91" s="64">
        <v>27.79</v>
      </c>
      <c r="E91" s="64">
        <v>4.2300000000000004</v>
      </c>
      <c r="F91" s="64">
        <v>2.27</v>
      </c>
      <c r="G91" s="64">
        <v>44.56</v>
      </c>
      <c r="H91" s="64">
        <v>13.55</v>
      </c>
      <c r="I91" s="64">
        <v>1.82</v>
      </c>
      <c r="J91" s="64">
        <v>0.41</v>
      </c>
      <c r="K91" s="64">
        <v>321.05</v>
      </c>
      <c r="L91" s="64">
        <v>26.11</v>
      </c>
      <c r="M91" s="64">
        <v>81.36</v>
      </c>
      <c r="N91" s="64">
        <v>9.5</v>
      </c>
      <c r="O91" s="64">
        <v>0</v>
      </c>
      <c r="P91" s="64">
        <v>0.7</v>
      </c>
      <c r="Q91" s="64">
        <v>9.2100000000000009</v>
      </c>
      <c r="R91" s="198"/>
      <c r="S91" s="198"/>
      <c r="T91" s="198"/>
      <c r="U91" s="198"/>
    </row>
    <row r="92" spans="1:26" s="12" customFormat="1" x14ac:dyDescent="0.25">
      <c r="A92" s="214" t="s">
        <v>1964</v>
      </c>
      <c r="B92" s="64">
        <v>16.329999999999998</v>
      </c>
      <c r="C92" s="64">
        <v>21.3</v>
      </c>
      <c r="D92" s="64">
        <v>37.619999999999997</v>
      </c>
      <c r="E92" s="64">
        <v>4.8</v>
      </c>
      <c r="F92" s="64">
        <v>5.69</v>
      </c>
      <c r="G92" s="64">
        <v>48.08</v>
      </c>
      <c r="H92" s="64">
        <v>14.58</v>
      </c>
      <c r="I92" s="64">
        <v>1.8</v>
      </c>
      <c r="J92" s="64">
        <v>0.28000000000000003</v>
      </c>
      <c r="K92" s="64">
        <v>334.92</v>
      </c>
      <c r="L92" s="64">
        <v>26.07</v>
      </c>
      <c r="M92" s="64">
        <v>80.459999999999994</v>
      </c>
      <c r="N92" s="64">
        <v>9.5</v>
      </c>
      <c r="O92" s="64">
        <v>0</v>
      </c>
      <c r="P92" s="64">
        <v>0.75</v>
      </c>
      <c r="Q92" s="64">
        <v>11.23</v>
      </c>
      <c r="R92" s="198"/>
      <c r="S92" s="198"/>
      <c r="T92" s="198"/>
      <c r="U92" s="198"/>
    </row>
    <row r="93" spans="1:26" s="12" customFormat="1" x14ac:dyDescent="0.25">
      <c r="A93" s="214" t="s">
        <v>1965</v>
      </c>
      <c r="B93" s="64">
        <v>14.76</v>
      </c>
      <c r="C93" s="64">
        <v>20.76</v>
      </c>
      <c r="D93" s="64">
        <v>35.520000000000003</v>
      </c>
      <c r="E93" s="64">
        <v>4.3</v>
      </c>
      <c r="F93" s="64">
        <v>6.98</v>
      </c>
      <c r="G93" s="64">
        <v>48.08</v>
      </c>
      <c r="H93" s="64">
        <v>14.58</v>
      </c>
      <c r="I93" s="64">
        <v>1.8</v>
      </c>
      <c r="J93" s="64">
        <v>0.28000000000000003</v>
      </c>
      <c r="K93" s="64">
        <v>329.03</v>
      </c>
      <c r="L93" s="64">
        <v>26.11</v>
      </c>
      <c r="M93" s="64">
        <v>80.39</v>
      </c>
      <c r="N93" s="64">
        <v>9.4</v>
      </c>
      <c r="O93" s="64">
        <v>0</v>
      </c>
      <c r="P93" s="64">
        <v>0.71</v>
      </c>
      <c r="Q93" s="64">
        <v>9.91</v>
      </c>
      <c r="R93" s="198"/>
      <c r="S93" s="198"/>
      <c r="T93" s="198"/>
      <c r="U93" s="198"/>
    </row>
    <row r="94" spans="1:26" s="12" customFormat="1" x14ac:dyDescent="0.25">
      <c r="A94" s="214" t="s">
        <v>1966</v>
      </c>
      <c r="B94" s="64">
        <v>13.74</v>
      </c>
      <c r="C94" s="64">
        <v>20.41</v>
      </c>
      <c r="D94" s="64">
        <v>34.15</v>
      </c>
      <c r="E94" s="64">
        <v>4.3499999999999996</v>
      </c>
      <c r="F94" s="64">
        <v>8.4600000000000009</v>
      </c>
      <c r="G94" s="64">
        <v>48.08</v>
      </c>
      <c r="H94" s="64">
        <v>14.58</v>
      </c>
      <c r="I94" s="64">
        <v>1.82</v>
      </c>
      <c r="J94" s="64">
        <v>0.32</v>
      </c>
      <c r="K94" s="64">
        <v>324.88</v>
      </c>
      <c r="L94" s="64">
        <v>25.88</v>
      </c>
      <c r="M94" s="64">
        <v>81.89</v>
      </c>
      <c r="N94" s="64">
        <v>9.5</v>
      </c>
      <c r="O94" s="64">
        <v>0</v>
      </c>
      <c r="P94" s="64">
        <v>0.69</v>
      </c>
      <c r="Q94" s="64">
        <v>10.65</v>
      </c>
      <c r="R94" s="198"/>
      <c r="S94" s="198"/>
      <c r="T94" s="198"/>
      <c r="U94" s="198"/>
    </row>
    <row r="95" spans="1:26" s="12" customFormat="1" x14ac:dyDescent="0.25">
      <c r="A95" s="214" t="s">
        <v>1967</v>
      </c>
      <c r="B95" s="64">
        <v>13.13</v>
      </c>
      <c r="C95" s="64">
        <v>22.92</v>
      </c>
      <c r="D95" s="64">
        <v>36.04</v>
      </c>
      <c r="E95" s="64">
        <v>4.57</v>
      </c>
      <c r="F95" s="64">
        <v>10.16</v>
      </c>
      <c r="G95" s="64">
        <v>48.2</v>
      </c>
      <c r="H95" s="64">
        <v>14.66</v>
      </c>
      <c r="I95" s="64">
        <v>1.83</v>
      </c>
      <c r="J95" s="64">
        <v>0.18</v>
      </c>
      <c r="K95" s="64">
        <v>342.88</v>
      </c>
      <c r="L95" s="64">
        <v>25.85</v>
      </c>
      <c r="M95" s="64">
        <v>82.37</v>
      </c>
      <c r="N95" s="64">
        <v>9.5</v>
      </c>
      <c r="O95" s="64">
        <v>0</v>
      </c>
      <c r="P95" s="64">
        <v>0.71</v>
      </c>
      <c r="Q95" s="64">
        <v>9.4499999999999993</v>
      </c>
      <c r="R95" s="198"/>
      <c r="S95" s="198"/>
      <c r="T95" s="198"/>
      <c r="U95" s="198"/>
    </row>
    <row r="96" spans="1:26" s="12" customFormat="1" x14ac:dyDescent="0.25">
      <c r="A96" s="214" t="s">
        <v>1968</v>
      </c>
      <c r="B96" s="64">
        <v>16.170000000000002</v>
      </c>
      <c r="C96" s="64">
        <v>16.39</v>
      </c>
      <c r="D96" s="64">
        <v>32.56</v>
      </c>
      <c r="E96" s="64">
        <v>4.8600000000000003</v>
      </c>
      <c r="F96" s="64">
        <v>1.89</v>
      </c>
      <c r="G96" s="64">
        <v>48.5</v>
      </c>
      <c r="H96" s="64">
        <v>14.8</v>
      </c>
      <c r="I96" s="64">
        <v>1.81</v>
      </c>
      <c r="J96" s="64">
        <v>0.25</v>
      </c>
      <c r="K96" s="64">
        <v>325.8</v>
      </c>
      <c r="L96" s="64">
        <v>25.68</v>
      </c>
      <c r="M96" s="64">
        <v>84.27</v>
      </c>
      <c r="N96" s="64">
        <v>9.4</v>
      </c>
      <c r="O96" s="64">
        <v>0</v>
      </c>
      <c r="P96" s="64">
        <v>0.72</v>
      </c>
      <c r="Q96" s="64">
        <v>11.37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1969</v>
      </c>
      <c r="B97" s="64">
        <v>12.34</v>
      </c>
      <c r="C97" s="64">
        <v>12.96</v>
      </c>
      <c r="D97" s="64">
        <v>25.29</v>
      </c>
      <c r="E97" s="64">
        <v>4.84</v>
      </c>
      <c r="F97" s="64">
        <v>1.37</v>
      </c>
      <c r="G97" s="64">
        <v>48.5</v>
      </c>
      <c r="H97" s="64">
        <v>14.8</v>
      </c>
      <c r="I97" s="64">
        <v>1.81</v>
      </c>
      <c r="J97" s="64">
        <v>0.41</v>
      </c>
      <c r="K97" s="64">
        <v>320.44</v>
      </c>
      <c r="L97" s="64">
        <v>25.64</v>
      </c>
      <c r="M97" s="64">
        <v>84.31</v>
      </c>
      <c r="N97" s="64">
        <v>9.3000000000000007</v>
      </c>
      <c r="O97" s="64">
        <v>0</v>
      </c>
      <c r="P97" s="64">
        <v>0.69</v>
      </c>
      <c r="Q97" s="64">
        <v>11.84</v>
      </c>
      <c r="R97" s="198"/>
      <c r="S97" s="198"/>
      <c r="T97" s="198"/>
      <c r="U97" s="198"/>
    </row>
    <row r="98" spans="1:33" s="12" customFormat="1" x14ac:dyDescent="0.25">
      <c r="A98" s="214" t="s">
        <v>1970</v>
      </c>
      <c r="B98" s="64">
        <v>13.56</v>
      </c>
      <c r="C98" s="64">
        <v>13.03</v>
      </c>
      <c r="D98" s="64">
        <v>26.59</v>
      </c>
      <c r="E98" s="64">
        <v>4.54</v>
      </c>
      <c r="F98" s="64">
        <v>2.44</v>
      </c>
      <c r="G98" s="64">
        <v>48.5</v>
      </c>
      <c r="H98" s="64">
        <v>14.8</v>
      </c>
      <c r="I98" s="64">
        <v>1.75</v>
      </c>
      <c r="J98" s="64">
        <v>0.47</v>
      </c>
      <c r="K98" s="64">
        <v>323.32</v>
      </c>
      <c r="L98" s="64">
        <v>25.62</v>
      </c>
      <c r="M98" s="64">
        <v>85.33</v>
      </c>
      <c r="N98" s="64">
        <v>9.4</v>
      </c>
      <c r="O98" s="64">
        <v>0</v>
      </c>
      <c r="P98" s="64">
        <v>0.69</v>
      </c>
      <c r="Q98" s="64">
        <v>9.83</v>
      </c>
      <c r="R98" s="198"/>
      <c r="S98" s="198"/>
      <c r="T98" s="198"/>
      <c r="U98" s="198"/>
    </row>
    <row r="99" spans="1:33" s="12" customFormat="1" x14ac:dyDescent="0.25">
      <c r="A99" s="214" t="s">
        <v>1971</v>
      </c>
      <c r="B99" s="64">
        <v>11.37</v>
      </c>
      <c r="C99" s="64">
        <v>12.69</v>
      </c>
      <c r="D99" s="64">
        <v>24.07</v>
      </c>
      <c r="E99" s="64">
        <v>4.3600000000000003</v>
      </c>
      <c r="F99" s="64">
        <v>2.14</v>
      </c>
      <c r="G99" s="64">
        <v>49.08</v>
      </c>
      <c r="H99" s="64">
        <v>15.53</v>
      </c>
      <c r="I99" s="64">
        <v>1.78</v>
      </c>
      <c r="J99" s="64">
        <v>0.19</v>
      </c>
      <c r="K99" s="64">
        <v>339.48</v>
      </c>
      <c r="L99" s="64">
        <v>25.42</v>
      </c>
      <c r="M99" s="64">
        <v>87.16</v>
      </c>
      <c r="N99" s="64">
        <v>9.5</v>
      </c>
      <c r="O99" s="64">
        <v>0</v>
      </c>
      <c r="P99" s="64">
        <v>0.69</v>
      </c>
      <c r="Q99" s="64">
        <v>8.89</v>
      </c>
      <c r="R99" s="198"/>
      <c r="S99" s="198"/>
      <c r="T99" s="198"/>
      <c r="U99" s="198"/>
    </row>
    <row r="100" spans="1:33" s="12" customFormat="1" x14ac:dyDescent="0.25">
      <c r="A100" s="214" t="s">
        <v>1972</v>
      </c>
      <c r="B100" s="64">
        <v>10.48</v>
      </c>
      <c r="C100" s="64">
        <v>13.24</v>
      </c>
      <c r="D100" s="64">
        <v>23.72</v>
      </c>
      <c r="E100" s="64">
        <v>4.22</v>
      </c>
      <c r="F100" s="64">
        <v>0.77</v>
      </c>
      <c r="G100" s="64">
        <v>50.49</v>
      </c>
      <c r="H100" s="64">
        <v>16.670000000000002</v>
      </c>
      <c r="I100" s="64">
        <v>1.77</v>
      </c>
      <c r="J100" s="64">
        <v>0.19</v>
      </c>
      <c r="K100" s="64">
        <v>26.2</v>
      </c>
      <c r="L100" s="64">
        <v>25.34</v>
      </c>
      <c r="M100" s="64">
        <v>88.09</v>
      </c>
      <c r="N100" s="64">
        <v>9.5</v>
      </c>
      <c r="O100" s="64">
        <v>0</v>
      </c>
      <c r="P100" s="64">
        <v>0.67</v>
      </c>
      <c r="Q100" s="64">
        <v>9.91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1973</v>
      </c>
      <c r="B101" s="64">
        <v>10.41</v>
      </c>
      <c r="C101" s="64">
        <v>15.03</v>
      </c>
      <c r="D101" s="64">
        <v>25.44</v>
      </c>
      <c r="E101" s="64">
        <v>4.05</v>
      </c>
      <c r="F101" s="64">
        <v>4.7</v>
      </c>
      <c r="G101" s="64">
        <v>50.49</v>
      </c>
      <c r="H101" s="64">
        <v>16.670000000000002</v>
      </c>
      <c r="I101" s="64">
        <v>1.86</v>
      </c>
      <c r="J101" s="64">
        <v>0.21</v>
      </c>
      <c r="K101" s="64">
        <v>333.93</v>
      </c>
      <c r="L101" s="64">
        <v>25.13</v>
      </c>
      <c r="M101" s="64">
        <v>90.77</v>
      </c>
      <c r="N101" s="64">
        <v>9.6</v>
      </c>
      <c r="O101" s="64">
        <v>0</v>
      </c>
      <c r="P101" s="64">
        <v>0.63</v>
      </c>
      <c r="Q101" s="64">
        <v>8.1199999999999992</v>
      </c>
      <c r="R101" s="198"/>
      <c r="S101" s="198"/>
      <c r="T101" s="198"/>
      <c r="U101" s="198"/>
    </row>
    <row r="102" spans="1:33" s="12" customFormat="1" x14ac:dyDescent="0.25">
      <c r="A102" s="214" t="s">
        <v>1974</v>
      </c>
      <c r="B102" s="64">
        <v>10.19</v>
      </c>
      <c r="C102" s="64">
        <v>13.44</v>
      </c>
      <c r="D102" s="64">
        <v>23.64</v>
      </c>
      <c r="E102" s="64">
        <v>4.34</v>
      </c>
      <c r="F102" s="64">
        <v>1.8</v>
      </c>
      <c r="G102" s="64">
        <v>50.49</v>
      </c>
      <c r="H102" s="64">
        <v>16.670000000000002</v>
      </c>
      <c r="I102" s="64">
        <v>1.78</v>
      </c>
      <c r="J102" s="64">
        <v>0.32</v>
      </c>
      <c r="K102" s="64">
        <v>325.68</v>
      </c>
      <c r="L102" s="64">
        <v>24.91</v>
      </c>
      <c r="M102" s="64">
        <v>93.17</v>
      </c>
      <c r="N102" s="64">
        <v>9.4</v>
      </c>
      <c r="O102" s="64">
        <v>0</v>
      </c>
      <c r="P102" s="64">
        <v>0.65</v>
      </c>
      <c r="Q102" s="64">
        <v>7.21</v>
      </c>
      <c r="R102" s="198"/>
      <c r="S102" s="198"/>
      <c r="T102" s="198"/>
      <c r="U102" s="198"/>
    </row>
    <row r="103" spans="1:33" s="12" customFormat="1" x14ac:dyDescent="0.25">
      <c r="A103" s="214" t="s">
        <v>1975</v>
      </c>
      <c r="B103" s="64">
        <v>8.9499999999999993</v>
      </c>
      <c r="C103" s="64">
        <v>13.08</v>
      </c>
      <c r="D103" s="64">
        <v>22.03</v>
      </c>
      <c r="E103" s="64">
        <v>4.08</v>
      </c>
      <c r="F103" s="64">
        <v>4.3499999999999996</v>
      </c>
      <c r="G103" s="64">
        <v>50.12</v>
      </c>
      <c r="H103" s="64">
        <v>16.52</v>
      </c>
      <c r="I103" s="64">
        <v>1.8</v>
      </c>
      <c r="J103" s="64">
        <v>0.2</v>
      </c>
      <c r="K103" s="64">
        <v>337.78</v>
      </c>
      <c r="L103" s="64">
        <v>24.78</v>
      </c>
      <c r="M103" s="64">
        <v>95.23</v>
      </c>
      <c r="N103" s="64">
        <v>9.5</v>
      </c>
      <c r="O103" s="64">
        <v>0</v>
      </c>
      <c r="P103" s="64">
        <v>0.59</v>
      </c>
      <c r="Q103" s="64">
        <v>9.2799999999999994</v>
      </c>
      <c r="R103" s="198"/>
      <c r="S103" s="198"/>
      <c r="T103" s="198"/>
      <c r="U103" s="198"/>
    </row>
    <row r="104" spans="1:33" s="12" customFormat="1" x14ac:dyDescent="0.25">
      <c r="A104" s="214" t="s">
        <v>1976</v>
      </c>
      <c r="B104" s="64">
        <v>8.33</v>
      </c>
      <c r="C104" s="64">
        <v>13.29</v>
      </c>
      <c r="D104" s="64">
        <v>21.63</v>
      </c>
      <c r="E104" s="64">
        <v>3.29</v>
      </c>
      <c r="F104" s="64">
        <v>3.31</v>
      </c>
      <c r="G104" s="64">
        <v>49.21</v>
      </c>
      <c r="H104" s="64">
        <v>15.88</v>
      </c>
      <c r="I104" s="64">
        <v>1.81</v>
      </c>
      <c r="J104" s="64">
        <v>0.46</v>
      </c>
      <c r="K104" s="64">
        <v>320.33999999999997</v>
      </c>
      <c r="L104" s="64">
        <v>24.62</v>
      </c>
      <c r="M104" s="64">
        <v>97.3</v>
      </c>
      <c r="N104" s="64">
        <v>9.5</v>
      </c>
      <c r="O104" s="64">
        <v>0</v>
      </c>
      <c r="P104" s="64">
        <v>0.57999999999999996</v>
      </c>
      <c r="Q104" s="64">
        <v>8.89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2.2999999999999998</v>
      </c>
      <c r="C106" s="67">
        <f>MIN(C9:C104)</f>
        <v>8.3699999999999992</v>
      </c>
      <c r="D106" s="67">
        <f t="shared" ref="D106:Q106" si="0">MIN(D9:D104)</f>
        <v>14.68</v>
      </c>
      <c r="E106" s="67">
        <f t="shared" si="0"/>
        <v>2.4</v>
      </c>
      <c r="F106" s="67">
        <f t="shared" si="0"/>
        <v>0.32</v>
      </c>
      <c r="G106" s="67">
        <f t="shared" si="0"/>
        <v>26.32</v>
      </c>
      <c r="H106" s="67">
        <f t="shared" si="0"/>
        <v>8.5</v>
      </c>
      <c r="I106" s="67">
        <f t="shared" si="0"/>
        <v>1.68</v>
      </c>
      <c r="J106" s="67">
        <f t="shared" si="0"/>
        <v>0.01</v>
      </c>
      <c r="K106" s="67">
        <f t="shared" si="0"/>
        <v>0.68</v>
      </c>
      <c r="L106" s="67">
        <f t="shared" si="0"/>
        <v>22.66</v>
      </c>
      <c r="M106" s="67">
        <f t="shared" si="0"/>
        <v>46.55</v>
      </c>
      <c r="N106" s="67">
        <f t="shared" si="0"/>
        <v>5.5</v>
      </c>
      <c r="O106" s="67">
        <f t="shared" si="0"/>
        <v>0</v>
      </c>
      <c r="P106" s="67">
        <f t="shared" si="0"/>
        <v>0.38</v>
      </c>
      <c r="Q106" s="67">
        <f t="shared" si="0"/>
        <v>2.5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16.350000000000001</v>
      </c>
      <c r="C107" s="66">
        <f t="shared" ref="C107:Q107" si="1">MAX(C9:C104)</f>
        <v>28.64</v>
      </c>
      <c r="D107" s="66">
        <f t="shared" si="1"/>
        <v>40.57</v>
      </c>
      <c r="E107" s="66">
        <f t="shared" si="1"/>
        <v>5.41</v>
      </c>
      <c r="F107" s="66">
        <f t="shared" si="1"/>
        <v>14.79</v>
      </c>
      <c r="G107" s="66">
        <f t="shared" si="1"/>
        <v>50.71</v>
      </c>
      <c r="H107" s="66">
        <f t="shared" si="1"/>
        <v>17.510000000000002</v>
      </c>
      <c r="I107" s="66">
        <f t="shared" si="1"/>
        <v>1.92</v>
      </c>
      <c r="J107" s="66">
        <f t="shared" si="1"/>
        <v>1.25</v>
      </c>
      <c r="K107" s="66">
        <f t="shared" si="1"/>
        <v>358.68</v>
      </c>
      <c r="L107" s="66">
        <f t="shared" si="1"/>
        <v>34.83</v>
      </c>
      <c r="M107" s="66">
        <f t="shared" si="1"/>
        <v>98.78</v>
      </c>
      <c r="N107" s="66">
        <f t="shared" si="1"/>
        <v>865.4</v>
      </c>
      <c r="O107" s="66">
        <f t="shared" si="1"/>
        <v>0</v>
      </c>
      <c r="P107" s="66">
        <f t="shared" si="1"/>
        <v>0.81</v>
      </c>
      <c r="Q107" s="66">
        <f t="shared" si="1"/>
        <v>11.84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9.0953125000000039</v>
      </c>
      <c r="C108" s="67">
        <f t="shared" ref="C108:Q108" si="2">AVERAGE(C9:C104)</f>
        <v>15.762500000000003</v>
      </c>
      <c r="D108" s="67">
        <f t="shared" si="2"/>
        <v>24.856979166666672</v>
      </c>
      <c r="E108" s="67">
        <f t="shared" si="2"/>
        <v>4.1686458333333354</v>
      </c>
      <c r="F108" s="67">
        <f t="shared" si="2"/>
        <v>3.5995833333333334</v>
      </c>
      <c r="G108" s="67">
        <f t="shared" si="2"/>
        <v>38.384583333333318</v>
      </c>
      <c r="H108" s="67">
        <f t="shared" si="2"/>
        <v>12.984687499999994</v>
      </c>
      <c r="I108" s="67">
        <f t="shared" si="2"/>
        <v>1.8027083333333342</v>
      </c>
      <c r="J108" s="67">
        <f t="shared" si="2"/>
        <v>0.26968421052631597</v>
      </c>
      <c r="K108" s="67">
        <f t="shared" si="2"/>
        <v>220.21687499999996</v>
      </c>
      <c r="L108" s="67">
        <f t="shared" si="2"/>
        <v>27.443645833333331</v>
      </c>
      <c r="M108" s="67">
        <f t="shared" si="2"/>
        <v>77.020729166666669</v>
      </c>
      <c r="N108" s="67">
        <f t="shared" si="2"/>
        <v>184.15543478260884</v>
      </c>
      <c r="O108" s="67">
        <f t="shared" si="2"/>
        <v>0</v>
      </c>
      <c r="P108" s="67">
        <f t="shared" si="2"/>
        <v>0.57552083333333326</v>
      </c>
      <c r="Q108" s="67">
        <f t="shared" si="2"/>
        <v>7.5716666666666681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4.1132338291051136</v>
      </c>
      <c r="C109" s="67">
        <f t="shared" ref="C109:Q109" si="3">STDEV(C9:C104)</f>
        <v>4.7908562030074249</v>
      </c>
      <c r="D109" s="67">
        <f t="shared" si="3"/>
        <v>5.7761205556364112</v>
      </c>
      <c r="E109" s="67">
        <f t="shared" si="3"/>
        <v>0.65934516125216736</v>
      </c>
      <c r="F109" s="67">
        <f t="shared" si="3"/>
        <v>3.2744429551706444</v>
      </c>
      <c r="G109" s="67">
        <f t="shared" si="3"/>
        <v>7.7553469387482687</v>
      </c>
      <c r="H109" s="67">
        <f t="shared" si="3"/>
        <v>2.1052715554931565</v>
      </c>
      <c r="I109" s="67">
        <f t="shared" si="3"/>
        <v>4.0012607662208495E-2</v>
      </c>
      <c r="J109" s="67">
        <f t="shared" si="3"/>
        <v>0.26173095098877219</v>
      </c>
      <c r="K109" s="67">
        <f t="shared" si="3"/>
        <v>141.87820053102263</v>
      </c>
      <c r="L109" s="67">
        <f t="shared" si="3"/>
        <v>3.7052537720581507</v>
      </c>
      <c r="M109" s="67">
        <f t="shared" si="3"/>
        <v>17.424397006544194</v>
      </c>
      <c r="N109" s="67">
        <f t="shared" si="3"/>
        <v>263.5653328786114</v>
      </c>
      <c r="O109" s="67">
        <f t="shared" si="3"/>
        <v>0</v>
      </c>
      <c r="P109" s="67">
        <f t="shared" si="3"/>
        <v>8.7369388733807979E-2</v>
      </c>
      <c r="Q109" s="67">
        <f t="shared" si="3"/>
        <v>2.1363760100086129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COUNT(N9:N104)+4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6" sqref="G13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1977</v>
      </c>
      <c r="B9" s="64">
        <v>7.7</v>
      </c>
      <c r="C9" s="64">
        <v>12.77</v>
      </c>
      <c r="D9" s="64">
        <v>20.47</v>
      </c>
      <c r="E9" s="64">
        <v>3.21</v>
      </c>
      <c r="F9" s="64">
        <v>6.26</v>
      </c>
      <c r="G9" s="64">
        <v>49.21</v>
      </c>
      <c r="H9" s="64">
        <v>15.88</v>
      </c>
      <c r="I9" s="64">
        <v>1.81</v>
      </c>
      <c r="J9" s="64">
        <v>0.31</v>
      </c>
      <c r="K9" s="64">
        <v>320.74</v>
      </c>
      <c r="L9" s="64">
        <v>24.42</v>
      </c>
      <c r="M9" s="64">
        <v>98.66</v>
      </c>
      <c r="N9" s="64">
        <v>9.5</v>
      </c>
      <c r="O9" s="64">
        <v>0</v>
      </c>
      <c r="P9" s="64">
        <v>0.56000000000000005</v>
      </c>
      <c r="Q9" s="64">
        <v>9.44</v>
      </c>
      <c r="R9" s="198"/>
      <c r="S9" s="198"/>
      <c r="T9" s="198"/>
      <c r="U9" s="198"/>
    </row>
    <row r="10" spans="1:21" s="12" customFormat="1" x14ac:dyDescent="0.25">
      <c r="A10" s="214" t="s">
        <v>1978</v>
      </c>
      <c r="B10" s="64">
        <v>11.22</v>
      </c>
      <c r="C10" s="64">
        <v>18.34</v>
      </c>
      <c r="D10" s="64">
        <v>29.56</v>
      </c>
      <c r="E10" s="64">
        <v>3.39</v>
      </c>
      <c r="F10" s="64">
        <v>6.46</v>
      </c>
      <c r="G10" s="64">
        <v>49.21</v>
      </c>
      <c r="H10" s="64">
        <v>15.88</v>
      </c>
      <c r="I10" s="64">
        <v>1.83</v>
      </c>
      <c r="J10" s="64">
        <v>0.16</v>
      </c>
      <c r="K10" s="64">
        <v>309.11</v>
      </c>
      <c r="L10" s="64">
        <v>24.23</v>
      </c>
      <c r="M10" s="64">
        <v>98.76</v>
      </c>
      <c r="N10" s="64">
        <v>9.5</v>
      </c>
      <c r="O10" s="64">
        <v>0</v>
      </c>
      <c r="P10" s="64">
        <v>0.59</v>
      </c>
      <c r="Q10" s="64">
        <v>8.3699999999999992</v>
      </c>
      <c r="R10" s="198"/>
      <c r="S10" s="198"/>
      <c r="T10" s="198"/>
      <c r="U10" s="198"/>
    </row>
    <row r="11" spans="1:21" s="12" customFormat="1" x14ac:dyDescent="0.25">
      <c r="A11" s="214" t="s">
        <v>1979</v>
      </c>
      <c r="B11" s="64">
        <v>9.6999999999999993</v>
      </c>
      <c r="C11" s="64">
        <v>18.41</v>
      </c>
      <c r="D11" s="64">
        <v>28.11</v>
      </c>
      <c r="E11" s="64">
        <v>3.54</v>
      </c>
      <c r="F11" s="64">
        <v>5.96</v>
      </c>
      <c r="G11" s="64">
        <v>48.27</v>
      </c>
      <c r="H11" s="64">
        <v>16.73</v>
      </c>
      <c r="I11" s="64">
        <v>1.79</v>
      </c>
      <c r="J11" s="64">
        <v>0.36</v>
      </c>
      <c r="K11" s="64">
        <v>341.88</v>
      </c>
      <c r="L11" s="64">
        <v>24.16</v>
      </c>
      <c r="M11" s="64">
        <v>98.76</v>
      </c>
      <c r="N11" s="64">
        <v>9.1999999999999993</v>
      </c>
      <c r="O11" s="64">
        <v>0</v>
      </c>
      <c r="P11" s="64">
        <v>0.6</v>
      </c>
      <c r="Q11" s="64">
        <v>9.99</v>
      </c>
      <c r="R11" s="198"/>
      <c r="S11" s="198"/>
      <c r="T11" s="198"/>
      <c r="U11" s="198"/>
    </row>
    <row r="12" spans="1:21" s="12" customFormat="1" x14ac:dyDescent="0.25">
      <c r="A12" s="214" t="s">
        <v>1980</v>
      </c>
      <c r="B12" s="64">
        <v>9.17</v>
      </c>
      <c r="C12" s="64">
        <v>19.02</v>
      </c>
      <c r="D12" s="64">
        <v>28.19</v>
      </c>
      <c r="E12" s="64">
        <v>4.25</v>
      </c>
      <c r="F12" s="64">
        <v>1.42</v>
      </c>
      <c r="G12" s="64">
        <v>45.97</v>
      </c>
      <c r="H12" s="64">
        <v>18.13</v>
      </c>
      <c r="I12" s="64">
        <v>1.8</v>
      </c>
      <c r="J12" s="64">
        <v>0.14000000000000001</v>
      </c>
      <c r="K12" s="64">
        <v>315.38</v>
      </c>
      <c r="L12" s="64">
        <v>24.09</v>
      </c>
      <c r="M12" s="64">
        <v>98.75</v>
      </c>
      <c r="N12" s="64">
        <v>9.5</v>
      </c>
      <c r="O12" s="64">
        <v>0</v>
      </c>
      <c r="P12" s="64">
        <v>0.62</v>
      </c>
      <c r="Q12" s="64">
        <v>10.08</v>
      </c>
      <c r="R12" s="198"/>
      <c r="S12" s="198"/>
      <c r="T12" s="198"/>
      <c r="U12" s="198"/>
    </row>
    <row r="13" spans="1:21" s="12" customFormat="1" x14ac:dyDescent="0.25">
      <c r="A13" s="214" t="s">
        <v>1981</v>
      </c>
      <c r="B13" s="64">
        <v>8.67</v>
      </c>
      <c r="C13" s="64">
        <v>12.42</v>
      </c>
      <c r="D13" s="64">
        <v>21.09</v>
      </c>
      <c r="E13" s="64">
        <v>3.71</v>
      </c>
      <c r="F13" s="64">
        <v>0.56000000000000005</v>
      </c>
      <c r="G13" s="64">
        <v>45.97</v>
      </c>
      <c r="H13" s="64">
        <v>18.13</v>
      </c>
      <c r="I13" s="64">
        <v>1.79</v>
      </c>
      <c r="J13" s="64">
        <v>0.71</v>
      </c>
      <c r="K13" s="64">
        <v>330.9</v>
      </c>
      <c r="L13" s="64">
        <v>24.06</v>
      </c>
      <c r="M13" s="64">
        <v>98.32</v>
      </c>
      <c r="N13" s="64">
        <v>9</v>
      </c>
      <c r="O13" s="64">
        <v>0</v>
      </c>
      <c r="P13" s="64">
        <v>0.57999999999999996</v>
      </c>
      <c r="Q13" s="64">
        <v>11.12</v>
      </c>
      <c r="R13" s="198"/>
      <c r="S13" s="198"/>
      <c r="T13" s="198"/>
      <c r="U13" s="198"/>
    </row>
    <row r="14" spans="1:21" s="12" customFormat="1" x14ac:dyDescent="0.25">
      <c r="A14" s="214" t="s">
        <v>1982</v>
      </c>
      <c r="B14" s="64">
        <v>8.41</v>
      </c>
      <c r="C14" s="64">
        <v>11.19</v>
      </c>
      <c r="D14" s="64">
        <v>19.600000000000001</v>
      </c>
      <c r="E14" s="64">
        <v>3.66</v>
      </c>
      <c r="F14" s="64">
        <v>0.86</v>
      </c>
      <c r="G14" s="64">
        <v>45.97</v>
      </c>
      <c r="H14" s="64">
        <v>18.13</v>
      </c>
      <c r="I14" s="64">
        <v>1.79</v>
      </c>
      <c r="J14" s="64">
        <v>0.72</v>
      </c>
      <c r="K14" s="64">
        <v>321.26</v>
      </c>
      <c r="L14" s="64">
        <v>24</v>
      </c>
      <c r="M14" s="64">
        <v>98.73</v>
      </c>
      <c r="N14" s="64">
        <v>9.4</v>
      </c>
      <c r="O14" s="64">
        <v>0</v>
      </c>
      <c r="P14" s="64">
        <v>0.61</v>
      </c>
      <c r="Q14" s="64">
        <v>9.5500000000000007</v>
      </c>
      <c r="R14" s="198"/>
      <c r="S14" s="198"/>
      <c r="T14" s="198"/>
      <c r="U14" s="198"/>
    </row>
    <row r="15" spans="1:21" s="12" customFormat="1" x14ac:dyDescent="0.25">
      <c r="A15" s="214" t="s">
        <v>1983</v>
      </c>
      <c r="B15" s="64">
        <v>8.1999999999999993</v>
      </c>
      <c r="C15" s="64">
        <v>10.58</v>
      </c>
      <c r="D15" s="64">
        <v>18.78</v>
      </c>
      <c r="E15" s="64">
        <v>3.56</v>
      </c>
      <c r="F15" s="64">
        <v>0.7</v>
      </c>
      <c r="G15" s="64">
        <v>47.22</v>
      </c>
      <c r="H15" s="64">
        <v>17.84</v>
      </c>
      <c r="I15" s="64">
        <v>1.77</v>
      </c>
      <c r="J15" s="64">
        <v>0.88</v>
      </c>
      <c r="K15" s="64">
        <v>336.61</v>
      </c>
      <c r="L15" s="64">
        <v>23.88</v>
      </c>
      <c r="M15" s="64">
        <v>98.75</v>
      </c>
      <c r="N15" s="64">
        <v>9.5</v>
      </c>
      <c r="O15" s="64">
        <v>0</v>
      </c>
      <c r="P15" s="64">
        <v>0.61</v>
      </c>
      <c r="Q15" s="64">
        <v>10.14</v>
      </c>
      <c r="R15" s="198"/>
      <c r="S15" s="198"/>
      <c r="T15" s="198"/>
      <c r="U15" s="198"/>
    </row>
    <row r="16" spans="1:21" s="12" customFormat="1" x14ac:dyDescent="0.25">
      <c r="A16" s="214" t="s">
        <v>1984</v>
      </c>
      <c r="B16" s="64">
        <v>7.7</v>
      </c>
      <c r="C16" s="64">
        <v>10.34</v>
      </c>
      <c r="D16" s="64">
        <v>18.05</v>
      </c>
      <c r="E16" s="64">
        <v>3.42</v>
      </c>
      <c r="F16" s="64">
        <v>1.42</v>
      </c>
      <c r="G16" s="64">
        <v>50.3</v>
      </c>
      <c r="H16" s="64">
        <v>17.38</v>
      </c>
      <c r="I16" s="64">
        <v>1.81</v>
      </c>
      <c r="J16" s="64">
        <v>0.67</v>
      </c>
      <c r="K16" s="64">
        <v>344.43</v>
      </c>
      <c r="L16" s="64">
        <v>23.8</v>
      </c>
      <c r="M16" s="64">
        <v>98.72</v>
      </c>
      <c r="N16" s="64">
        <v>9.5</v>
      </c>
      <c r="O16" s="64">
        <v>0</v>
      </c>
      <c r="P16" s="64">
        <v>0.59</v>
      </c>
      <c r="Q16" s="64">
        <v>8.6</v>
      </c>
      <c r="R16" s="198"/>
      <c r="S16" s="198"/>
      <c r="T16" s="198"/>
      <c r="U16" s="198"/>
    </row>
    <row r="17" spans="1:21" s="12" customFormat="1" x14ac:dyDescent="0.25">
      <c r="A17" s="214" t="s">
        <v>1985</v>
      </c>
      <c r="B17" s="64">
        <v>8</v>
      </c>
      <c r="C17" s="64">
        <v>10.66</v>
      </c>
      <c r="D17" s="64">
        <v>18.66</v>
      </c>
      <c r="E17" s="64">
        <v>3.51</v>
      </c>
      <c r="F17" s="64">
        <v>0.76</v>
      </c>
      <c r="G17" s="64">
        <v>50.3</v>
      </c>
      <c r="H17" s="64">
        <v>17.38</v>
      </c>
      <c r="I17" s="64">
        <v>1.84</v>
      </c>
      <c r="J17" s="64">
        <v>0.28000000000000003</v>
      </c>
      <c r="K17" s="64">
        <v>348.52</v>
      </c>
      <c r="L17" s="64">
        <v>23.67</v>
      </c>
      <c r="M17" s="64">
        <v>98.76</v>
      </c>
      <c r="N17" s="64">
        <v>9.5</v>
      </c>
      <c r="O17" s="64">
        <v>0</v>
      </c>
      <c r="P17" s="64">
        <v>0.66</v>
      </c>
      <c r="Q17" s="64">
        <v>9.33</v>
      </c>
      <c r="R17" s="198"/>
      <c r="S17" s="198"/>
      <c r="T17" s="198"/>
      <c r="U17" s="198"/>
    </row>
    <row r="18" spans="1:21" s="12" customFormat="1" x14ac:dyDescent="0.25">
      <c r="A18" s="214" t="s">
        <v>1986</v>
      </c>
      <c r="B18" s="64">
        <v>7.66</v>
      </c>
      <c r="C18" s="64">
        <v>16.75</v>
      </c>
      <c r="D18" s="64">
        <v>24.41</v>
      </c>
      <c r="E18" s="64">
        <v>3.31</v>
      </c>
      <c r="F18" s="64">
        <v>1.67</v>
      </c>
      <c r="G18" s="64">
        <v>50.3</v>
      </c>
      <c r="H18" s="64">
        <v>17.38</v>
      </c>
      <c r="I18" s="64">
        <v>1.85</v>
      </c>
      <c r="J18" s="64">
        <v>0.08</v>
      </c>
      <c r="K18" s="64">
        <v>82.92</v>
      </c>
      <c r="L18" s="64">
        <v>23.71</v>
      </c>
      <c r="M18" s="64">
        <v>98.75</v>
      </c>
      <c r="N18" s="64">
        <v>9.3000000000000007</v>
      </c>
      <c r="O18" s="64">
        <v>0</v>
      </c>
      <c r="P18" s="64">
        <v>0.7</v>
      </c>
      <c r="Q18" s="64">
        <v>9.0500000000000007</v>
      </c>
      <c r="R18" s="198"/>
      <c r="S18" s="198"/>
      <c r="T18" s="198"/>
      <c r="U18" s="198"/>
    </row>
    <row r="19" spans="1:21" s="12" customFormat="1" x14ac:dyDescent="0.25">
      <c r="A19" s="214" t="s">
        <v>1987</v>
      </c>
      <c r="B19" s="64">
        <v>7.34</v>
      </c>
      <c r="C19" s="64">
        <v>16.43</v>
      </c>
      <c r="D19" s="64">
        <v>23.76</v>
      </c>
      <c r="E19" s="64">
        <v>3.44</v>
      </c>
      <c r="F19" s="64">
        <v>4.71</v>
      </c>
      <c r="G19" s="64">
        <v>53.63</v>
      </c>
      <c r="H19" s="64">
        <v>19.100000000000001</v>
      </c>
      <c r="I19" s="64">
        <v>1.88</v>
      </c>
      <c r="J19" s="64">
        <v>0.09</v>
      </c>
      <c r="K19" s="64">
        <v>26.65</v>
      </c>
      <c r="L19" s="64">
        <v>23.66</v>
      </c>
      <c r="M19" s="64">
        <v>98.75</v>
      </c>
      <c r="N19" s="64">
        <v>9.5</v>
      </c>
      <c r="O19" s="64">
        <v>0</v>
      </c>
      <c r="P19" s="64">
        <v>0.54</v>
      </c>
      <c r="Q19" s="64">
        <v>8.2200000000000006</v>
      </c>
      <c r="R19" s="198"/>
      <c r="S19" s="198"/>
      <c r="T19" s="198"/>
      <c r="U19" s="198"/>
    </row>
    <row r="20" spans="1:21" s="12" customFormat="1" x14ac:dyDescent="0.25">
      <c r="A20" s="214" t="s">
        <v>1988</v>
      </c>
      <c r="B20" s="64">
        <v>9.27</v>
      </c>
      <c r="C20" s="64">
        <v>18.100000000000001</v>
      </c>
      <c r="D20" s="64">
        <v>27.37</v>
      </c>
      <c r="E20" s="64">
        <v>3.47</v>
      </c>
      <c r="F20" s="64">
        <v>3.37</v>
      </c>
      <c r="G20" s="64">
        <v>61.82</v>
      </c>
      <c r="H20" s="64">
        <v>21.93</v>
      </c>
      <c r="I20" s="64">
        <v>1.84</v>
      </c>
      <c r="J20" s="64">
        <v>0.19</v>
      </c>
      <c r="K20" s="64">
        <v>347.67</v>
      </c>
      <c r="L20" s="64">
        <v>23.69</v>
      </c>
      <c r="M20" s="64">
        <v>98.74</v>
      </c>
      <c r="N20" s="64">
        <v>9.5</v>
      </c>
      <c r="O20" s="64">
        <v>0</v>
      </c>
      <c r="P20" s="64">
        <v>0.59</v>
      </c>
      <c r="Q20" s="64">
        <v>8.16</v>
      </c>
      <c r="R20" s="198"/>
      <c r="S20" s="198"/>
      <c r="T20" s="198"/>
      <c r="U20" s="198"/>
    </row>
    <row r="21" spans="1:21" s="12" customFormat="1" x14ac:dyDescent="0.25">
      <c r="A21" s="214" t="s">
        <v>1989</v>
      </c>
      <c r="B21" s="64">
        <v>6.85</v>
      </c>
      <c r="C21" s="64">
        <v>17.64</v>
      </c>
      <c r="D21" s="64">
        <v>24.49</v>
      </c>
      <c r="E21" s="64">
        <v>3.45</v>
      </c>
      <c r="F21" s="64">
        <v>2.46</v>
      </c>
      <c r="G21" s="64">
        <v>61.82</v>
      </c>
      <c r="H21" s="64">
        <v>21.93</v>
      </c>
      <c r="I21" s="64">
        <v>1.85</v>
      </c>
      <c r="J21" s="64">
        <v>7.0000000000000007E-2</v>
      </c>
      <c r="K21" s="64">
        <v>316.86</v>
      </c>
      <c r="L21" s="64">
        <v>23.49</v>
      </c>
      <c r="M21" s="64">
        <v>98.78</v>
      </c>
      <c r="N21" s="64">
        <v>9.5</v>
      </c>
      <c r="O21" s="64">
        <v>0</v>
      </c>
      <c r="P21" s="64">
        <v>0.55000000000000004</v>
      </c>
      <c r="Q21" s="64">
        <v>9.59</v>
      </c>
      <c r="R21" s="198"/>
      <c r="S21" s="198"/>
      <c r="T21" s="198"/>
      <c r="U21" s="198"/>
    </row>
    <row r="22" spans="1:21" s="12" customFormat="1" x14ac:dyDescent="0.25">
      <c r="A22" s="214" t="s">
        <v>1990</v>
      </c>
      <c r="B22" s="64">
        <v>5.79</v>
      </c>
      <c r="C22" s="64">
        <v>17.75</v>
      </c>
      <c r="D22" s="64">
        <v>23.55</v>
      </c>
      <c r="E22" s="64">
        <v>3.44</v>
      </c>
      <c r="F22" s="64">
        <v>3.18</v>
      </c>
      <c r="G22" s="64">
        <v>61.82</v>
      </c>
      <c r="H22" s="64">
        <v>21.93</v>
      </c>
      <c r="I22" s="64">
        <v>1.86</v>
      </c>
      <c r="J22" s="64">
        <v>0.14000000000000001</v>
      </c>
      <c r="K22" s="64">
        <v>95.98</v>
      </c>
      <c r="L22" s="64">
        <v>23.34</v>
      </c>
      <c r="M22" s="64">
        <v>98.8</v>
      </c>
      <c r="N22" s="64">
        <v>9.5</v>
      </c>
      <c r="O22" s="64">
        <v>0</v>
      </c>
      <c r="P22" s="64">
        <v>0.54</v>
      </c>
      <c r="Q22" s="64">
        <v>9.8000000000000007</v>
      </c>
      <c r="R22" s="198"/>
      <c r="S22" s="198"/>
      <c r="T22" s="198"/>
      <c r="U22" s="198"/>
    </row>
    <row r="23" spans="1:21" s="12" customFormat="1" x14ac:dyDescent="0.25">
      <c r="A23" s="214" t="s">
        <v>1991</v>
      </c>
      <c r="B23" s="64">
        <v>6.17</v>
      </c>
      <c r="C23" s="64">
        <v>15.51</v>
      </c>
      <c r="D23" s="64">
        <v>21.68</v>
      </c>
      <c r="E23" s="64">
        <v>3.26</v>
      </c>
      <c r="F23" s="64">
        <v>2.9</v>
      </c>
      <c r="G23" s="64">
        <v>65.099999999999994</v>
      </c>
      <c r="H23" s="64">
        <v>21.81</v>
      </c>
      <c r="I23" s="64">
        <v>1.82</v>
      </c>
      <c r="J23" s="64">
        <v>0.5</v>
      </c>
      <c r="K23" s="64">
        <v>346.2</v>
      </c>
      <c r="L23" s="64">
        <v>23.35</v>
      </c>
      <c r="M23" s="64">
        <v>98.78</v>
      </c>
      <c r="N23" s="64">
        <v>9.4</v>
      </c>
      <c r="O23" s="64">
        <v>0</v>
      </c>
      <c r="P23" s="64">
        <v>0.53</v>
      </c>
      <c r="Q23" s="64">
        <v>11.7</v>
      </c>
      <c r="R23" s="198"/>
      <c r="S23" s="198"/>
      <c r="T23" s="198"/>
      <c r="U23" s="198"/>
    </row>
    <row r="24" spans="1:21" s="12" customFormat="1" x14ac:dyDescent="0.25">
      <c r="A24" s="214" t="s">
        <v>1992</v>
      </c>
      <c r="B24" s="64">
        <v>8.06</v>
      </c>
      <c r="C24" s="64">
        <v>11.28</v>
      </c>
      <c r="D24" s="64">
        <v>19.34</v>
      </c>
      <c r="E24" s="64">
        <v>3.11</v>
      </c>
      <c r="F24" s="64">
        <v>0.91</v>
      </c>
      <c r="G24" s="64">
        <v>73.16</v>
      </c>
      <c r="H24" s="64">
        <v>21.62</v>
      </c>
      <c r="I24" s="64">
        <v>1.86</v>
      </c>
      <c r="J24" s="64">
        <v>0.45</v>
      </c>
      <c r="K24" s="64">
        <v>335.95</v>
      </c>
      <c r="L24" s="64">
        <v>23.32</v>
      </c>
      <c r="M24" s="64">
        <v>98.77</v>
      </c>
      <c r="N24" s="64">
        <v>9.4</v>
      </c>
      <c r="O24" s="64">
        <v>0</v>
      </c>
      <c r="P24" s="64">
        <v>0.6</v>
      </c>
      <c r="Q24" s="64">
        <v>12.17</v>
      </c>
      <c r="R24" s="198"/>
      <c r="S24" s="198"/>
      <c r="T24" s="198"/>
      <c r="U24" s="198"/>
    </row>
    <row r="25" spans="1:21" s="12" customFormat="1" x14ac:dyDescent="0.25">
      <c r="A25" s="214" t="s">
        <v>1993</v>
      </c>
      <c r="B25" s="64">
        <v>11.14</v>
      </c>
      <c r="C25" s="64">
        <v>14.16</v>
      </c>
      <c r="D25" s="64">
        <v>25.3</v>
      </c>
      <c r="E25" s="64">
        <v>3.7</v>
      </c>
      <c r="F25" s="64">
        <v>1.98</v>
      </c>
      <c r="G25" s="64">
        <v>73.16</v>
      </c>
      <c r="H25" s="64">
        <v>21.62</v>
      </c>
      <c r="I25" s="64">
        <v>1.77</v>
      </c>
      <c r="J25" s="64">
        <v>0.15</v>
      </c>
      <c r="K25" s="64">
        <v>346.16</v>
      </c>
      <c r="L25" s="64">
        <v>23.29</v>
      </c>
      <c r="M25" s="64">
        <v>98.76</v>
      </c>
      <c r="N25" s="64">
        <v>9.5</v>
      </c>
      <c r="O25" s="64">
        <v>0</v>
      </c>
      <c r="P25" s="64">
        <v>0.54</v>
      </c>
      <c r="Q25" s="64">
        <v>11.87</v>
      </c>
      <c r="R25" s="198"/>
      <c r="S25" s="198"/>
      <c r="T25" s="198"/>
      <c r="U25" s="198"/>
    </row>
    <row r="26" spans="1:21" s="12" customFormat="1" x14ac:dyDescent="0.25">
      <c r="A26" s="214" t="s">
        <v>1994</v>
      </c>
      <c r="B26" s="64">
        <v>8.5399999999999991</v>
      </c>
      <c r="C26" s="64">
        <v>10.47</v>
      </c>
      <c r="D26" s="64">
        <v>19.02</v>
      </c>
      <c r="E26" s="64">
        <v>3.39</v>
      </c>
      <c r="F26" s="64">
        <v>1.4</v>
      </c>
      <c r="G26" s="64">
        <v>73.16</v>
      </c>
      <c r="H26" s="64">
        <v>21.62</v>
      </c>
      <c r="I26" s="64">
        <v>1.82</v>
      </c>
      <c r="J26" s="64">
        <v>0.05</v>
      </c>
      <c r="K26" s="64">
        <v>11.56</v>
      </c>
      <c r="L26" s="64">
        <v>23.32</v>
      </c>
      <c r="M26" s="64">
        <v>98.75</v>
      </c>
      <c r="N26" s="64">
        <v>9.6999999999999993</v>
      </c>
      <c r="O26" s="64">
        <v>0</v>
      </c>
      <c r="P26" s="64">
        <v>0.57999999999999996</v>
      </c>
      <c r="Q26" s="64">
        <v>10.1</v>
      </c>
      <c r="R26" s="198"/>
      <c r="S26" s="198"/>
      <c r="T26" s="198"/>
      <c r="U26" s="198"/>
    </row>
    <row r="27" spans="1:21" s="12" customFormat="1" x14ac:dyDescent="0.25">
      <c r="A27" s="214" t="s">
        <v>1995</v>
      </c>
      <c r="B27" s="64">
        <v>7.28</v>
      </c>
      <c r="C27" s="64">
        <v>11.25</v>
      </c>
      <c r="D27" s="64">
        <v>18.54</v>
      </c>
      <c r="E27" s="64">
        <v>4.3</v>
      </c>
      <c r="F27" s="64">
        <v>2.36</v>
      </c>
      <c r="G27" s="64">
        <v>66.7</v>
      </c>
      <c r="H27" s="64">
        <v>20.7</v>
      </c>
      <c r="I27" s="64">
        <v>1.72</v>
      </c>
      <c r="J27" s="64">
        <v>0.04</v>
      </c>
      <c r="K27" s="64">
        <v>110.87</v>
      </c>
      <c r="L27" s="64">
        <v>23.26</v>
      </c>
      <c r="M27" s="64">
        <v>98.76</v>
      </c>
      <c r="N27" s="64">
        <v>9.5</v>
      </c>
      <c r="O27" s="64">
        <v>0</v>
      </c>
      <c r="P27" s="64">
        <v>0.5</v>
      </c>
      <c r="Q27" s="64">
        <v>11.08</v>
      </c>
      <c r="R27" s="198"/>
      <c r="S27" s="198"/>
      <c r="T27" s="198"/>
      <c r="U27" s="198"/>
    </row>
    <row r="28" spans="1:21" s="12" customFormat="1" x14ac:dyDescent="0.25">
      <c r="A28" s="214" t="s">
        <v>1996</v>
      </c>
      <c r="B28" s="64">
        <v>7.02</v>
      </c>
      <c r="C28" s="64">
        <v>11.65</v>
      </c>
      <c r="D28" s="64">
        <v>18.670000000000002</v>
      </c>
      <c r="E28" s="64">
        <v>3.74</v>
      </c>
      <c r="F28" s="64">
        <v>1.35</v>
      </c>
      <c r="G28" s="64">
        <v>50.79</v>
      </c>
      <c r="H28" s="64">
        <v>19.190000000000001</v>
      </c>
      <c r="I28" s="64">
        <v>1.79</v>
      </c>
      <c r="J28" s="64">
        <v>0.04</v>
      </c>
      <c r="K28" s="64">
        <v>338.12</v>
      </c>
      <c r="L28" s="64">
        <v>23.33</v>
      </c>
      <c r="M28" s="64">
        <v>98.75</v>
      </c>
      <c r="N28" s="64">
        <v>9.5</v>
      </c>
      <c r="O28" s="64">
        <v>0</v>
      </c>
      <c r="P28" s="64">
        <v>0.51</v>
      </c>
      <c r="Q28" s="64">
        <v>9.2799999999999994</v>
      </c>
      <c r="R28" s="198"/>
      <c r="S28" s="198"/>
      <c r="T28" s="198"/>
      <c r="U28" s="198"/>
    </row>
    <row r="29" spans="1:21" s="12" customFormat="1" x14ac:dyDescent="0.25">
      <c r="A29" s="214" t="s">
        <v>1997</v>
      </c>
      <c r="B29" s="64">
        <v>9.16</v>
      </c>
      <c r="C29" s="64">
        <v>10.65</v>
      </c>
      <c r="D29" s="64">
        <v>19.8</v>
      </c>
      <c r="E29" s="64">
        <v>3.68</v>
      </c>
      <c r="F29" s="64">
        <v>0.86</v>
      </c>
      <c r="G29" s="64">
        <v>50.79</v>
      </c>
      <c r="H29" s="64">
        <v>19.190000000000001</v>
      </c>
      <c r="I29" s="64">
        <v>1.82</v>
      </c>
      <c r="J29" s="64">
        <v>0.17</v>
      </c>
      <c r="K29" s="64">
        <v>349.64</v>
      </c>
      <c r="L29" s="64">
        <v>23.35</v>
      </c>
      <c r="M29" s="64">
        <v>98.79</v>
      </c>
      <c r="N29" s="64">
        <v>9.5</v>
      </c>
      <c r="O29" s="64">
        <v>0</v>
      </c>
      <c r="P29" s="64">
        <v>0.55000000000000004</v>
      </c>
      <c r="Q29" s="64">
        <v>9.42</v>
      </c>
      <c r="R29" s="198"/>
      <c r="S29" s="198"/>
      <c r="T29" s="198"/>
      <c r="U29" s="198"/>
    </row>
    <row r="30" spans="1:21" s="12" customFormat="1" x14ac:dyDescent="0.25">
      <c r="A30" s="214" t="s">
        <v>1998</v>
      </c>
      <c r="B30" s="64">
        <v>12.6</v>
      </c>
      <c r="C30" s="64">
        <v>16.18</v>
      </c>
      <c r="D30" s="64">
        <v>28.78</v>
      </c>
      <c r="E30" s="64">
        <v>4.29</v>
      </c>
      <c r="F30" s="64">
        <v>1.92</v>
      </c>
      <c r="G30" s="64">
        <v>50.79</v>
      </c>
      <c r="H30" s="64">
        <v>19.190000000000001</v>
      </c>
      <c r="I30" s="64">
        <v>1.8</v>
      </c>
      <c r="J30" s="64">
        <v>0.14000000000000001</v>
      </c>
      <c r="K30" s="64">
        <v>0.49</v>
      </c>
      <c r="L30" s="64">
        <v>23.26</v>
      </c>
      <c r="M30" s="64">
        <v>98.8</v>
      </c>
      <c r="N30" s="64">
        <v>9.5</v>
      </c>
      <c r="O30" s="64">
        <v>0</v>
      </c>
      <c r="P30" s="64">
        <v>0.57999999999999996</v>
      </c>
      <c r="Q30" s="64">
        <v>9.89</v>
      </c>
      <c r="R30" s="198"/>
      <c r="S30" s="198"/>
      <c r="T30" s="198"/>
      <c r="U30" s="198"/>
    </row>
    <row r="31" spans="1:21" s="12" customFormat="1" x14ac:dyDescent="0.25">
      <c r="A31" s="214" t="s">
        <v>1999</v>
      </c>
      <c r="B31" s="64">
        <v>21.28</v>
      </c>
      <c r="C31" s="64">
        <v>29.51</v>
      </c>
      <c r="D31" s="64">
        <v>50.79</v>
      </c>
      <c r="E31" s="64">
        <v>3.67</v>
      </c>
      <c r="F31" s="64">
        <v>1.93</v>
      </c>
      <c r="G31" s="64">
        <v>50.48</v>
      </c>
      <c r="H31" s="64">
        <v>19.82</v>
      </c>
      <c r="I31" s="64">
        <v>1.79</v>
      </c>
      <c r="J31" s="64">
        <v>0.03</v>
      </c>
      <c r="K31" s="64">
        <v>324.67</v>
      </c>
      <c r="L31" s="64">
        <v>23.17</v>
      </c>
      <c r="M31" s="64">
        <v>98.79</v>
      </c>
      <c r="N31" s="64">
        <v>10.5</v>
      </c>
      <c r="O31" s="64">
        <v>0</v>
      </c>
      <c r="P31" s="64">
        <v>0.8</v>
      </c>
      <c r="Q31" s="64">
        <v>10.36</v>
      </c>
      <c r="R31" s="198"/>
      <c r="S31" s="198"/>
      <c r="T31" s="198"/>
      <c r="U31" s="198"/>
    </row>
    <row r="32" spans="1:21" s="12" customFormat="1" x14ac:dyDescent="0.25">
      <c r="A32" s="214" t="s">
        <v>2000</v>
      </c>
      <c r="B32" s="64">
        <v>22.99</v>
      </c>
      <c r="C32" s="64">
        <v>26</v>
      </c>
      <c r="D32" s="64">
        <v>48.99</v>
      </c>
      <c r="E32" s="64">
        <v>3.94</v>
      </c>
      <c r="F32" s="64">
        <v>0.42</v>
      </c>
      <c r="G32" s="64">
        <v>49.73</v>
      </c>
      <c r="H32" s="64">
        <v>22.13</v>
      </c>
      <c r="I32" s="64">
        <v>1.77</v>
      </c>
      <c r="J32" s="64">
        <v>0.14000000000000001</v>
      </c>
      <c r="K32" s="64">
        <v>341.1</v>
      </c>
      <c r="L32" s="64">
        <v>23.14</v>
      </c>
      <c r="M32" s="64">
        <v>98.8</v>
      </c>
      <c r="N32" s="64">
        <v>18.2</v>
      </c>
      <c r="O32" s="64">
        <v>0</v>
      </c>
      <c r="P32" s="64">
        <v>0.83</v>
      </c>
      <c r="Q32" s="64">
        <v>11.2</v>
      </c>
      <c r="R32" s="198"/>
      <c r="S32" s="198"/>
      <c r="T32" s="198"/>
      <c r="U32" s="198"/>
    </row>
    <row r="33" spans="1:21" s="12" customFormat="1" x14ac:dyDescent="0.25">
      <c r="A33" s="214" t="s">
        <v>2001</v>
      </c>
      <c r="B33" s="64">
        <v>18.920000000000002</v>
      </c>
      <c r="C33" s="64">
        <v>24.29</v>
      </c>
      <c r="D33" s="64">
        <v>43.21</v>
      </c>
      <c r="E33" s="64">
        <v>3.79</v>
      </c>
      <c r="F33" s="64">
        <v>0.88</v>
      </c>
      <c r="G33" s="64">
        <v>49.73</v>
      </c>
      <c r="H33" s="64">
        <v>22.13</v>
      </c>
      <c r="I33" s="64">
        <v>1.85</v>
      </c>
      <c r="J33" s="64">
        <v>0.09</v>
      </c>
      <c r="K33" s="64">
        <v>351.56</v>
      </c>
      <c r="L33" s="64">
        <v>23.43</v>
      </c>
      <c r="M33" s="64">
        <v>98.77</v>
      </c>
      <c r="N33" s="64">
        <v>38.6</v>
      </c>
      <c r="O33" s="64">
        <v>0</v>
      </c>
      <c r="P33" s="64">
        <v>0.76</v>
      </c>
      <c r="Q33" s="64">
        <v>12.47</v>
      </c>
      <c r="R33" s="198"/>
      <c r="S33" s="198"/>
      <c r="T33" s="198"/>
      <c r="U33" s="198"/>
    </row>
    <row r="34" spans="1:21" s="12" customFormat="1" x14ac:dyDescent="0.25">
      <c r="A34" s="214" t="s">
        <v>2002</v>
      </c>
      <c r="B34" s="64">
        <v>14.36</v>
      </c>
      <c r="C34" s="64">
        <v>14.41</v>
      </c>
      <c r="D34" s="64">
        <v>28.77</v>
      </c>
      <c r="E34" s="64">
        <v>5.03</v>
      </c>
      <c r="F34" s="64">
        <v>0.97</v>
      </c>
      <c r="G34" s="64">
        <v>49.73</v>
      </c>
      <c r="H34" s="64">
        <v>22.13</v>
      </c>
      <c r="I34" s="64">
        <v>1.75</v>
      </c>
      <c r="J34" s="64">
        <v>0.16</v>
      </c>
      <c r="K34" s="64">
        <v>34.56</v>
      </c>
      <c r="L34" s="64">
        <v>23.75</v>
      </c>
      <c r="M34" s="64">
        <v>98.76</v>
      </c>
      <c r="N34" s="64">
        <v>62.9</v>
      </c>
      <c r="O34" s="64">
        <v>0</v>
      </c>
      <c r="P34" s="64">
        <v>0.63</v>
      </c>
      <c r="Q34" s="64">
        <v>12.39</v>
      </c>
      <c r="R34" s="198"/>
      <c r="S34" s="198"/>
      <c r="T34" s="198"/>
      <c r="U34" s="198"/>
    </row>
    <row r="35" spans="1:21" s="12" customFormat="1" x14ac:dyDescent="0.25">
      <c r="A35" s="214" t="s">
        <v>2003</v>
      </c>
      <c r="B35" s="64">
        <v>16.350000000000001</v>
      </c>
      <c r="C35" s="64">
        <v>15.9</v>
      </c>
      <c r="D35" s="64">
        <v>32.26</v>
      </c>
      <c r="E35" s="64">
        <v>3.84</v>
      </c>
      <c r="F35" s="64">
        <v>0.77</v>
      </c>
      <c r="G35" s="64">
        <v>55.89</v>
      </c>
      <c r="H35" s="64">
        <v>24.29</v>
      </c>
      <c r="I35" s="64">
        <v>1.92</v>
      </c>
      <c r="J35" s="64">
        <v>0.09</v>
      </c>
      <c r="K35" s="64">
        <v>346</v>
      </c>
      <c r="L35" s="64">
        <v>23.85</v>
      </c>
      <c r="M35" s="64">
        <v>98.73</v>
      </c>
      <c r="N35" s="64">
        <v>97.6</v>
      </c>
      <c r="O35" s="64">
        <v>0</v>
      </c>
      <c r="P35" s="64">
        <v>0.64</v>
      </c>
      <c r="Q35" s="64">
        <v>12.69</v>
      </c>
      <c r="R35" s="198"/>
      <c r="S35" s="198"/>
      <c r="T35" s="198"/>
      <c r="U35" s="198"/>
    </row>
    <row r="36" spans="1:21" s="12" customFormat="1" x14ac:dyDescent="0.25">
      <c r="A36" s="214" t="s">
        <v>2004</v>
      </c>
      <c r="B36" s="64">
        <v>13.69</v>
      </c>
      <c r="C36" s="64">
        <v>10.68</v>
      </c>
      <c r="D36" s="64">
        <v>24.37</v>
      </c>
      <c r="E36" s="64">
        <v>3.99</v>
      </c>
      <c r="F36" s="64">
        <v>0.82</v>
      </c>
      <c r="G36" s="64">
        <v>71.06</v>
      </c>
      <c r="H36" s="64">
        <v>27.83</v>
      </c>
      <c r="I36" s="64">
        <v>1.85</v>
      </c>
      <c r="J36" s="64">
        <v>0.26</v>
      </c>
      <c r="K36" s="64">
        <v>340.22</v>
      </c>
      <c r="L36" s="64">
        <v>25.25</v>
      </c>
      <c r="M36" s="64">
        <v>93.43</v>
      </c>
      <c r="N36" s="64">
        <v>149.19999999999999</v>
      </c>
      <c r="O36" s="64">
        <v>0</v>
      </c>
      <c r="P36" s="64">
        <v>0.65</v>
      </c>
      <c r="Q36" s="64">
        <v>12.81</v>
      </c>
      <c r="R36" s="198"/>
      <c r="S36" s="198"/>
      <c r="T36" s="198"/>
      <c r="U36" s="198"/>
    </row>
    <row r="37" spans="1:21" s="12" customFormat="1" x14ac:dyDescent="0.25">
      <c r="A37" s="214" t="s">
        <v>2005</v>
      </c>
      <c r="B37" s="64">
        <v>15.1</v>
      </c>
      <c r="C37" s="64">
        <v>11.44</v>
      </c>
      <c r="D37" s="64">
        <v>26.53</v>
      </c>
      <c r="E37" s="64">
        <v>4.41</v>
      </c>
      <c r="F37" s="64">
        <v>0.36</v>
      </c>
      <c r="G37" s="64">
        <v>71.06</v>
      </c>
      <c r="H37" s="64">
        <v>27.83</v>
      </c>
      <c r="I37" s="64">
        <v>1.86</v>
      </c>
      <c r="J37" s="64">
        <v>0.17</v>
      </c>
      <c r="K37" s="64">
        <v>342.25</v>
      </c>
      <c r="L37" s="64">
        <v>25.47</v>
      </c>
      <c r="M37" s="64">
        <v>91.87</v>
      </c>
      <c r="N37" s="64">
        <v>186.6</v>
      </c>
      <c r="O37" s="64">
        <v>0</v>
      </c>
      <c r="P37" s="64">
        <v>0.64</v>
      </c>
      <c r="Q37" s="64">
        <v>13.54</v>
      </c>
      <c r="R37" s="198"/>
      <c r="S37" s="198"/>
      <c r="T37" s="198"/>
      <c r="U37" s="198"/>
    </row>
    <row r="38" spans="1:21" s="12" customFormat="1" x14ac:dyDescent="0.25">
      <c r="A38" s="214" t="s">
        <v>2006</v>
      </c>
      <c r="B38" s="64">
        <v>15.47</v>
      </c>
      <c r="C38" s="64">
        <v>11.15</v>
      </c>
      <c r="D38" s="64">
        <v>26.61</v>
      </c>
      <c r="E38" s="64">
        <v>4.83</v>
      </c>
      <c r="F38" s="64">
        <v>0.66</v>
      </c>
      <c r="G38" s="64">
        <v>71.06</v>
      </c>
      <c r="H38" s="64">
        <v>27.83</v>
      </c>
      <c r="I38" s="64">
        <v>1.77</v>
      </c>
      <c r="J38" s="64">
        <v>0.14000000000000001</v>
      </c>
      <c r="K38" s="64">
        <v>346.64</v>
      </c>
      <c r="L38" s="64">
        <v>26.28</v>
      </c>
      <c r="M38" s="64">
        <v>87.63</v>
      </c>
      <c r="N38" s="64">
        <v>192.4</v>
      </c>
      <c r="O38" s="64">
        <v>0</v>
      </c>
      <c r="P38" s="64">
        <v>0.66</v>
      </c>
      <c r="Q38" s="64">
        <v>12.1</v>
      </c>
      <c r="R38" s="198"/>
      <c r="S38" s="198"/>
      <c r="T38" s="198"/>
      <c r="U38" s="198"/>
    </row>
    <row r="39" spans="1:21" s="12" customFormat="1" x14ac:dyDescent="0.25">
      <c r="A39" s="214" t="s">
        <v>2007</v>
      </c>
      <c r="B39" s="64">
        <v>15.81</v>
      </c>
      <c r="C39" s="64">
        <v>11.03</v>
      </c>
      <c r="D39" s="64">
        <v>26.84</v>
      </c>
      <c r="E39" s="64">
        <v>4.7300000000000004</v>
      </c>
      <c r="F39" s="64">
        <v>0.41</v>
      </c>
      <c r="G39" s="64">
        <v>79.260000000000005</v>
      </c>
      <c r="H39" s="64">
        <v>28.48</v>
      </c>
      <c r="I39" s="64">
        <v>1.78</v>
      </c>
      <c r="J39" s="64">
        <v>0.18</v>
      </c>
      <c r="K39" s="64">
        <v>358</v>
      </c>
      <c r="L39" s="64">
        <v>27.08</v>
      </c>
      <c r="M39" s="64">
        <v>84.37</v>
      </c>
      <c r="N39" s="64">
        <v>280.5</v>
      </c>
      <c r="O39" s="64">
        <v>0</v>
      </c>
      <c r="P39" s="64">
        <v>0.68</v>
      </c>
      <c r="Q39" s="64">
        <v>12.92</v>
      </c>
      <c r="R39" s="198"/>
      <c r="S39" s="198"/>
      <c r="T39" s="198"/>
      <c r="U39" s="198"/>
    </row>
    <row r="40" spans="1:21" s="12" customFormat="1" x14ac:dyDescent="0.25">
      <c r="A40" s="214" t="s">
        <v>2008</v>
      </c>
      <c r="B40" s="64">
        <v>18.02</v>
      </c>
      <c r="C40" s="64">
        <v>13.73</v>
      </c>
      <c r="D40" s="64">
        <v>31.75</v>
      </c>
      <c r="E40" s="64">
        <v>3.41</v>
      </c>
      <c r="F40" s="64">
        <v>0.64</v>
      </c>
      <c r="G40" s="64">
        <v>99.46</v>
      </c>
      <c r="H40" s="64">
        <v>29.57</v>
      </c>
      <c r="I40" s="64">
        <v>1.81</v>
      </c>
      <c r="J40" s="64">
        <v>0.38</v>
      </c>
      <c r="K40" s="64">
        <v>329.57</v>
      </c>
      <c r="L40" s="64">
        <v>29.63</v>
      </c>
      <c r="M40" s="64">
        <v>71.34</v>
      </c>
      <c r="N40" s="64">
        <v>410.7</v>
      </c>
      <c r="O40" s="64">
        <v>0</v>
      </c>
      <c r="P40" s="64">
        <v>0.68</v>
      </c>
      <c r="Q40" s="64">
        <v>12.18</v>
      </c>
      <c r="R40" s="198"/>
      <c r="S40" s="198"/>
      <c r="T40" s="198"/>
      <c r="U40" s="198"/>
    </row>
    <row r="41" spans="1:21" s="12" customFormat="1" x14ac:dyDescent="0.25">
      <c r="A41" s="214" t="s">
        <v>2009</v>
      </c>
      <c r="B41" s="64">
        <v>16.440000000000001</v>
      </c>
      <c r="C41" s="64">
        <v>11.66</v>
      </c>
      <c r="D41" s="64">
        <v>28.1</v>
      </c>
      <c r="E41" s="64">
        <v>3.96</v>
      </c>
      <c r="F41" s="64">
        <v>0.87</v>
      </c>
      <c r="G41" s="64">
        <v>99.46</v>
      </c>
      <c r="H41" s="64">
        <v>29.57</v>
      </c>
      <c r="I41" s="64">
        <v>1.79</v>
      </c>
      <c r="J41" s="64">
        <v>0.27</v>
      </c>
      <c r="K41" s="64">
        <v>348.35</v>
      </c>
      <c r="L41" s="64">
        <v>30.15</v>
      </c>
      <c r="M41" s="64">
        <v>68.040000000000006</v>
      </c>
      <c r="N41" s="64">
        <v>473.2</v>
      </c>
      <c r="O41" s="64">
        <v>0</v>
      </c>
      <c r="P41" s="64">
        <v>0.69</v>
      </c>
      <c r="Q41" s="64">
        <v>11.73</v>
      </c>
      <c r="R41" s="198"/>
      <c r="S41" s="198"/>
      <c r="T41" s="198"/>
      <c r="U41" s="198"/>
    </row>
    <row r="42" spans="1:21" s="12" customFormat="1" x14ac:dyDescent="0.25">
      <c r="A42" s="214" t="s">
        <v>2010</v>
      </c>
      <c r="B42" s="64">
        <v>14.88</v>
      </c>
      <c r="C42" s="64">
        <v>11.99</v>
      </c>
      <c r="D42" s="64">
        <v>26.87</v>
      </c>
      <c r="E42" s="64">
        <v>4.33</v>
      </c>
      <c r="F42" s="64">
        <v>0.62</v>
      </c>
      <c r="G42" s="64">
        <v>99.46</v>
      </c>
      <c r="H42" s="64">
        <v>29.57</v>
      </c>
      <c r="I42" s="64">
        <v>1.82</v>
      </c>
      <c r="J42" s="64">
        <v>0.32</v>
      </c>
      <c r="K42" s="64">
        <v>347.11</v>
      </c>
      <c r="L42" s="64">
        <v>31.5</v>
      </c>
      <c r="M42" s="64">
        <v>62.46</v>
      </c>
      <c r="N42" s="64">
        <v>544.6</v>
      </c>
      <c r="O42" s="64">
        <v>0</v>
      </c>
      <c r="P42" s="64">
        <v>0.65</v>
      </c>
      <c r="Q42" s="64">
        <v>12.11</v>
      </c>
      <c r="R42" s="198"/>
      <c r="S42" s="198"/>
      <c r="T42" s="198"/>
      <c r="U42" s="198"/>
    </row>
    <row r="43" spans="1:21" s="12" customFormat="1" x14ac:dyDescent="0.25">
      <c r="A43" s="214" t="s">
        <v>2011</v>
      </c>
      <c r="B43" s="64">
        <v>14.32</v>
      </c>
      <c r="C43" s="64">
        <v>13.62</v>
      </c>
      <c r="D43" s="64">
        <v>27.94</v>
      </c>
      <c r="E43" s="64">
        <v>3.88</v>
      </c>
      <c r="F43" s="64">
        <v>2.67</v>
      </c>
      <c r="G43" s="64">
        <v>91.97</v>
      </c>
      <c r="H43" s="64">
        <v>27.79</v>
      </c>
      <c r="I43" s="64">
        <v>1.8</v>
      </c>
      <c r="J43" s="64">
        <v>0.35</v>
      </c>
      <c r="K43" s="64">
        <v>339.85</v>
      </c>
      <c r="L43" s="64">
        <v>31.58</v>
      </c>
      <c r="M43" s="64">
        <v>62.32</v>
      </c>
      <c r="N43" s="64">
        <v>580.5</v>
      </c>
      <c r="O43" s="64">
        <v>0</v>
      </c>
      <c r="P43" s="64">
        <v>0.6</v>
      </c>
      <c r="Q43" s="64">
        <v>11.09</v>
      </c>
      <c r="R43" s="198"/>
      <c r="S43" s="198"/>
      <c r="T43" s="198"/>
      <c r="U43" s="198"/>
    </row>
    <row r="44" spans="1:21" s="12" customFormat="1" x14ac:dyDescent="0.25">
      <c r="A44" s="214" t="s">
        <v>2012</v>
      </c>
      <c r="B44" s="64">
        <v>13.72</v>
      </c>
      <c r="C44" s="64">
        <v>14.09</v>
      </c>
      <c r="D44" s="64">
        <v>27.81</v>
      </c>
      <c r="E44" s="64">
        <v>3.95</v>
      </c>
      <c r="F44" s="64">
        <v>2.64</v>
      </c>
      <c r="G44" s="64">
        <v>73.53</v>
      </c>
      <c r="H44" s="64">
        <v>24.86</v>
      </c>
      <c r="I44" s="64">
        <v>1.76</v>
      </c>
      <c r="J44" s="64">
        <v>0.47</v>
      </c>
      <c r="K44" s="64">
        <v>322.8</v>
      </c>
      <c r="L44" s="64">
        <v>32.83</v>
      </c>
      <c r="M44" s="64">
        <v>57.72</v>
      </c>
      <c r="N44" s="64">
        <v>642.20000000000005</v>
      </c>
      <c r="O44" s="64">
        <v>0</v>
      </c>
      <c r="P44" s="64">
        <v>0.61</v>
      </c>
      <c r="Q44" s="64">
        <v>9.44</v>
      </c>
      <c r="R44" s="198"/>
      <c r="S44" s="198"/>
      <c r="T44" s="198"/>
      <c r="U44" s="198"/>
    </row>
    <row r="45" spans="1:21" s="12" customFormat="1" x14ac:dyDescent="0.25">
      <c r="A45" s="214" t="s">
        <v>2013</v>
      </c>
      <c r="B45" s="64">
        <v>11.98</v>
      </c>
      <c r="C45" s="64">
        <v>13.6</v>
      </c>
      <c r="D45" s="64">
        <v>25.58</v>
      </c>
      <c r="E45" s="64">
        <v>3.53</v>
      </c>
      <c r="F45" s="64">
        <v>1.66</v>
      </c>
      <c r="G45" s="64">
        <v>73.53</v>
      </c>
      <c r="H45" s="64">
        <v>24.86</v>
      </c>
      <c r="I45" s="64">
        <v>1.82</v>
      </c>
      <c r="J45" s="64">
        <v>0.61</v>
      </c>
      <c r="K45" s="64">
        <v>331.38</v>
      </c>
      <c r="L45" s="64">
        <v>33.17</v>
      </c>
      <c r="M45" s="64">
        <v>56.9</v>
      </c>
      <c r="N45" s="64">
        <v>699</v>
      </c>
      <c r="O45" s="64">
        <v>0</v>
      </c>
      <c r="P45" s="64">
        <v>0.59</v>
      </c>
      <c r="Q45" s="64">
        <v>12.08</v>
      </c>
      <c r="R45" s="198"/>
      <c r="S45" s="198"/>
      <c r="T45" s="198"/>
      <c r="U45" s="198"/>
    </row>
    <row r="46" spans="1:21" s="12" customFormat="1" x14ac:dyDescent="0.25">
      <c r="A46" s="214" t="s">
        <v>2014</v>
      </c>
      <c r="B46" s="64">
        <v>11.13</v>
      </c>
      <c r="C46" s="64">
        <v>13.3</v>
      </c>
      <c r="D46" s="64">
        <v>24.43</v>
      </c>
      <c r="E46" s="64">
        <v>4.91</v>
      </c>
      <c r="F46" s="64">
        <v>2.82</v>
      </c>
      <c r="G46" s="64">
        <v>73.53</v>
      </c>
      <c r="H46" s="64">
        <v>24.86</v>
      </c>
      <c r="I46" s="64">
        <v>1.85</v>
      </c>
      <c r="J46" s="64">
        <v>0.98</v>
      </c>
      <c r="K46" s="64">
        <v>324.37</v>
      </c>
      <c r="L46" s="64">
        <v>34.08</v>
      </c>
      <c r="M46" s="64">
        <v>54.53</v>
      </c>
      <c r="N46" s="64">
        <v>742.4</v>
      </c>
      <c r="O46" s="64">
        <v>0</v>
      </c>
      <c r="P46" s="64">
        <v>0.57999999999999996</v>
      </c>
      <c r="Q46" s="64">
        <v>9.7899999999999991</v>
      </c>
      <c r="R46" s="198"/>
      <c r="S46" s="198"/>
      <c r="T46" s="198"/>
      <c r="U46" s="198"/>
    </row>
    <row r="47" spans="1:21" s="12" customFormat="1" x14ac:dyDescent="0.25">
      <c r="A47" s="214" t="s">
        <v>2015</v>
      </c>
      <c r="B47" s="64">
        <v>10.220000000000001</v>
      </c>
      <c r="C47" s="64">
        <v>12.74</v>
      </c>
      <c r="D47" s="64">
        <v>22.96</v>
      </c>
      <c r="E47" s="64">
        <v>4.37</v>
      </c>
      <c r="F47" s="64">
        <v>2.4300000000000002</v>
      </c>
      <c r="G47" s="64">
        <v>65.3</v>
      </c>
      <c r="H47" s="64">
        <v>23.78</v>
      </c>
      <c r="I47" s="64">
        <v>1.77</v>
      </c>
      <c r="J47" s="64">
        <v>0.83</v>
      </c>
      <c r="K47" s="64">
        <v>328.54</v>
      </c>
      <c r="L47" s="64">
        <v>34.57</v>
      </c>
      <c r="M47" s="64">
        <v>52.74</v>
      </c>
      <c r="N47" s="64">
        <v>782.4</v>
      </c>
      <c r="O47" s="64">
        <v>0</v>
      </c>
      <c r="P47" s="64">
        <v>0.57999999999999996</v>
      </c>
      <c r="Q47" s="64">
        <v>6.85</v>
      </c>
      <c r="R47" s="198"/>
      <c r="S47" s="198"/>
      <c r="T47" s="198"/>
      <c r="U47" s="198"/>
    </row>
    <row r="48" spans="1:21" s="12" customFormat="1" x14ac:dyDescent="0.25">
      <c r="A48" s="214" t="s">
        <v>2016</v>
      </c>
      <c r="B48" s="64">
        <v>9.15</v>
      </c>
      <c r="C48" s="64">
        <v>13.01</v>
      </c>
      <c r="D48" s="64">
        <v>22.16</v>
      </c>
      <c r="E48" s="64">
        <v>4.04</v>
      </c>
      <c r="F48" s="64">
        <v>0.9</v>
      </c>
      <c r="G48" s="64">
        <v>45.04</v>
      </c>
      <c r="H48" s="64">
        <v>22.07</v>
      </c>
      <c r="I48" s="64">
        <v>1.79</v>
      </c>
      <c r="J48" s="64">
        <v>1.03</v>
      </c>
      <c r="K48" s="64">
        <v>321.70999999999998</v>
      </c>
      <c r="L48" s="64">
        <v>34.31</v>
      </c>
      <c r="M48" s="64">
        <v>53.03</v>
      </c>
      <c r="N48" s="64">
        <v>767.9</v>
      </c>
      <c r="O48" s="64">
        <v>0</v>
      </c>
      <c r="P48" s="64">
        <v>0.56000000000000005</v>
      </c>
      <c r="Q48" s="64">
        <v>6.77</v>
      </c>
      <c r="R48" s="198"/>
      <c r="S48" s="198"/>
      <c r="T48" s="198"/>
      <c r="U48" s="198"/>
    </row>
    <row r="49" spans="1:21" s="12" customFormat="1" x14ac:dyDescent="0.25">
      <c r="A49" s="214" t="s">
        <v>2017</v>
      </c>
      <c r="B49" s="64">
        <v>8.15</v>
      </c>
      <c r="C49" s="64">
        <v>13.14</v>
      </c>
      <c r="D49" s="64">
        <v>21.29</v>
      </c>
      <c r="E49" s="64">
        <v>4.91</v>
      </c>
      <c r="F49" s="64">
        <v>1.39</v>
      </c>
      <c r="G49" s="64">
        <v>45.04</v>
      </c>
      <c r="H49" s="64">
        <v>22.07</v>
      </c>
      <c r="I49" s="64">
        <v>1.74</v>
      </c>
      <c r="J49" s="64">
        <v>1.25</v>
      </c>
      <c r="K49" s="64">
        <v>327.12</v>
      </c>
      <c r="L49" s="64">
        <v>34</v>
      </c>
      <c r="M49" s="64">
        <v>53.41</v>
      </c>
      <c r="N49" s="64">
        <v>848.8</v>
      </c>
      <c r="O49" s="64">
        <v>0</v>
      </c>
      <c r="P49" s="64">
        <v>0.55000000000000004</v>
      </c>
      <c r="Q49" s="64">
        <v>5.4</v>
      </c>
      <c r="R49" s="198"/>
      <c r="S49" s="198"/>
      <c r="T49" s="198"/>
      <c r="U49" s="198"/>
    </row>
    <row r="50" spans="1:21" s="12" customFormat="1" x14ac:dyDescent="0.25">
      <c r="A50" s="214" t="s">
        <v>2018</v>
      </c>
      <c r="B50" s="64">
        <v>7.57</v>
      </c>
      <c r="C50" s="64">
        <v>13.14</v>
      </c>
      <c r="D50" s="64">
        <v>20.71</v>
      </c>
      <c r="E50" s="64">
        <v>4.9400000000000004</v>
      </c>
      <c r="F50" s="64">
        <v>1.8</v>
      </c>
      <c r="G50" s="64">
        <v>45.04</v>
      </c>
      <c r="H50" s="64">
        <v>22.07</v>
      </c>
      <c r="I50" s="64">
        <v>1.86</v>
      </c>
      <c r="J50" s="64">
        <v>1.05</v>
      </c>
      <c r="K50" s="64">
        <v>322.08999999999997</v>
      </c>
      <c r="L50" s="64">
        <v>34.479999999999997</v>
      </c>
      <c r="M50" s="64">
        <v>52.55</v>
      </c>
      <c r="N50" s="64">
        <v>850.4</v>
      </c>
      <c r="O50" s="64">
        <v>0</v>
      </c>
      <c r="P50" s="64">
        <v>0.54</v>
      </c>
      <c r="Q50" s="64">
        <v>3.89</v>
      </c>
      <c r="R50" s="198"/>
      <c r="S50" s="198"/>
      <c r="T50" s="198"/>
      <c r="U50" s="198"/>
    </row>
    <row r="51" spans="1:21" s="12" customFormat="1" x14ac:dyDescent="0.25">
      <c r="A51" s="214" t="s">
        <v>2019</v>
      </c>
      <c r="B51" s="64">
        <v>7.4</v>
      </c>
      <c r="C51" s="64">
        <v>15.55</v>
      </c>
      <c r="D51" s="64">
        <v>22.95</v>
      </c>
      <c r="E51" s="64">
        <v>4.42</v>
      </c>
      <c r="F51" s="64">
        <v>2.63</v>
      </c>
      <c r="G51" s="64">
        <v>37.22</v>
      </c>
      <c r="H51" s="64">
        <v>19.600000000000001</v>
      </c>
      <c r="I51" s="64">
        <v>1.85</v>
      </c>
      <c r="J51" s="64">
        <v>1.04</v>
      </c>
      <c r="K51" s="64">
        <v>328.32</v>
      </c>
      <c r="L51" s="64">
        <v>34.1</v>
      </c>
      <c r="M51" s="64">
        <v>53.57</v>
      </c>
      <c r="N51" s="64">
        <v>813.8</v>
      </c>
      <c r="O51" s="64">
        <v>0</v>
      </c>
      <c r="P51" s="64">
        <v>0.53</v>
      </c>
      <c r="Q51" s="64">
        <v>4.21</v>
      </c>
      <c r="R51" s="198"/>
      <c r="S51" s="198"/>
      <c r="T51" s="198"/>
      <c r="U51" s="198"/>
    </row>
    <row r="52" spans="1:21" s="12" customFormat="1" x14ac:dyDescent="0.25">
      <c r="A52" s="214" t="s">
        <v>2020</v>
      </c>
      <c r="B52" s="64">
        <v>6.35</v>
      </c>
      <c r="C52" s="64">
        <v>15.45</v>
      </c>
      <c r="D52" s="64">
        <v>21.8</v>
      </c>
      <c r="E52" s="64">
        <v>4.79</v>
      </c>
      <c r="F52" s="64">
        <v>2.39</v>
      </c>
      <c r="G52" s="64">
        <v>17.97</v>
      </c>
      <c r="H52" s="64">
        <v>15.72</v>
      </c>
      <c r="I52" s="64">
        <v>1.81</v>
      </c>
      <c r="J52" s="64">
        <v>0.82</v>
      </c>
      <c r="K52" s="64">
        <v>321.08</v>
      </c>
      <c r="L52" s="64">
        <v>34.380000000000003</v>
      </c>
      <c r="M52" s="64">
        <v>53.03</v>
      </c>
      <c r="N52" s="64">
        <v>771.2</v>
      </c>
      <c r="O52" s="64">
        <v>0</v>
      </c>
      <c r="P52" s="64">
        <v>0.5</v>
      </c>
      <c r="Q52" s="64">
        <v>3.89</v>
      </c>
      <c r="R52" s="198"/>
      <c r="S52" s="198"/>
      <c r="T52" s="198"/>
      <c r="U52" s="198"/>
    </row>
    <row r="53" spans="1:21" s="12" customFormat="1" x14ac:dyDescent="0.25">
      <c r="A53" s="214" t="s">
        <v>2021</v>
      </c>
      <c r="B53" s="64">
        <v>5.26</v>
      </c>
      <c r="C53" s="64">
        <v>14.66</v>
      </c>
      <c r="D53" s="64">
        <v>19.920000000000002</v>
      </c>
      <c r="E53" s="64">
        <v>4.9400000000000004</v>
      </c>
      <c r="F53" s="64">
        <v>2.09</v>
      </c>
      <c r="G53" s="64">
        <v>17.97</v>
      </c>
      <c r="H53" s="64">
        <v>15.72</v>
      </c>
      <c r="I53" s="64">
        <v>1.71</v>
      </c>
      <c r="J53" s="64">
        <v>0.7</v>
      </c>
      <c r="K53" s="64">
        <v>318.70999999999998</v>
      </c>
      <c r="L53" s="64">
        <v>33.840000000000003</v>
      </c>
      <c r="M53" s="64">
        <v>54.44</v>
      </c>
      <c r="N53" s="64">
        <v>873.8</v>
      </c>
      <c r="O53" s="64">
        <v>0</v>
      </c>
      <c r="P53" s="64">
        <v>0.49</v>
      </c>
      <c r="Q53" s="64">
        <v>3.32</v>
      </c>
      <c r="R53" s="198"/>
      <c r="S53" s="198"/>
      <c r="T53" s="198"/>
      <c r="U53" s="198"/>
    </row>
    <row r="54" spans="1:21" s="12" customFormat="1" x14ac:dyDescent="0.25">
      <c r="A54" s="214" t="s">
        <v>2022</v>
      </c>
      <c r="B54" s="64">
        <v>5.35</v>
      </c>
      <c r="C54" s="64">
        <v>18.579999999999998</v>
      </c>
      <c r="D54" s="64">
        <v>23.93</v>
      </c>
      <c r="E54" s="64">
        <v>4.6399999999999997</v>
      </c>
      <c r="F54" s="64">
        <v>4.05</v>
      </c>
      <c r="G54" s="64">
        <v>17.97</v>
      </c>
      <c r="H54" s="64">
        <v>15.72</v>
      </c>
      <c r="I54" s="64">
        <v>1.79</v>
      </c>
      <c r="J54" s="64">
        <v>0.81</v>
      </c>
      <c r="K54" s="64">
        <v>327.08</v>
      </c>
      <c r="L54" s="64">
        <v>33.880000000000003</v>
      </c>
      <c r="M54" s="64">
        <v>54.09</v>
      </c>
      <c r="N54" s="64">
        <v>814.1</v>
      </c>
      <c r="O54" s="64">
        <v>0</v>
      </c>
      <c r="P54" s="64">
        <v>0.5</v>
      </c>
      <c r="Q54" s="64">
        <v>3.64</v>
      </c>
      <c r="R54" s="198"/>
      <c r="S54" s="198"/>
      <c r="T54" s="198"/>
      <c r="U54" s="198"/>
    </row>
    <row r="55" spans="1:21" s="12" customFormat="1" x14ac:dyDescent="0.25">
      <c r="A55" s="214" t="s">
        <v>2023</v>
      </c>
      <c r="B55" s="64">
        <v>5.45</v>
      </c>
      <c r="C55" s="64">
        <v>17.43</v>
      </c>
      <c r="D55" s="64">
        <v>22.88</v>
      </c>
      <c r="E55" s="64">
        <v>4.46</v>
      </c>
      <c r="F55" s="64">
        <v>4.1399999999999997</v>
      </c>
      <c r="G55" s="64">
        <v>26.8</v>
      </c>
      <c r="H55" s="64">
        <v>15.73</v>
      </c>
      <c r="I55" s="64">
        <v>1.84</v>
      </c>
      <c r="J55" s="64">
        <v>0.75</v>
      </c>
      <c r="K55" s="64">
        <v>333.26</v>
      </c>
      <c r="L55" s="64">
        <v>33.159999999999997</v>
      </c>
      <c r="M55" s="64">
        <v>54.53</v>
      </c>
      <c r="N55" s="64">
        <v>382.9</v>
      </c>
      <c r="O55" s="64">
        <v>0</v>
      </c>
      <c r="P55" s="64">
        <v>0.49</v>
      </c>
      <c r="Q55" s="64">
        <v>4.54</v>
      </c>
      <c r="R55" s="198"/>
      <c r="S55" s="198"/>
      <c r="T55" s="198"/>
      <c r="U55" s="198"/>
    </row>
    <row r="56" spans="1:21" s="12" customFormat="1" x14ac:dyDescent="0.25">
      <c r="A56" s="214" t="s">
        <v>2024</v>
      </c>
      <c r="B56" s="64">
        <v>5.15</v>
      </c>
      <c r="C56" s="64">
        <v>15.78</v>
      </c>
      <c r="D56" s="64">
        <v>20.93</v>
      </c>
      <c r="E56" s="64">
        <v>4.47</v>
      </c>
      <c r="F56" s="64">
        <v>4.46</v>
      </c>
      <c r="G56" s="64">
        <v>48.55</v>
      </c>
      <c r="H56" s="64">
        <v>15.78</v>
      </c>
      <c r="I56" s="64">
        <v>1.74</v>
      </c>
      <c r="J56" s="64">
        <v>0.9</v>
      </c>
      <c r="K56" s="64">
        <v>319.76</v>
      </c>
      <c r="L56" s="64">
        <v>33.14</v>
      </c>
      <c r="M56" s="64">
        <v>56.22</v>
      </c>
      <c r="N56" s="64">
        <v>580.70000000000005</v>
      </c>
      <c r="O56" s="64">
        <v>0</v>
      </c>
      <c r="P56" s="64">
        <v>0.47</v>
      </c>
      <c r="Q56" s="64">
        <v>3.78</v>
      </c>
      <c r="R56" s="198"/>
      <c r="S56" s="198"/>
      <c r="T56" s="198"/>
      <c r="U56" s="198"/>
    </row>
    <row r="57" spans="1:21" s="12" customFormat="1" x14ac:dyDescent="0.25">
      <c r="A57" s="214" t="s">
        <v>2025</v>
      </c>
      <c r="B57" s="64">
        <v>7.81</v>
      </c>
      <c r="C57" s="64">
        <v>13.49</v>
      </c>
      <c r="D57" s="64">
        <v>21.3</v>
      </c>
      <c r="E57" s="64">
        <v>5.23</v>
      </c>
      <c r="F57" s="64">
        <v>3.53</v>
      </c>
      <c r="G57" s="64">
        <v>48.55</v>
      </c>
      <c r="H57" s="64">
        <v>15.78</v>
      </c>
      <c r="I57" s="64">
        <v>1.84</v>
      </c>
      <c r="J57" s="64">
        <v>1.01</v>
      </c>
      <c r="K57" s="64">
        <v>325.27</v>
      </c>
      <c r="L57" s="64">
        <v>32.19</v>
      </c>
      <c r="M57" s="64">
        <v>58.23</v>
      </c>
      <c r="N57" s="64">
        <v>331.5</v>
      </c>
      <c r="O57" s="64">
        <v>0</v>
      </c>
      <c r="P57" s="64">
        <v>0.48</v>
      </c>
      <c r="Q57" s="64">
        <v>2.99</v>
      </c>
      <c r="R57" s="198"/>
      <c r="S57" s="198"/>
      <c r="T57" s="198"/>
      <c r="U57" s="198"/>
    </row>
    <row r="58" spans="1:21" s="12" customFormat="1" x14ac:dyDescent="0.25">
      <c r="A58" s="214" t="s">
        <v>2026</v>
      </c>
      <c r="B58" s="64">
        <v>7.12</v>
      </c>
      <c r="C58" s="64">
        <v>11.85</v>
      </c>
      <c r="D58" s="64">
        <v>18.97</v>
      </c>
      <c r="E58" s="64">
        <v>5.3</v>
      </c>
      <c r="F58" s="64">
        <v>4.03</v>
      </c>
      <c r="G58" s="64">
        <v>48.55</v>
      </c>
      <c r="H58" s="64">
        <v>15.78</v>
      </c>
      <c r="I58" s="64">
        <v>1.79</v>
      </c>
      <c r="J58" s="64">
        <v>1.32</v>
      </c>
      <c r="K58" s="64">
        <v>327.49</v>
      </c>
      <c r="L58" s="64">
        <v>31.98</v>
      </c>
      <c r="M58" s="64">
        <v>59.09</v>
      </c>
      <c r="N58" s="64">
        <v>712.9</v>
      </c>
      <c r="O58" s="64">
        <v>0</v>
      </c>
      <c r="P58" s="64">
        <v>0.48</v>
      </c>
      <c r="Q58" s="64">
        <v>2.79</v>
      </c>
      <c r="R58" s="198"/>
      <c r="S58" s="198"/>
      <c r="T58" s="198"/>
      <c r="U58" s="198"/>
    </row>
    <row r="59" spans="1:21" s="12" customFormat="1" x14ac:dyDescent="0.25">
      <c r="A59" s="214" t="s">
        <v>2027</v>
      </c>
      <c r="B59" s="64">
        <v>5.39</v>
      </c>
      <c r="C59" s="64">
        <v>12.84</v>
      </c>
      <c r="D59" s="64">
        <v>18.23</v>
      </c>
      <c r="E59" s="64">
        <v>4.62</v>
      </c>
      <c r="F59" s="64">
        <v>3.36</v>
      </c>
      <c r="G59" s="64">
        <v>46.45</v>
      </c>
      <c r="H59" s="64">
        <v>16.149999999999999</v>
      </c>
      <c r="I59" s="64">
        <v>1.81</v>
      </c>
      <c r="J59" s="64">
        <v>0.97</v>
      </c>
      <c r="K59" s="64">
        <v>323.41000000000003</v>
      </c>
      <c r="L59" s="64">
        <v>33.159999999999997</v>
      </c>
      <c r="M59" s="64">
        <v>56.29</v>
      </c>
      <c r="N59" s="64">
        <v>772.3</v>
      </c>
      <c r="O59" s="64">
        <v>0</v>
      </c>
      <c r="P59" s="64">
        <v>0.48</v>
      </c>
      <c r="Q59" s="64">
        <v>3.76</v>
      </c>
      <c r="R59" s="198"/>
      <c r="S59" s="198"/>
      <c r="T59" s="198"/>
      <c r="U59" s="198"/>
    </row>
    <row r="60" spans="1:21" s="12" customFormat="1" x14ac:dyDescent="0.25">
      <c r="A60" s="214" t="s">
        <v>2028</v>
      </c>
      <c r="B60" s="64">
        <v>4.6900000000000004</v>
      </c>
      <c r="C60" s="64">
        <v>14.16</v>
      </c>
      <c r="D60" s="64">
        <v>18.850000000000001</v>
      </c>
      <c r="E60" s="64">
        <v>4.83</v>
      </c>
      <c r="F60" s="64">
        <v>3.84</v>
      </c>
      <c r="G60" s="64">
        <v>41.28</v>
      </c>
      <c r="H60" s="64">
        <v>16.75</v>
      </c>
      <c r="I60" s="64">
        <v>1.78</v>
      </c>
      <c r="J60" s="64">
        <v>1.02</v>
      </c>
      <c r="K60" s="64">
        <v>328.5</v>
      </c>
      <c r="L60" s="64">
        <v>33.86</v>
      </c>
      <c r="M60" s="64">
        <v>54.44</v>
      </c>
      <c r="N60" s="64">
        <v>733.1</v>
      </c>
      <c r="O60" s="64">
        <v>0</v>
      </c>
      <c r="P60" s="64">
        <v>0.47</v>
      </c>
      <c r="Q60" s="64">
        <v>4.1399999999999997</v>
      </c>
      <c r="R60" s="198"/>
      <c r="S60" s="198"/>
      <c r="T60" s="198"/>
      <c r="U60" s="198"/>
    </row>
    <row r="61" spans="1:21" s="12" customFormat="1" x14ac:dyDescent="0.25">
      <c r="A61" s="214" t="s">
        <v>2029</v>
      </c>
      <c r="B61" s="64">
        <v>5.34</v>
      </c>
      <c r="C61" s="64">
        <v>13.31</v>
      </c>
      <c r="D61" s="64">
        <v>18.649999999999999</v>
      </c>
      <c r="E61" s="64">
        <v>5.38</v>
      </c>
      <c r="F61" s="64">
        <v>2.79</v>
      </c>
      <c r="G61" s="64">
        <v>41.28</v>
      </c>
      <c r="H61" s="64">
        <v>16.75</v>
      </c>
      <c r="I61" s="64">
        <v>1.79</v>
      </c>
      <c r="J61" s="64">
        <v>1.61</v>
      </c>
      <c r="K61" s="64">
        <v>342.35</v>
      </c>
      <c r="L61" s="64">
        <v>33.630000000000003</v>
      </c>
      <c r="M61" s="64">
        <v>53.74</v>
      </c>
      <c r="N61" s="64">
        <v>509.5</v>
      </c>
      <c r="O61" s="64">
        <v>0</v>
      </c>
      <c r="P61" s="64">
        <v>0.46</v>
      </c>
      <c r="Q61" s="64">
        <v>3.92</v>
      </c>
      <c r="R61" s="198"/>
      <c r="S61" s="198"/>
      <c r="T61" s="198"/>
      <c r="U61" s="198"/>
    </row>
    <row r="62" spans="1:21" s="12" customFormat="1" x14ac:dyDescent="0.25">
      <c r="A62" s="214" t="s">
        <v>2030</v>
      </c>
      <c r="B62" s="64">
        <v>5.99</v>
      </c>
      <c r="C62" s="64">
        <v>12.92</v>
      </c>
      <c r="D62" s="64">
        <v>18.91</v>
      </c>
      <c r="E62" s="64">
        <v>4.18</v>
      </c>
      <c r="F62" s="64">
        <v>4.66</v>
      </c>
      <c r="G62" s="64">
        <v>41.28</v>
      </c>
      <c r="H62" s="64">
        <v>16.75</v>
      </c>
      <c r="I62" s="64">
        <v>1.76</v>
      </c>
      <c r="J62" s="64">
        <v>1.1000000000000001</v>
      </c>
      <c r="K62" s="64">
        <v>335.12</v>
      </c>
      <c r="L62" s="64">
        <v>32.090000000000003</v>
      </c>
      <c r="M62" s="64">
        <v>58.42</v>
      </c>
      <c r="N62" s="64">
        <v>273.7</v>
      </c>
      <c r="O62" s="64">
        <v>0</v>
      </c>
      <c r="P62" s="64">
        <v>0.49</v>
      </c>
      <c r="Q62" s="64">
        <v>2.93</v>
      </c>
      <c r="R62" s="198"/>
      <c r="S62" s="198"/>
      <c r="T62" s="198"/>
      <c r="U62" s="198"/>
    </row>
    <row r="63" spans="1:21" s="12" customFormat="1" x14ac:dyDescent="0.25">
      <c r="A63" s="214" t="s">
        <v>2031</v>
      </c>
      <c r="B63" s="64">
        <v>5.15</v>
      </c>
      <c r="C63" s="64">
        <v>16.78</v>
      </c>
      <c r="D63" s="64">
        <v>21.94</v>
      </c>
      <c r="E63" s="64">
        <v>4.87</v>
      </c>
      <c r="F63" s="64">
        <v>6.51</v>
      </c>
      <c r="G63" s="64">
        <v>42.34</v>
      </c>
      <c r="H63" s="64">
        <v>17.850000000000001</v>
      </c>
      <c r="I63" s="64">
        <v>1.79</v>
      </c>
      <c r="J63" s="64">
        <v>0.96</v>
      </c>
      <c r="K63" s="64">
        <v>326.58999999999997</v>
      </c>
      <c r="L63" s="64">
        <v>31.69</v>
      </c>
      <c r="M63" s="64">
        <v>58.33</v>
      </c>
      <c r="N63" s="64">
        <v>334.8</v>
      </c>
      <c r="O63" s="64">
        <v>0</v>
      </c>
      <c r="P63" s="64">
        <v>0.5</v>
      </c>
      <c r="Q63" s="64">
        <v>2.46</v>
      </c>
      <c r="R63" s="198"/>
      <c r="S63" s="198"/>
      <c r="T63" s="198"/>
      <c r="U63" s="198"/>
    </row>
    <row r="64" spans="1:21" s="12" customFormat="1" x14ac:dyDescent="0.25">
      <c r="A64" s="214" t="s">
        <v>2032</v>
      </c>
      <c r="B64" s="64">
        <v>5.55</v>
      </c>
      <c r="C64" s="64">
        <v>17.04</v>
      </c>
      <c r="D64" s="64">
        <v>22.59</v>
      </c>
      <c r="E64" s="64">
        <v>5.34</v>
      </c>
      <c r="F64" s="64">
        <v>6.85</v>
      </c>
      <c r="G64" s="64">
        <v>44.95</v>
      </c>
      <c r="H64" s="64">
        <v>19.66</v>
      </c>
      <c r="I64" s="64">
        <v>1.78</v>
      </c>
      <c r="J64" s="64">
        <v>1.38</v>
      </c>
      <c r="K64" s="64">
        <v>335.4</v>
      </c>
      <c r="L64" s="64">
        <v>31.75</v>
      </c>
      <c r="M64" s="64">
        <v>59.13</v>
      </c>
      <c r="N64" s="64">
        <v>302.8</v>
      </c>
      <c r="O64" s="64">
        <v>0</v>
      </c>
      <c r="P64" s="64">
        <v>0.48</v>
      </c>
      <c r="Q64" s="64">
        <v>3.23</v>
      </c>
      <c r="R64" s="198"/>
      <c r="S64" s="198"/>
      <c r="T64" s="198"/>
      <c r="U64" s="198"/>
    </row>
    <row r="65" spans="1:21" s="12" customFormat="1" x14ac:dyDescent="0.25">
      <c r="A65" s="214" t="s">
        <v>2033</v>
      </c>
      <c r="B65" s="64">
        <v>6.01</v>
      </c>
      <c r="C65" s="64">
        <v>19.149999999999999</v>
      </c>
      <c r="D65" s="64">
        <v>25.15</v>
      </c>
      <c r="E65" s="64">
        <v>4.33</v>
      </c>
      <c r="F65" s="64">
        <v>6.54</v>
      </c>
      <c r="G65" s="64">
        <v>44.95</v>
      </c>
      <c r="H65" s="64">
        <v>19.66</v>
      </c>
      <c r="I65" s="64">
        <v>1.7</v>
      </c>
      <c r="J65" s="64">
        <v>0.96</v>
      </c>
      <c r="K65" s="64">
        <v>337.4</v>
      </c>
      <c r="L65" s="64">
        <v>32.159999999999997</v>
      </c>
      <c r="M65" s="64">
        <v>58.14</v>
      </c>
      <c r="N65" s="64">
        <v>271.10000000000002</v>
      </c>
      <c r="O65" s="64">
        <v>0</v>
      </c>
      <c r="P65" s="64">
        <v>0.48</v>
      </c>
      <c r="Q65" s="64">
        <v>3.58</v>
      </c>
      <c r="R65" s="198"/>
      <c r="S65" s="198"/>
      <c r="T65" s="198"/>
      <c r="U65" s="198"/>
    </row>
    <row r="66" spans="1:21" s="12" customFormat="1" x14ac:dyDescent="0.25">
      <c r="A66" s="214" t="s">
        <v>2034</v>
      </c>
      <c r="B66" s="64">
        <v>6.12</v>
      </c>
      <c r="C66" s="64">
        <v>19.16</v>
      </c>
      <c r="D66" s="64">
        <v>25.29</v>
      </c>
      <c r="E66" s="64">
        <v>4.26</v>
      </c>
      <c r="F66" s="64">
        <v>6.13</v>
      </c>
      <c r="G66" s="64">
        <v>44.95</v>
      </c>
      <c r="H66" s="64">
        <v>19.66</v>
      </c>
      <c r="I66" s="64">
        <v>1.79</v>
      </c>
      <c r="J66" s="64">
        <v>0.99</v>
      </c>
      <c r="K66" s="64">
        <v>331.06</v>
      </c>
      <c r="L66" s="64">
        <v>31.84</v>
      </c>
      <c r="M66" s="64">
        <v>58.16</v>
      </c>
      <c r="N66" s="64">
        <v>205.3</v>
      </c>
      <c r="O66" s="64">
        <v>0</v>
      </c>
      <c r="P66" s="64">
        <v>0.48</v>
      </c>
      <c r="Q66" s="64">
        <v>4.4800000000000004</v>
      </c>
      <c r="R66" s="198"/>
      <c r="S66" s="198"/>
      <c r="T66" s="198"/>
      <c r="U66" s="198"/>
    </row>
    <row r="67" spans="1:21" s="12" customFormat="1" x14ac:dyDescent="0.25">
      <c r="A67" s="214" t="s">
        <v>2035</v>
      </c>
      <c r="B67" s="64">
        <v>5.95</v>
      </c>
      <c r="C67" s="64">
        <v>16.95</v>
      </c>
      <c r="D67" s="64">
        <v>22.9</v>
      </c>
      <c r="E67" s="64">
        <v>4.87</v>
      </c>
      <c r="F67" s="64">
        <v>12.36</v>
      </c>
      <c r="G67" s="64">
        <v>42.64</v>
      </c>
      <c r="H67" s="64">
        <v>18.93</v>
      </c>
      <c r="I67" s="64">
        <v>1.77</v>
      </c>
      <c r="J67" s="64">
        <v>1.03</v>
      </c>
      <c r="K67" s="64">
        <v>341.24</v>
      </c>
      <c r="L67" s="64">
        <v>31.46</v>
      </c>
      <c r="M67" s="64">
        <v>59.09</v>
      </c>
      <c r="N67" s="64">
        <v>212.6</v>
      </c>
      <c r="O67" s="64">
        <v>0</v>
      </c>
      <c r="P67" s="64">
        <v>0.49</v>
      </c>
      <c r="Q67" s="64">
        <v>4.5</v>
      </c>
      <c r="R67" s="198"/>
      <c r="S67" s="198"/>
      <c r="T67" s="198"/>
      <c r="U67" s="198"/>
    </row>
    <row r="68" spans="1:21" s="12" customFormat="1" x14ac:dyDescent="0.25">
      <c r="A68" s="214" t="s">
        <v>2036</v>
      </c>
      <c r="B68" s="64">
        <v>5.77</v>
      </c>
      <c r="C68" s="64">
        <v>16.64</v>
      </c>
      <c r="D68" s="64">
        <v>22.41</v>
      </c>
      <c r="E68" s="64">
        <v>4.3099999999999996</v>
      </c>
      <c r="F68" s="64">
        <v>4.74</v>
      </c>
      <c r="G68" s="64">
        <v>36.94</v>
      </c>
      <c r="H68" s="64">
        <v>17.79</v>
      </c>
      <c r="I68" s="64">
        <v>1.75</v>
      </c>
      <c r="J68" s="64">
        <v>0.7</v>
      </c>
      <c r="K68" s="64">
        <v>334.31</v>
      </c>
      <c r="L68" s="64">
        <v>31.35</v>
      </c>
      <c r="M68" s="64">
        <v>59.43</v>
      </c>
      <c r="N68" s="64">
        <v>182.1</v>
      </c>
      <c r="O68" s="64">
        <v>0</v>
      </c>
      <c r="P68" s="64">
        <v>0.49</v>
      </c>
      <c r="Q68" s="64">
        <v>4.2699999999999996</v>
      </c>
      <c r="R68" s="198"/>
      <c r="S68" s="198"/>
      <c r="T68" s="198"/>
      <c r="U68" s="198"/>
    </row>
    <row r="69" spans="1:21" s="12" customFormat="1" x14ac:dyDescent="0.25">
      <c r="A69" s="214" t="s">
        <v>2037</v>
      </c>
      <c r="B69" s="64">
        <v>6.12</v>
      </c>
      <c r="C69" s="64">
        <v>18.46</v>
      </c>
      <c r="D69" s="64">
        <v>24.58</v>
      </c>
      <c r="E69" s="64">
        <v>4.9800000000000004</v>
      </c>
      <c r="F69" s="64">
        <v>6.35</v>
      </c>
      <c r="G69" s="64">
        <v>36.94</v>
      </c>
      <c r="H69" s="64">
        <v>17.79</v>
      </c>
      <c r="I69" s="64">
        <v>1.81</v>
      </c>
      <c r="J69" s="64">
        <v>1.01</v>
      </c>
      <c r="K69" s="64">
        <v>326.52</v>
      </c>
      <c r="L69" s="64">
        <v>31.16</v>
      </c>
      <c r="M69" s="64">
        <v>59.99</v>
      </c>
      <c r="N69" s="64">
        <v>177</v>
      </c>
      <c r="O69" s="64">
        <v>0</v>
      </c>
      <c r="P69" s="64">
        <v>0.47</v>
      </c>
      <c r="Q69" s="64">
        <v>5.68</v>
      </c>
      <c r="R69" s="198"/>
      <c r="S69" s="198"/>
      <c r="T69" s="198"/>
      <c r="U69" s="198"/>
    </row>
    <row r="70" spans="1:21" s="12" customFormat="1" x14ac:dyDescent="0.25">
      <c r="A70" s="214" t="s">
        <v>2038</v>
      </c>
      <c r="B70" s="64">
        <v>5.71</v>
      </c>
      <c r="C70" s="64">
        <v>15.06</v>
      </c>
      <c r="D70" s="64">
        <v>20.78</v>
      </c>
      <c r="E70" s="64">
        <v>5.17</v>
      </c>
      <c r="F70" s="64">
        <v>4.49</v>
      </c>
      <c r="G70" s="64">
        <v>36.94</v>
      </c>
      <c r="H70" s="64">
        <v>17.79</v>
      </c>
      <c r="I70" s="64">
        <v>1.77</v>
      </c>
      <c r="J70" s="64">
        <v>0.69</v>
      </c>
      <c r="K70" s="64">
        <v>323.91000000000003</v>
      </c>
      <c r="L70" s="64">
        <v>31.26</v>
      </c>
      <c r="M70" s="64">
        <v>58.49</v>
      </c>
      <c r="N70" s="64">
        <v>166.9</v>
      </c>
      <c r="O70" s="64">
        <v>0</v>
      </c>
      <c r="P70" s="64">
        <v>0.47</v>
      </c>
      <c r="Q70" s="64">
        <v>4.6500000000000004</v>
      </c>
      <c r="R70" s="198"/>
      <c r="S70" s="198"/>
      <c r="T70" s="198"/>
      <c r="U70" s="198"/>
    </row>
    <row r="71" spans="1:21" s="12" customFormat="1" x14ac:dyDescent="0.25">
      <c r="A71" s="214" t="s">
        <v>2039</v>
      </c>
      <c r="B71" s="64">
        <v>5.0999999999999996</v>
      </c>
      <c r="C71" s="64">
        <v>13.32</v>
      </c>
      <c r="D71" s="64">
        <v>18.43</v>
      </c>
      <c r="E71" s="64">
        <v>4.4400000000000004</v>
      </c>
      <c r="F71" s="64">
        <v>2.52</v>
      </c>
      <c r="G71" s="64">
        <v>37.729999999999997</v>
      </c>
      <c r="H71" s="64">
        <v>17.649999999999999</v>
      </c>
      <c r="I71" s="64">
        <v>1.81</v>
      </c>
      <c r="J71" s="64">
        <v>0.32</v>
      </c>
      <c r="K71" s="64">
        <v>347.66</v>
      </c>
      <c r="L71" s="64">
        <v>30.8</v>
      </c>
      <c r="M71" s="64">
        <v>58.6</v>
      </c>
      <c r="N71" s="64">
        <v>127.5</v>
      </c>
      <c r="O71" s="64">
        <v>0</v>
      </c>
      <c r="P71" s="64">
        <v>0.47</v>
      </c>
      <c r="Q71" s="64">
        <v>4.96</v>
      </c>
      <c r="R71" s="198"/>
      <c r="S71" s="198"/>
      <c r="T71" s="198"/>
      <c r="U71" s="198"/>
    </row>
    <row r="72" spans="1:21" s="12" customFormat="1" x14ac:dyDescent="0.25">
      <c r="A72" s="214" t="s">
        <v>2040</v>
      </c>
      <c r="B72" s="64">
        <v>4.5999999999999996</v>
      </c>
      <c r="C72" s="64">
        <v>13.33</v>
      </c>
      <c r="D72" s="64">
        <v>17.93</v>
      </c>
      <c r="E72" s="64">
        <v>5.14</v>
      </c>
      <c r="F72" s="64">
        <v>3.53</v>
      </c>
      <c r="G72" s="64">
        <v>39.68</v>
      </c>
      <c r="H72" s="64">
        <v>17.420000000000002</v>
      </c>
      <c r="I72" s="64">
        <v>1.77</v>
      </c>
      <c r="J72" s="64">
        <v>0.48</v>
      </c>
      <c r="K72" s="64">
        <v>328.31</v>
      </c>
      <c r="L72" s="64">
        <v>30.51</v>
      </c>
      <c r="M72" s="64">
        <v>60.33</v>
      </c>
      <c r="N72" s="64">
        <v>120</v>
      </c>
      <c r="O72" s="64">
        <v>0</v>
      </c>
      <c r="P72" s="64">
        <v>0.45</v>
      </c>
      <c r="Q72" s="64">
        <v>4.59</v>
      </c>
      <c r="R72" s="198"/>
      <c r="S72" s="198"/>
      <c r="T72" s="198"/>
      <c r="U72" s="198"/>
    </row>
    <row r="73" spans="1:21" s="12" customFormat="1" x14ac:dyDescent="0.25">
      <c r="A73" s="214" t="s">
        <v>2041</v>
      </c>
      <c r="B73" s="64">
        <v>5.35</v>
      </c>
      <c r="C73" s="64">
        <v>16.75</v>
      </c>
      <c r="D73" s="64">
        <v>22.11</v>
      </c>
      <c r="E73" s="64">
        <v>5.96</v>
      </c>
      <c r="F73" s="64">
        <v>5.48</v>
      </c>
      <c r="G73" s="64">
        <v>39.68</v>
      </c>
      <c r="H73" s="64">
        <v>17.420000000000002</v>
      </c>
      <c r="I73" s="64">
        <v>1.85</v>
      </c>
      <c r="J73" s="64">
        <v>1.1000000000000001</v>
      </c>
      <c r="K73" s="64">
        <v>324.86</v>
      </c>
      <c r="L73" s="64">
        <v>30.38</v>
      </c>
      <c r="M73" s="64">
        <v>59.84</v>
      </c>
      <c r="N73" s="64">
        <v>106.7</v>
      </c>
      <c r="O73" s="64">
        <v>0</v>
      </c>
      <c r="P73" s="64">
        <v>0.44</v>
      </c>
      <c r="Q73" s="64">
        <v>3.81</v>
      </c>
      <c r="R73" s="198"/>
      <c r="S73" s="198"/>
      <c r="T73" s="198"/>
      <c r="U73" s="198"/>
    </row>
    <row r="74" spans="1:21" s="12" customFormat="1" x14ac:dyDescent="0.25">
      <c r="A74" s="214" t="s">
        <v>2042</v>
      </c>
      <c r="B74" s="64">
        <v>6.22</v>
      </c>
      <c r="C74" s="64">
        <v>15.53</v>
      </c>
      <c r="D74" s="64">
        <v>21.75</v>
      </c>
      <c r="E74" s="64">
        <v>5.54</v>
      </c>
      <c r="F74" s="64">
        <v>6.86</v>
      </c>
      <c r="G74" s="64">
        <v>39.68</v>
      </c>
      <c r="H74" s="64">
        <v>17.420000000000002</v>
      </c>
      <c r="I74" s="64">
        <v>1.77</v>
      </c>
      <c r="J74" s="64">
        <v>0.59</v>
      </c>
      <c r="K74" s="64">
        <v>335.07</v>
      </c>
      <c r="L74" s="64">
        <v>30.11</v>
      </c>
      <c r="M74" s="64">
        <v>61.15</v>
      </c>
      <c r="N74" s="64">
        <v>88.5</v>
      </c>
      <c r="O74" s="64">
        <v>0</v>
      </c>
      <c r="P74" s="64">
        <v>0.45</v>
      </c>
      <c r="Q74" s="64">
        <v>3.06</v>
      </c>
      <c r="R74" s="198"/>
      <c r="S74" s="198"/>
      <c r="T74" s="198"/>
      <c r="U74" s="198"/>
    </row>
    <row r="75" spans="1:21" s="12" customFormat="1" x14ac:dyDescent="0.25">
      <c r="A75" s="214" t="s">
        <v>2043</v>
      </c>
      <c r="B75" s="64">
        <v>6.29</v>
      </c>
      <c r="C75" s="64">
        <v>20.28</v>
      </c>
      <c r="D75" s="64">
        <v>26.57</v>
      </c>
      <c r="E75" s="64">
        <v>6.33</v>
      </c>
      <c r="F75" s="64">
        <v>11.53</v>
      </c>
      <c r="G75" s="64">
        <v>34.4</v>
      </c>
      <c r="H75" s="64">
        <v>16.760000000000002</v>
      </c>
      <c r="I75" s="64">
        <v>1.82</v>
      </c>
      <c r="J75" s="64">
        <v>0.64</v>
      </c>
      <c r="K75" s="64">
        <v>321.49</v>
      </c>
      <c r="L75" s="64">
        <v>29.8</v>
      </c>
      <c r="M75" s="64">
        <v>62.31</v>
      </c>
      <c r="N75" s="64">
        <v>71.3</v>
      </c>
      <c r="O75" s="64">
        <v>0</v>
      </c>
      <c r="P75" s="64">
        <v>0.48</v>
      </c>
      <c r="Q75" s="64">
        <v>3.44</v>
      </c>
      <c r="R75" s="198"/>
      <c r="S75" s="198"/>
      <c r="T75" s="198"/>
      <c r="U75" s="198"/>
    </row>
    <row r="76" spans="1:21" s="12" customFormat="1" x14ac:dyDescent="0.25">
      <c r="A76" s="214" t="s">
        <v>2044</v>
      </c>
      <c r="B76" s="64">
        <v>8.11</v>
      </c>
      <c r="C76" s="64">
        <v>23.39</v>
      </c>
      <c r="D76" s="64">
        <v>31.5</v>
      </c>
      <c r="E76" s="64">
        <v>5.88</v>
      </c>
      <c r="F76" s="64">
        <v>7.3</v>
      </c>
      <c r="G76" s="64">
        <v>21.41</v>
      </c>
      <c r="H76" s="64">
        <v>15.67</v>
      </c>
      <c r="I76" s="64">
        <v>1.72</v>
      </c>
      <c r="J76" s="64">
        <v>0.39</v>
      </c>
      <c r="K76" s="64">
        <v>332.15</v>
      </c>
      <c r="L76" s="64">
        <v>29.58</v>
      </c>
      <c r="M76" s="64">
        <v>63.36</v>
      </c>
      <c r="N76" s="64">
        <v>57.1</v>
      </c>
      <c r="O76" s="64">
        <v>0</v>
      </c>
      <c r="P76" s="64">
        <v>0.49</v>
      </c>
      <c r="Q76" s="64">
        <v>3.35</v>
      </c>
      <c r="R76" s="198"/>
      <c r="S76" s="198"/>
      <c r="T76" s="198"/>
      <c r="U76" s="198"/>
    </row>
    <row r="77" spans="1:21" s="12" customFormat="1" x14ac:dyDescent="0.25">
      <c r="A77" s="214" t="s">
        <v>2045</v>
      </c>
      <c r="B77" s="64">
        <v>8.06</v>
      </c>
      <c r="C77" s="64">
        <v>16.39</v>
      </c>
      <c r="D77" s="64">
        <v>24.45</v>
      </c>
      <c r="E77" s="64">
        <v>5.95</v>
      </c>
      <c r="F77" s="64">
        <v>4.08</v>
      </c>
      <c r="G77" s="64">
        <v>21.41</v>
      </c>
      <c r="H77" s="64">
        <v>15.67</v>
      </c>
      <c r="I77" s="64">
        <v>1.76</v>
      </c>
      <c r="J77" s="64">
        <v>0.37</v>
      </c>
      <c r="K77" s="64">
        <v>342.93</v>
      </c>
      <c r="L77" s="64">
        <v>29.31</v>
      </c>
      <c r="M77" s="64">
        <v>64.94</v>
      </c>
      <c r="N77" s="64">
        <v>46.7</v>
      </c>
      <c r="O77" s="64">
        <v>0</v>
      </c>
      <c r="P77" s="64">
        <v>0.49</v>
      </c>
      <c r="Q77" s="64">
        <v>3.61</v>
      </c>
      <c r="R77" s="198"/>
      <c r="S77" s="198"/>
      <c r="T77" s="198"/>
      <c r="U77" s="198"/>
    </row>
    <row r="78" spans="1:21" s="12" customFormat="1" x14ac:dyDescent="0.25">
      <c r="A78" s="214" t="s">
        <v>2046</v>
      </c>
      <c r="B78" s="64">
        <v>7.83</v>
      </c>
      <c r="C78" s="64">
        <v>18.37</v>
      </c>
      <c r="D78" s="64">
        <v>26.2</v>
      </c>
      <c r="E78" s="64">
        <v>5.84</v>
      </c>
      <c r="F78" s="64">
        <v>6.69</v>
      </c>
      <c r="G78" s="64">
        <v>21.41</v>
      </c>
      <c r="H78" s="64">
        <v>15.67</v>
      </c>
      <c r="I78" s="64">
        <v>1.8</v>
      </c>
      <c r="J78" s="64">
        <v>0.72</v>
      </c>
      <c r="K78" s="64">
        <v>322.60000000000002</v>
      </c>
      <c r="L78" s="64">
        <v>28.97</v>
      </c>
      <c r="M78" s="64">
        <v>66.92</v>
      </c>
      <c r="N78" s="64">
        <v>37.6</v>
      </c>
      <c r="O78" s="64">
        <v>0</v>
      </c>
      <c r="P78" s="64">
        <v>0.5</v>
      </c>
      <c r="Q78" s="64">
        <v>4.8899999999999997</v>
      </c>
      <c r="R78" s="198"/>
      <c r="S78" s="198"/>
      <c r="T78" s="198"/>
      <c r="U78" s="198"/>
    </row>
    <row r="79" spans="1:21" s="12" customFormat="1" x14ac:dyDescent="0.25">
      <c r="A79" s="214" t="s">
        <v>2047</v>
      </c>
      <c r="B79" s="64">
        <v>7.91</v>
      </c>
      <c r="C79" s="64">
        <v>18.309999999999999</v>
      </c>
      <c r="D79" s="64">
        <v>26.22</v>
      </c>
      <c r="E79" s="64">
        <v>5.89</v>
      </c>
      <c r="F79" s="64">
        <v>6.29</v>
      </c>
      <c r="G79" s="64">
        <v>27.35</v>
      </c>
      <c r="H79" s="64">
        <v>15.51</v>
      </c>
      <c r="I79" s="64">
        <v>1.85</v>
      </c>
      <c r="J79" s="64">
        <v>0.52</v>
      </c>
      <c r="K79" s="64">
        <v>332.89</v>
      </c>
      <c r="L79" s="64">
        <v>28.65</v>
      </c>
      <c r="M79" s="64">
        <v>68.37</v>
      </c>
      <c r="N79" s="64">
        <v>24.8</v>
      </c>
      <c r="O79" s="64">
        <v>0</v>
      </c>
      <c r="P79" s="64">
        <v>0.54</v>
      </c>
      <c r="Q79" s="64">
        <v>4.63</v>
      </c>
      <c r="R79" s="198"/>
      <c r="S79" s="198"/>
      <c r="T79" s="198"/>
      <c r="U79" s="198"/>
    </row>
    <row r="80" spans="1:21" s="12" customFormat="1" x14ac:dyDescent="0.25">
      <c r="A80" s="214" t="s">
        <v>2048</v>
      </c>
      <c r="B80" s="64">
        <v>11.38</v>
      </c>
      <c r="C80" s="64">
        <v>16.66</v>
      </c>
      <c r="D80" s="64">
        <v>27.13</v>
      </c>
      <c r="E80" s="64">
        <v>5.51</v>
      </c>
      <c r="F80" s="64">
        <v>4.07</v>
      </c>
      <c r="G80" s="64">
        <v>42</v>
      </c>
      <c r="H80" s="64">
        <v>14.94</v>
      </c>
      <c r="I80" s="64">
        <v>1.8</v>
      </c>
      <c r="J80" s="64">
        <v>0.53</v>
      </c>
      <c r="K80" s="64">
        <v>331.6</v>
      </c>
      <c r="L80" s="64">
        <v>28.27</v>
      </c>
      <c r="M80" s="64">
        <v>69.8</v>
      </c>
      <c r="N80" s="64">
        <v>14.2</v>
      </c>
      <c r="O80" s="64">
        <v>0</v>
      </c>
      <c r="P80" s="64">
        <v>0.54</v>
      </c>
      <c r="Q80" s="64">
        <v>4.4400000000000004</v>
      </c>
      <c r="R80" s="198"/>
      <c r="S80" s="198"/>
      <c r="T80" s="198"/>
      <c r="U80" s="198"/>
    </row>
    <row r="81" spans="1:26" s="12" customFormat="1" x14ac:dyDescent="0.25">
      <c r="A81" s="214" t="s">
        <v>2049</v>
      </c>
      <c r="B81" s="64">
        <v>6.54</v>
      </c>
      <c r="C81" s="64">
        <v>18.02</v>
      </c>
      <c r="D81" s="64">
        <v>24.56</v>
      </c>
      <c r="E81" s="64">
        <v>6.06</v>
      </c>
      <c r="F81" s="64">
        <v>6.84</v>
      </c>
      <c r="G81" s="64">
        <v>42</v>
      </c>
      <c r="H81" s="64">
        <v>14.94</v>
      </c>
      <c r="I81" s="64">
        <v>1.83</v>
      </c>
      <c r="J81" s="64">
        <v>0.69</v>
      </c>
      <c r="K81" s="64">
        <v>326.41000000000003</v>
      </c>
      <c r="L81" s="64">
        <v>28.07</v>
      </c>
      <c r="M81" s="64">
        <v>71.569999999999993</v>
      </c>
      <c r="N81" s="64">
        <v>10.5</v>
      </c>
      <c r="O81" s="64">
        <v>0</v>
      </c>
      <c r="P81" s="64">
        <v>0.55000000000000004</v>
      </c>
      <c r="Q81" s="64">
        <v>5.79</v>
      </c>
      <c r="R81" s="198"/>
      <c r="S81" s="198"/>
      <c r="T81" s="198"/>
      <c r="U81" s="198"/>
    </row>
    <row r="82" spans="1:26" s="12" customFormat="1" x14ac:dyDescent="0.25">
      <c r="A82" s="214" t="s">
        <v>2050</v>
      </c>
      <c r="B82" s="64">
        <v>7.78</v>
      </c>
      <c r="C82" s="64">
        <v>20.98</v>
      </c>
      <c r="D82" s="64">
        <v>28.76</v>
      </c>
      <c r="E82" s="64">
        <v>5.79</v>
      </c>
      <c r="F82" s="64">
        <v>3.66</v>
      </c>
      <c r="G82" s="64">
        <v>42</v>
      </c>
      <c r="H82" s="64">
        <v>14.94</v>
      </c>
      <c r="I82" s="64">
        <v>1.83</v>
      </c>
      <c r="J82" s="64">
        <v>0.81</v>
      </c>
      <c r="K82" s="64">
        <v>326.32</v>
      </c>
      <c r="L82" s="64">
        <v>27.78</v>
      </c>
      <c r="M82" s="64">
        <v>74.81</v>
      </c>
      <c r="N82" s="64">
        <v>9.9</v>
      </c>
      <c r="O82" s="64">
        <v>0</v>
      </c>
      <c r="P82" s="64">
        <v>0.59</v>
      </c>
      <c r="Q82" s="64">
        <v>3.77</v>
      </c>
      <c r="R82" s="198"/>
      <c r="S82" s="198"/>
      <c r="T82" s="198"/>
      <c r="U82" s="198"/>
    </row>
    <row r="83" spans="1:26" s="12" customFormat="1" x14ac:dyDescent="0.25">
      <c r="A83" s="214" t="s">
        <v>2051</v>
      </c>
      <c r="B83" s="64">
        <v>9.19</v>
      </c>
      <c r="C83" s="64">
        <v>16.09</v>
      </c>
      <c r="D83" s="64">
        <v>25.28</v>
      </c>
      <c r="E83" s="64">
        <v>5.5</v>
      </c>
      <c r="F83" s="64">
        <v>1.53</v>
      </c>
      <c r="G83" s="64">
        <v>40.92</v>
      </c>
      <c r="H83" s="64">
        <v>13.28</v>
      </c>
      <c r="I83" s="64">
        <v>1.86</v>
      </c>
      <c r="J83" s="64">
        <v>0.71</v>
      </c>
      <c r="K83" s="64">
        <v>326.01</v>
      </c>
      <c r="L83" s="64">
        <v>27.34</v>
      </c>
      <c r="M83" s="64">
        <v>77.28</v>
      </c>
      <c r="N83" s="64">
        <v>9.6</v>
      </c>
      <c r="O83" s="64">
        <v>0</v>
      </c>
      <c r="P83" s="64">
        <v>0.59</v>
      </c>
      <c r="Q83" s="64">
        <v>5.33</v>
      </c>
      <c r="R83" s="198"/>
      <c r="S83" s="198"/>
      <c r="T83" s="198"/>
      <c r="U83" s="198"/>
    </row>
    <row r="84" spans="1:26" s="12" customFormat="1" x14ac:dyDescent="0.25">
      <c r="A84" s="214" t="s">
        <v>2052</v>
      </c>
      <c r="B84" s="64">
        <v>9.64</v>
      </c>
      <c r="C84" s="64">
        <v>14.78</v>
      </c>
      <c r="D84" s="64">
        <v>24.42</v>
      </c>
      <c r="E84" s="64">
        <v>5.74</v>
      </c>
      <c r="F84" s="64">
        <v>2.1800000000000002</v>
      </c>
      <c r="G84" s="64">
        <v>38.270000000000003</v>
      </c>
      <c r="H84" s="64">
        <v>10.57</v>
      </c>
      <c r="I84" s="64">
        <v>1.83</v>
      </c>
      <c r="J84" s="64">
        <v>0.64</v>
      </c>
      <c r="K84" s="64">
        <v>322.76</v>
      </c>
      <c r="L84" s="64">
        <v>27.14</v>
      </c>
      <c r="M84" s="64">
        <v>75.180000000000007</v>
      </c>
      <c r="N84" s="64">
        <v>9.4</v>
      </c>
      <c r="O84" s="64">
        <v>0</v>
      </c>
      <c r="P84" s="64">
        <v>0.59</v>
      </c>
      <c r="Q84" s="64">
        <v>5.0599999999999996</v>
      </c>
      <c r="R84" s="198"/>
      <c r="S84" s="198"/>
      <c r="T84" s="198"/>
      <c r="U84" s="198"/>
    </row>
    <row r="85" spans="1:26" s="12" customFormat="1" x14ac:dyDescent="0.25">
      <c r="A85" s="214" t="s">
        <v>2053</v>
      </c>
      <c r="B85" s="64">
        <v>8.89</v>
      </c>
      <c r="C85" s="64">
        <v>13.94</v>
      </c>
      <c r="D85" s="64">
        <v>22.82</v>
      </c>
      <c r="E85" s="64">
        <v>5.49</v>
      </c>
      <c r="F85" s="64">
        <v>1.52</v>
      </c>
      <c r="G85" s="64">
        <v>38.270000000000003</v>
      </c>
      <c r="H85" s="64">
        <v>10.57</v>
      </c>
      <c r="I85" s="64">
        <v>1.81</v>
      </c>
      <c r="J85" s="64">
        <v>1.03</v>
      </c>
      <c r="K85" s="64">
        <v>322.93</v>
      </c>
      <c r="L85" s="64">
        <v>26.91</v>
      </c>
      <c r="M85" s="64">
        <v>75.09</v>
      </c>
      <c r="N85" s="64">
        <v>9.4</v>
      </c>
      <c r="O85" s="64">
        <v>0</v>
      </c>
      <c r="P85" s="64">
        <v>0.59</v>
      </c>
      <c r="Q85" s="64">
        <v>3.92</v>
      </c>
      <c r="R85" s="198"/>
      <c r="S85" s="198"/>
      <c r="T85" s="198"/>
      <c r="U85" s="198"/>
    </row>
    <row r="86" spans="1:26" s="12" customFormat="1" x14ac:dyDescent="0.25">
      <c r="A86" s="214" t="s">
        <v>2054</v>
      </c>
      <c r="B86" s="64">
        <v>9.6199999999999992</v>
      </c>
      <c r="C86" s="64">
        <v>15.72</v>
      </c>
      <c r="D86" s="64">
        <v>25.34</v>
      </c>
      <c r="E86" s="64">
        <v>5.28</v>
      </c>
      <c r="F86" s="64">
        <v>1.36</v>
      </c>
      <c r="G86" s="64">
        <v>38.270000000000003</v>
      </c>
      <c r="H86" s="64">
        <v>10.57</v>
      </c>
      <c r="I86" s="64">
        <v>1.82</v>
      </c>
      <c r="J86" s="64">
        <v>0.86</v>
      </c>
      <c r="K86" s="64">
        <v>328.96</v>
      </c>
      <c r="L86" s="64">
        <v>26.7</v>
      </c>
      <c r="M86" s="64">
        <v>76.680000000000007</v>
      </c>
      <c r="N86" s="64">
        <v>9.4</v>
      </c>
      <c r="O86" s="64">
        <v>0</v>
      </c>
      <c r="P86" s="64">
        <v>0.64</v>
      </c>
      <c r="Q86" s="64">
        <v>5.41</v>
      </c>
      <c r="R86" s="198"/>
      <c r="S86" s="198"/>
      <c r="T86" s="198"/>
      <c r="U86" s="198"/>
    </row>
    <row r="87" spans="1:26" s="12" customFormat="1" x14ac:dyDescent="0.25">
      <c r="A87" s="214" t="s">
        <v>2055</v>
      </c>
      <c r="B87" s="64">
        <v>9.4499999999999993</v>
      </c>
      <c r="C87" s="64">
        <v>15.83</v>
      </c>
      <c r="D87" s="64">
        <v>25.28</v>
      </c>
      <c r="E87" s="64">
        <v>5.46</v>
      </c>
      <c r="F87" s="64">
        <v>2.9</v>
      </c>
      <c r="G87" s="64">
        <v>39.99</v>
      </c>
      <c r="H87" s="64">
        <v>10.8</v>
      </c>
      <c r="I87" s="64">
        <v>1.89</v>
      </c>
      <c r="J87" s="64">
        <v>1.04</v>
      </c>
      <c r="K87" s="64">
        <v>339.8</v>
      </c>
      <c r="L87" s="64">
        <v>26.59</v>
      </c>
      <c r="M87" s="64">
        <v>77.510000000000005</v>
      </c>
      <c r="N87" s="64">
        <v>9.4</v>
      </c>
      <c r="O87" s="64">
        <v>0</v>
      </c>
      <c r="P87" s="64">
        <v>0.69</v>
      </c>
      <c r="Q87" s="64">
        <v>5.37</v>
      </c>
      <c r="R87" s="198"/>
      <c r="S87" s="198"/>
      <c r="T87" s="198"/>
      <c r="U87" s="198"/>
    </row>
    <row r="88" spans="1:26" s="12" customFormat="1" x14ac:dyDescent="0.25">
      <c r="A88" s="214" t="s">
        <v>2056</v>
      </c>
      <c r="B88" s="64">
        <v>9.4499999999999993</v>
      </c>
      <c r="C88" s="64">
        <v>16.170000000000002</v>
      </c>
      <c r="D88" s="64">
        <v>25.62</v>
      </c>
      <c r="E88" s="64">
        <v>3.11</v>
      </c>
      <c r="F88" s="64">
        <v>2.65</v>
      </c>
      <c r="G88" s="64">
        <v>44.21</v>
      </c>
      <c r="H88" s="64">
        <v>11.17</v>
      </c>
      <c r="I88" s="64">
        <v>1.84</v>
      </c>
      <c r="J88" s="64">
        <v>1.07</v>
      </c>
      <c r="K88" s="64">
        <v>340.46</v>
      </c>
      <c r="L88" s="64">
        <v>26.46</v>
      </c>
      <c r="M88" s="64">
        <v>78.150000000000006</v>
      </c>
      <c r="N88" s="64">
        <v>9.5</v>
      </c>
      <c r="O88" s="64">
        <v>0</v>
      </c>
      <c r="P88" s="64">
        <v>0.71</v>
      </c>
      <c r="Q88" s="64">
        <v>4.0199999999999996</v>
      </c>
      <c r="R88" s="198"/>
      <c r="S88" s="198"/>
      <c r="T88" s="198"/>
      <c r="U88" s="198"/>
    </row>
    <row r="89" spans="1:26" s="12" customFormat="1" x14ac:dyDescent="0.25">
      <c r="A89" s="214" t="s">
        <v>2057</v>
      </c>
      <c r="B89" s="64">
        <v>13.19</v>
      </c>
      <c r="C89" s="64">
        <v>18.760000000000002</v>
      </c>
      <c r="D89" s="64">
        <v>31.95</v>
      </c>
      <c r="E89" s="64">
        <v>4.3099999999999996</v>
      </c>
      <c r="F89" s="64">
        <v>3.56</v>
      </c>
      <c r="G89" s="64">
        <v>44.21</v>
      </c>
      <c r="H89" s="64">
        <v>11.17</v>
      </c>
      <c r="I89" s="64">
        <v>1.77</v>
      </c>
      <c r="J89" s="64">
        <v>0.79</v>
      </c>
      <c r="K89" s="64">
        <v>337.89</v>
      </c>
      <c r="L89" s="64">
        <v>26.28</v>
      </c>
      <c r="M89" s="64">
        <v>80.39</v>
      </c>
      <c r="N89" s="64">
        <v>9.5</v>
      </c>
      <c r="O89" s="64">
        <v>0</v>
      </c>
      <c r="P89" s="64">
        <v>0.85</v>
      </c>
      <c r="Q89" s="64">
        <v>5.91</v>
      </c>
      <c r="R89" s="198"/>
      <c r="S89" s="198"/>
      <c r="T89" s="198"/>
      <c r="U89" s="198"/>
    </row>
    <row r="90" spans="1:26" s="12" customFormat="1" x14ac:dyDescent="0.25">
      <c r="A90" s="214" t="s">
        <v>2058</v>
      </c>
      <c r="B90" s="64">
        <v>14.35</v>
      </c>
      <c r="C90" s="64">
        <v>16.21</v>
      </c>
      <c r="D90" s="64">
        <v>30.56</v>
      </c>
      <c r="E90" s="64">
        <v>5.47</v>
      </c>
      <c r="F90" s="64">
        <v>5.43</v>
      </c>
      <c r="G90" s="64">
        <v>44.21</v>
      </c>
      <c r="H90" s="64">
        <v>11.17</v>
      </c>
      <c r="I90" s="64">
        <v>1.83</v>
      </c>
      <c r="J90" s="64">
        <v>0.91</v>
      </c>
      <c r="K90" s="64">
        <v>335.06</v>
      </c>
      <c r="L90" s="64">
        <v>26.19</v>
      </c>
      <c r="M90" s="64">
        <v>82</v>
      </c>
      <c r="N90" s="64">
        <v>9.3000000000000007</v>
      </c>
      <c r="O90" s="64">
        <v>0</v>
      </c>
      <c r="P90" s="64">
        <v>0.88</v>
      </c>
      <c r="Q90" s="64">
        <v>7.18</v>
      </c>
      <c r="R90" s="198"/>
      <c r="S90" s="198"/>
      <c r="T90" s="198"/>
      <c r="U90" s="198"/>
    </row>
    <row r="91" spans="1:26" s="12" customFormat="1" x14ac:dyDescent="0.25">
      <c r="A91" s="214" t="s">
        <v>2059</v>
      </c>
      <c r="B91" s="64">
        <v>13.53</v>
      </c>
      <c r="C91" s="64">
        <v>19.93</v>
      </c>
      <c r="D91" s="64">
        <v>33.46</v>
      </c>
      <c r="E91" s="64">
        <v>4.6399999999999997</v>
      </c>
      <c r="F91" s="64">
        <v>5.54</v>
      </c>
      <c r="G91" s="64">
        <v>48.16</v>
      </c>
      <c r="H91" s="64">
        <v>12.51</v>
      </c>
      <c r="I91" s="64">
        <v>1.84</v>
      </c>
      <c r="J91" s="64">
        <v>0.88</v>
      </c>
      <c r="K91" s="64">
        <v>337.63</v>
      </c>
      <c r="L91" s="64">
        <v>26.06</v>
      </c>
      <c r="M91" s="64">
        <v>83.05</v>
      </c>
      <c r="N91" s="64">
        <v>9.4</v>
      </c>
      <c r="O91" s="64">
        <v>0</v>
      </c>
      <c r="P91" s="64">
        <v>0.85</v>
      </c>
      <c r="Q91" s="64">
        <v>6</v>
      </c>
      <c r="R91" s="198"/>
      <c r="S91" s="198"/>
      <c r="T91" s="198"/>
      <c r="U91" s="198"/>
    </row>
    <row r="92" spans="1:26" s="12" customFormat="1" x14ac:dyDescent="0.25">
      <c r="A92" s="214" t="s">
        <v>2060</v>
      </c>
      <c r="B92" s="64">
        <v>14.53</v>
      </c>
      <c r="C92" s="64">
        <v>19.440000000000001</v>
      </c>
      <c r="D92" s="64">
        <v>33.97</v>
      </c>
      <c r="E92" s="64">
        <v>4.32</v>
      </c>
      <c r="F92" s="64">
        <v>5.57</v>
      </c>
      <c r="G92" s="64">
        <v>57.9</v>
      </c>
      <c r="H92" s="64">
        <v>14.63</v>
      </c>
      <c r="I92" s="64">
        <v>1.82</v>
      </c>
      <c r="J92" s="64">
        <v>0.92</v>
      </c>
      <c r="K92" s="64">
        <v>341.46</v>
      </c>
      <c r="L92" s="64">
        <v>26.02</v>
      </c>
      <c r="M92" s="64">
        <v>83.36</v>
      </c>
      <c r="N92" s="64">
        <v>9.4</v>
      </c>
      <c r="O92" s="64">
        <v>0</v>
      </c>
      <c r="P92" s="64">
        <v>0.84</v>
      </c>
      <c r="Q92" s="64">
        <v>7.64</v>
      </c>
      <c r="R92" s="198"/>
      <c r="S92" s="198"/>
      <c r="T92" s="198"/>
      <c r="U92" s="198"/>
    </row>
    <row r="93" spans="1:26" s="12" customFormat="1" x14ac:dyDescent="0.25">
      <c r="A93" s="214" t="s">
        <v>2061</v>
      </c>
      <c r="B93" s="64">
        <v>17.059999999999999</v>
      </c>
      <c r="C93" s="64">
        <v>23.26</v>
      </c>
      <c r="D93" s="64">
        <v>40.33</v>
      </c>
      <c r="E93" s="64">
        <v>4.8899999999999997</v>
      </c>
      <c r="F93" s="64">
        <v>6.98</v>
      </c>
      <c r="G93" s="64">
        <v>57.9</v>
      </c>
      <c r="H93" s="64">
        <v>14.63</v>
      </c>
      <c r="I93" s="64">
        <v>1.72</v>
      </c>
      <c r="J93" s="64">
        <v>0.74</v>
      </c>
      <c r="K93" s="64">
        <v>342.48</v>
      </c>
      <c r="L93" s="64">
        <v>26</v>
      </c>
      <c r="M93" s="64">
        <v>83.79</v>
      </c>
      <c r="N93" s="64">
        <v>9.4</v>
      </c>
      <c r="O93" s="64">
        <v>0</v>
      </c>
      <c r="P93" s="64">
        <v>0.97</v>
      </c>
      <c r="Q93" s="64">
        <v>7.09</v>
      </c>
      <c r="R93" s="198"/>
      <c r="S93" s="198"/>
      <c r="T93" s="198"/>
      <c r="U93" s="198"/>
    </row>
    <row r="94" spans="1:26" s="12" customFormat="1" x14ac:dyDescent="0.25">
      <c r="A94" s="214" t="s">
        <v>2062</v>
      </c>
      <c r="B94" s="64">
        <v>12.47</v>
      </c>
      <c r="C94" s="64">
        <v>14.24</v>
      </c>
      <c r="D94" s="64">
        <v>26.71</v>
      </c>
      <c r="E94" s="64">
        <v>4.5999999999999996</v>
      </c>
      <c r="F94" s="64">
        <v>1.81</v>
      </c>
      <c r="G94" s="64">
        <v>57.9</v>
      </c>
      <c r="H94" s="64">
        <v>14.63</v>
      </c>
      <c r="I94" s="64">
        <v>1.82</v>
      </c>
      <c r="J94" s="64">
        <v>1.1000000000000001</v>
      </c>
      <c r="K94" s="64">
        <v>339.21</v>
      </c>
      <c r="L94" s="64">
        <v>25.85</v>
      </c>
      <c r="M94" s="64">
        <v>85.3</v>
      </c>
      <c r="N94" s="64">
        <v>9.3000000000000007</v>
      </c>
      <c r="O94" s="64">
        <v>0</v>
      </c>
      <c r="P94" s="64">
        <v>0.85</v>
      </c>
      <c r="Q94" s="64">
        <v>8.6999999999999993</v>
      </c>
      <c r="R94" s="198"/>
      <c r="S94" s="198"/>
      <c r="T94" s="198"/>
      <c r="U94" s="198"/>
    </row>
    <row r="95" spans="1:26" s="12" customFormat="1" x14ac:dyDescent="0.25">
      <c r="A95" s="214" t="s">
        <v>2063</v>
      </c>
      <c r="B95" s="64">
        <v>13.52</v>
      </c>
      <c r="C95" s="64">
        <v>17.52</v>
      </c>
      <c r="D95" s="64">
        <v>31.04</v>
      </c>
      <c r="E95" s="64">
        <v>4.76</v>
      </c>
      <c r="F95" s="64">
        <v>2.1</v>
      </c>
      <c r="G95" s="64">
        <v>58.68</v>
      </c>
      <c r="H95" s="64">
        <v>16.12</v>
      </c>
      <c r="I95" s="64">
        <v>1.91</v>
      </c>
      <c r="J95" s="64">
        <v>1.07</v>
      </c>
      <c r="K95" s="64">
        <v>335.37</v>
      </c>
      <c r="L95" s="64">
        <v>25.85</v>
      </c>
      <c r="M95" s="64">
        <v>85.78</v>
      </c>
      <c r="N95" s="64">
        <v>9.3000000000000007</v>
      </c>
      <c r="O95" s="64">
        <v>0</v>
      </c>
      <c r="P95" s="64">
        <v>0.84</v>
      </c>
      <c r="Q95" s="64">
        <v>8.81</v>
      </c>
      <c r="R95" s="198"/>
      <c r="S95" s="198"/>
      <c r="T95" s="198"/>
      <c r="U95" s="198"/>
    </row>
    <row r="96" spans="1:26" s="12" customFormat="1" x14ac:dyDescent="0.25">
      <c r="A96" s="214" t="s">
        <v>2064</v>
      </c>
      <c r="B96" s="64">
        <v>12.93</v>
      </c>
      <c r="C96" s="64">
        <v>13.84</v>
      </c>
      <c r="D96" s="64">
        <v>26.77</v>
      </c>
      <c r="E96" s="64">
        <v>4.62</v>
      </c>
      <c r="F96" s="64">
        <v>1.99</v>
      </c>
      <c r="G96" s="64">
        <v>60.6</v>
      </c>
      <c r="H96" s="64">
        <v>18.48</v>
      </c>
      <c r="I96" s="64">
        <v>1.81</v>
      </c>
      <c r="J96" s="64">
        <v>1.03</v>
      </c>
      <c r="K96" s="64">
        <v>343.19</v>
      </c>
      <c r="L96" s="64">
        <v>25.77</v>
      </c>
      <c r="M96" s="64">
        <v>86.86</v>
      </c>
      <c r="N96" s="64">
        <v>9.5</v>
      </c>
      <c r="O96" s="64">
        <v>0</v>
      </c>
      <c r="P96" s="64">
        <v>0.85</v>
      </c>
      <c r="Q96" s="64">
        <v>7.28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2065</v>
      </c>
      <c r="B97" s="64">
        <v>14.7</v>
      </c>
      <c r="C97" s="64">
        <v>15.42</v>
      </c>
      <c r="D97" s="64">
        <v>30.12</v>
      </c>
      <c r="E97" s="64">
        <v>4.6900000000000004</v>
      </c>
      <c r="F97" s="64">
        <v>2.31</v>
      </c>
      <c r="G97" s="64">
        <v>60.6</v>
      </c>
      <c r="H97" s="64">
        <v>18.48</v>
      </c>
      <c r="I97" s="64">
        <v>1.87</v>
      </c>
      <c r="J97" s="64">
        <v>0.79</v>
      </c>
      <c r="K97" s="64">
        <v>342.49</v>
      </c>
      <c r="L97" s="64">
        <v>25.74</v>
      </c>
      <c r="M97" s="64">
        <v>87.68</v>
      </c>
      <c r="N97" s="64">
        <v>9.5</v>
      </c>
      <c r="O97" s="64">
        <v>0</v>
      </c>
      <c r="P97" s="64">
        <v>0.85</v>
      </c>
      <c r="Q97" s="64">
        <v>8.5</v>
      </c>
      <c r="R97" s="198"/>
      <c r="S97" s="198"/>
      <c r="T97" s="198"/>
      <c r="U97" s="198"/>
    </row>
    <row r="98" spans="1:33" s="12" customFormat="1" x14ac:dyDescent="0.25">
      <c r="A98" s="214" t="s">
        <v>2066</v>
      </c>
      <c r="B98" s="64">
        <v>14.43</v>
      </c>
      <c r="C98" s="64">
        <v>16.489999999999998</v>
      </c>
      <c r="D98" s="64">
        <v>30.92</v>
      </c>
      <c r="E98" s="64">
        <v>4.92</v>
      </c>
      <c r="F98" s="64">
        <v>3.59</v>
      </c>
      <c r="G98" s="64">
        <v>60.6</v>
      </c>
      <c r="H98" s="64">
        <v>18.48</v>
      </c>
      <c r="I98" s="64">
        <v>1.83</v>
      </c>
      <c r="J98" s="64">
        <v>0.67</v>
      </c>
      <c r="K98" s="64">
        <v>336.77</v>
      </c>
      <c r="L98" s="64">
        <v>25.77</v>
      </c>
      <c r="M98" s="64">
        <v>88.14</v>
      </c>
      <c r="N98" s="64">
        <v>9.5</v>
      </c>
      <c r="O98" s="64">
        <v>0</v>
      </c>
      <c r="P98" s="64">
        <v>0.86</v>
      </c>
      <c r="Q98" s="64">
        <v>7.62</v>
      </c>
      <c r="R98" s="198"/>
      <c r="S98" s="198"/>
      <c r="T98" s="198"/>
      <c r="U98" s="198"/>
    </row>
    <row r="99" spans="1:33" s="12" customFormat="1" x14ac:dyDescent="0.25">
      <c r="A99" s="214" t="s">
        <v>2067</v>
      </c>
      <c r="B99" s="64">
        <v>15.78</v>
      </c>
      <c r="C99" s="64">
        <v>13.25</v>
      </c>
      <c r="D99" s="64">
        <v>29.03</v>
      </c>
      <c r="E99" s="64">
        <v>4.76</v>
      </c>
      <c r="F99" s="64">
        <v>1.79</v>
      </c>
      <c r="G99" s="64">
        <v>60.64</v>
      </c>
      <c r="H99" s="64">
        <v>17.7</v>
      </c>
      <c r="I99" s="64">
        <v>1.79</v>
      </c>
      <c r="J99" s="64">
        <v>0.76</v>
      </c>
      <c r="K99" s="64">
        <v>336.47</v>
      </c>
      <c r="L99" s="64">
        <v>25.62</v>
      </c>
      <c r="M99" s="64">
        <v>89.5</v>
      </c>
      <c r="N99" s="64">
        <v>9.5</v>
      </c>
      <c r="O99" s="64">
        <v>0</v>
      </c>
      <c r="P99" s="64">
        <v>0.88</v>
      </c>
      <c r="Q99" s="64">
        <v>7.29</v>
      </c>
      <c r="R99" s="198"/>
      <c r="S99" s="198"/>
      <c r="T99" s="198"/>
      <c r="U99" s="198"/>
    </row>
    <row r="100" spans="1:33" s="12" customFormat="1" x14ac:dyDescent="0.25">
      <c r="A100" s="214" t="s">
        <v>2068</v>
      </c>
      <c r="B100" s="64">
        <v>14.07</v>
      </c>
      <c r="C100" s="64">
        <v>13.44</v>
      </c>
      <c r="D100" s="64">
        <v>27.51</v>
      </c>
      <c r="E100" s="64">
        <v>5.23</v>
      </c>
      <c r="F100" s="64">
        <v>1.17</v>
      </c>
      <c r="G100" s="64">
        <v>60.72</v>
      </c>
      <c r="H100" s="64">
        <v>16.46</v>
      </c>
      <c r="I100" s="64">
        <v>1.85</v>
      </c>
      <c r="J100" s="64">
        <v>0.83</v>
      </c>
      <c r="K100" s="64">
        <v>324.27</v>
      </c>
      <c r="L100" s="64">
        <v>25.5</v>
      </c>
      <c r="M100" s="64">
        <v>90.62</v>
      </c>
      <c r="N100" s="64">
        <v>9.4</v>
      </c>
      <c r="O100" s="64">
        <v>0</v>
      </c>
      <c r="P100" s="64">
        <v>0.87</v>
      </c>
      <c r="Q100" s="64">
        <v>8.83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2069</v>
      </c>
      <c r="B101" s="64">
        <v>13.75</v>
      </c>
      <c r="C101" s="64">
        <v>14.83</v>
      </c>
      <c r="D101" s="64">
        <v>28.58</v>
      </c>
      <c r="E101" s="64">
        <v>5.15</v>
      </c>
      <c r="F101" s="64">
        <v>4.42</v>
      </c>
      <c r="G101" s="64">
        <v>60.72</v>
      </c>
      <c r="H101" s="64">
        <v>16.46</v>
      </c>
      <c r="I101" s="64">
        <v>1.72</v>
      </c>
      <c r="J101" s="64">
        <v>0.89</v>
      </c>
      <c r="K101" s="64">
        <v>336.19</v>
      </c>
      <c r="L101" s="64">
        <v>25.45</v>
      </c>
      <c r="M101" s="64">
        <v>91.04</v>
      </c>
      <c r="N101" s="64">
        <v>9.5</v>
      </c>
      <c r="O101" s="64">
        <v>0</v>
      </c>
      <c r="P101" s="64">
        <v>0.89</v>
      </c>
      <c r="Q101" s="64">
        <v>8.44</v>
      </c>
      <c r="R101" s="198"/>
      <c r="S101" s="198"/>
      <c r="T101" s="198"/>
      <c r="U101" s="198"/>
    </row>
    <row r="102" spans="1:33" s="12" customFormat="1" x14ac:dyDescent="0.25">
      <c r="A102" s="214" t="s">
        <v>2070</v>
      </c>
      <c r="B102" s="64">
        <v>13.37</v>
      </c>
      <c r="C102" s="64">
        <v>18.34</v>
      </c>
      <c r="D102" s="64">
        <v>31.71</v>
      </c>
      <c r="E102" s="64">
        <v>5.04</v>
      </c>
      <c r="F102" s="64">
        <v>6.24</v>
      </c>
      <c r="G102" s="64">
        <v>60.72</v>
      </c>
      <c r="H102" s="64">
        <v>16.46</v>
      </c>
      <c r="I102" s="64">
        <v>1.77</v>
      </c>
      <c r="J102" s="64">
        <v>0.71</v>
      </c>
      <c r="K102" s="64">
        <v>336.56</v>
      </c>
      <c r="L102" s="64">
        <v>25.35</v>
      </c>
      <c r="M102" s="64">
        <v>91.74</v>
      </c>
      <c r="N102" s="64">
        <v>9.5</v>
      </c>
      <c r="O102" s="64">
        <v>0</v>
      </c>
      <c r="P102" s="64">
        <v>0.88</v>
      </c>
      <c r="Q102" s="64">
        <v>7.98</v>
      </c>
      <c r="R102" s="198"/>
      <c r="S102" s="198"/>
      <c r="T102" s="198"/>
      <c r="U102" s="198"/>
    </row>
    <row r="103" spans="1:33" s="12" customFormat="1" x14ac:dyDescent="0.25">
      <c r="A103" s="214" t="s">
        <v>2071</v>
      </c>
      <c r="B103" s="64">
        <v>11.69</v>
      </c>
      <c r="C103" s="64">
        <v>21.96</v>
      </c>
      <c r="D103" s="64">
        <v>33.65</v>
      </c>
      <c r="E103" s="64">
        <v>4.1500000000000004</v>
      </c>
      <c r="F103" s="64">
        <v>7.02</v>
      </c>
      <c r="G103" s="64">
        <v>62.22</v>
      </c>
      <c r="H103" s="64">
        <v>16.62</v>
      </c>
      <c r="I103" s="64">
        <v>1.8</v>
      </c>
      <c r="J103" s="64">
        <v>0.49</v>
      </c>
      <c r="K103" s="64">
        <v>339.3</v>
      </c>
      <c r="L103" s="64">
        <v>25.23</v>
      </c>
      <c r="M103" s="64">
        <v>93.48</v>
      </c>
      <c r="N103" s="64">
        <v>9.5</v>
      </c>
      <c r="O103" s="64">
        <v>0</v>
      </c>
      <c r="P103" s="64">
        <v>0.9</v>
      </c>
      <c r="Q103" s="64">
        <v>8.8699999999999992</v>
      </c>
      <c r="R103" s="198"/>
      <c r="S103" s="198"/>
      <c r="T103" s="198"/>
      <c r="U103" s="198"/>
    </row>
    <row r="104" spans="1:33" s="12" customFormat="1" x14ac:dyDescent="0.25">
      <c r="A104" s="214" t="s">
        <v>2072</v>
      </c>
      <c r="B104" s="64">
        <v>9.35</v>
      </c>
      <c r="C104" s="64">
        <v>20.11</v>
      </c>
      <c r="D104" s="64">
        <v>29.46</v>
      </c>
      <c r="E104" s="64">
        <v>3.96</v>
      </c>
      <c r="F104" s="64">
        <v>3.99</v>
      </c>
      <c r="G104" s="64">
        <v>65.930000000000007</v>
      </c>
      <c r="H104" s="64">
        <v>17.23</v>
      </c>
      <c r="I104" s="64">
        <v>1.73</v>
      </c>
      <c r="J104" s="64">
        <v>0.64</v>
      </c>
      <c r="K104" s="64">
        <v>326.69</v>
      </c>
      <c r="L104" s="64">
        <v>25.1</v>
      </c>
      <c r="M104" s="64">
        <v>94.18</v>
      </c>
      <c r="N104" s="64">
        <v>9.4</v>
      </c>
      <c r="O104" s="64">
        <v>0</v>
      </c>
      <c r="P104" s="64">
        <v>0.87</v>
      </c>
      <c r="Q104" s="64">
        <v>9.44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4.5999999999999996</v>
      </c>
      <c r="C106" s="67">
        <f>MIN(C9:C104)</f>
        <v>10.34</v>
      </c>
      <c r="D106" s="67">
        <f t="shared" ref="D106:Q106" si="0">MIN(D9:D104)</f>
        <v>17.93</v>
      </c>
      <c r="E106" s="67">
        <f t="shared" si="0"/>
        <v>3.11</v>
      </c>
      <c r="F106" s="67">
        <f t="shared" si="0"/>
        <v>0.36</v>
      </c>
      <c r="G106" s="67">
        <f t="shared" si="0"/>
        <v>17.97</v>
      </c>
      <c r="H106" s="67">
        <f t="shared" si="0"/>
        <v>10.57</v>
      </c>
      <c r="I106" s="67">
        <f t="shared" si="0"/>
        <v>1.7</v>
      </c>
      <c r="J106" s="67">
        <f t="shared" si="0"/>
        <v>0.03</v>
      </c>
      <c r="K106" s="67">
        <f t="shared" si="0"/>
        <v>0.49</v>
      </c>
      <c r="L106" s="67">
        <f t="shared" si="0"/>
        <v>23.14</v>
      </c>
      <c r="M106" s="67">
        <f t="shared" si="0"/>
        <v>52.55</v>
      </c>
      <c r="N106" s="67">
        <f t="shared" si="0"/>
        <v>9</v>
      </c>
      <c r="O106" s="67">
        <f t="shared" si="0"/>
        <v>0</v>
      </c>
      <c r="P106" s="67">
        <f t="shared" si="0"/>
        <v>0.44</v>
      </c>
      <c r="Q106" s="67">
        <f t="shared" si="0"/>
        <v>2.46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22.99</v>
      </c>
      <c r="C107" s="66">
        <f t="shared" ref="C107:Q107" si="1">MAX(C9:C104)</f>
        <v>29.51</v>
      </c>
      <c r="D107" s="66">
        <f t="shared" si="1"/>
        <v>50.79</v>
      </c>
      <c r="E107" s="66">
        <f t="shared" si="1"/>
        <v>6.33</v>
      </c>
      <c r="F107" s="66">
        <f t="shared" si="1"/>
        <v>12.36</v>
      </c>
      <c r="G107" s="66">
        <f t="shared" si="1"/>
        <v>99.46</v>
      </c>
      <c r="H107" s="66">
        <f t="shared" si="1"/>
        <v>29.57</v>
      </c>
      <c r="I107" s="66">
        <f t="shared" si="1"/>
        <v>1.92</v>
      </c>
      <c r="J107" s="66">
        <f t="shared" si="1"/>
        <v>1.61</v>
      </c>
      <c r="K107" s="66">
        <f t="shared" si="1"/>
        <v>358</v>
      </c>
      <c r="L107" s="66">
        <f t="shared" si="1"/>
        <v>34.57</v>
      </c>
      <c r="M107" s="66">
        <f t="shared" si="1"/>
        <v>98.8</v>
      </c>
      <c r="N107" s="66">
        <f t="shared" si="1"/>
        <v>873.8</v>
      </c>
      <c r="O107" s="66">
        <f t="shared" si="1"/>
        <v>0</v>
      </c>
      <c r="P107" s="66">
        <f t="shared" si="1"/>
        <v>0.97</v>
      </c>
      <c r="Q107" s="66">
        <f t="shared" si="1"/>
        <v>13.54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9.9271875000000023</v>
      </c>
      <c r="C108" s="67">
        <f t="shared" ref="C108:Q108" si="2">AVERAGE(C9:C104)</f>
        <v>15.68895833333333</v>
      </c>
      <c r="D108" s="67">
        <f t="shared" si="2"/>
        <v>25.607187500000006</v>
      </c>
      <c r="E108" s="67">
        <f t="shared" si="2"/>
        <v>4.5114583333333327</v>
      </c>
      <c r="F108" s="67">
        <f t="shared" si="2"/>
        <v>3.3288541666666678</v>
      </c>
      <c r="G108" s="67">
        <f t="shared" si="2"/>
        <v>51.247187500000017</v>
      </c>
      <c r="H108" s="67">
        <f t="shared" si="2"/>
        <v>18.581145833333348</v>
      </c>
      <c r="I108" s="67">
        <f t="shared" si="2"/>
        <v>1.804895833333334</v>
      </c>
      <c r="J108" s="67">
        <f t="shared" si="2"/>
        <v>0.63166666666666671</v>
      </c>
      <c r="K108" s="67">
        <f t="shared" si="2"/>
        <v>312.88343750000007</v>
      </c>
      <c r="L108" s="67">
        <f t="shared" si="2"/>
        <v>27.912812500000001</v>
      </c>
      <c r="M108" s="67">
        <f t="shared" si="2"/>
        <v>77.541979166666678</v>
      </c>
      <c r="N108" s="67">
        <f t="shared" si="2"/>
        <v>197.19791666666671</v>
      </c>
      <c r="O108" s="67">
        <f t="shared" si="2"/>
        <v>0</v>
      </c>
      <c r="P108" s="67">
        <f t="shared" si="2"/>
        <v>0.61541666666666683</v>
      </c>
      <c r="Q108" s="67">
        <f t="shared" si="2"/>
        <v>7.401562499999998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4.0740515727105455</v>
      </c>
      <c r="C109" s="67">
        <f t="shared" ref="C109:Q109" si="3">STDEV(C9:C104)</f>
        <v>3.6054501081635131</v>
      </c>
      <c r="D109" s="67">
        <f t="shared" si="3"/>
        <v>6.0045461203859549</v>
      </c>
      <c r="E109" s="67">
        <f t="shared" si="3"/>
        <v>0.80498575229846547</v>
      </c>
      <c r="F109" s="67">
        <f t="shared" si="3"/>
        <v>2.3871695945712808</v>
      </c>
      <c r="G109" s="67">
        <f t="shared" si="3"/>
        <v>16.705206481379498</v>
      </c>
      <c r="H109" s="67">
        <f t="shared" si="3"/>
        <v>4.4418599399212022</v>
      </c>
      <c r="I109" s="67">
        <f t="shared" si="3"/>
        <v>4.3721481933440241E-2</v>
      </c>
      <c r="J109" s="67">
        <f t="shared" si="3"/>
        <v>0.37224119703752523</v>
      </c>
      <c r="K109" s="67">
        <f t="shared" si="3"/>
        <v>74.992015053226808</v>
      </c>
      <c r="L109" s="67">
        <f t="shared" si="3"/>
        <v>3.8218374481737092</v>
      </c>
      <c r="M109" s="67">
        <f t="shared" si="3"/>
        <v>17.683376113698088</v>
      </c>
      <c r="N109" s="67">
        <f t="shared" si="3"/>
        <v>278.26912984949104</v>
      </c>
      <c r="O109" s="67">
        <f t="shared" si="3"/>
        <v>0</v>
      </c>
      <c r="P109" s="67">
        <f t="shared" si="3"/>
        <v>0.13835055906277399</v>
      </c>
      <c r="Q109" s="67">
        <f t="shared" si="3"/>
        <v>3.1853973818447185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2073</v>
      </c>
      <c r="B9" s="64">
        <v>10.91</v>
      </c>
      <c r="C9" s="64">
        <v>18.670000000000002</v>
      </c>
      <c r="D9" s="64">
        <v>29.58</v>
      </c>
      <c r="E9" s="64">
        <v>4.3600000000000003</v>
      </c>
      <c r="F9" s="64">
        <v>6.86</v>
      </c>
      <c r="G9" s="64">
        <v>65.930000000000007</v>
      </c>
      <c r="H9" s="64">
        <v>17.23</v>
      </c>
      <c r="I9" s="64">
        <v>1.78</v>
      </c>
      <c r="J9" s="64">
        <v>0.56999999999999995</v>
      </c>
      <c r="K9" s="64">
        <v>329.94</v>
      </c>
      <c r="L9" s="64">
        <v>25.01</v>
      </c>
      <c r="M9" s="64">
        <v>94.46</v>
      </c>
      <c r="N9" s="64">
        <v>9.5</v>
      </c>
      <c r="O9" s="64">
        <v>0</v>
      </c>
      <c r="P9" s="64">
        <v>0.73</v>
      </c>
      <c r="Q9" s="64">
        <v>10.3</v>
      </c>
      <c r="R9" s="198"/>
      <c r="S9" s="198"/>
      <c r="T9" s="198"/>
      <c r="U9" s="198"/>
    </row>
    <row r="10" spans="1:21" s="12" customFormat="1" x14ac:dyDescent="0.25">
      <c r="A10" s="214" t="s">
        <v>2074</v>
      </c>
      <c r="B10" s="64">
        <v>10.98</v>
      </c>
      <c r="C10" s="64">
        <v>13.1</v>
      </c>
      <c r="D10" s="64">
        <v>24.08</v>
      </c>
      <c r="E10" s="64">
        <v>4.26</v>
      </c>
      <c r="F10" s="64">
        <v>2.63</v>
      </c>
      <c r="G10" s="64">
        <v>65.930000000000007</v>
      </c>
      <c r="H10" s="64">
        <v>17.23</v>
      </c>
      <c r="I10" s="64">
        <v>1.74</v>
      </c>
      <c r="J10" s="64">
        <v>0.36</v>
      </c>
      <c r="K10" s="64">
        <v>334.39</v>
      </c>
      <c r="L10" s="64">
        <v>24.93</v>
      </c>
      <c r="M10" s="64">
        <v>94.06</v>
      </c>
      <c r="N10" s="64">
        <v>9.4</v>
      </c>
      <c r="O10" s="64">
        <v>0</v>
      </c>
      <c r="P10" s="64">
        <v>0.84</v>
      </c>
      <c r="Q10" s="64">
        <v>10.27</v>
      </c>
      <c r="R10" s="198"/>
      <c r="S10" s="198"/>
      <c r="T10" s="198"/>
      <c r="U10" s="198"/>
    </row>
    <row r="11" spans="1:21" s="12" customFormat="1" x14ac:dyDescent="0.25">
      <c r="A11" s="214" t="s">
        <v>2075</v>
      </c>
      <c r="B11" s="64">
        <v>11.14</v>
      </c>
      <c r="C11" s="64">
        <v>13.49</v>
      </c>
      <c r="D11" s="64">
        <v>24.63</v>
      </c>
      <c r="E11" s="64">
        <v>4.4000000000000004</v>
      </c>
      <c r="F11" s="64">
        <v>3.66</v>
      </c>
      <c r="G11" s="64">
        <v>62.41</v>
      </c>
      <c r="H11" s="64">
        <v>18.55</v>
      </c>
      <c r="I11" s="64">
        <v>1.8</v>
      </c>
      <c r="J11" s="64">
        <v>0.27</v>
      </c>
      <c r="K11" s="64">
        <v>326.20999999999998</v>
      </c>
      <c r="L11" s="64">
        <v>24.87</v>
      </c>
      <c r="M11" s="64">
        <v>94.35</v>
      </c>
      <c r="N11" s="64">
        <v>9.3000000000000007</v>
      </c>
      <c r="O11" s="64">
        <v>0</v>
      </c>
      <c r="P11" s="64">
        <v>0.7</v>
      </c>
      <c r="Q11" s="64">
        <v>10.26</v>
      </c>
      <c r="R11" s="198"/>
      <c r="S11" s="198"/>
      <c r="T11" s="198"/>
      <c r="U11" s="198"/>
    </row>
    <row r="12" spans="1:21" s="12" customFormat="1" x14ac:dyDescent="0.25">
      <c r="A12" s="214" t="s">
        <v>2076</v>
      </c>
      <c r="B12" s="64">
        <v>10.46</v>
      </c>
      <c r="C12" s="64">
        <v>11.39</v>
      </c>
      <c r="D12" s="64">
        <v>21.85</v>
      </c>
      <c r="E12" s="64">
        <v>4.8099999999999996</v>
      </c>
      <c r="F12" s="64">
        <v>1.28</v>
      </c>
      <c r="G12" s="64">
        <v>53.76</v>
      </c>
      <c r="H12" s="64">
        <v>20.63</v>
      </c>
      <c r="I12" s="64">
        <v>1.85</v>
      </c>
      <c r="J12" s="64">
        <v>0.28999999999999998</v>
      </c>
      <c r="K12" s="64">
        <v>325.17</v>
      </c>
      <c r="L12" s="64">
        <v>24.86</v>
      </c>
      <c r="M12" s="64">
        <v>96.34</v>
      </c>
      <c r="N12" s="64">
        <v>9.4</v>
      </c>
      <c r="O12" s="64">
        <v>0</v>
      </c>
      <c r="P12" s="64">
        <v>0.77</v>
      </c>
      <c r="Q12" s="64">
        <v>8.41</v>
      </c>
      <c r="R12" s="198"/>
      <c r="S12" s="198"/>
      <c r="T12" s="198"/>
      <c r="U12" s="198"/>
    </row>
    <row r="13" spans="1:21" s="12" customFormat="1" x14ac:dyDescent="0.25">
      <c r="A13" s="214" t="s">
        <v>2077</v>
      </c>
      <c r="B13" s="64">
        <v>9.9499999999999993</v>
      </c>
      <c r="C13" s="64">
        <v>10.17</v>
      </c>
      <c r="D13" s="64">
        <v>20.11</v>
      </c>
      <c r="E13" s="64">
        <v>4.45</v>
      </c>
      <c r="F13" s="64">
        <v>1.42</v>
      </c>
      <c r="G13" s="64">
        <v>53.76</v>
      </c>
      <c r="H13" s="64">
        <v>20.63</v>
      </c>
      <c r="I13" s="64">
        <v>1.83</v>
      </c>
      <c r="J13" s="64">
        <v>0.65</v>
      </c>
      <c r="K13" s="64">
        <v>316.83</v>
      </c>
      <c r="L13" s="64">
        <v>24.78</v>
      </c>
      <c r="M13" s="64">
        <v>97.5</v>
      </c>
      <c r="N13" s="64">
        <v>9.1999999999999993</v>
      </c>
      <c r="O13" s="64">
        <v>0</v>
      </c>
      <c r="P13" s="64">
        <v>0.7</v>
      </c>
      <c r="Q13" s="64">
        <v>9.06</v>
      </c>
      <c r="R13" s="198"/>
      <c r="S13" s="198"/>
      <c r="T13" s="198"/>
      <c r="U13" s="198"/>
    </row>
    <row r="14" spans="1:21" s="12" customFormat="1" x14ac:dyDescent="0.25">
      <c r="A14" s="214" t="s">
        <v>2078</v>
      </c>
      <c r="B14" s="64">
        <v>9.1999999999999993</v>
      </c>
      <c r="C14" s="64">
        <v>9.44</v>
      </c>
      <c r="D14" s="64">
        <v>18.64</v>
      </c>
      <c r="E14" s="64">
        <v>4.88</v>
      </c>
      <c r="F14" s="64">
        <v>1.65</v>
      </c>
      <c r="G14" s="64">
        <v>53.76</v>
      </c>
      <c r="H14" s="64">
        <v>20.63</v>
      </c>
      <c r="I14" s="64">
        <v>1.85</v>
      </c>
      <c r="J14" s="64">
        <v>0.73</v>
      </c>
      <c r="K14" s="64">
        <v>320.14999999999998</v>
      </c>
      <c r="L14" s="64">
        <v>24.75</v>
      </c>
      <c r="M14" s="64">
        <v>97.32</v>
      </c>
      <c r="N14" s="64">
        <v>9.4</v>
      </c>
      <c r="O14" s="64">
        <v>0</v>
      </c>
      <c r="P14" s="64">
        <v>0.68</v>
      </c>
      <c r="Q14" s="64">
        <v>7.23</v>
      </c>
      <c r="R14" s="198"/>
      <c r="S14" s="198"/>
      <c r="T14" s="198"/>
      <c r="U14" s="198"/>
    </row>
    <row r="15" spans="1:21" s="12" customFormat="1" x14ac:dyDescent="0.25">
      <c r="A15" s="214" t="s">
        <v>2079</v>
      </c>
      <c r="B15" s="64">
        <v>8.65</v>
      </c>
      <c r="C15" s="64">
        <v>8.9</v>
      </c>
      <c r="D15" s="64">
        <v>17.55</v>
      </c>
      <c r="E15" s="64">
        <v>5.04</v>
      </c>
      <c r="F15" s="64">
        <v>1.58</v>
      </c>
      <c r="G15" s="64">
        <v>51.61</v>
      </c>
      <c r="H15" s="64">
        <v>18.29</v>
      </c>
      <c r="I15" s="64">
        <v>1.85</v>
      </c>
      <c r="J15" s="64">
        <v>0.45</v>
      </c>
      <c r="K15" s="64">
        <v>322.77</v>
      </c>
      <c r="L15" s="64">
        <v>24.72</v>
      </c>
      <c r="M15" s="64">
        <v>97.07</v>
      </c>
      <c r="N15" s="64">
        <v>9.5</v>
      </c>
      <c r="O15" s="64">
        <v>0</v>
      </c>
      <c r="P15" s="64">
        <v>0.68</v>
      </c>
      <c r="Q15" s="64">
        <v>5.55</v>
      </c>
      <c r="R15" s="198"/>
      <c r="S15" s="198"/>
      <c r="T15" s="198"/>
      <c r="U15" s="198"/>
    </row>
    <row r="16" spans="1:21" s="12" customFormat="1" x14ac:dyDescent="0.25">
      <c r="A16" s="214" t="s">
        <v>2080</v>
      </c>
      <c r="B16" s="64">
        <v>8.02</v>
      </c>
      <c r="C16" s="64">
        <v>9.23</v>
      </c>
      <c r="D16" s="64">
        <v>17.25</v>
      </c>
      <c r="E16" s="64">
        <v>4.95</v>
      </c>
      <c r="F16" s="64">
        <v>0.92</v>
      </c>
      <c r="G16" s="64">
        <v>46.33</v>
      </c>
      <c r="H16" s="64">
        <v>14.46</v>
      </c>
      <c r="I16" s="64">
        <v>1.78</v>
      </c>
      <c r="J16" s="64">
        <v>0.56999999999999995</v>
      </c>
      <c r="K16" s="64">
        <v>323.14</v>
      </c>
      <c r="L16" s="64">
        <v>24.67</v>
      </c>
      <c r="M16" s="64">
        <v>97</v>
      </c>
      <c r="N16" s="64">
        <v>9.4</v>
      </c>
      <c r="O16" s="64">
        <v>0</v>
      </c>
      <c r="P16" s="64">
        <v>0.64</v>
      </c>
      <c r="Q16" s="64">
        <v>6.88</v>
      </c>
      <c r="R16" s="198"/>
      <c r="S16" s="198"/>
      <c r="T16" s="198"/>
      <c r="U16" s="198"/>
    </row>
    <row r="17" spans="1:21" s="12" customFormat="1" x14ac:dyDescent="0.25">
      <c r="A17" s="214" t="s">
        <v>2081</v>
      </c>
      <c r="B17" s="64">
        <v>7.25</v>
      </c>
      <c r="C17" s="64">
        <v>9.85</v>
      </c>
      <c r="D17" s="64">
        <v>17.100000000000001</v>
      </c>
      <c r="E17" s="64">
        <v>4.74</v>
      </c>
      <c r="F17" s="64">
        <v>2.74</v>
      </c>
      <c r="G17" s="64">
        <v>46.33</v>
      </c>
      <c r="H17" s="64">
        <v>14.46</v>
      </c>
      <c r="I17" s="64">
        <v>1.83</v>
      </c>
      <c r="J17" s="64">
        <v>0.61</v>
      </c>
      <c r="K17" s="64">
        <v>318.22000000000003</v>
      </c>
      <c r="L17" s="64">
        <v>24.72</v>
      </c>
      <c r="M17" s="64">
        <v>95.31</v>
      </c>
      <c r="N17" s="64">
        <v>9.4</v>
      </c>
      <c r="O17" s="64">
        <v>0</v>
      </c>
      <c r="P17" s="64">
        <v>0.56000000000000005</v>
      </c>
      <c r="Q17" s="64">
        <v>7.22</v>
      </c>
      <c r="R17" s="198"/>
      <c r="S17" s="198"/>
      <c r="T17" s="198"/>
      <c r="U17" s="198"/>
    </row>
    <row r="18" spans="1:21" s="12" customFormat="1" x14ac:dyDescent="0.25">
      <c r="A18" s="214" t="s">
        <v>2082</v>
      </c>
      <c r="B18" s="64">
        <v>6.97</v>
      </c>
      <c r="C18" s="64">
        <v>9.14</v>
      </c>
      <c r="D18" s="64">
        <v>16.11</v>
      </c>
      <c r="E18" s="64">
        <v>4.9000000000000004</v>
      </c>
      <c r="F18" s="64">
        <v>2.59</v>
      </c>
      <c r="G18" s="64">
        <v>46.33</v>
      </c>
      <c r="H18" s="64">
        <v>14.46</v>
      </c>
      <c r="I18" s="64">
        <v>1.77</v>
      </c>
      <c r="J18" s="64">
        <v>0.57999999999999996</v>
      </c>
      <c r="K18" s="64">
        <v>315.79000000000002</v>
      </c>
      <c r="L18" s="64">
        <v>24.74</v>
      </c>
      <c r="M18" s="64">
        <v>94.07</v>
      </c>
      <c r="N18" s="64">
        <v>9.5</v>
      </c>
      <c r="O18" s="64">
        <v>0</v>
      </c>
      <c r="P18" s="64">
        <v>0.56000000000000005</v>
      </c>
      <c r="Q18" s="64">
        <v>5.65</v>
      </c>
      <c r="R18" s="198"/>
      <c r="S18" s="198"/>
      <c r="T18" s="198"/>
      <c r="U18" s="198"/>
    </row>
    <row r="19" spans="1:21" s="12" customFormat="1" x14ac:dyDescent="0.25">
      <c r="A19" s="214" t="s">
        <v>2083</v>
      </c>
      <c r="B19" s="64">
        <v>6.44</v>
      </c>
      <c r="C19" s="64">
        <v>9.89</v>
      </c>
      <c r="D19" s="64">
        <v>16.32</v>
      </c>
      <c r="E19" s="64">
        <v>5.03</v>
      </c>
      <c r="F19" s="64">
        <v>3.4</v>
      </c>
      <c r="G19" s="64">
        <v>42.69</v>
      </c>
      <c r="H19" s="64">
        <v>14.28</v>
      </c>
      <c r="I19" s="64">
        <v>1.82</v>
      </c>
      <c r="J19" s="64">
        <v>0.43</v>
      </c>
      <c r="K19" s="64">
        <v>319.89</v>
      </c>
      <c r="L19" s="64">
        <v>24.68</v>
      </c>
      <c r="M19" s="64">
        <v>94.06</v>
      </c>
      <c r="N19" s="64">
        <v>9.5</v>
      </c>
      <c r="O19" s="64">
        <v>0</v>
      </c>
      <c r="P19" s="64">
        <v>0.5</v>
      </c>
      <c r="Q19" s="64">
        <v>6.16</v>
      </c>
      <c r="R19" s="198"/>
      <c r="S19" s="198"/>
      <c r="T19" s="198"/>
      <c r="U19" s="198"/>
    </row>
    <row r="20" spans="1:21" s="12" customFormat="1" x14ac:dyDescent="0.25">
      <c r="A20" s="214" t="s">
        <v>2084</v>
      </c>
      <c r="B20" s="64">
        <v>6.13</v>
      </c>
      <c r="C20" s="64">
        <v>9.5500000000000007</v>
      </c>
      <c r="D20" s="64">
        <v>15.68</v>
      </c>
      <c r="E20" s="64">
        <v>4.97</v>
      </c>
      <c r="F20" s="64">
        <v>3.43</v>
      </c>
      <c r="G20" s="64">
        <v>33.76</v>
      </c>
      <c r="H20" s="64">
        <v>13.99</v>
      </c>
      <c r="I20" s="64">
        <v>1.78</v>
      </c>
      <c r="J20" s="64">
        <v>0.42</v>
      </c>
      <c r="K20" s="64">
        <v>320.45999999999998</v>
      </c>
      <c r="L20" s="64">
        <v>24.68</v>
      </c>
      <c r="M20" s="64">
        <v>93.78</v>
      </c>
      <c r="N20" s="64">
        <v>9.5</v>
      </c>
      <c r="O20" s="64">
        <v>0</v>
      </c>
      <c r="P20" s="64">
        <v>0.52</v>
      </c>
      <c r="Q20" s="64">
        <v>6.04</v>
      </c>
      <c r="R20" s="198"/>
      <c r="S20" s="198"/>
      <c r="T20" s="198"/>
      <c r="U20" s="198"/>
    </row>
    <row r="21" spans="1:21" s="12" customFormat="1" x14ac:dyDescent="0.25">
      <c r="A21" s="214" t="s">
        <v>2085</v>
      </c>
      <c r="B21" s="64">
        <v>5.27</v>
      </c>
      <c r="C21" s="64">
        <v>9.6999999999999993</v>
      </c>
      <c r="D21" s="64">
        <v>14.97</v>
      </c>
      <c r="E21" s="64">
        <v>4.58</v>
      </c>
      <c r="F21" s="64">
        <v>4.2699999999999996</v>
      </c>
      <c r="G21" s="64">
        <v>33.76</v>
      </c>
      <c r="H21" s="64">
        <v>13.99</v>
      </c>
      <c r="I21" s="64">
        <v>1.74</v>
      </c>
      <c r="J21" s="64">
        <v>0.71</v>
      </c>
      <c r="K21" s="64">
        <v>326.52</v>
      </c>
      <c r="L21" s="64">
        <v>24.6</v>
      </c>
      <c r="M21" s="64">
        <v>94.43</v>
      </c>
      <c r="N21" s="64">
        <v>9.4</v>
      </c>
      <c r="O21" s="64">
        <v>0</v>
      </c>
      <c r="P21" s="64">
        <v>0.45</v>
      </c>
      <c r="Q21" s="64">
        <v>6.18</v>
      </c>
      <c r="R21" s="198"/>
      <c r="S21" s="198"/>
      <c r="T21" s="198"/>
      <c r="U21" s="198"/>
    </row>
    <row r="22" spans="1:21" s="12" customFormat="1" x14ac:dyDescent="0.25">
      <c r="A22" s="214" t="s">
        <v>2086</v>
      </c>
      <c r="B22" s="64">
        <v>6.16</v>
      </c>
      <c r="C22" s="64">
        <v>8.64</v>
      </c>
      <c r="D22" s="64">
        <v>14.81</v>
      </c>
      <c r="E22" s="64">
        <v>4.45</v>
      </c>
      <c r="F22" s="64">
        <v>1.28</v>
      </c>
      <c r="G22" s="64">
        <v>33.76</v>
      </c>
      <c r="H22" s="64">
        <v>13.99</v>
      </c>
      <c r="I22" s="64">
        <v>1.81</v>
      </c>
      <c r="J22" s="64">
        <v>0.66</v>
      </c>
      <c r="K22" s="64">
        <v>323.45</v>
      </c>
      <c r="L22" s="64">
        <v>24.4</v>
      </c>
      <c r="M22" s="64">
        <v>95.26</v>
      </c>
      <c r="N22" s="64">
        <v>9.4</v>
      </c>
      <c r="O22" s="64">
        <v>0</v>
      </c>
      <c r="P22" s="64">
        <v>0.53</v>
      </c>
      <c r="Q22" s="64">
        <v>6.23</v>
      </c>
      <c r="R22" s="198"/>
      <c r="S22" s="198"/>
      <c r="T22" s="198"/>
      <c r="U22" s="198"/>
    </row>
    <row r="23" spans="1:21" s="12" customFormat="1" x14ac:dyDescent="0.25">
      <c r="A23" s="214" t="s">
        <v>2087</v>
      </c>
      <c r="B23" s="64">
        <v>5.88</v>
      </c>
      <c r="C23" s="64">
        <v>8.4</v>
      </c>
      <c r="D23" s="64">
        <v>14.29</v>
      </c>
      <c r="E23" s="64">
        <v>4.46</v>
      </c>
      <c r="F23" s="64">
        <v>1.87</v>
      </c>
      <c r="G23" s="64">
        <v>32.44</v>
      </c>
      <c r="H23" s="64">
        <v>12.97</v>
      </c>
      <c r="I23" s="64">
        <v>1.84</v>
      </c>
      <c r="J23" s="64">
        <v>0.65</v>
      </c>
      <c r="K23" s="64">
        <v>325.67</v>
      </c>
      <c r="L23" s="64">
        <v>24.33</v>
      </c>
      <c r="M23" s="64">
        <v>95.61</v>
      </c>
      <c r="N23" s="64">
        <v>9.3000000000000007</v>
      </c>
      <c r="O23" s="64">
        <v>0</v>
      </c>
      <c r="P23" s="64">
        <v>0.47</v>
      </c>
      <c r="Q23" s="64">
        <v>5.45</v>
      </c>
      <c r="R23" s="198"/>
      <c r="S23" s="198"/>
      <c r="T23" s="198"/>
      <c r="U23" s="198"/>
    </row>
    <row r="24" spans="1:21" s="12" customFormat="1" x14ac:dyDescent="0.25">
      <c r="A24" s="214" t="s">
        <v>2088</v>
      </c>
      <c r="B24" s="64">
        <v>5.73</v>
      </c>
      <c r="C24" s="64">
        <v>8.07</v>
      </c>
      <c r="D24" s="64">
        <v>13.8</v>
      </c>
      <c r="E24" s="64">
        <v>3.53</v>
      </c>
      <c r="F24" s="64">
        <v>1.44</v>
      </c>
      <c r="G24" s="64">
        <v>29.2</v>
      </c>
      <c r="H24" s="64">
        <v>11.25</v>
      </c>
      <c r="I24" s="64">
        <v>1.8</v>
      </c>
      <c r="J24" s="64">
        <v>0.56000000000000005</v>
      </c>
      <c r="K24" s="64">
        <v>330.34</v>
      </c>
      <c r="L24" s="64">
        <v>24.37</v>
      </c>
      <c r="M24" s="64">
        <v>96.09</v>
      </c>
      <c r="N24" s="64">
        <v>9.5</v>
      </c>
      <c r="O24" s="64">
        <v>0</v>
      </c>
      <c r="P24" s="64">
        <v>0.49</v>
      </c>
      <c r="Q24" s="64">
        <v>4.7</v>
      </c>
      <c r="R24" s="198"/>
      <c r="S24" s="198"/>
      <c r="T24" s="198"/>
      <c r="U24" s="198"/>
    </row>
    <row r="25" spans="1:21" s="12" customFormat="1" x14ac:dyDescent="0.25">
      <c r="A25" s="214" t="s">
        <v>2089</v>
      </c>
      <c r="B25" s="64">
        <v>5.61</v>
      </c>
      <c r="C25" s="64">
        <v>9.41</v>
      </c>
      <c r="D25" s="64">
        <v>15.02</v>
      </c>
      <c r="E25" s="64">
        <v>4.43</v>
      </c>
      <c r="F25" s="64">
        <v>1.8</v>
      </c>
      <c r="G25" s="64">
        <v>29.2</v>
      </c>
      <c r="H25" s="64">
        <v>11.25</v>
      </c>
      <c r="I25" s="64">
        <v>1.77</v>
      </c>
      <c r="J25" s="64">
        <v>0.69</v>
      </c>
      <c r="K25" s="64">
        <v>332.18</v>
      </c>
      <c r="L25" s="64">
        <v>24.41</v>
      </c>
      <c r="M25" s="64">
        <v>95.39</v>
      </c>
      <c r="N25" s="64">
        <v>9.5</v>
      </c>
      <c r="O25" s="64">
        <v>0</v>
      </c>
      <c r="P25" s="64">
        <v>0.44</v>
      </c>
      <c r="Q25" s="64">
        <v>5.4</v>
      </c>
      <c r="R25" s="198"/>
      <c r="S25" s="198"/>
      <c r="T25" s="198"/>
      <c r="U25" s="198"/>
    </row>
    <row r="26" spans="1:21" s="12" customFormat="1" x14ac:dyDescent="0.25">
      <c r="A26" s="214" t="s">
        <v>2090</v>
      </c>
      <c r="B26" s="64">
        <v>5.23</v>
      </c>
      <c r="C26" s="64">
        <v>8.11</v>
      </c>
      <c r="D26" s="64">
        <v>13.33</v>
      </c>
      <c r="E26" s="64">
        <v>4.03</v>
      </c>
      <c r="F26" s="64">
        <v>2.74</v>
      </c>
      <c r="G26" s="64">
        <v>29.2</v>
      </c>
      <c r="H26" s="64">
        <v>11.25</v>
      </c>
      <c r="I26" s="64">
        <v>1.82</v>
      </c>
      <c r="J26" s="64">
        <v>0.84</v>
      </c>
      <c r="K26" s="64">
        <v>335.3</v>
      </c>
      <c r="L26" s="64">
        <v>24.31</v>
      </c>
      <c r="M26" s="64">
        <v>95.95</v>
      </c>
      <c r="N26" s="64">
        <v>9.5</v>
      </c>
      <c r="O26" s="64">
        <v>0</v>
      </c>
      <c r="P26" s="64">
        <v>0.44</v>
      </c>
      <c r="Q26" s="64">
        <v>3.7</v>
      </c>
      <c r="R26" s="198"/>
      <c r="S26" s="198"/>
      <c r="T26" s="198"/>
      <c r="U26" s="198"/>
    </row>
    <row r="27" spans="1:21" s="12" customFormat="1" x14ac:dyDescent="0.25">
      <c r="A27" s="214" t="s">
        <v>2091</v>
      </c>
      <c r="B27" s="64">
        <v>6.27</v>
      </c>
      <c r="C27" s="64">
        <v>7.54</v>
      </c>
      <c r="D27" s="64">
        <v>13.81</v>
      </c>
      <c r="E27" s="64">
        <v>3.94</v>
      </c>
      <c r="F27" s="64">
        <v>1</v>
      </c>
      <c r="G27" s="64">
        <v>28.51</v>
      </c>
      <c r="H27" s="64">
        <v>10</v>
      </c>
      <c r="I27" s="64">
        <v>1.83</v>
      </c>
      <c r="J27" s="64">
        <v>0.86</v>
      </c>
      <c r="K27" s="64">
        <v>329.59</v>
      </c>
      <c r="L27" s="64">
        <v>24.18</v>
      </c>
      <c r="M27" s="64">
        <v>96.45</v>
      </c>
      <c r="N27" s="64">
        <v>9.5</v>
      </c>
      <c r="O27" s="64">
        <v>0</v>
      </c>
      <c r="P27" s="64">
        <v>0.45</v>
      </c>
      <c r="Q27" s="64">
        <v>4.59</v>
      </c>
      <c r="R27" s="198"/>
      <c r="S27" s="198"/>
      <c r="T27" s="198"/>
      <c r="U27" s="198"/>
    </row>
    <row r="28" spans="1:21" s="12" customFormat="1" x14ac:dyDescent="0.25">
      <c r="A28" s="214" t="s">
        <v>2092</v>
      </c>
      <c r="B28" s="64">
        <v>6.95</v>
      </c>
      <c r="C28" s="64">
        <v>7.51</v>
      </c>
      <c r="D28" s="64">
        <v>14.46</v>
      </c>
      <c r="E28" s="64">
        <v>4.25</v>
      </c>
      <c r="F28" s="64">
        <v>3.48</v>
      </c>
      <c r="G28" s="64">
        <v>26.82</v>
      </c>
      <c r="H28" s="64">
        <v>8.02</v>
      </c>
      <c r="I28" s="64">
        <v>1.79</v>
      </c>
      <c r="J28" s="64">
        <v>0.54</v>
      </c>
      <c r="K28" s="64">
        <v>333.27</v>
      </c>
      <c r="L28" s="64">
        <v>24.1</v>
      </c>
      <c r="M28" s="64">
        <v>97.22</v>
      </c>
      <c r="N28" s="64">
        <v>9.5</v>
      </c>
      <c r="O28" s="64">
        <v>0</v>
      </c>
      <c r="P28" s="64">
        <v>0.41</v>
      </c>
      <c r="Q28" s="64">
        <v>4.3499999999999996</v>
      </c>
      <c r="R28" s="198"/>
      <c r="S28" s="198"/>
      <c r="T28" s="198"/>
      <c r="U28" s="198"/>
    </row>
    <row r="29" spans="1:21" s="12" customFormat="1" x14ac:dyDescent="0.25">
      <c r="A29" s="214" t="s">
        <v>2093</v>
      </c>
      <c r="B29" s="64">
        <v>7.88</v>
      </c>
      <c r="C29" s="64">
        <v>13.85</v>
      </c>
      <c r="D29" s="64">
        <v>21.72</v>
      </c>
      <c r="E29" s="64">
        <v>4.1900000000000004</v>
      </c>
      <c r="F29" s="64">
        <v>7.64</v>
      </c>
      <c r="G29" s="64">
        <v>26.82</v>
      </c>
      <c r="H29" s="64">
        <v>8.02</v>
      </c>
      <c r="I29" s="64">
        <v>1.83</v>
      </c>
      <c r="J29" s="64">
        <v>0.46</v>
      </c>
      <c r="K29" s="64">
        <v>336.57</v>
      </c>
      <c r="L29" s="64">
        <v>23.97</v>
      </c>
      <c r="M29" s="64">
        <v>98.03</v>
      </c>
      <c r="N29" s="64">
        <v>9.5</v>
      </c>
      <c r="O29" s="64">
        <v>0</v>
      </c>
      <c r="P29" s="64">
        <v>0.42</v>
      </c>
      <c r="Q29" s="64">
        <v>4.9400000000000004</v>
      </c>
      <c r="R29" s="198"/>
      <c r="S29" s="198"/>
      <c r="T29" s="198"/>
      <c r="U29" s="198"/>
    </row>
    <row r="30" spans="1:21" s="12" customFormat="1" x14ac:dyDescent="0.25">
      <c r="A30" s="214" t="s">
        <v>2094</v>
      </c>
      <c r="B30" s="64">
        <v>9.02</v>
      </c>
      <c r="C30" s="64">
        <v>16.239999999999998</v>
      </c>
      <c r="D30" s="64">
        <v>25.27</v>
      </c>
      <c r="E30" s="64">
        <v>3.77</v>
      </c>
      <c r="F30" s="64">
        <v>4.84</v>
      </c>
      <c r="G30" s="64">
        <v>26.82</v>
      </c>
      <c r="H30" s="64">
        <v>8.02</v>
      </c>
      <c r="I30" s="64">
        <v>1.8</v>
      </c>
      <c r="J30" s="64">
        <v>0.48</v>
      </c>
      <c r="K30" s="64">
        <v>332.92</v>
      </c>
      <c r="L30" s="64">
        <v>23.92</v>
      </c>
      <c r="M30" s="64">
        <v>98.12</v>
      </c>
      <c r="N30" s="64">
        <v>9.5</v>
      </c>
      <c r="O30" s="64">
        <v>0</v>
      </c>
      <c r="P30" s="64">
        <v>0.49</v>
      </c>
      <c r="Q30" s="64">
        <v>5.32</v>
      </c>
      <c r="R30" s="198"/>
      <c r="S30" s="198"/>
      <c r="T30" s="198"/>
      <c r="U30" s="198"/>
    </row>
    <row r="31" spans="1:21" s="12" customFormat="1" x14ac:dyDescent="0.25">
      <c r="A31" s="214" t="s">
        <v>2095</v>
      </c>
      <c r="B31" s="64">
        <v>8.8800000000000008</v>
      </c>
      <c r="C31" s="64">
        <v>22.86</v>
      </c>
      <c r="D31" s="64">
        <v>31.75</v>
      </c>
      <c r="E31" s="64">
        <v>3.61</v>
      </c>
      <c r="F31" s="64">
        <v>3.37</v>
      </c>
      <c r="G31" s="64">
        <v>28.04</v>
      </c>
      <c r="H31" s="64">
        <v>8.84</v>
      </c>
      <c r="I31" s="64">
        <v>1.76</v>
      </c>
      <c r="J31" s="64">
        <v>0.23</v>
      </c>
      <c r="K31" s="64">
        <v>311.47000000000003</v>
      </c>
      <c r="L31" s="64">
        <v>23.81</v>
      </c>
      <c r="M31" s="64">
        <v>98.7</v>
      </c>
      <c r="N31" s="64">
        <v>10.199999999999999</v>
      </c>
      <c r="O31" s="64">
        <v>0</v>
      </c>
      <c r="P31" s="64">
        <v>0.56999999999999995</v>
      </c>
      <c r="Q31" s="64">
        <v>6.13</v>
      </c>
      <c r="R31" s="198"/>
      <c r="S31" s="198"/>
      <c r="T31" s="198"/>
      <c r="U31" s="198"/>
    </row>
    <row r="32" spans="1:21" s="12" customFormat="1" x14ac:dyDescent="0.25">
      <c r="A32" s="214" t="s">
        <v>2096</v>
      </c>
      <c r="B32" s="64">
        <v>11.49</v>
      </c>
      <c r="C32" s="64">
        <v>15.24</v>
      </c>
      <c r="D32" s="64">
        <v>26.72</v>
      </c>
      <c r="E32" s="64">
        <v>4.62</v>
      </c>
      <c r="F32" s="64">
        <v>2.5099999999999998</v>
      </c>
      <c r="G32" s="64">
        <v>31.06</v>
      </c>
      <c r="H32" s="64">
        <v>12.18</v>
      </c>
      <c r="I32" s="64">
        <v>1.8</v>
      </c>
      <c r="J32" s="64">
        <v>0.4</v>
      </c>
      <c r="K32" s="64">
        <v>320.82</v>
      </c>
      <c r="L32" s="64">
        <v>23.81</v>
      </c>
      <c r="M32" s="64">
        <v>98.74</v>
      </c>
      <c r="N32" s="64">
        <v>15</v>
      </c>
      <c r="O32" s="64">
        <v>0</v>
      </c>
      <c r="P32" s="64">
        <v>0.55000000000000004</v>
      </c>
      <c r="Q32" s="64">
        <v>6.84</v>
      </c>
      <c r="R32" s="198"/>
      <c r="S32" s="198"/>
      <c r="T32" s="198"/>
      <c r="U32" s="198"/>
    </row>
    <row r="33" spans="1:21" s="12" customFormat="1" x14ac:dyDescent="0.25">
      <c r="A33" s="214" t="s">
        <v>2097</v>
      </c>
      <c r="B33" s="64">
        <v>10.3</v>
      </c>
      <c r="C33" s="64">
        <v>12.39</v>
      </c>
      <c r="D33" s="64">
        <v>22.7</v>
      </c>
      <c r="E33" s="64">
        <v>3.9</v>
      </c>
      <c r="F33" s="64">
        <v>2.2200000000000002</v>
      </c>
      <c r="G33" s="64">
        <v>31.06</v>
      </c>
      <c r="H33" s="64">
        <v>12.18</v>
      </c>
      <c r="I33" s="64">
        <v>1.77</v>
      </c>
      <c r="J33" s="64">
        <v>0.57999999999999996</v>
      </c>
      <c r="K33" s="64">
        <v>321.60000000000002</v>
      </c>
      <c r="L33" s="64">
        <v>23.93</v>
      </c>
      <c r="M33" s="64">
        <v>98.68</v>
      </c>
      <c r="N33" s="64">
        <v>21.2</v>
      </c>
      <c r="O33" s="64">
        <v>0</v>
      </c>
      <c r="P33" s="64">
        <v>0.49</v>
      </c>
      <c r="Q33" s="64">
        <v>7.47</v>
      </c>
      <c r="R33" s="198"/>
      <c r="S33" s="198"/>
      <c r="T33" s="198"/>
      <c r="U33" s="198"/>
    </row>
    <row r="34" spans="1:21" s="12" customFormat="1" x14ac:dyDescent="0.25">
      <c r="A34" s="214" t="s">
        <v>2098</v>
      </c>
      <c r="B34" s="64">
        <v>9.16</v>
      </c>
      <c r="C34" s="64">
        <v>9.61</v>
      </c>
      <c r="D34" s="64">
        <v>18.77</v>
      </c>
      <c r="E34" s="64">
        <v>4.53</v>
      </c>
      <c r="F34" s="64">
        <v>1.3</v>
      </c>
      <c r="G34" s="64">
        <v>31.06</v>
      </c>
      <c r="H34" s="64">
        <v>12.18</v>
      </c>
      <c r="I34" s="64">
        <v>1.78</v>
      </c>
      <c r="J34" s="64">
        <v>0.48</v>
      </c>
      <c r="K34" s="64">
        <v>328.42</v>
      </c>
      <c r="L34" s="64">
        <v>24.08</v>
      </c>
      <c r="M34" s="64">
        <v>98.5</v>
      </c>
      <c r="N34" s="64">
        <v>20.2</v>
      </c>
      <c r="O34" s="64">
        <v>0</v>
      </c>
      <c r="P34" s="64">
        <v>0.51</v>
      </c>
      <c r="Q34" s="64">
        <v>8.49</v>
      </c>
      <c r="R34" s="198"/>
      <c r="S34" s="198"/>
      <c r="T34" s="198"/>
      <c r="U34" s="198"/>
    </row>
    <row r="35" spans="1:21" s="12" customFormat="1" x14ac:dyDescent="0.25">
      <c r="A35" s="214" t="s">
        <v>2099</v>
      </c>
      <c r="B35" s="64">
        <v>11.36</v>
      </c>
      <c r="C35" s="64">
        <v>13.15</v>
      </c>
      <c r="D35" s="64">
        <v>24.5</v>
      </c>
      <c r="E35" s="64">
        <v>4.7</v>
      </c>
      <c r="F35" s="64">
        <v>1.76</v>
      </c>
      <c r="G35" s="64">
        <v>35.659999999999997</v>
      </c>
      <c r="H35" s="64">
        <v>14.42</v>
      </c>
      <c r="I35" s="64">
        <v>1.77</v>
      </c>
      <c r="J35" s="64">
        <v>0.68</v>
      </c>
      <c r="K35" s="64">
        <v>335.47</v>
      </c>
      <c r="L35" s="64">
        <v>24.27</v>
      </c>
      <c r="M35" s="64">
        <v>98.03</v>
      </c>
      <c r="N35" s="64">
        <v>24</v>
      </c>
      <c r="O35" s="64">
        <v>0</v>
      </c>
      <c r="P35" s="64">
        <v>0.52</v>
      </c>
      <c r="Q35" s="64">
        <v>7.62</v>
      </c>
      <c r="R35" s="198"/>
      <c r="S35" s="198"/>
      <c r="T35" s="198"/>
      <c r="U35" s="198"/>
    </row>
    <row r="36" spans="1:21" s="12" customFormat="1" x14ac:dyDescent="0.25">
      <c r="A36" s="214" t="s">
        <v>2100</v>
      </c>
      <c r="B36" s="64">
        <v>10.25</v>
      </c>
      <c r="C36" s="64">
        <v>10.31</v>
      </c>
      <c r="D36" s="64">
        <v>20.56</v>
      </c>
      <c r="E36" s="64">
        <v>4.8499999999999996</v>
      </c>
      <c r="F36" s="64">
        <v>0.99</v>
      </c>
      <c r="G36" s="64">
        <v>46.98</v>
      </c>
      <c r="H36" s="64">
        <v>18.11</v>
      </c>
      <c r="I36" s="64">
        <v>1.83</v>
      </c>
      <c r="J36" s="64">
        <v>1.01</v>
      </c>
      <c r="K36" s="64">
        <v>335.01</v>
      </c>
      <c r="L36" s="64">
        <v>24.32</v>
      </c>
      <c r="M36" s="64">
        <v>97.91</v>
      </c>
      <c r="N36" s="64">
        <v>49.9</v>
      </c>
      <c r="O36" s="64">
        <v>0</v>
      </c>
      <c r="P36" s="64">
        <v>0.52</v>
      </c>
      <c r="Q36" s="64">
        <v>7.8</v>
      </c>
      <c r="R36" s="198"/>
      <c r="S36" s="198"/>
      <c r="T36" s="198"/>
      <c r="U36" s="198"/>
    </row>
    <row r="37" spans="1:21" s="12" customFormat="1" x14ac:dyDescent="0.25">
      <c r="A37" s="214" t="s">
        <v>2101</v>
      </c>
      <c r="B37" s="64">
        <v>14.1</v>
      </c>
      <c r="C37" s="64">
        <v>14.71</v>
      </c>
      <c r="D37" s="64">
        <v>28.81</v>
      </c>
      <c r="E37" s="64">
        <v>4.5</v>
      </c>
      <c r="F37" s="64">
        <v>2.4500000000000002</v>
      </c>
      <c r="G37" s="64">
        <v>46.98</v>
      </c>
      <c r="H37" s="64">
        <v>18.11</v>
      </c>
      <c r="I37" s="64">
        <v>1.75</v>
      </c>
      <c r="J37" s="64">
        <v>0.41</v>
      </c>
      <c r="K37" s="64">
        <v>342.62</v>
      </c>
      <c r="L37" s="64">
        <v>24.61</v>
      </c>
      <c r="M37" s="64">
        <v>97.05</v>
      </c>
      <c r="N37" s="64">
        <v>72.099999999999994</v>
      </c>
      <c r="O37" s="64">
        <v>0</v>
      </c>
      <c r="P37" s="64">
        <v>0.56999999999999995</v>
      </c>
      <c r="Q37" s="64">
        <v>8.1999999999999993</v>
      </c>
      <c r="R37" s="198"/>
      <c r="S37" s="198"/>
      <c r="T37" s="198"/>
      <c r="U37" s="198"/>
    </row>
    <row r="38" spans="1:21" s="12" customFormat="1" x14ac:dyDescent="0.25">
      <c r="A38" s="214" t="s">
        <v>2102</v>
      </c>
      <c r="B38" s="64">
        <v>13.22</v>
      </c>
      <c r="C38" s="64">
        <v>11.98</v>
      </c>
      <c r="D38" s="64">
        <v>25.19</v>
      </c>
      <c r="E38" s="64">
        <v>4.55</v>
      </c>
      <c r="F38" s="64">
        <v>1.66</v>
      </c>
      <c r="G38" s="64">
        <v>46.98</v>
      </c>
      <c r="H38" s="64">
        <v>18.11</v>
      </c>
      <c r="I38" s="64">
        <v>1.81</v>
      </c>
      <c r="J38" s="64">
        <v>0.95</v>
      </c>
      <c r="K38" s="64">
        <v>340.92</v>
      </c>
      <c r="L38" s="64">
        <v>25.08</v>
      </c>
      <c r="M38" s="64">
        <v>94.64</v>
      </c>
      <c r="N38" s="64">
        <v>105.4</v>
      </c>
      <c r="O38" s="64">
        <v>0</v>
      </c>
      <c r="P38" s="64">
        <v>0.54</v>
      </c>
      <c r="Q38" s="64">
        <v>7.3</v>
      </c>
      <c r="R38" s="198"/>
      <c r="S38" s="198"/>
      <c r="T38" s="198"/>
      <c r="U38" s="198"/>
    </row>
    <row r="39" spans="1:21" s="12" customFormat="1" x14ac:dyDescent="0.25">
      <c r="A39" s="214" t="s">
        <v>2103</v>
      </c>
      <c r="B39" s="64">
        <v>15.37</v>
      </c>
      <c r="C39" s="64">
        <v>12.36</v>
      </c>
      <c r="D39" s="64">
        <v>27.73</v>
      </c>
      <c r="E39" s="64">
        <v>4.38</v>
      </c>
      <c r="F39" s="64">
        <v>0.69</v>
      </c>
      <c r="G39" s="64">
        <v>50.73</v>
      </c>
      <c r="H39" s="64">
        <v>18.510000000000002</v>
      </c>
      <c r="I39" s="64">
        <v>1.79</v>
      </c>
      <c r="J39" s="64">
        <v>0.87</v>
      </c>
      <c r="K39" s="64">
        <v>344.11</v>
      </c>
      <c r="L39" s="64">
        <v>25.52</v>
      </c>
      <c r="M39" s="64">
        <v>92.94</v>
      </c>
      <c r="N39" s="64">
        <v>121.7</v>
      </c>
      <c r="O39" s="64">
        <v>0</v>
      </c>
      <c r="P39" s="64">
        <v>0.61</v>
      </c>
      <c r="Q39" s="64">
        <v>9.1199999999999992</v>
      </c>
      <c r="R39" s="198"/>
      <c r="S39" s="198"/>
      <c r="T39" s="198"/>
      <c r="U39" s="198"/>
    </row>
    <row r="40" spans="1:21" s="12" customFormat="1" x14ac:dyDescent="0.25">
      <c r="A40" s="214" t="s">
        <v>2104</v>
      </c>
      <c r="B40" s="64">
        <v>18.190000000000001</v>
      </c>
      <c r="C40" s="64">
        <v>20.22</v>
      </c>
      <c r="D40" s="64">
        <v>38.409999999999997</v>
      </c>
      <c r="E40" s="64">
        <v>4.42</v>
      </c>
      <c r="F40" s="64">
        <v>2.97</v>
      </c>
      <c r="G40" s="64">
        <v>59.97</v>
      </c>
      <c r="H40" s="64">
        <v>19.18</v>
      </c>
      <c r="I40" s="64">
        <v>1.77</v>
      </c>
      <c r="J40" s="64">
        <v>0.81</v>
      </c>
      <c r="K40" s="64">
        <v>341.23</v>
      </c>
      <c r="L40" s="64">
        <v>26.11</v>
      </c>
      <c r="M40" s="64">
        <v>89.26</v>
      </c>
      <c r="N40" s="64">
        <v>162.69999999999999</v>
      </c>
      <c r="O40" s="64">
        <v>0</v>
      </c>
      <c r="P40" s="64">
        <v>0.74</v>
      </c>
      <c r="Q40" s="64">
        <v>9.39</v>
      </c>
      <c r="R40" s="198"/>
      <c r="S40" s="198"/>
      <c r="T40" s="198"/>
      <c r="U40" s="198"/>
    </row>
    <row r="41" spans="1:21" s="12" customFormat="1" x14ac:dyDescent="0.25">
      <c r="A41" s="214" t="s">
        <v>2105</v>
      </c>
      <c r="B41" s="64">
        <v>22.88</v>
      </c>
      <c r="C41" s="64">
        <v>27.74</v>
      </c>
      <c r="D41" s="64">
        <v>50.62</v>
      </c>
      <c r="E41" s="64">
        <v>4.8600000000000003</v>
      </c>
      <c r="F41" s="64">
        <v>6.4</v>
      </c>
      <c r="G41" s="64">
        <v>59.97</v>
      </c>
      <c r="H41" s="64">
        <v>19.18</v>
      </c>
      <c r="I41" s="64">
        <v>1.78</v>
      </c>
      <c r="J41" s="64">
        <v>0.68</v>
      </c>
      <c r="K41" s="64">
        <v>338.07</v>
      </c>
      <c r="L41" s="64">
        <v>26.54</v>
      </c>
      <c r="M41" s="64">
        <v>84.84</v>
      </c>
      <c r="N41" s="64">
        <v>180.9</v>
      </c>
      <c r="O41" s="64">
        <v>0</v>
      </c>
      <c r="P41" s="64">
        <v>0.84</v>
      </c>
      <c r="Q41" s="64">
        <v>10.72</v>
      </c>
      <c r="R41" s="198"/>
      <c r="S41" s="198"/>
      <c r="T41" s="198"/>
      <c r="U41" s="198"/>
    </row>
    <row r="42" spans="1:21" s="12" customFormat="1" x14ac:dyDescent="0.25">
      <c r="A42" s="214" t="s">
        <v>2106</v>
      </c>
      <c r="B42" s="64">
        <v>17.579999999999998</v>
      </c>
      <c r="C42" s="64">
        <v>18.079999999999998</v>
      </c>
      <c r="D42" s="64">
        <v>35.659999999999997</v>
      </c>
      <c r="E42" s="64">
        <v>4.6399999999999997</v>
      </c>
      <c r="F42" s="64">
        <v>3.04</v>
      </c>
      <c r="G42" s="64">
        <v>59.97</v>
      </c>
      <c r="H42" s="64">
        <v>19.18</v>
      </c>
      <c r="I42" s="64">
        <v>1.82</v>
      </c>
      <c r="J42" s="64">
        <v>0.95</v>
      </c>
      <c r="K42" s="64">
        <v>335.3</v>
      </c>
      <c r="L42" s="64">
        <v>27.14</v>
      </c>
      <c r="M42" s="64">
        <v>83.41</v>
      </c>
      <c r="N42" s="64">
        <v>199.4</v>
      </c>
      <c r="O42" s="64">
        <v>0</v>
      </c>
      <c r="P42" s="64">
        <v>0.73</v>
      </c>
      <c r="Q42" s="64">
        <v>11.39</v>
      </c>
      <c r="R42" s="198"/>
      <c r="S42" s="198"/>
      <c r="T42" s="198"/>
      <c r="U42" s="198"/>
    </row>
    <row r="43" spans="1:21" s="12" customFormat="1" x14ac:dyDescent="0.25">
      <c r="A43" s="214" t="s">
        <v>2107</v>
      </c>
      <c r="B43" s="64">
        <v>20.69</v>
      </c>
      <c r="C43" s="64">
        <v>26.76</v>
      </c>
      <c r="D43" s="64">
        <v>47.45</v>
      </c>
      <c r="E43" s="64">
        <v>5.07</v>
      </c>
      <c r="F43" s="64">
        <v>4.82</v>
      </c>
      <c r="G43" s="64">
        <v>67.8</v>
      </c>
      <c r="H43" s="64">
        <v>22.23</v>
      </c>
      <c r="I43" s="64">
        <v>1.82</v>
      </c>
      <c r="J43" s="64">
        <v>0.79</v>
      </c>
      <c r="K43" s="64">
        <v>341.92</v>
      </c>
      <c r="L43" s="64">
        <v>27.6</v>
      </c>
      <c r="M43" s="64">
        <v>80.260000000000005</v>
      </c>
      <c r="N43" s="64">
        <v>222.9</v>
      </c>
      <c r="O43" s="64">
        <v>0</v>
      </c>
      <c r="P43" s="64">
        <v>0.91</v>
      </c>
      <c r="Q43" s="64">
        <v>11.8</v>
      </c>
      <c r="R43" s="198"/>
      <c r="S43" s="198"/>
      <c r="T43" s="198"/>
      <c r="U43" s="198"/>
    </row>
    <row r="44" spans="1:21" s="12" customFormat="1" x14ac:dyDescent="0.25">
      <c r="A44" s="214" t="s">
        <v>2108</v>
      </c>
      <c r="B44" s="64">
        <v>21.16</v>
      </c>
      <c r="C44" s="64">
        <v>24.48</v>
      </c>
      <c r="D44" s="64">
        <v>45.64</v>
      </c>
      <c r="E44" s="64">
        <v>4.68</v>
      </c>
      <c r="F44" s="64">
        <v>3.61</v>
      </c>
      <c r="G44" s="64">
        <v>87.05</v>
      </c>
      <c r="H44" s="64">
        <v>27.25</v>
      </c>
      <c r="I44" s="64">
        <v>1.81</v>
      </c>
      <c r="J44" s="64">
        <v>0.78</v>
      </c>
      <c r="K44" s="64">
        <v>338.55</v>
      </c>
      <c r="L44" s="64">
        <v>27.87</v>
      </c>
      <c r="M44" s="64">
        <v>77.66</v>
      </c>
      <c r="N44" s="64">
        <v>285.7</v>
      </c>
      <c r="O44" s="64">
        <v>0</v>
      </c>
      <c r="P44" s="64">
        <v>0.88</v>
      </c>
      <c r="Q44" s="64">
        <v>12.91</v>
      </c>
      <c r="R44" s="198"/>
      <c r="S44" s="198"/>
      <c r="T44" s="198"/>
      <c r="U44" s="198"/>
    </row>
    <row r="45" spans="1:21" s="12" customFormat="1" x14ac:dyDescent="0.25">
      <c r="A45" s="214" t="s">
        <v>2109</v>
      </c>
      <c r="B45" s="64">
        <v>17.87</v>
      </c>
      <c r="C45" s="64">
        <v>18.8</v>
      </c>
      <c r="D45" s="64">
        <v>36.67</v>
      </c>
      <c r="E45" s="64">
        <v>4.8099999999999996</v>
      </c>
      <c r="F45" s="64">
        <v>1.0900000000000001</v>
      </c>
      <c r="G45" s="64">
        <v>87.05</v>
      </c>
      <c r="H45" s="64">
        <v>27.25</v>
      </c>
      <c r="I45" s="64">
        <v>1.88</v>
      </c>
      <c r="J45" s="64">
        <v>1.07</v>
      </c>
      <c r="K45" s="64">
        <v>338.52</v>
      </c>
      <c r="L45" s="64">
        <v>28.36</v>
      </c>
      <c r="M45" s="64">
        <v>76.900000000000006</v>
      </c>
      <c r="N45" s="64">
        <v>217.8</v>
      </c>
      <c r="O45" s="64">
        <v>0</v>
      </c>
      <c r="P45" s="64">
        <v>0.79</v>
      </c>
      <c r="Q45" s="64">
        <v>13.87</v>
      </c>
      <c r="R45" s="198"/>
      <c r="S45" s="198"/>
      <c r="T45" s="198"/>
      <c r="U45" s="198"/>
    </row>
    <row r="46" spans="1:21" s="12" customFormat="1" x14ac:dyDescent="0.25">
      <c r="A46" s="214" t="s">
        <v>2110</v>
      </c>
      <c r="B46" s="64">
        <v>17.940000000000001</v>
      </c>
      <c r="C46" s="64">
        <v>14.84</v>
      </c>
      <c r="D46" s="64">
        <v>32.78</v>
      </c>
      <c r="E46" s="64">
        <v>5.62</v>
      </c>
      <c r="F46" s="64">
        <v>0.83</v>
      </c>
      <c r="G46" s="64">
        <v>87.05</v>
      </c>
      <c r="H46" s="64">
        <v>27.25</v>
      </c>
      <c r="I46" s="64">
        <v>1.82</v>
      </c>
      <c r="J46" s="64">
        <v>1.1100000000000001</v>
      </c>
      <c r="K46" s="64">
        <v>335.16</v>
      </c>
      <c r="L46" s="64">
        <v>28.15</v>
      </c>
      <c r="M46" s="64">
        <v>78.17</v>
      </c>
      <c r="N46" s="64">
        <v>209.3</v>
      </c>
      <c r="O46" s="64">
        <v>0</v>
      </c>
      <c r="P46" s="64">
        <v>0.81</v>
      </c>
      <c r="Q46" s="64">
        <v>14.21</v>
      </c>
      <c r="R46" s="198"/>
      <c r="S46" s="198"/>
      <c r="T46" s="198"/>
      <c r="U46" s="198"/>
    </row>
    <row r="47" spans="1:21" s="12" customFormat="1" x14ac:dyDescent="0.25">
      <c r="A47" s="214" t="s">
        <v>2111</v>
      </c>
      <c r="B47" s="64">
        <v>18.86</v>
      </c>
      <c r="C47" s="64">
        <v>13.78</v>
      </c>
      <c r="D47" s="64">
        <v>32.64</v>
      </c>
      <c r="E47" s="64">
        <v>8.02</v>
      </c>
      <c r="F47" s="64">
        <v>2.57</v>
      </c>
      <c r="G47" s="64">
        <v>89.02</v>
      </c>
      <c r="H47" s="64">
        <v>28.76</v>
      </c>
      <c r="I47" s="64">
        <v>1.81</v>
      </c>
      <c r="J47" s="64">
        <v>1.1100000000000001</v>
      </c>
      <c r="K47" s="64">
        <v>340.1</v>
      </c>
      <c r="L47" s="64">
        <v>28.62</v>
      </c>
      <c r="M47" s="64">
        <v>75.760000000000005</v>
      </c>
      <c r="N47" s="64">
        <v>376.3</v>
      </c>
      <c r="O47" s="64">
        <v>0</v>
      </c>
      <c r="P47" s="64">
        <v>0.84</v>
      </c>
      <c r="Q47" s="64">
        <v>12.98</v>
      </c>
      <c r="R47" s="198"/>
      <c r="S47" s="198"/>
      <c r="T47" s="198"/>
      <c r="U47" s="198"/>
    </row>
    <row r="48" spans="1:21" s="12" customFormat="1" x14ac:dyDescent="0.25">
      <c r="A48" s="214" t="s">
        <v>2112</v>
      </c>
      <c r="B48" s="64">
        <v>18.11</v>
      </c>
      <c r="C48" s="64">
        <v>13.41</v>
      </c>
      <c r="D48" s="64">
        <v>31.52</v>
      </c>
      <c r="E48" s="64">
        <v>5.9</v>
      </c>
      <c r="F48" s="64">
        <v>1.47</v>
      </c>
      <c r="G48" s="64">
        <v>93.87</v>
      </c>
      <c r="H48" s="64">
        <v>31.24</v>
      </c>
      <c r="I48" s="64">
        <v>1.8</v>
      </c>
      <c r="J48" s="64">
        <v>1.07</v>
      </c>
      <c r="K48" s="64">
        <v>341.69</v>
      </c>
      <c r="L48" s="64">
        <v>29.77</v>
      </c>
      <c r="M48" s="64">
        <v>71.39</v>
      </c>
      <c r="N48" s="64">
        <v>335.8</v>
      </c>
      <c r="O48" s="64">
        <v>0</v>
      </c>
      <c r="P48" s="64">
        <v>0.86</v>
      </c>
      <c r="Q48" s="64">
        <v>14.03</v>
      </c>
      <c r="R48" s="198"/>
      <c r="S48" s="198"/>
      <c r="T48" s="198"/>
      <c r="U48" s="198"/>
    </row>
    <row r="49" spans="1:21" s="12" customFormat="1" x14ac:dyDescent="0.25">
      <c r="A49" s="214" t="s">
        <v>2113</v>
      </c>
      <c r="B49" s="64">
        <v>17.59</v>
      </c>
      <c r="C49" s="64">
        <v>16.239999999999998</v>
      </c>
      <c r="D49" s="64">
        <v>33.82</v>
      </c>
      <c r="E49" s="64">
        <v>7.52</v>
      </c>
      <c r="F49" s="64">
        <v>1.92</v>
      </c>
      <c r="G49" s="64">
        <v>93.87</v>
      </c>
      <c r="H49" s="64">
        <v>31.24</v>
      </c>
      <c r="I49" s="64">
        <v>1.78</v>
      </c>
      <c r="J49" s="64">
        <v>1.22</v>
      </c>
      <c r="K49" s="64">
        <v>340.06</v>
      </c>
      <c r="L49" s="64">
        <v>29.77</v>
      </c>
      <c r="M49" s="64">
        <v>70.61</v>
      </c>
      <c r="N49" s="64">
        <v>328.2</v>
      </c>
      <c r="O49" s="64">
        <v>0</v>
      </c>
      <c r="P49" s="64">
        <v>0.85</v>
      </c>
      <c r="Q49" s="64">
        <v>15.24</v>
      </c>
      <c r="R49" s="198"/>
      <c r="S49" s="198"/>
      <c r="T49" s="198"/>
      <c r="U49" s="198"/>
    </row>
    <row r="50" spans="1:21" s="12" customFormat="1" x14ac:dyDescent="0.25">
      <c r="A50" s="214" t="s">
        <v>2114</v>
      </c>
      <c r="B50" s="64">
        <v>17.41</v>
      </c>
      <c r="C50" s="64">
        <v>15.7</v>
      </c>
      <c r="D50" s="64">
        <v>33.11</v>
      </c>
      <c r="E50" s="64">
        <v>9.5299999999999994</v>
      </c>
      <c r="F50" s="64">
        <v>1.73</v>
      </c>
      <c r="G50" s="64">
        <v>93.87</v>
      </c>
      <c r="H50" s="64">
        <v>31.24</v>
      </c>
      <c r="I50" s="64">
        <v>1.76</v>
      </c>
      <c r="J50" s="64">
        <v>1.1399999999999999</v>
      </c>
      <c r="K50" s="64">
        <v>340.14</v>
      </c>
      <c r="L50" s="64">
        <v>30.25</v>
      </c>
      <c r="M50" s="64">
        <v>68.48</v>
      </c>
      <c r="N50" s="64">
        <v>454.2</v>
      </c>
      <c r="O50" s="64">
        <v>0</v>
      </c>
      <c r="P50" s="64">
        <v>0.89</v>
      </c>
      <c r="Q50" s="64">
        <v>13.85</v>
      </c>
      <c r="R50" s="198"/>
      <c r="S50" s="198"/>
      <c r="T50" s="198"/>
      <c r="U50" s="198"/>
    </row>
    <row r="51" spans="1:21" s="12" customFormat="1" x14ac:dyDescent="0.25">
      <c r="A51" s="214" t="s">
        <v>2115</v>
      </c>
      <c r="B51" s="64">
        <v>16.18</v>
      </c>
      <c r="C51" s="64">
        <v>15.9</v>
      </c>
      <c r="D51" s="64">
        <v>32.08</v>
      </c>
      <c r="E51" s="64">
        <v>7.45</v>
      </c>
      <c r="F51" s="64">
        <v>1.65</v>
      </c>
      <c r="G51" s="64">
        <v>93.66</v>
      </c>
      <c r="H51" s="64">
        <v>31.49</v>
      </c>
      <c r="I51" s="64">
        <v>1.82</v>
      </c>
      <c r="J51" s="64">
        <v>1.21</v>
      </c>
      <c r="K51" s="64">
        <v>336.87</v>
      </c>
      <c r="L51" s="64">
        <v>30.38</v>
      </c>
      <c r="M51" s="64">
        <v>67.95</v>
      </c>
      <c r="N51" s="64">
        <v>344.8</v>
      </c>
      <c r="O51" s="64">
        <v>0</v>
      </c>
      <c r="P51" s="64">
        <v>0.9</v>
      </c>
      <c r="Q51" s="64">
        <v>14.02</v>
      </c>
      <c r="R51" s="198"/>
      <c r="S51" s="198"/>
      <c r="T51" s="198"/>
      <c r="U51" s="198"/>
    </row>
    <row r="52" spans="1:21" s="12" customFormat="1" x14ac:dyDescent="0.25">
      <c r="A52" s="214" t="s">
        <v>2116</v>
      </c>
      <c r="B52" s="64">
        <v>15.03</v>
      </c>
      <c r="C52" s="64">
        <v>24.16</v>
      </c>
      <c r="D52" s="64">
        <v>39.18</v>
      </c>
      <c r="E52" s="64">
        <v>7.62</v>
      </c>
      <c r="F52" s="64">
        <v>12.4</v>
      </c>
      <c r="G52" s="64">
        <v>93.16</v>
      </c>
      <c r="H52" s="64">
        <v>31.91</v>
      </c>
      <c r="I52" s="64">
        <v>1.82</v>
      </c>
      <c r="J52" s="64">
        <v>0.76</v>
      </c>
      <c r="K52" s="64">
        <v>335.41</v>
      </c>
      <c r="L52" s="64">
        <v>30.52</v>
      </c>
      <c r="M52" s="64">
        <v>66.55</v>
      </c>
      <c r="N52" s="64">
        <v>381.7</v>
      </c>
      <c r="O52" s="64">
        <v>0</v>
      </c>
      <c r="P52" s="64">
        <v>0.94</v>
      </c>
      <c r="Q52" s="64">
        <v>14.69</v>
      </c>
      <c r="R52" s="198"/>
      <c r="S52" s="198"/>
      <c r="T52" s="198"/>
      <c r="U52" s="198"/>
    </row>
    <row r="53" spans="1:21" s="12" customFormat="1" x14ac:dyDescent="0.25">
      <c r="A53" s="214" t="s">
        <v>2117</v>
      </c>
      <c r="B53" s="64">
        <v>14.09</v>
      </c>
      <c r="C53" s="64">
        <v>22.18</v>
      </c>
      <c r="D53" s="64">
        <v>36.270000000000003</v>
      </c>
      <c r="E53" s="64">
        <v>8.0299999999999994</v>
      </c>
      <c r="F53" s="64">
        <v>11.61</v>
      </c>
      <c r="G53" s="64">
        <v>93.16</v>
      </c>
      <c r="H53" s="64">
        <v>31.91</v>
      </c>
      <c r="I53" s="64">
        <v>1.78</v>
      </c>
      <c r="J53" s="64">
        <v>0.97</v>
      </c>
      <c r="K53" s="64">
        <v>336.36</v>
      </c>
      <c r="L53" s="64">
        <v>30.59</v>
      </c>
      <c r="M53" s="64">
        <v>67.58</v>
      </c>
      <c r="N53" s="64">
        <v>300.7</v>
      </c>
      <c r="O53" s="64">
        <v>0</v>
      </c>
      <c r="P53" s="64">
        <v>0.96</v>
      </c>
      <c r="Q53" s="64">
        <v>14</v>
      </c>
      <c r="R53" s="198"/>
      <c r="S53" s="198"/>
      <c r="T53" s="198"/>
      <c r="U53" s="198"/>
    </row>
    <row r="54" spans="1:21" s="12" customFormat="1" x14ac:dyDescent="0.25">
      <c r="A54" s="214" t="s">
        <v>2118</v>
      </c>
      <c r="B54" s="64">
        <v>13.41</v>
      </c>
      <c r="C54" s="64">
        <v>21.56</v>
      </c>
      <c r="D54" s="64">
        <v>34.96</v>
      </c>
      <c r="E54" s="64">
        <v>7.17</v>
      </c>
      <c r="F54" s="64">
        <v>7.21</v>
      </c>
      <c r="G54" s="64">
        <v>93.16</v>
      </c>
      <c r="H54" s="64">
        <v>31.91</v>
      </c>
      <c r="I54" s="64">
        <v>1.77</v>
      </c>
      <c r="J54" s="64">
        <v>0.72</v>
      </c>
      <c r="K54" s="64">
        <v>328.75</v>
      </c>
      <c r="L54" s="64">
        <v>30.06</v>
      </c>
      <c r="M54" s="64">
        <v>69.510000000000005</v>
      </c>
      <c r="N54" s="64">
        <v>231.8</v>
      </c>
      <c r="O54" s="64">
        <v>0</v>
      </c>
      <c r="P54" s="64">
        <v>0.94</v>
      </c>
      <c r="Q54" s="64">
        <v>12.95</v>
      </c>
      <c r="R54" s="198"/>
      <c r="S54" s="198"/>
      <c r="T54" s="198"/>
      <c r="U54" s="198"/>
    </row>
    <row r="55" spans="1:21" s="12" customFormat="1" x14ac:dyDescent="0.25">
      <c r="A55" s="214" t="s">
        <v>2119</v>
      </c>
      <c r="B55" s="64">
        <v>13.29</v>
      </c>
      <c r="C55" s="64">
        <v>24.52</v>
      </c>
      <c r="D55" s="64">
        <v>37.81</v>
      </c>
      <c r="E55" s="64">
        <v>6.69</v>
      </c>
      <c r="F55" s="64">
        <v>11.46</v>
      </c>
      <c r="G55" s="64">
        <v>92.31</v>
      </c>
      <c r="H55" s="64">
        <v>31.87</v>
      </c>
      <c r="I55" s="64">
        <v>1.82</v>
      </c>
      <c r="J55" s="64">
        <v>0.83</v>
      </c>
      <c r="K55" s="64">
        <v>327.11</v>
      </c>
      <c r="L55" s="64">
        <v>30.2</v>
      </c>
      <c r="M55" s="64">
        <v>68.91</v>
      </c>
      <c r="N55" s="64">
        <v>397.2</v>
      </c>
      <c r="O55" s="64">
        <v>0</v>
      </c>
      <c r="P55" s="64">
        <v>0.94</v>
      </c>
      <c r="Q55" s="64">
        <v>13.42</v>
      </c>
      <c r="R55" s="198"/>
      <c r="S55" s="198"/>
      <c r="T55" s="198"/>
      <c r="U55" s="198"/>
    </row>
    <row r="56" spans="1:21" s="12" customFormat="1" x14ac:dyDescent="0.25">
      <c r="A56" s="214" t="s">
        <v>2120</v>
      </c>
      <c r="B56" s="64">
        <v>12.8</v>
      </c>
      <c r="C56" s="64">
        <v>20.149999999999999</v>
      </c>
      <c r="D56" s="64">
        <v>32.96</v>
      </c>
      <c r="E56" s="64">
        <v>4.58</v>
      </c>
      <c r="F56" s="64">
        <v>4.08</v>
      </c>
      <c r="G56" s="64">
        <v>90.2</v>
      </c>
      <c r="H56" s="64">
        <v>31.72</v>
      </c>
      <c r="I56" s="64">
        <v>1.81</v>
      </c>
      <c r="J56" s="64">
        <v>0.76</v>
      </c>
      <c r="K56" s="64">
        <v>319.52</v>
      </c>
      <c r="L56" s="64">
        <v>31.1</v>
      </c>
      <c r="M56" s="64">
        <v>66.400000000000006</v>
      </c>
      <c r="N56" s="64">
        <v>467.9</v>
      </c>
      <c r="O56" s="64">
        <v>0</v>
      </c>
      <c r="P56" s="64">
        <v>0.95</v>
      </c>
      <c r="Q56" s="64">
        <v>12.92</v>
      </c>
      <c r="R56" s="198"/>
      <c r="S56" s="198"/>
      <c r="T56" s="198"/>
      <c r="U56" s="198"/>
    </row>
    <row r="57" spans="1:21" s="12" customFormat="1" x14ac:dyDescent="0.25">
      <c r="A57" s="214" t="s">
        <v>2121</v>
      </c>
      <c r="B57" s="64">
        <v>12.44</v>
      </c>
      <c r="C57" s="64">
        <v>18.16</v>
      </c>
      <c r="D57" s="64">
        <v>30.6</v>
      </c>
      <c r="E57" s="64">
        <v>6.96</v>
      </c>
      <c r="F57" s="64">
        <v>4.4400000000000004</v>
      </c>
      <c r="G57" s="64">
        <v>90.2</v>
      </c>
      <c r="H57" s="64">
        <v>31.72</v>
      </c>
      <c r="I57" s="64">
        <v>1.75</v>
      </c>
      <c r="J57" s="64">
        <v>0.85</v>
      </c>
      <c r="K57" s="64">
        <v>337.13</v>
      </c>
      <c r="L57" s="64">
        <v>30.95</v>
      </c>
      <c r="M57" s="64">
        <v>65.41</v>
      </c>
      <c r="N57" s="64">
        <v>356.5</v>
      </c>
      <c r="O57" s="64">
        <v>0</v>
      </c>
      <c r="P57" s="64">
        <v>0.94</v>
      </c>
      <c r="Q57" s="64">
        <v>14.31</v>
      </c>
      <c r="R57" s="198"/>
      <c r="S57" s="198"/>
      <c r="T57" s="198"/>
      <c r="U57" s="198"/>
    </row>
    <row r="58" spans="1:21" s="12" customFormat="1" x14ac:dyDescent="0.25">
      <c r="A58" s="214" t="s">
        <v>2122</v>
      </c>
      <c r="B58" s="64">
        <v>12.17</v>
      </c>
      <c r="C58" s="64">
        <v>19.16</v>
      </c>
      <c r="D58" s="64">
        <v>31.33</v>
      </c>
      <c r="E58" s="64">
        <v>10.23</v>
      </c>
      <c r="F58" s="64">
        <v>6.18</v>
      </c>
      <c r="G58" s="64">
        <v>90.2</v>
      </c>
      <c r="H58" s="64">
        <v>31.72</v>
      </c>
      <c r="I58" s="64">
        <v>1.78</v>
      </c>
      <c r="J58" s="64">
        <v>0.93</v>
      </c>
      <c r="K58" s="64">
        <v>337.48</v>
      </c>
      <c r="L58" s="64">
        <v>31.82</v>
      </c>
      <c r="M58" s="64">
        <v>61.73</v>
      </c>
      <c r="N58" s="64">
        <v>834.7</v>
      </c>
      <c r="O58" s="64">
        <v>0</v>
      </c>
      <c r="P58" s="64">
        <v>0.91</v>
      </c>
      <c r="Q58" s="64">
        <v>13.26</v>
      </c>
      <c r="R58" s="198"/>
      <c r="S58" s="198"/>
      <c r="T58" s="198"/>
      <c r="U58" s="198"/>
    </row>
    <row r="59" spans="1:21" s="12" customFormat="1" x14ac:dyDescent="0.25">
      <c r="A59" s="214" t="s">
        <v>2123</v>
      </c>
      <c r="B59" s="64">
        <v>10.28</v>
      </c>
      <c r="C59" s="64">
        <v>17.34</v>
      </c>
      <c r="D59" s="64">
        <v>27.62</v>
      </c>
      <c r="E59" s="64">
        <v>13.02</v>
      </c>
      <c r="F59" s="64">
        <v>3.59</v>
      </c>
      <c r="G59" s="64">
        <v>89.57</v>
      </c>
      <c r="H59" s="64">
        <v>30.92</v>
      </c>
      <c r="I59" s="64">
        <v>1.84</v>
      </c>
      <c r="J59" s="64">
        <v>0.64</v>
      </c>
      <c r="K59" s="64">
        <v>338.15</v>
      </c>
      <c r="L59" s="64">
        <v>32.44</v>
      </c>
      <c r="M59" s="64">
        <v>59.77</v>
      </c>
      <c r="N59" s="64">
        <v>633.6</v>
      </c>
      <c r="O59" s="64">
        <v>0</v>
      </c>
      <c r="P59" s="64">
        <v>0.91</v>
      </c>
      <c r="Q59" s="64">
        <v>11.51</v>
      </c>
      <c r="R59" s="198"/>
      <c r="S59" s="198"/>
      <c r="T59" s="198"/>
      <c r="U59" s="198"/>
    </row>
    <row r="60" spans="1:21" s="12" customFormat="1" x14ac:dyDescent="0.25">
      <c r="A60" s="214" t="s">
        <v>2124</v>
      </c>
      <c r="B60" s="64">
        <v>8.77</v>
      </c>
      <c r="C60" s="64">
        <v>17.03</v>
      </c>
      <c r="D60" s="64">
        <v>25.8</v>
      </c>
      <c r="E60" s="64">
        <v>9.07</v>
      </c>
      <c r="F60" s="64">
        <v>3.15</v>
      </c>
      <c r="G60" s="64">
        <v>88.03</v>
      </c>
      <c r="H60" s="64">
        <v>29.62</v>
      </c>
      <c r="I60" s="64">
        <v>1.85</v>
      </c>
      <c r="J60" s="64">
        <v>1.1100000000000001</v>
      </c>
      <c r="K60" s="64">
        <v>330.44</v>
      </c>
      <c r="L60" s="64">
        <v>32.32</v>
      </c>
      <c r="M60" s="64">
        <v>59.25</v>
      </c>
      <c r="N60" s="64">
        <v>586.1</v>
      </c>
      <c r="O60" s="64">
        <v>0</v>
      </c>
      <c r="P60" s="64">
        <v>0.91</v>
      </c>
      <c r="Q60" s="64">
        <v>11.07</v>
      </c>
      <c r="R60" s="198"/>
      <c r="S60" s="198"/>
      <c r="T60" s="198"/>
      <c r="U60" s="198"/>
    </row>
    <row r="61" spans="1:21" s="12" customFormat="1" x14ac:dyDescent="0.25">
      <c r="A61" s="214" t="s">
        <v>2125</v>
      </c>
      <c r="B61" s="64">
        <v>8.94</v>
      </c>
      <c r="C61" s="64">
        <v>17.48</v>
      </c>
      <c r="D61" s="64">
        <v>26.42</v>
      </c>
      <c r="E61" s="64">
        <v>10.039999999999999</v>
      </c>
      <c r="F61" s="64">
        <v>4.0199999999999996</v>
      </c>
      <c r="G61" s="64">
        <v>88.03</v>
      </c>
      <c r="H61" s="64">
        <v>29.62</v>
      </c>
      <c r="I61" s="64">
        <v>1.73</v>
      </c>
      <c r="J61" s="64">
        <v>0.99</v>
      </c>
      <c r="K61" s="64">
        <v>332.88</v>
      </c>
      <c r="L61" s="64">
        <v>33.04</v>
      </c>
      <c r="M61" s="64">
        <v>57.47</v>
      </c>
      <c r="N61" s="64">
        <v>479.7</v>
      </c>
      <c r="O61" s="64">
        <v>0</v>
      </c>
      <c r="P61" s="64">
        <v>0.88</v>
      </c>
      <c r="Q61" s="64">
        <v>11.78</v>
      </c>
      <c r="R61" s="198"/>
      <c r="S61" s="198"/>
      <c r="T61" s="198"/>
      <c r="U61" s="198"/>
    </row>
    <row r="62" spans="1:21" s="12" customFormat="1" x14ac:dyDescent="0.25">
      <c r="A62" s="214" t="s">
        <v>2126</v>
      </c>
      <c r="B62" s="64">
        <v>8.7799999999999994</v>
      </c>
      <c r="C62" s="64">
        <v>21.91</v>
      </c>
      <c r="D62" s="64">
        <v>30.68</v>
      </c>
      <c r="E62" s="64">
        <v>10.99</v>
      </c>
      <c r="F62" s="64">
        <v>6.74</v>
      </c>
      <c r="G62" s="64">
        <v>88.03</v>
      </c>
      <c r="H62" s="64">
        <v>29.62</v>
      </c>
      <c r="I62" s="64">
        <v>1.78</v>
      </c>
      <c r="J62" s="64">
        <v>0.7</v>
      </c>
      <c r="K62" s="64">
        <v>335.64</v>
      </c>
      <c r="L62" s="64">
        <v>32.14</v>
      </c>
      <c r="M62" s="64">
        <v>59.31</v>
      </c>
      <c r="N62" s="64">
        <v>376.9</v>
      </c>
      <c r="O62" s="64">
        <v>0</v>
      </c>
      <c r="P62" s="64">
        <v>0.9</v>
      </c>
      <c r="Q62" s="64">
        <v>10.54</v>
      </c>
      <c r="R62" s="198"/>
      <c r="S62" s="198"/>
      <c r="T62" s="198"/>
      <c r="U62" s="198"/>
    </row>
    <row r="63" spans="1:21" s="12" customFormat="1" x14ac:dyDescent="0.25">
      <c r="A63" s="214" t="s">
        <v>2127</v>
      </c>
      <c r="B63" s="64">
        <v>9.11</v>
      </c>
      <c r="C63" s="64">
        <v>20.43</v>
      </c>
      <c r="D63" s="64">
        <v>29.55</v>
      </c>
      <c r="E63" s="64">
        <v>7.49</v>
      </c>
      <c r="F63" s="64">
        <v>4.5599999999999996</v>
      </c>
      <c r="G63" s="64">
        <v>86.83</v>
      </c>
      <c r="H63" s="64">
        <v>29.6</v>
      </c>
      <c r="I63" s="64">
        <v>1.79</v>
      </c>
      <c r="J63" s="64">
        <v>1.07</v>
      </c>
      <c r="K63" s="64">
        <v>337.01</v>
      </c>
      <c r="L63" s="64">
        <v>32.130000000000003</v>
      </c>
      <c r="M63" s="64">
        <v>56.88</v>
      </c>
      <c r="N63" s="64">
        <v>378.4</v>
      </c>
      <c r="O63" s="64">
        <v>0</v>
      </c>
      <c r="P63" s="64">
        <v>0.89</v>
      </c>
      <c r="Q63" s="64">
        <v>9.24</v>
      </c>
      <c r="R63" s="198"/>
      <c r="S63" s="198"/>
      <c r="T63" s="198"/>
      <c r="U63" s="198"/>
    </row>
    <row r="64" spans="1:21" s="12" customFormat="1" x14ac:dyDescent="0.25">
      <c r="A64" s="214" t="s">
        <v>2128</v>
      </c>
      <c r="B64" s="64">
        <v>8.39</v>
      </c>
      <c r="C64" s="64">
        <v>23.52</v>
      </c>
      <c r="D64" s="64">
        <v>31.91</v>
      </c>
      <c r="E64" s="64">
        <v>10.029999999999999</v>
      </c>
      <c r="F64" s="64">
        <v>15.19</v>
      </c>
      <c r="G64" s="64">
        <v>83.87</v>
      </c>
      <c r="H64" s="64">
        <v>29.56</v>
      </c>
      <c r="I64" s="64">
        <v>1.83</v>
      </c>
      <c r="J64" s="64">
        <v>0.67</v>
      </c>
      <c r="K64" s="64">
        <v>331.94</v>
      </c>
      <c r="L64" s="64">
        <v>32.299999999999997</v>
      </c>
      <c r="M64" s="64">
        <v>58.61</v>
      </c>
      <c r="N64" s="64">
        <v>343.7</v>
      </c>
      <c r="O64" s="64">
        <v>0</v>
      </c>
      <c r="P64" s="64">
        <v>0.93</v>
      </c>
      <c r="Q64" s="64">
        <v>9.1999999999999993</v>
      </c>
      <c r="R64" s="198"/>
      <c r="S64" s="198"/>
      <c r="T64" s="198"/>
      <c r="U64" s="198"/>
    </row>
    <row r="65" spans="1:21" s="12" customFormat="1" x14ac:dyDescent="0.25">
      <c r="A65" s="214" t="s">
        <v>2129</v>
      </c>
      <c r="B65" s="64">
        <v>8.68</v>
      </c>
      <c r="C65" s="64">
        <v>23.53</v>
      </c>
      <c r="D65" s="64">
        <v>32.21</v>
      </c>
      <c r="E65" s="64">
        <v>9.85</v>
      </c>
      <c r="F65" s="64">
        <v>11.93</v>
      </c>
      <c r="G65" s="64">
        <v>83.87</v>
      </c>
      <c r="H65" s="64">
        <v>29.56</v>
      </c>
      <c r="I65" s="64">
        <v>1.79</v>
      </c>
      <c r="J65" s="64">
        <v>1.03</v>
      </c>
      <c r="K65" s="64">
        <v>336.34</v>
      </c>
      <c r="L65" s="64">
        <v>31.7</v>
      </c>
      <c r="M65" s="64">
        <v>59.76</v>
      </c>
      <c r="N65" s="64">
        <v>209.3</v>
      </c>
      <c r="O65" s="64">
        <v>0</v>
      </c>
      <c r="P65" s="64">
        <v>0.87</v>
      </c>
      <c r="Q65" s="64">
        <v>6.85</v>
      </c>
      <c r="R65" s="198"/>
      <c r="S65" s="198"/>
      <c r="T65" s="198"/>
      <c r="U65" s="198"/>
    </row>
    <row r="66" spans="1:21" s="12" customFormat="1" x14ac:dyDescent="0.25">
      <c r="A66" s="214" t="s">
        <v>2130</v>
      </c>
      <c r="B66" s="64">
        <v>9.07</v>
      </c>
      <c r="C66" s="64">
        <v>19.739999999999998</v>
      </c>
      <c r="D66" s="64">
        <v>28.81</v>
      </c>
      <c r="E66" s="64">
        <v>9.32</v>
      </c>
      <c r="F66" s="64">
        <v>10.31</v>
      </c>
      <c r="G66" s="64">
        <v>83.87</v>
      </c>
      <c r="H66" s="64">
        <v>29.56</v>
      </c>
      <c r="I66" s="64">
        <v>1.83</v>
      </c>
      <c r="J66" s="64">
        <v>1.08</v>
      </c>
      <c r="K66" s="64">
        <v>334.65</v>
      </c>
      <c r="L66" s="64">
        <v>31.1</v>
      </c>
      <c r="M66" s="64">
        <v>61.32</v>
      </c>
      <c r="N66" s="64">
        <v>217.3</v>
      </c>
      <c r="O66" s="64">
        <v>0</v>
      </c>
      <c r="P66" s="64">
        <v>0.87</v>
      </c>
      <c r="Q66" s="64">
        <v>6.86</v>
      </c>
      <c r="R66" s="198"/>
      <c r="S66" s="198"/>
      <c r="T66" s="198"/>
      <c r="U66" s="198"/>
    </row>
    <row r="67" spans="1:21" s="12" customFormat="1" x14ac:dyDescent="0.25">
      <c r="A67" s="214" t="s">
        <v>2131</v>
      </c>
      <c r="B67" s="64">
        <v>8.16</v>
      </c>
      <c r="C67" s="64">
        <v>22.15</v>
      </c>
      <c r="D67" s="64">
        <v>30.31</v>
      </c>
      <c r="E67" s="64">
        <v>8.31</v>
      </c>
      <c r="F67" s="64">
        <v>13.21</v>
      </c>
      <c r="G67" s="64">
        <v>83.96</v>
      </c>
      <c r="H67" s="64">
        <v>30.95</v>
      </c>
      <c r="I67" s="64">
        <v>1.86</v>
      </c>
      <c r="J67" s="64">
        <v>0.86</v>
      </c>
      <c r="K67" s="64">
        <v>327.06</v>
      </c>
      <c r="L67" s="64">
        <v>30.85</v>
      </c>
      <c r="M67" s="64">
        <v>62.49</v>
      </c>
      <c r="N67" s="64">
        <v>195.8</v>
      </c>
      <c r="O67" s="64">
        <v>0</v>
      </c>
      <c r="P67" s="64">
        <v>0.84</v>
      </c>
      <c r="Q67" s="64">
        <v>9.15</v>
      </c>
      <c r="R67" s="198"/>
      <c r="S67" s="198"/>
      <c r="T67" s="198"/>
      <c r="U67" s="198"/>
    </row>
    <row r="68" spans="1:21" s="12" customFormat="1" x14ac:dyDescent="0.25">
      <c r="A68" s="214" t="s">
        <v>2132</v>
      </c>
      <c r="B68" s="64">
        <v>9.51</v>
      </c>
      <c r="C68" s="64">
        <v>19.21</v>
      </c>
      <c r="D68" s="64">
        <v>28.71</v>
      </c>
      <c r="E68" s="64">
        <v>8.4499999999999993</v>
      </c>
      <c r="F68" s="64">
        <v>6.55</v>
      </c>
      <c r="G68" s="64">
        <v>84.17</v>
      </c>
      <c r="H68" s="64">
        <v>33.130000000000003</v>
      </c>
      <c r="I68" s="64">
        <v>1.82</v>
      </c>
      <c r="J68" s="64">
        <v>0.41</v>
      </c>
      <c r="K68" s="64">
        <v>328.18</v>
      </c>
      <c r="L68" s="64">
        <v>30.45</v>
      </c>
      <c r="M68" s="64">
        <v>64.06</v>
      </c>
      <c r="N68" s="64">
        <v>169.3</v>
      </c>
      <c r="O68" s="64">
        <v>0</v>
      </c>
      <c r="P68" s="64">
        <v>0.86</v>
      </c>
      <c r="Q68" s="64">
        <v>9.17</v>
      </c>
      <c r="R68" s="198"/>
      <c r="S68" s="198"/>
      <c r="T68" s="198"/>
      <c r="U68" s="198"/>
    </row>
    <row r="69" spans="1:21" s="12" customFormat="1" x14ac:dyDescent="0.25">
      <c r="A69" s="214" t="s">
        <v>2133</v>
      </c>
      <c r="B69" s="64">
        <v>6.76</v>
      </c>
      <c r="C69" s="64">
        <v>16.59</v>
      </c>
      <c r="D69" s="64">
        <v>23.35</v>
      </c>
      <c r="E69" s="64">
        <v>7.26</v>
      </c>
      <c r="F69" s="64">
        <v>2.7</v>
      </c>
      <c r="G69" s="64">
        <v>84.17</v>
      </c>
      <c r="H69" s="64">
        <v>33.130000000000003</v>
      </c>
      <c r="I69" s="64">
        <v>1.85</v>
      </c>
      <c r="J69" s="64">
        <v>0.38</v>
      </c>
      <c r="K69" s="64">
        <v>331.76</v>
      </c>
      <c r="L69" s="64">
        <v>30.2</v>
      </c>
      <c r="M69" s="64">
        <v>65.930000000000007</v>
      </c>
      <c r="N69" s="64">
        <v>178.1</v>
      </c>
      <c r="O69" s="64">
        <v>0</v>
      </c>
      <c r="P69" s="64">
        <v>0.87</v>
      </c>
      <c r="Q69" s="64">
        <v>11</v>
      </c>
      <c r="R69" s="198"/>
      <c r="S69" s="198"/>
      <c r="T69" s="198"/>
      <c r="U69" s="198"/>
    </row>
    <row r="70" spans="1:21" s="12" customFormat="1" x14ac:dyDescent="0.25">
      <c r="A70" s="214" t="s">
        <v>2134</v>
      </c>
      <c r="B70" s="64">
        <v>5.6</v>
      </c>
      <c r="C70" s="64">
        <v>18.14</v>
      </c>
      <c r="D70" s="64">
        <v>23.74</v>
      </c>
      <c r="E70" s="64">
        <v>9.01</v>
      </c>
      <c r="F70" s="64">
        <v>3.32</v>
      </c>
      <c r="G70" s="64">
        <v>84.17</v>
      </c>
      <c r="H70" s="64">
        <v>33.130000000000003</v>
      </c>
      <c r="I70" s="64">
        <v>1.73</v>
      </c>
      <c r="J70" s="64">
        <v>0.37</v>
      </c>
      <c r="K70" s="64">
        <v>338.96</v>
      </c>
      <c r="L70" s="64">
        <v>29.46</v>
      </c>
      <c r="M70" s="64">
        <v>69.78</v>
      </c>
      <c r="N70" s="64">
        <v>104.6</v>
      </c>
      <c r="O70" s="64">
        <v>0</v>
      </c>
      <c r="P70" s="64">
        <v>0.82</v>
      </c>
      <c r="Q70" s="64">
        <v>10.52</v>
      </c>
      <c r="R70" s="198"/>
      <c r="S70" s="198"/>
      <c r="T70" s="198"/>
      <c r="U70" s="198"/>
    </row>
    <row r="71" spans="1:21" s="12" customFormat="1" x14ac:dyDescent="0.25">
      <c r="A71" s="214" t="s">
        <v>2135</v>
      </c>
      <c r="B71" s="64">
        <v>4.68</v>
      </c>
      <c r="C71" s="64">
        <v>15.5</v>
      </c>
      <c r="D71" s="64">
        <v>20.190000000000001</v>
      </c>
      <c r="E71" s="64">
        <v>10.61</v>
      </c>
      <c r="F71" s="64">
        <v>3.36</v>
      </c>
      <c r="G71" s="64">
        <v>79</v>
      </c>
      <c r="H71" s="64">
        <v>30.91</v>
      </c>
      <c r="I71" s="64">
        <v>1.81</v>
      </c>
      <c r="J71" s="64">
        <v>0.27</v>
      </c>
      <c r="K71" s="64">
        <v>6.62</v>
      </c>
      <c r="L71" s="64">
        <v>28.74</v>
      </c>
      <c r="M71" s="64">
        <v>71.58</v>
      </c>
      <c r="N71" s="64">
        <v>90.4</v>
      </c>
      <c r="O71" s="64">
        <v>0</v>
      </c>
      <c r="P71" s="64">
        <v>0.78</v>
      </c>
      <c r="Q71" s="64">
        <v>8.67</v>
      </c>
      <c r="R71" s="198"/>
      <c r="S71" s="198"/>
      <c r="T71" s="198"/>
      <c r="U71" s="198"/>
    </row>
    <row r="72" spans="1:21" s="12" customFormat="1" x14ac:dyDescent="0.25">
      <c r="A72" s="214" t="s">
        <v>2136</v>
      </c>
      <c r="B72" s="64">
        <v>4.18</v>
      </c>
      <c r="C72" s="64">
        <v>16.68</v>
      </c>
      <c r="D72" s="64">
        <v>20.87</v>
      </c>
      <c r="E72" s="64">
        <v>6.25</v>
      </c>
      <c r="F72" s="64">
        <v>3.82</v>
      </c>
      <c r="G72" s="64">
        <v>66.25</v>
      </c>
      <c r="H72" s="64">
        <v>27.28</v>
      </c>
      <c r="I72" s="64">
        <v>1.83</v>
      </c>
      <c r="J72" s="64">
        <v>0.24</v>
      </c>
      <c r="K72" s="64">
        <v>22.68</v>
      </c>
      <c r="L72" s="64">
        <v>28.53</v>
      </c>
      <c r="M72" s="64">
        <v>72.83</v>
      </c>
      <c r="N72" s="64">
        <v>89.8</v>
      </c>
      <c r="O72" s="64">
        <v>0</v>
      </c>
      <c r="P72" s="64">
        <v>0.78</v>
      </c>
      <c r="Q72" s="64">
        <v>7.14</v>
      </c>
      <c r="R72" s="198"/>
      <c r="S72" s="198"/>
      <c r="T72" s="198"/>
      <c r="U72" s="198"/>
    </row>
    <row r="73" spans="1:21" s="12" customFormat="1" x14ac:dyDescent="0.25">
      <c r="A73" s="214" t="s">
        <v>2137</v>
      </c>
      <c r="B73" s="64">
        <v>3.74</v>
      </c>
      <c r="C73" s="64">
        <v>16.77</v>
      </c>
      <c r="D73" s="64">
        <v>20.5</v>
      </c>
      <c r="E73" s="64">
        <v>8.4700000000000006</v>
      </c>
      <c r="F73" s="64">
        <v>2.2999999999999998</v>
      </c>
      <c r="G73" s="64">
        <v>66.25</v>
      </c>
      <c r="H73" s="64">
        <v>27.28</v>
      </c>
      <c r="I73" s="64">
        <v>1.73</v>
      </c>
      <c r="J73" s="64">
        <v>0.27</v>
      </c>
      <c r="K73" s="64">
        <v>21.01</v>
      </c>
      <c r="L73" s="64">
        <v>28.31</v>
      </c>
      <c r="M73" s="64">
        <v>75.66</v>
      </c>
      <c r="N73" s="64">
        <v>96.2</v>
      </c>
      <c r="O73" s="64">
        <v>0</v>
      </c>
      <c r="P73" s="64">
        <v>0.78</v>
      </c>
      <c r="Q73" s="64">
        <v>5.65</v>
      </c>
      <c r="R73" s="198"/>
      <c r="S73" s="198"/>
      <c r="T73" s="198"/>
      <c r="U73" s="198"/>
    </row>
    <row r="74" spans="1:21" s="12" customFormat="1" x14ac:dyDescent="0.25">
      <c r="A74" s="214" t="s">
        <v>2138</v>
      </c>
      <c r="B74" s="64">
        <v>3.81</v>
      </c>
      <c r="C74" s="64">
        <v>17.809999999999999</v>
      </c>
      <c r="D74" s="64">
        <v>21.63</v>
      </c>
      <c r="E74" s="64">
        <v>7.28</v>
      </c>
      <c r="F74" s="64">
        <v>4.96</v>
      </c>
      <c r="G74" s="64">
        <v>66.25</v>
      </c>
      <c r="H74" s="64">
        <v>27.28</v>
      </c>
      <c r="I74" s="64">
        <v>1.9</v>
      </c>
      <c r="J74" s="64">
        <v>0.01</v>
      </c>
      <c r="K74" s="64">
        <v>335.36</v>
      </c>
      <c r="L74" s="64">
        <v>27.73</v>
      </c>
      <c r="M74" s="64">
        <v>80.47</v>
      </c>
      <c r="N74" s="64">
        <v>70</v>
      </c>
      <c r="O74" s="64">
        <v>0</v>
      </c>
      <c r="P74" s="64">
        <v>0.75</v>
      </c>
      <c r="Q74" s="64">
        <v>5.82</v>
      </c>
      <c r="R74" s="198"/>
      <c r="S74" s="198"/>
      <c r="T74" s="198"/>
      <c r="U74" s="198"/>
    </row>
    <row r="75" spans="1:21" s="12" customFormat="1" x14ac:dyDescent="0.25">
      <c r="A75" s="214" t="s">
        <v>2139</v>
      </c>
      <c r="B75" s="64">
        <v>3.07</v>
      </c>
      <c r="C75" s="64">
        <v>15.61</v>
      </c>
      <c r="D75" s="64">
        <v>18.670000000000002</v>
      </c>
      <c r="E75" s="64">
        <v>8.5500000000000007</v>
      </c>
      <c r="F75" s="64">
        <v>3.92</v>
      </c>
      <c r="G75" s="64">
        <v>64.44</v>
      </c>
      <c r="H75" s="64">
        <v>26.02</v>
      </c>
      <c r="I75" s="64">
        <v>1.76</v>
      </c>
      <c r="J75" s="64">
        <v>0.65</v>
      </c>
      <c r="K75" s="64">
        <v>148.54</v>
      </c>
      <c r="L75" s="64">
        <v>26.76</v>
      </c>
      <c r="M75" s="64">
        <v>80.72</v>
      </c>
      <c r="N75" s="64">
        <v>31.7</v>
      </c>
      <c r="O75" s="64">
        <v>0</v>
      </c>
      <c r="P75" s="64">
        <v>0.71</v>
      </c>
      <c r="Q75" s="64">
        <v>4.88</v>
      </c>
      <c r="R75" s="198"/>
      <c r="S75" s="198"/>
      <c r="T75" s="198"/>
      <c r="U75" s="198"/>
    </row>
    <row r="76" spans="1:21" s="12" customFormat="1" x14ac:dyDescent="0.25">
      <c r="A76" s="214" t="s">
        <v>2140</v>
      </c>
      <c r="B76" s="64">
        <v>2.5499999999999998</v>
      </c>
      <c r="C76" s="64">
        <v>14.24</v>
      </c>
      <c r="D76" s="64">
        <v>16.79</v>
      </c>
      <c r="E76" s="64">
        <v>7.5</v>
      </c>
      <c r="F76" s="64">
        <v>3.98</v>
      </c>
      <c r="G76" s="64">
        <v>59.96</v>
      </c>
      <c r="H76" s="64">
        <v>24.03</v>
      </c>
      <c r="I76" s="64">
        <v>1.75</v>
      </c>
      <c r="J76" s="64">
        <v>0.28000000000000003</v>
      </c>
      <c r="K76" s="64">
        <v>178.34</v>
      </c>
      <c r="L76" s="64">
        <v>25.47</v>
      </c>
      <c r="M76" s="64">
        <v>81.64</v>
      </c>
      <c r="N76" s="64">
        <v>20.5</v>
      </c>
      <c r="O76" s="64">
        <v>0</v>
      </c>
      <c r="P76" s="64">
        <v>0.67</v>
      </c>
      <c r="Q76" s="64">
        <v>4.6100000000000003</v>
      </c>
      <c r="R76" s="198"/>
      <c r="S76" s="198"/>
      <c r="T76" s="198"/>
      <c r="U76" s="198"/>
    </row>
    <row r="77" spans="1:21" s="12" customFormat="1" x14ac:dyDescent="0.25">
      <c r="A77" s="214" t="s">
        <v>2141</v>
      </c>
      <c r="B77" s="64">
        <v>2.37</v>
      </c>
      <c r="C77" s="64">
        <v>12.82</v>
      </c>
      <c r="D77" s="64">
        <v>15.18</v>
      </c>
      <c r="E77" s="64">
        <v>7.8</v>
      </c>
      <c r="F77" s="64">
        <v>4.24</v>
      </c>
      <c r="G77" s="64">
        <v>59.96</v>
      </c>
      <c r="H77" s="64">
        <v>24.03</v>
      </c>
      <c r="I77" s="64">
        <v>1.75</v>
      </c>
      <c r="J77" s="64">
        <v>0.14000000000000001</v>
      </c>
      <c r="K77" s="64">
        <v>224.3</v>
      </c>
      <c r="L77" s="64">
        <v>24.45</v>
      </c>
      <c r="M77" s="64">
        <v>89.89</v>
      </c>
      <c r="N77" s="64">
        <v>16.600000000000001</v>
      </c>
      <c r="O77" s="64">
        <v>0.2</v>
      </c>
      <c r="P77" s="64">
        <v>0.63</v>
      </c>
      <c r="Q77" s="64">
        <v>3.3</v>
      </c>
      <c r="R77" s="198"/>
      <c r="S77" s="198"/>
      <c r="T77" s="198"/>
      <c r="U77" s="198"/>
    </row>
    <row r="78" spans="1:21" s="12" customFormat="1" x14ac:dyDescent="0.25">
      <c r="A78" s="214" t="s">
        <v>2142</v>
      </c>
      <c r="B78" s="64">
        <v>2.36</v>
      </c>
      <c r="C78" s="64">
        <v>12.72</v>
      </c>
      <c r="D78" s="64">
        <v>15.07</v>
      </c>
      <c r="E78" s="64">
        <v>7.09</v>
      </c>
      <c r="F78" s="64">
        <v>3.61</v>
      </c>
      <c r="G78" s="64">
        <v>59.96</v>
      </c>
      <c r="H78" s="64">
        <v>24.03</v>
      </c>
      <c r="I78" s="64">
        <v>1.81</v>
      </c>
      <c r="J78" s="64">
        <v>0.12</v>
      </c>
      <c r="K78" s="64">
        <v>21.72</v>
      </c>
      <c r="L78" s="64">
        <v>23.57</v>
      </c>
      <c r="M78" s="64">
        <v>98.61</v>
      </c>
      <c r="N78" s="64">
        <v>15.7</v>
      </c>
      <c r="O78" s="64">
        <v>0</v>
      </c>
      <c r="P78" s="64">
        <v>0.57999999999999996</v>
      </c>
      <c r="Q78" s="64">
        <v>3.8</v>
      </c>
      <c r="R78" s="198"/>
      <c r="S78" s="198"/>
      <c r="T78" s="198"/>
      <c r="U78" s="198"/>
    </row>
    <row r="79" spans="1:21" s="12" customFormat="1" x14ac:dyDescent="0.25">
      <c r="A79" s="214" t="s">
        <v>2143</v>
      </c>
      <c r="B79" s="64">
        <v>2.27</v>
      </c>
      <c r="C79" s="64">
        <v>11.35</v>
      </c>
      <c r="D79" s="64">
        <v>13.62</v>
      </c>
      <c r="E79" s="64">
        <v>6.95</v>
      </c>
      <c r="F79" s="64">
        <v>4.4800000000000004</v>
      </c>
      <c r="G79" s="64">
        <v>55.86</v>
      </c>
      <c r="H79" s="64">
        <v>23.26</v>
      </c>
      <c r="I79" s="64">
        <v>1.82</v>
      </c>
      <c r="J79" s="64">
        <v>0.2</v>
      </c>
      <c r="K79" s="64">
        <v>28.62</v>
      </c>
      <c r="L79" s="64">
        <v>23.6</v>
      </c>
      <c r="M79" s="64">
        <v>98.49</v>
      </c>
      <c r="N79" s="64">
        <v>11.1</v>
      </c>
      <c r="O79" s="64">
        <v>0.2</v>
      </c>
      <c r="P79" s="64">
        <v>0.56999999999999995</v>
      </c>
      <c r="Q79" s="64">
        <v>2.4500000000000002</v>
      </c>
      <c r="R79" s="198"/>
      <c r="S79" s="198"/>
      <c r="T79" s="198"/>
      <c r="U79" s="198"/>
    </row>
    <row r="80" spans="1:21" s="12" customFormat="1" x14ac:dyDescent="0.25">
      <c r="A80" s="214" t="s">
        <v>2144</v>
      </c>
      <c r="B80" s="64">
        <v>3.23</v>
      </c>
      <c r="C80" s="64">
        <v>13.59</v>
      </c>
      <c r="D80" s="64">
        <v>16.829999999999998</v>
      </c>
      <c r="E80" s="64">
        <v>6.07</v>
      </c>
      <c r="F80" s="64">
        <v>2.19</v>
      </c>
      <c r="G80" s="64">
        <v>45.78</v>
      </c>
      <c r="H80" s="64">
        <v>20.12</v>
      </c>
      <c r="I80" s="64">
        <v>1.8</v>
      </c>
      <c r="J80" s="64">
        <v>0.24</v>
      </c>
      <c r="K80" s="64">
        <v>7.65</v>
      </c>
      <c r="L80" s="64">
        <v>23.32</v>
      </c>
      <c r="M80" s="64">
        <v>98.79</v>
      </c>
      <c r="N80" s="64">
        <v>9.8000000000000007</v>
      </c>
      <c r="O80" s="64">
        <v>1.2</v>
      </c>
      <c r="P80" s="64">
        <v>0.57999999999999996</v>
      </c>
      <c r="Q80" s="64">
        <v>4.1900000000000004</v>
      </c>
      <c r="R80" s="198"/>
      <c r="S80" s="198"/>
      <c r="T80" s="198"/>
      <c r="U80" s="198"/>
    </row>
    <row r="81" spans="1:26" s="12" customFormat="1" x14ac:dyDescent="0.25">
      <c r="A81" s="214" t="s">
        <v>2145</v>
      </c>
      <c r="B81" s="64">
        <v>3.3</v>
      </c>
      <c r="C81" s="64">
        <v>13.27</v>
      </c>
      <c r="D81" s="64">
        <v>16.57</v>
      </c>
      <c r="E81" s="64">
        <v>7.29</v>
      </c>
      <c r="F81" s="64">
        <v>2.1</v>
      </c>
      <c r="G81" s="64">
        <v>45.78</v>
      </c>
      <c r="H81" s="64">
        <v>20.12</v>
      </c>
      <c r="I81" s="64">
        <v>1.83</v>
      </c>
      <c r="J81" s="64">
        <v>0.57999999999999996</v>
      </c>
      <c r="K81" s="64">
        <v>88.36</v>
      </c>
      <c r="L81" s="64">
        <v>21.32</v>
      </c>
      <c r="M81" s="64">
        <v>98.81</v>
      </c>
      <c r="N81" s="64">
        <v>13.2</v>
      </c>
      <c r="O81" s="64">
        <v>1.8</v>
      </c>
      <c r="P81" s="64">
        <v>0.54</v>
      </c>
      <c r="Q81" s="64">
        <v>3.51</v>
      </c>
      <c r="R81" s="198"/>
      <c r="S81" s="198"/>
      <c r="T81" s="198"/>
      <c r="U81" s="198"/>
    </row>
    <row r="82" spans="1:26" s="12" customFormat="1" x14ac:dyDescent="0.25">
      <c r="A82" s="214" t="s">
        <v>2146</v>
      </c>
      <c r="B82" s="64">
        <v>3.23</v>
      </c>
      <c r="C82" s="64">
        <v>10.63</v>
      </c>
      <c r="D82" s="64">
        <v>13.86</v>
      </c>
      <c r="E82" s="64">
        <v>6.46</v>
      </c>
      <c r="F82" s="64">
        <v>1.39</v>
      </c>
      <c r="G82" s="64">
        <v>45.78</v>
      </c>
      <c r="H82" s="64">
        <v>20.12</v>
      </c>
      <c r="I82" s="64">
        <v>1.79</v>
      </c>
      <c r="J82" s="64">
        <v>0.35</v>
      </c>
      <c r="K82" s="64">
        <v>92.63</v>
      </c>
      <c r="L82" s="64">
        <v>20.87</v>
      </c>
      <c r="M82" s="64">
        <v>98.83</v>
      </c>
      <c r="N82" s="64">
        <v>9.5</v>
      </c>
      <c r="O82" s="64">
        <v>1</v>
      </c>
      <c r="P82" s="64">
        <v>0.56000000000000005</v>
      </c>
      <c r="Q82" s="64">
        <v>3.57</v>
      </c>
      <c r="R82" s="198"/>
      <c r="S82" s="198"/>
      <c r="T82" s="198"/>
      <c r="U82" s="198"/>
    </row>
    <row r="83" spans="1:26" s="12" customFormat="1" x14ac:dyDescent="0.25">
      <c r="A83" s="214" t="s">
        <v>2147</v>
      </c>
      <c r="B83" s="64">
        <v>3.29</v>
      </c>
      <c r="C83" s="64">
        <v>10.19</v>
      </c>
      <c r="D83" s="64">
        <v>13.47</v>
      </c>
      <c r="E83" s="64">
        <v>7.17</v>
      </c>
      <c r="F83" s="64">
        <v>0.65</v>
      </c>
      <c r="G83" s="64">
        <v>40.72</v>
      </c>
      <c r="H83" s="64">
        <v>17.829999999999998</v>
      </c>
      <c r="I83" s="64">
        <v>1.7</v>
      </c>
      <c r="J83" s="64">
        <v>0.88</v>
      </c>
      <c r="K83" s="64">
        <v>112.42</v>
      </c>
      <c r="L83" s="64">
        <v>20.94</v>
      </c>
      <c r="M83" s="64">
        <v>98.83</v>
      </c>
      <c r="N83" s="64">
        <v>9.5</v>
      </c>
      <c r="O83" s="64">
        <v>0.4</v>
      </c>
      <c r="P83" s="64">
        <v>0.54</v>
      </c>
      <c r="Q83" s="64">
        <v>5.01</v>
      </c>
      <c r="R83" s="198"/>
      <c r="S83" s="198"/>
      <c r="T83" s="198"/>
      <c r="U83" s="198"/>
    </row>
    <row r="84" spans="1:26" s="12" customFormat="1" x14ac:dyDescent="0.25">
      <c r="A84" s="214" t="s">
        <v>2148</v>
      </c>
      <c r="B84" s="64">
        <v>3.32</v>
      </c>
      <c r="C84" s="64">
        <v>9.7100000000000009</v>
      </c>
      <c r="D84" s="64">
        <v>13.04</v>
      </c>
      <c r="E84" s="64">
        <v>6.15</v>
      </c>
      <c r="F84" s="64">
        <v>1.03</v>
      </c>
      <c r="G84" s="64">
        <v>28.28</v>
      </c>
      <c r="H84" s="64">
        <v>14.21</v>
      </c>
      <c r="I84" s="64">
        <v>1.77</v>
      </c>
      <c r="J84" s="64">
        <v>0.09</v>
      </c>
      <c r="K84" s="64">
        <v>249.75</v>
      </c>
      <c r="L84" s="64">
        <v>21.16</v>
      </c>
      <c r="M84" s="64">
        <v>98.83</v>
      </c>
      <c r="N84" s="64">
        <v>9.1999999999999993</v>
      </c>
      <c r="O84" s="64">
        <v>0.4</v>
      </c>
      <c r="P84" s="64">
        <v>0.55000000000000004</v>
      </c>
      <c r="Q84" s="64">
        <v>6.08</v>
      </c>
      <c r="R84" s="198"/>
      <c r="S84" s="198"/>
      <c r="T84" s="198"/>
      <c r="U84" s="198"/>
    </row>
    <row r="85" spans="1:26" s="12" customFormat="1" x14ac:dyDescent="0.25">
      <c r="A85" s="214" t="s">
        <v>2149</v>
      </c>
      <c r="B85" s="64">
        <v>3.39</v>
      </c>
      <c r="C85" s="64">
        <v>10.38</v>
      </c>
      <c r="D85" s="64">
        <v>13.77</v>
      </c>
      <c r="E85" s="64">
        <v>6.54</v>
      </c>
      <c r="F85" s="64">
        <v>0.61</v>
      </c>
      <c r="G85" s="64">
        <v>28.28</v>
      </c>
      <c r="H85" s="64">
        <v>14.21</v>
      </c>
      <c r="I85" s="64">
        <v>1.74</v>
      </c>
      <c r="J85" s="64">
        <v>0.04</v>
      </c>
      <c r="K85" s="64">
        <v>12.73</v>
      </c>
      <c r="L85" s="64">
        <v>21.48</v>
      </c>
      <c r="M85" s="64">
        <v>98.83</v>
      </c>
      <c r="N85" s="64">
        <v>9.3000000000000007</v>
      </c>
      <c r="O85" s="64">
        <v>0.2</v>
      </c>
      <c r="P85" s="64">
        <v>0.47</v>
      </c>
      <c r="Q85" s="64">
        <v>6.06</v>
      </c>
      <c r="R85" s="198"/>
      <c r="S85" s="198"/>
      <c r="T85" s="198"/>
      <c r="U85" s="198"/>
    </row>
    <row r="86" spans="1:26" s="12" customFormat="1" x14ac:dyDescent="0.25">
      <c r="A86" s="214" t="s">
        <v>2150</v>
      </c>
      <c r="B86" s="64">
        <v>3.43</v>
      </c>
      <c r="C86" s="64">
        <v>10.7</v>
      </c>
      <c r="D86" s="64">
        <v>14.13</v>
      </c>
      <c r="E86" s="64">
        <v>5.8</v>
      </c>
      <c r="F86" s="64">
        <v>1.1399999999999999</v>
      </c>
      <c r="G86" s="64">
        <v>28.28</v>
      </c>
      <c r="H86" s="64">
        <v>14.21</v>
      </c>
      <c r="I86" s="64">
        <v>1.75</v>
      </c>
      <c r="J86" s="64">
        <v>0.17</v>
      </c>
      <c r="K86" s="64">
        <v>26.5</v>
      </c>
      <c r="L86" s="64">
        <v>21.55</v>
      </c>
      <c r="M86" s="64">
        <v>98.83</v>
      </c>
      <c r="N86" s="64">
        <v>9.5</v>
      </c>
      <c r="O86" s="64">
        <v>0.6</v>
      </c>
      <c r="P86" s="64">
        <v>0.51</v>
      </c>
      <c r="Q86" s="64">
        <v>5.22</v>
      </c>
      <c r="R86" s="198"/>
      <c r="S86" s="198"/>
      <c r="T86" s="198"/>
      <c r="U86" s="198"/>
    </row>
    <row r="87" spans="1:26" s="12" customFormat="1" x14ac:dyDescent="0.25">
      <c r="A87" s="214" t="s">
        <v>2151</v>
      </c>
      <c r="B87" s="64">
        <v>3.68</v>
      </c>
      <c r="C87" s="64">
        <v>12.91</v>
      </c>
      <c r="D87" s="64">
        <v>16.600000000000001</v>
      </c>
      <c r="E87" s="64">
        <v>6.31</v>
      </c>
      <c r="F87" s="64">
        <v>1.61</v>
      </c>
      <c r="G87" s="64">
        <v>24.64</v>
      </c>
      <c r="H87" s="64">
        <v>12.71</v>
      </c>
      <c r="I87" s="64">
        <v>1.81</v>
      </c>
      <c r="J87" s="64">
        <v>0.11</v>
      </c>
      <c r="K87" s="64">
        <v>18.37</v>
      </c>
      <c r="L87" s="64">
        <v>21.63</v>
      </c>
      <c r="M87" s="64">
        <v>98.83</v>
      </c>
      <c r="N87" s="64">
        <v>9.6999999999999993</v>
      </c>
      <c r="O87" s="64">
        <v>0.4</v>
      </c>
      <c r="P87" s="64">
        <v>0.53</v>
      </c>
      <c r="Q87" s="64">
        <v>5.72</v>
      </c>
      <c r="R87" s="198"/>
      <c r="S87" s="198"/>
      <c r="T87" s="198"/>
      <c r="U87" s="198"/>
    </row>
    <row r="88" spans="1:26" s="12" customFormat="1" x14ac:dyDescent="0.25">
      <c r="A88" s="214" t="s">
        <v>2152</v>
      </c>
      <c r="B88" s="64">
        <v>3.66</v>
      </c>
      <c r="C88" s="64">
        <v>13.56</v>
      </c>
      <c r="D88" s="64">
        <v>17.22</v>
      </c>
      <c r="E88" s="64">
        <v>4.6399999999999997</v>
      </c>
      <c r="F88" s="64">
        <v>3.27</v>
      </c>
      <c r="G88" s="64">
        <v>15.66</v>
      </c>
      <c r="H88" s="64">
        <v>10.34</v>
      </c>
      <c r="I88" s="64">
        <v>1.74</v>
      </c>
      <c r="J88" s="64">
        <v>0.09</v>
      </c>
      <c r="K88" s="64">
        <v>20.9</v>
      </c>
      <c r="L88" s="64">
        <v>21.61</v>
      </c>
      <c r="M88" s="64">
        <v>98.83</v>
      </c>
      <c r="N88" s="64">
        <v>9.8000000000000007</v>
      </c>
      <c r="O88" s="64">
        <v>0.6</v>
      </c>
      <c r="P88" s="64">
        <v>0.52</v>
      </c>
      <c r="Q88" s="64">
        <v>4.8899999999999997</v>
      </c>
      <c r="R88" s="198"/>
      <c r="S88" s="198"/>
      <c r="T88" s="198"/>
      <c r="U88" s="198"/>
    </row>
    <row r="89" spans="1:26" s="12" customFormat="1" x14ac:dyDescent="0.25">
      <c r="A89" s="214" t="s">
        <v>2153</v>
      </c>
      <c r="B89" s="64">
        <v>3.76</v>
      </c>
      <c r="C89" s="64">
        <v>15.04</v>
      </c>
      <c r="D89" s="64">
        <v>18.8</v>
      </c>
      <c r="E89" s="64">
        <v>5.18</v>
      </c>
      <c r="F89" s="64">
        <v>3.99</v>
      </c>
      <c r="G89" s="64">
        <v>15.66</v>
      </c>
      <c r="H89" s="64">
        <v>10.34</v>
      </c>
      <c r="I89" s="64">
        <v>1.8</v>
      </c>
      <c r="J89" s="64">
        <v>0.08</v>
      </c>
      <c r="K89" s="64">
        <v>200.23</v>
      </c>
      <c r="L89" s="64">
        <v>21.73</v>
      </c>
      <c r="M89" s="64">
        <v>98.83</v>
      </c>
      <c r="N89" s="64">
        <v>9.6</v>
      </c>
      <c r="O89" s="64">
        <v>0.2</v>
      </c>
      <c r="P89" s="64">
        <v>0.51</v>
      </c>
      <c r="Q89" s="64">
        <v>4.5999999999999996</v>
      </c>
      <c r="R89" s="198"/>
      <c r="S89" s="198"/>
      <c r="T89" s="198"/>
      <c r="U89" s="198"/>
    </row>
    <row r="90" spans="1:26" s="12" customFormat="1" x14ac:dyDescent="0.25">
      <c r="A90" s="214" t="s">
        <v>2154</v>
      </c>
      <c r="B90" s="64">
        <v>3.58</v>
      </c>
      <c r="C90" s="64">
        <v>13.66</v>
      </c>
      <c r="D90" s="64">
        <v>17.239999999999998</v>
      </c>
      <c r="E90" s="64">
        <v>5.29</v>
      </c>
      <c r="F90" s="64">
        <v>3.63</v>
      </c>
      <c r="G90" s="64">
        <v>15.66</v>
      </c>
      <c r="H90" s="64">
        <v>10.34</v>
      </c>
      <c r="I90" s="64">
        <v>1.76</v>
      </c>
      <c r="J90" s="64">
        <v>0.12</v>
      </c>
      <c r="K90" s="64">
        <v>171.03</v>
      </c>
      <c r="L90" s="64">
        <v>21.65</v>
      </c>
      <c r="M90" s="64">
        <v>98.83</v>
      </c>
      <c r="N90" s="64">
        <v>9.8000000000000007</v>
      </c>
      <c r="O90" s="64">
        <v>0.4</v>
      </c>
      <c r="P90" s="64">
        <v>0.47</v>
      </c>
      <c r="Q90" s="64">
        <v>4.75</v>
      </c>
      <c r="R90" s="198"/>
      <c r="S90" s="198"/>
      <c r="T90" s="198"/>
      <c r="U90" s="198"/>
    </row>
    <row r="91" spans="1:26" s="12" customFormat="1" x14ac:dyDescent="0.25">
      <c r="A91" s="214" t="s">
        <v>2155</v>
      </c>
      <c r="B91" s="64">
        <v>3.63</v>
      </c>
      <c r="C91" s="64">
        <v>13.06</v>
      </c>
      <c r="D91" s="64">
        <v>16.690000000000001</v>
      </c>
      <c r="E91" s="64">
        <v>5.5</v>
      </c>
      <c r="F91" s="64">
        <v>4.8</v>
      </c>
      <c r="G91" s="64">
        <v>15.33</v>
      </c>
      <c r="H91" s="64">
        <v>9.14</v>
      </c>
      <c r="I91" s="64">
        <v>1.74</v>
      </c>
      <c r="J91" s="64">
        <v>0.6</v>
      </c>
      <c r="K91" s="64">
        <v>159.85</v>
      </c>
      <c r="L91" s="64">
        <v>21.61</v>
      </c>
      <c r="M91" s="64">
        <v>98.83</v>
      </c>
      <c r="N91" s="64">
        <v>9.8000000000000007</v>
      </c>
      <c r="O91" s="64">
        <v>0.4</v>
      </c>
      <c r="P91" s="64">
        <v>0.45</v>
      </c>
      <c r="Q91" s="64">
        <v>5.14</v>
      </c>
      <c r="R91" s="198"/>
      <c r="S91" s="198"/>
      <c r="T91" s="198"/>
      <c r="U91" s="198"/>
    </row>
    <row r="92" spans="1:26" s="12" customFormat="1" x14ac:dyDescent="0.25">
      <c r="A92" s="214" t="s">
        <v>2156</v>
      </c>
      <c r="B92" s="64">
        <v>3.79</v>
      </c>
      <c r="C92" s="64">
        <v>10.78</v>
      </c>
      <c r="D92" s="64">
        <v>14.57</v>
      </c>
      <c r="E92" s="64">
        <v>4.8600000000000003</v>
      </c>
      <c r="F92" s="64">
        <v>1.35</v>
      </c>
      <c r="G92" s="64">
        <v>14.52</v>
      </c>
      <c r="H92" s="64">
        <v>7.24</v>
      </c>
      <c r="I92" s="64">
        <v>1.79</v>
      </c>
      <c r="J92" s="64">
        <v>0.5</v>
      </c>
      <c r="K92" s="64">
        <v>155.55000000000001</v>
      </c>
      <c r="L92" s="64">
        <v>21.63</v>
      </c>
      <c r="M92" s="64">
        <v>98.83</v>
      </c>
      <c r="N92" s="64">
        <v>9.6</v>
      </c>
      <c r="O92" s="64">
        <v>0.8</v>
      </c>
      <c r="P92" s="64">
        <v>0.5</v>
      </c>
      <c r="Q92" s="64">
        <v>4.8099999999999996</v>
      </c>
      <c r="R92" s="198"/>
      <c r="S92" s="198"/>
      <c r="T92" s="198"/>
      <c r="U92" s="198"/>
    </row>
    <row r="93" spans="1:26" s="12" customFormat="1" x14ac:dyDescent="0.25">
      <c r="A93" s="214" t="s">
        <v>2157</v>
      </c>
      <c r="B93" s="64">
        <v>3.86</v>
      </c>
      <c r="C93" s="64">
        <v>10.26</v>
      </c>
      <c r="D93" s="64">
        <v>14.12</v>
      </c>
      <c r="E93" s="64">
        <v>4.84</v>
      </c>
      <c r="F93" s="64">
        <v>0.93</v>
      </c>
      <c r="G93" s="64">
        <v>14.52</v>
      </c>
      <c r="H93" s="64">
        <v>7.24</v>
      </c>
      <c r="I93" s="64">
        <v>1.83</v>
      </c>
      <c r="J93" s="64">
        <v>7.0000000000000007E-2</v>
      </c>
      <c r="K93" s="64">
        <v>203.72</v>
      </c>
      <c r="L93" s="64">
        <v>21.64</v>
      </c>
      <c r="M93" s="64">
        <v>98.83</v>
      </c>
      <c r="N93" s="64">
        <v>9.6999999999999993</v>
      </c>
      <c r="O93" s="64">
        <v>0.8</v>
      </c>
      <c r="P93" s="64">
        <v>0.48</v>
      </c>
      <c r="Q93" s="64">
        <v>6.07</v>
      </c>
      <c r="R93" s="198"/>
      <c r="S93" s="198"/>
      <c r="T93" s="198"/>
      <c r="U93" s="198"/>
    </row>
    <row r="94" spans="1:26" s="12" customFormat="1" x14ac:dyDescent="0.25">
      <c r="A94" s="214" t="s">
        <v>2158</v>
      </c>
      <c r="B94" s="64">
        <v>3.78</v>
      </c>
      <c r="C94" s="64">
        <v>9.42</v>
      </c>
      <c r="D94" s="64">
        <v>13.2</v>
      </c>
      <c r="E94" s="64">
        <v>4.8600000000000003</v>
      </c>
      <c r="F94" s="64">
        <v>1.56</v>
      </c>
      <c r="G94" s="64">
        <v>14.52</v>
      </c>
      <c r="H94" s="64">
        <v>7.24</v>
      </c>
      <c r="I94" s="64">
        <v>1.85</v>
      </c>
      <c r="J94" s="64">
        <v>0.26</v>
      </c>
      <c r="K94" s="64">
        <v>142.31</v>
      </c>
      <c r="L94" s="64">
        <v>21.64</v>
      </c>
      <c r="M94" s="64">
        <v>98.83</v>
      </c>
      <c r="N94" s="64">
        <v>9.6999999999999993</v>
      </c>
      <c r="O94" s="64">
        <v>1.2</v>
      </c>
      <c r="P94" s="64">
        <v>0.47</v>
      </c>
      <c r="Q94" s="64">
        <v>4.99</v>
      </c>
      <c r="R94" s="198"/>
      <c r="S94" s="198"/>
      <c r="T94" s="198"/>
      <c r="U94" s="198"/>
    </row>
    <row r="95" spans="1:26" s="12" customFormat="1" x14ac:dyDescent="0.25">
      <c r="A95" s="214" t="s">
        <v>2159</v>
      </c>
      <c r="B95" s="64">
        <v>3.93</v>
      </c>
      <c r="C95" s="64">
        <v>9.43</v>
      </c>
      <c r="D95" s="64">
        <v>13.36</v>
      </c>
      <c r="E95" s="64">
        <v>4.99</v>
      </c>
      <c r="F95" s="64">
        <v>0.25</v>
      </c>
      <c r="G95" s="64">
        <v>13.5</v>
      </c>
      <c r="H95" s="64">
        <v>6.49</v>
      </c>
      <c r="I95" s="64">
        <v>1.71</v>
      </c>
      <c r="J95" s="64">
        <v>0.17</v>
      </c>
      <c r="K95" s="64">
        <v>16.53</v>
      </c>
      <c r="L95" s="64">
        <v>21.76</v>
      </c>
      <c r="M95" s="64">
        <v>98.83</v>
      </c>
      <c r="N95" s="64">
        <v>9.5</v>
      </c>
      <c r="O95" s="64">
        <v>1</v>
      </c>
      <c r="P95" s="64">
        <v>0.47</v>
      </c>
      <c r="Q95" s="64">
        <v>5.89</v>
      </c>
      <c r="R95" s="198"/>
      <c r="S95" s="198"/>
      <c r="T95" s="198"/>
      <c r="U95" s="198"/>
    </row>
    <row r="96" spans="1:26" s="12" customFormat="1" x14ac:dyDescent="0.25">
      <c r="A96" s="214" t="s">
        <v>2160</v>
      </c>
      <c r="B96" s="64">
        <v>4.13</v>
      </c>
      <c r="C96" s="64">
        <v>9.4</v>
      </c>
      <c r="D96" s="64">
        <v>13.54</v>
      </c>
      <c r="E96" s="64">
        <v>4.66</v>
      </c>
      <c r="F96" s="64">
        <v>1.03</v>
      </c>
      <c r="G96" s="64">
        <v>10.97</v>
      </c>
      <c r="H96" s="64">
        <v>5.32</v>
      </c>
      <c r="I96" s="64">
        <v>1.77</v>
      </c>
      <c r="J96" s="64">
        <v>0.28999999999999998</v>
      </c>
      <c r="K96" s="64">
        <v>20.65</v>
      </c>
      <c r="L96" s="64">
        <v>21.68</v>
      </c>
      <c r="M96" s="64">
        <v>98.83</v>
      </c>
      <c r="N96" s="64">
        <v>9.9</v>
      </c>
      <c r="O96" s="64">
        <v>1</v>
      </c>
      <c r="P96" s="64">
        <v>0.47</v>
      </c>
      <c r="Q96" s="64">
        <v>4.92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2161</v>
      </c>
      <c r="B97" s="64">
        <v>4.1399999999999997</v>
      </c>
      <c r="C97" s="64">
        <v>10.06</v>
      </c>
      <c r="D97" s="64">
        <v>14.2</v>
      </c>
      <c r="E97" s="64">
        <v>4.87</v>
      </c>
      <c r="F97" s="64">
        <v>0.64</v>
      </c>
      <c r="G97" s="64">
        <v>10.97</v>
      </c>
      <c r="H97" s="64">
        <v>5.32</v>
      </c>
      <c r="I97" s="64">
        <v>1.86</v>
      </c>
      <c r="J97" s="64">
        <v>0.22</v>
      </c>
      <c r="K97" s="64">
        <v>17.239999999999998</v>
      </c>
      <c r="L97" s="64">
        <v>21.73</v>
      </c>
      <c r="M97" s="64">
        <v>98.83</v>
      </c>
      <c r="N97" s="64">
        <v>9.6999999999999993</v>
      </c>
      <c r="O97" s="64">
        <v>0.8</v>
      </c>
      <c r="P97" s="64">
        <v>0.45</v>
      </c>
      <c r="Q97" s="64">
        <v>5.45</v>
      </c>
      <c r="R97" s="198"/>
      <c r="S97" s="198"/>
      <c r="T97" s="198"/>
      <c r="U97" s="198"/>
    </row>
    <row r="98" spans="1:33" s="12" customFormat="1" x14ac:dyDescent="0.25">
      <c r="A98" s="214" t="s">
        <v>2162</v>
      </c>
      <c r="B98" s="64">
        <v>4.2</v>
      </c>
      <c r="C98" s="64">
        <v>10.199999999999999</v>
      </c>
      <c r="D98" s="64">
        <v>14.4</v>
      </c>
      <c r="E98" s="64">
        <v>4.49</v>
      </c>
      <c r="F98" s="64">
        <v>1.29</v>
      </c>
      <c r="G98" s="64">
        <v>10.97</v>
      </c>
      <c r="H98" s="64">
        <v>5.32</v>
      </c>
      <c r="I98" s="64">
        <v>1.81</v>
      </c>
      <c r="J98" s="64">
        <v>0.12</v>
      </c>
      <c r="K98" s="64">
        <v>40.159999999999997</v>
      </c>
      <c r="L98" s="64">
        <v>21.57</v>
      </c>
      <c r="M98" s="64">
        <v>98.83</v>
      </c>
      <c r="N98" s="64">
        <v>10</v>
      </c>
      <c r="O98" s="64">
        <v>0.8</v>
      </c>
      <c r="P98" s="64">
        <v>0.45</v>
      </c>
      <c r="Q98" s="64">
        <v>4.21</v>
      </c>
      <c r="R98" s="198"/>
      <c r="S98" s="198"/>
      <c r="T98" s="198"/>
      <c r="U98" s="198"/>
    </row>
    <row r="99" spans="1:33" s="12" customFormat="1" x14ac:dyDescent="0.25">
      <c r="A99" s="214" t="s">
        <v>2163</v>
      </c>
      <c r="B99" s="64">
        <v>4.33</v>
      </c>
      <c r="C99" s="64">
        <v>11.64</v>
      </c>
      <c r="D99" s="64">
        <v>15.97</v>
      </c>
      <c r="E99" s="64">
        <v>4.78</v>
      </c>
      <c r="F99" s="64">
        <v>2.2000000000000002</v>
      </c>
      <c r="G99" s="64">
        <v>11.2</v>
      </c>
      <c r="H99" s="64">
        <v>4.96</v>
      </c>
      <c r="I99" s="64">
        <v>1.76</v>
      </c>
      <c r="J99" s="64">
        <v>0</v>
      </c>
      <c r="K99" s="64">
        <v>354.51</v>
      </c>
      <c r="L99" s="64">
        <v>21.54</v>
      </c>
      <c r="M99" s="64">
        <v>98.83</v>
      </c>
      <c r="N99" s="64">
        <v>9.8000000000000007</v>
      </c>
      <c r="O99" s="64">
        <v>0.6</v>
      </c>
      <c r="P99" s="64">
        <v>0.41</v>
      </c>
      <c r="Q99" s="64">
        <v>5.27</v>
      </c>
      <c r="R99" s="198"/>
      <c r="S99" s="198"/>
      <c r="T99" s="198"/>
      <c r="U99" s="198"/>
    </row>
    <row r="100" spans="1:33" s="12" customFormat="1" x14ac:dyDescent="0.25">
      <c r="A100" s="214" t="s">
        <v>2164</v>
      </c>
      <c r="B100" s="64">
        <v>4.01</v>
      </c>
      <c r="C100" s="64">
        <v>10.47</v>
      </c>
      <c r="D100" s="64">
        <v>14.48</v>
      </c>
      <c r="E100" s="64">
        <v>4.8899999999999997</v>
      </c>
      <c r="F100" s="64">
        <v>2.2000000000000002</v>
      </c>
      <c r="G100" s="64">
        <v>11.74</v>
      </c>
      <c r="H100" s="64">
        <v>4.4000000000000004</v>
      </c>
      <c r="I100" s="64">
        <v>1.82</v>
      </c>
      <c r="J100" s="64">
        <v>0.18</v>
      </c>
      <c r="K100" s="64">
        <v>23.46</v>
      </c>
      <c r="L100" s="64">
        <v>21.66</v>
      </c>
      <c r="M100" s="64">
        <v>98.83</v>
      </c>
      <c r="N100" s="64">
        <v>9.6999999999999993</v>
      </c>
      <c r="O100" s="64">
        <v>0.4</v>
      </c>
      <c r="P100" s="64">
        <v>0.42</v>
      </c>
      <c r="Q100" s="64">
        <v>3.84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2165</v>
      </c>
      <c r="B101" s="64">
        <v>4.6100000000000003</v>
      </c>
      <c r="C101" s="64">
        <v>10.62</v>
      </c>
      <c r="D101" s="64">
        <v>15.23</v>
      </c>
      <c r="E101" s="64">
        <v>4.71</v>
      </c>
      <c r="F101" s="64">
        <v>0.63</v>
      </c>
      <c r="G101" s="64">
        <v>11.74</v>
      </c>
      <c r="H101" s="64">
        <v>4.4000000000000004</v>
      </c>
      <c r="I101" s="64">
        <v>1.76</v>
      </c>
      <c r="J101" s="64">
        <v>0.23</v>
      </c>
      <c r="K101" s="64">
        <v>11.71</v>
      </c>
      <c r="L101" s="64">
        <v>21.64</v>
      </c>
      <c r="M101" s="64">
        <v>98.83</v>
      </c>
      <c r="N101" s="64">
        <v>9.9</v>
      </c>
      <c r="O101" s="64">
        <v>0.6</v>
      </c>
      <c r="P101" s="64">
        <v>0.41</v>
      </c>
      <c r="Q101" s="64">
        <v>4.33</v>
      </c>
      <c r="R101" s="198"/>
      <c r="S101" s="198"/>
      <c r="T101" s="198"/>
      <c r="U101" s="198"/>
    </row>
    <row r="102" spans="1:33" s="12" customFormat="1" x14ac:dyDescent="0.25">
      <c r="A102" s="214" t="s">
        <v>2166</v>
      </c>
      <c r="B102" s="64">
        <v>5.37</v>
      </c>
      <c r="C102" s="64">
        <v>11.06</v>
      </c>
      <c r="D102" s="64">
        <v>16.43</v>
      </c>
      <c r="E102" s="64">
        <v>4.3</v>
      </c>
      <c r="F102" s="64">
        <v>1.39</v>
      </c>
      <c r="G102" s="64">
        <v>11.74</v>
      </c>
      <c r="H102" s="64">
        <v>4.4000000000000004</v>
      </c>
      <c r="I102" s="64">
        <v>1.81</v>
      </c>
      <c r="J102" s="64">
        <v>0.04</v>
      </c>
      <c r="K102" s="64">
        <v>350.96</v>
      </c>
      <c r="L102" s="64">
        <v>21.57</v>
      </c>
      <c r="M102" s="64">
        <v>98.84</v>
      </c>
      <c r="N102" s="64">
        <v>9.9</v>
      </c>
      <c r="O102" s="64">
        <v>0.4</v>
      </c>
      <c r="P102" s="64">
        <v>0.42</v>
      </c>
      <c r="Q102" s="64">
        <v>3.54</v>
      </c>
      <c r="R102" s="198"/>
      <c r="S102" s="198"/>
      <c r="T102" s="198"/>
      <c r="U102" s="198"/>
    </row>
    <row r="103" spans="1:33" s="12" customFormat="1" x14ac:dyDescent="0.25">
      <c r="A103" s="214" t="s">
        <v>2167</v>
      </c>
      <c r="B103" s="64">
        <v>4.66</v>
      </c>
      <c r="C103" s="64">
        <v>11.2</v>
      </c>
      <c r="D103" s="64">
        <v>15.86</v>
      </c>
      <c r="E103" s="64">
        <v>4.04</v>
      </c>
      <c r="F103" s="64">
        <v>2.5</v>
      </c>
      <c r="G103" s="64">
        <v>11.77</v>
      </c>
      <c r="H103" s="64">
        <v>5.09</v>
      </c>
      <c r="I103" s="64">
        <v>1.8</v>
      </c>
      <c r="J103" s="64">
        <v>0.11</v>
      </c>
      <c r="K103" s="64">
        <v>6.22</v>
      </c>
      <c r="L103" s="64">
        <v>21.64</v>
      </c>
      <c r="M103" s="64">
        <v>98.83</v>
      </c>
      <c r="N103" s="64">
        <v>9.6999999999999993</v>
      </c>
      <c r="O103" s="64">
        <v>0</v>
      </c>
      <c r="P103" s="64">
        <v>0.44</v>
      </c>
      <c r="Q103" s="64">
        <v>3.7</v>
      </c>
      <c r="R103" s="198"/>
      <c r="S103" s="198"/>
      <c r="T103" s="198"/>
      <c r="U103" s="198"/>
    </row>
    <row r="104" spans="1:33" s="12" customFormat="1" x14ac:dyDescent="0.25">
      <c r="A104" s="214" t="s">
        <v>2168</v>
      </c>
      <c r="B104" s="64">
        <v>4.63</v>
      </c>
      <c r="C104" s="64">
        <v>10.94</v>
      </c>
      <c r="D104" s="64">
        <v>15.57</v>
      </c>
      <c r="E104" s="64">
        <v>4.17</v>
      </c>
      <c r="F104" s="64">
        <v>0.5</v>
      </c>
      <c r="G104" s="64">
        <v>11.82</v>
      </c>
      <c r="H104" s="64">
        <v>7.66</v>
      </c>
      <c r="I104" s="64">
        <v>1.82</v>
      </c>
      <c r="J104" s="64">
        <v>0.08</v>
      </c>
      <c r="K104" s="64">
        <v>18.059999999999999</v>
      </c>
      <c r="L104" s="64">
        <v>21.65</v>
      </c>
      <c r="M104" s="64">
        <v>98.83</v>
      </c>
      <c r="N104" s="64">
        <v>9.8000000000000007</v>
      </c>
      <c r="O104" s="64">
        <v>0</v>
      </c>
      <c r="P104" s="64">
        <v>0.43</v>
      </c>
      <c r="Q104" s="64">
        <v>3.27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2.27</v>
      </c>
      <c r="C106" s="67">
        <f>MIN(C9:C104)</f>
        <v>7.51</v>
      </c>
      <c r="D106" s="67">
        <f t="shared" ref="D106:Q106" si="0">MIN(D9:D104)</f>
        <v>13.04</v>
      </c>
      <c r="E106" s="67">
        <f t="shared" si="0"/>
        <v>3.53</v>
      </c>
      <c r="F106" s="67">
        <f t="shared" si="0"/>
        <v>0.25</v>
      </c>
      <c r="G106" s="67">
        <f t="shared" si="0"/>
        <v>10.97</v>
      </c>
      <c r="H106" s="67">
        <f t="shared" si="0"/>
        <v>4.4000000000000004</v>
      </c>
      <c r="I106" s="67">
        <f t="shared" si="0"/>
        <v>1.7</v>
      </c>
      <c r="J106" s="67">
        <f t="shared" si="0"/>
        <v>0</v>
      </c>
      <c r="K106" s="67">
        <f t="shared" si="0"/>
        <v>6.22</v>
      </c>
      <c r="L106" s="67">
        <f t="shared" si="0"/>
        <v>20.87</v>
      </c>
      <c r="M106" s="67">
        <f t="shared" si="0"/>
        <v>56.88</v>
      </c>
      <c r="N106" s="67">
        <f t="shared" si="0"/>
        <v>9.1999999999999993</v>
      </c>
      <c r="O106" s="67">
        <f t="shared" si="0"/>
        <v>0</v>
      </c>
      <c r="P106" s="67">
        <f t="shared" si="0"/>
        <v>0.41</v>
      </c>
      <c r="Q106" s="67">
        <f t="shared" si="0"/>
        <v>2.4500000000000002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22.88</v>
      </c>
      <c r="C107" s="66">
        <f t="shared" ref="C107:Q107" si="1">MAX(C9:C104)</f>
        <v>27.74</v>
      </c>
      <c r="D107" s="66">
        <f t="shared" si="1"/>
        <v>50.62</v>
      </c>
      <c r="E107" s="66">
        <f t="shared" si="1"/>
        <v>13.02</v>
      </c>
      <c r="F107" s="66">
        <f t="shared" si="1"/>
        <v>15.19</v>
      </c>
      <c r="G107" s="66">
        <f t="shared" si="1"/>
        <v>93.87</v>
      </c>
      <c r="H107" s="66">
        <f t="shared" si="1"/>
        <v>33.130000000000003</v>
      </c>
      <c r="I107" s="66">
        <f t="shared" si="1"/>
        <v>1.9</v>
      </c>
      <c r="J107" s="66">
        <f t="shared" si="1"/>
        <v>1.22</v>
      </c>
      <c r="K107" s="66">
        <f t="shared" si="1"/>
        <v>354.51</v>
      </c>
      <c r="L107" s="66">
        <f t="shared" si="1"/>
        <v>33.04</v>
      </c>
      <c r="M107" s="66">
        <f t="shared" si="1"/>
        <v>98.84</v>
      </c>
      <c r="N107" s="66">
        <f t="shared" si="1"/>
        <v>834.7</v>
      </c>
      <c r="O107" s="66">
        <f t="shared" si="1"/>
        <v>1.8</v>
      </c>
      <c r="P107" s="66">
        <f t="shared" si="1"/>
        <v>0.96</v>
      </c>
      <c r="Q107" s="66">
        <f t="shared" si="1"/>
        <v>15.24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8.5410416666666631</v>
      </c>
      <c r="C108" s="67">
        <f t="shared" ref="C108:Q108" si="2">AVERAGE(C9:C104)</f>
        <v>14.390520833333333</v>
      </c>
      <c r="D108" s="67">
        <f t="shared" si="2"/>
        <v>22.931249999999991</v>
      </c>
      <c r="E108" s="67">
        <f t="shared" si="2"/>
        <v>6.0214583333333325</v>
      </c>
      <c r="F108" s="67">
        <f t="shared" si="2"/>
        <v>3.455937500000001</v>
      </c>
      <c r="G108" s="67">
        <f t="shared" si="2"/>
        <v>52.078645833333319</v>
      </c>
      <c r="H108" s="67">
        <f t="shared" si="2"/>
        <v>19.122708333333328</v>
      </c>
      <c r="I108" s="67">
        <f t="shared" si="2"/>
        <v>1.7963541666666671</v>
      </c>
      <c r="J108" s="67">
        <f t="shared" si="2"/>
        <v>0.55062500000000003</v>
      </c>
      <c r="K108" s="67">
        <f t="shared" si="2"/>
        <v>250.62791666666666</v>
      </c>
      <c r="L108" s="67">
        <f t="shared" si="2"/>
        <v>25.736875000000001</v>
      </c>
      <c r="M108" s="67">
        <f t="shared" si="2"/>
        <v>86.761041666666657</v>
      </c>
      <c r="N108" s="67">
        <f t="shared" si="2"/>
        <v>119.75208333333335</v>
      </c>
      <c r="O108" s="67">
        <f t="shared" si="2"/>
        <v>0.17083333333333336</v>
      </c>
      <c r="P108" s="67">
        <f t="shared" si="2"/>
        <v>0.65437499999999982</v>
      </c>
      <c r="Q108" s="67">
        <f t="shared" si="2"/>
        <v>7.7610416666666682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5.1241476783778044</v>
      </c>
      <c r="C109" s="67">
        <f t="shared" ref="C109:Q109" si="3">STDEV(C9:C104)</f>
        <v>4.9080433167975821</v>
      </c>
      <c r="D109" s="67">
        <f t="shared" si="3"/>
        <v>8.8660242380378147</v>
      </c>
      <c r="E109" s="67">
        <f t="shared" si="3"/>
        <v>2.0010839058484331</v>
      </c>
      <c r="F109" s="67">
        <f t="shared" si="3"/>
        <v>3.0146339842857408</v>
      </c>
      <c r="G109" s="67">
        <f t="shared" si="3"/>
        <v>28.242544339675042</v>
      </c>
      <c r="H109" s="67">
        <f t="shared" si="3"/>
        <v>9.2065015332892095</v>
      </c>
      <c r="I109" s="67">
        <f t="shared" si="3"/>
        <v>3.8337004019523793E-2</v>
      </c>
      <c r="J109" s="67">
        <f t="shared" si="3"/>
        <v>0.33815851935227986</v>
      </c>
      <c r="K109" s="67">
        <f t="shared" si="3"/>
        <v>126.95891225876892</v>
      </c>
      <c r="L109" s="67">
        <f t="shared" si="3"/>
        <v>3.5830593550910077</v>
      </c>
      <c r="M109" s="67">
        <f t="shared" si="3"/>
        <v>14.488931490817931</v>
      </c>
      <c r="N109" s="67">
        <f t="shared" si="3"/>
        <v>170.87350567885724</v>
      </c>
      <c r="O109" s="67">
        <f t="shared" si="3"/>
        <v>0.34941053117821969</v>
      </c>
      <c r="P109" s="67">
        <f t="shared" si="3"/>
        <v>0.18175641594409495</v>
      </c>
      <c r="Q109" s="67">
        <f t="shared" si="3"/>
        <v>3.4380730463342037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11" sqref="F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2169</v>
      </c>
      <c r="B9" s="64">
        <v>4.41</v>
      </c>
      <c r="C9" s="64">
        <v>10.210000000000001</v>
      </c>
      <c r="D9" s="64">
        <v>14.62</v>
      </c>
      <c r="E9" s="64">
        <v>4.93</v>
      </c>
      <c r="F9" s="64">
        <v>0.56000000000000005</v>
      </c>
      <c r="G9" s="64">
        <v>11.82</v>
      </c>
      <c r="H9" s="64">
        <v>7.66</v>
      </c>
      <c r="I9" s="64">
        <v>1.73</v>
      </c>
      <c r="J9" s="64">
        <v>0.13</v>
      </c>
      <c r="K9" s="64">
        <v>30.55</v>
      </c>
      <c r="L9" s="64">
        <v>21.7</v>
      </c>
      <c r="M9" s="64">
        <v>98.83</v>
      </c>
      <c r="N9" s="64">
        <v>9.6999999999999993</v>
      </c>
      <c r="O9" s="64">
        <v>0</v>
      </c>
      <c r="P9" s="64">
        <v>0.43</v>
      </c>
      <c r="Q9" s="64">
        <v>3.09</v>
      </c>
      <c r="R9" s="198"/>
      <c r="S9" s="198"/>
      <c r="T9" s="198"/>
      <c r="U9" s="198"/>
    </row>
    <row r="10" spans="1:21" s="12" customFormat="1" x14ac:dyDescent="0.25">
      <c r="A10" s="214" t="s">
        <v>2170</v>
      </c>
      <c r="B10" s="64">
        <v>4.24</v>
      </c>
      <c r="C10" s="64">
        <v>9.4700000000000006</v>
      </c>
      <c r="D10" s="64">
        <v>13.71</v>
      </c>
      <c r="E10" s="64">
        <v>4.5</v>
      </c>
      <c r="F10" s="64">
        <v>0.62</v>
      </c>
      <c r="G10" s="64">
        <v>11.82</v>
      </c>
      <c r="H10" s="64">
        <v>7.66</v>
      </c>
      <c r="I10" s="64">
        <v>1.85</v>
      </c>
      <c r="J10" s="64">
        <v>0.1</v>
      </c>
      <c r="K10" s="64">
        <v>40.42</v>
      </c>
      <c r="L10" s="64">
        <v>21.73</v>
      </c>
      <c r="M10" s="64">
        <v>98.83</v>
      </c>
      <c r="N10" s="64">
        <v>9.9</v>
      </c>
      <c r="O10" s="64">
        <v>0</v>
      </c>
      <c r="P10" s="64">
        <v>0.45</v>
      </c>
      <c r="Q10" s="64">
        <v>2.76</v>
      </c>
      <c r="R10" s="198"/>
      <c r="S10" s="198"/>
      <c r="T10" s="198"/>
      <c r="U10" s="198"/>
    </row>
    <row r="11" spans="1:21" s="12" customFormat="1" x14ac:dyDescent="0.25">
      <c r="A11" s="214" t="s">
        <v>2171</v>
      </c>
      <c r="B11" s="64">
        <v>4.0199999999999996</v>
      </c>
      <c r="C11" s="64">
        <v>9.3000000000000007</v>
      </c>
      <c r="D11" s="64">
        <v>13.31</v>
      </c>
      <c r="E11" s="64">
        <v>4.82</v>
      </c>
      <c r="F11" s="64">
        <v>0.48</v>
      </c>
      <c r="G11" s="64">
        <v>12.7</v>
      </c>
      <c r="H11" s="64">
        <v>7.71</v>
      </c>
      <c r="I11" s="64">
        <v>1.81</v>
      </c>
      <c r="J11" s="64">
        <v>0.13</v>
      </c>
      <c r="K11" s="64">
        <v>20.399999999999999</v>
      </c>
      <c r="L11" s="64">
        <v>21.7</v>
      </c>
      <c r="M11" s="64">
        <v>98.83</v>
      </c>
      <c r="N11" s="64">
        <v>9.6999999999999993</v>
      </c>
      <c r="O11" s="64">
        <v>0</v>
      </c>
      <c r="P11" s="64">
        <v>0.44</v>
      </c>
      <c r="Q11" s="64">
        <v>2.2400000000000002</v>
      </c>
      <c r="R11" s="198"/>
      <c r="S11" s="198"/>
      <c r="T11" s="198"/>
      <c r="U11" s="198"/>
    </row>
    <row r="12" spans="1:21" s="12" customFormat="1" x14ac:dyDescent="0.25">
      <c r="A12" s="214" t="s">
        <v>2172</v>
      </c>
      <c r="B12" s="64">
        <v>3.85</v>
      </c>
      <c r="C12" s="64">
        <v>9.0299999999999994</v>
      </c>
      <c r="D12" s="64">
        <v>12.88</v>
      </c>
      <c r="E12" s="64">
        <v>4.2699999999999996</v>
      </c>
      <c r="F12" s="64">
        <v>0.87</v>
      </c>
      <c r="G12" s="64">
        <v>14.85</v>
      </c>
      <c r="H12" s="64">
        <v>7.79</v>
      </c>
      <c r="I12" s="64">
        <v>1.75</v>
      </c>
      <c r="J12" s="64">
        <v>0.13</v>
      </c>
      <c r="K12" s="64">
        <v>4.6399999999999997</v>
      </c>
      <c r="L12" s="64">
        <v>21.7</v>
      </c>
      <c r="M12" s="64">
        <v>98.83</v>
      </c>
      <c r="N12" s="64">
        <v>10</v>
      </c>
      <c r="O12" s="64">
        <v>0</v>
      </c>
      <c r="P12" s="64">
        <v>0.45</v>
      </c>
      <c r="Q12" s="64">
        <v>1.76</v>
      </c>
      <c r="R12" s="198"/>
      <c r="S12" s="198"/>
      <c r="T12" s="198"/>
      <c r="U12" s="198"/>
    </row>
    <row r="13" spans="1:21" s="12" customFormat="1" x14ac:dyDescent="0.25">
      <c r="A13" s="214" t="s">
        <v>2173</v>
      </c>
      <c r="B13" s="64">
        <v>3.61</v>
      </c>
      <c r="C13" s="64">
        <v>9.0299999999999994</v>
      </c>
      <c r="D13" s="64">
        <v>12.64</v>
      </c>
      <c r="E13" s="64">
        <v>4.34</v>
      </c>
      <c r="F13" s="64">
        <v>0.49</v>
      </c>
      <c r="G13" s="64">
        <v>14.85</v>
      </c>
      <c r="H13" s="64">
        <v>7.79</v>
      </c>
      <c r="I13" s="64">
        <v>1.79</v>
      </c>
      <c r="J13" s="64">
        <v>0.06</v>
      </c>
      <c r="K13" s="64">
        <v>39.83</v>
      </c>
      <c r="L13" s="64">
        <v>21.68</v>
      </c>
      <c r="M13" s="64">
        <v>98.83</v>
      </c>
      <c r="N13" s="64">
        <v>9.9</v>
      </c>
      <c r="O13" s="64">
        <v>0</v>
      </c>
      <c r="P13" s="64">
        <v>0.41</v>
      </c>
      <c r="Q13" s="64">
        <v>1.65</v>
      </c>
      <c r="R13" s="198"/>
      <c r="S13" s="198"/>
      <c r="T13" s="198"/>
      <c r="U13" s="198"/>
    </row>
    <row r="14" spans="1:21" s="12" customFormat="1" x14ac:dyDescent="0.25">
      <c r="A14" s="214" t="s">
        <v>2174</v>
      </c>
      <c r="B14" s="64">
        <v>3.45</v>
      </c>
      <c r="C14" s="64">
        <v>8.4499999999999993</v>
      </c>
      <c r="D14" s="64">
        <v>11.9</v>
      </c>
      <c r="E14" s="64">
        <v>4.0999999999999996</v>
      </c>
      <c r="F14" s="64">
        <v>1.27</v>
      </c>
      <c r="G14" s="64">
        <v>14.85</v>
      </c>
      <c r="H14" s="64">
        <v>7.79</v>
      </c>
      <c r="I14" s="64">
        <v>1.78</v>
      </c>
      <c r="J14" s="64">
        <v>0.02</v>
      </c>
      <c r="K14" s="64">
        <v>9.3800000000000008</v>
      </c>
      <c r="L14" s="64">
        <v>21.76</v>
      </c>
      <c r="M14" s="64">
        <v>98.83</v>
      </c>
      <c r="N14" s="64">
        <v>9.9</v>
      </c>
      <c r="O14" s="64">
        <v>0</v>
      </c>
      <c r="P14" s="64">
        <v>0.45</v>
      </c>
      <c r="Q14" s="64">
        <v>0.97</v>
      </c>
      <c r="R14" s="198"/>
      <c r="S14" s="198"/>
      <c r="T14" s="198"/>
      <c r="U14" s="198"/>
    </row>
    <row r="15" spans="1:21" s="12" customFormat="1" x14ac:dyDescent="0.25">
      <c r="A15" s="214" t="s">
        <v>2175</v>
      </c>
      <c r="B15" s="64">
        <v>2.98</v>
      </c>
      <c r="C15" s="64">
        <v>10.02</v>
      </c>
      <c r="D15" s="64">
        <v>13</v>
      </c>
      <c r="E15" s="64">
        <v>4.45</v>
      </c>
      <c r="F15" s="64">
        <v>5.62</v>
      </c>
      <c r="G15" s="64">
        <v>14.32</v>
      </c>
      <c r="H15" s="64">
        <v>6.97</v>
      </c>
      <c r="I15" s="64">
        <v>1.84</v>
      </c>
      <c r="J15" s="64">
        <v>7.0000000000000007E-2</v>
      </c>
      <c r="K15" s="64">
        <v>220.23</v>
      </c>
      <c r="L15" s="64">
        <v>21.78</v>
      </c>
      <c r="M15" s="64">
        <v>98.83</v>
      </c>
      <c r="N15" s="64">
        <v>9.6999999999999993</v>
      </c>
      <c r="O15" s="64">
        <v>0.4</v>
      </c>
      <c r="P15" s="64">
        <v>0.42</v>
      </c>
      <c r="Q15" s="64">
        <v>2.42</v>
      </c>
      <c r="R15" s="198"/>
      <c r="S15" s="198"/>
      <c r="T15" s="198"/>
      <c r="U15" s="198"/>
    </row>
    <row r="16" spans="1:21" s="12" customFormat="1" x14ac:dyDescent="0.25">
      <c r="A16" s="214" t="s">
        <v>2176</v>
      </c>
      <c r="B16" s="64">
        <v>3.05</v>
      </c>
      <c r="C16" s="64">
        <v>9.9700000000000006</v>
      </c>
      <c r="D16" s="64">
        <v>13.02</v>
      </c>
      <c r="E16" s="64">
        <v>4.96</v>
      </c>
      <c r="F16" s="64">
        <v>4.4000000000000004</v>
      </c>
      <c r="G16" s="64">
        <v>13.01</v>
      </c>
      <c r="H16" s="64">
        <v>5.62</v>
      </c>
      <c r="I16" s="64">
        <v>1.83</v>
      </c>
      <c r="J16" s="64">
        <v>7.0000000000000007E-2</v>
      </c>
      <c r="K16" s="64">
        <v>202.72</v>
      </c>
      <c r="L16" s="64">
        <v>21.78</v>
      </c>
      <c r="M16" s="64">
        <v>98.83</v>
      </c>
      <c r="N16" s="64">
        <v>9.8000000000000007</v>
      </c>
      <c r="O16" s="64">
        <v>0.4</v>
      </c>
      <c r="P16" s="64">
        <v>0.43</v>
      </c>
      <c r="Q16" s="64">
        <v>1.61</v>
      </c>
      <c r="R16" s="198"/>
      <c r="S16" s="198"/>
      <c r="T16" s="198"/>
      <c r="U16" s="198"/>
    </row>
    <row r="17" spans="1:21" s="12" customFormat="1" x14ac:dyDescent="0.25">
      <c r="A17" s="214" t="s">
        <v>2177</v>
      </c>
      <c r="B17" s="64">
        <v>3.1</v>
      </c>
      <c r="C17" s="64">
        <v>10.26</v>
      </c>
      <c r="D17" s="64">
        <v>13.36</v>
      </c>
      <c r="E17" s="64">
        <v>4.67</v>
      </c>
      <c r="F17" s="64">
        <v>4.8600000000000003</v>
      </c>
      <c r="G17" s="64">
        <v>13.01</v>
      </c>
      <c r="H17" s="64">
        <v>5.62</v>
      </c>
      <c r="I17" s="64">
        <v>1.75</v>
      </c>
      <c r="J17" s="64">
        <v>0.08</v>
      </c>
      <c r="K17" s="64">
        <v>216.3</v>
      </c>
      <c r="L17" s="64">
        <v>21.78</v>
      </c>
      <c r="M17" s="64">
        <v>98.83</v>
      </c>
      <c r="N17" s="64">
        <v>9.8000000000000007</v>
      </c>
      <c r="O17" s="64">
        <v>0.4</v>
      </c>
      <c r="P17" s="64">
        <v>0.43</v>
      </c>
      <c r="Q17" s="64">
        <v>2.4700000000000002</v>
      </c>
      <c r="R17" s="198"/>
      <c r="S17" s="198"/>
      <c r="T17" s="198"/>
      <c r="U17" s="198"/>
    </row>
    <row r="18" spans="1:21" s="12" customFormat="1" x14ac:dyDescent="0.25">
      <c r="A18" s="214" t="s">
        <v>2178</v>
      </c>
      <c r="B18" s="64">
        <v>3.73</v>
      </c>
      <c r="C18" s="64">
        <v>8.4499999999999993</v>
      </c>
      <c r="D18" s="64">
        <v>12.18</v>
      </c>
      <c r="E18" s="64">
        <v>5.19</v>
      </c>
      <c r="F18" s="64">
        <v>1.91</v>
      </c>
      <c r="G18" s="64">
        <v>13.01</v>
      </c>
      <c r="H18" s="64">
        <v>5.62</v>
      </c>
      <c r="I18" s="64">
        <v>1.79</v>
      </c>
      <c r="J18" s="64">
        <v>0.06</v>
      </c>
      <c r="K18" s="64">
        <v>200.06</v>
      </c>
      <c r="L18" s="64">
        <v>21.77</v>
      </c>
      <c r="M18" s="64">
        <v>98.84</v>
      </c>
      <c r="N18" s="64">
        <v>9.8000000000000007</v>
      </c>
      <c r="O18" s="64">
        <v>0.8</v>
      </c>
      <c r="P18" s="64">
        <v>0.44</v>
      </c>
      <c r="Q18" s="64">
        <v>2.95</v>
      </c>
      <c r="R18" s="198"/>
      <c r="S18" s="198"/>
      <c r="T18" s="198"/>
      <c r="U18" s="198"/>
    </row>
    <row r="19" spans="1:21" s="12" customFormat="1" x14ac:dyDescent="0.25">
      <c r="A19" s="214" t="s">
        <v>2179</v>
      </c>
      <c r="B19" s="64">
        <v>3.87</v>
      </c>
      <c r="C19" s="64">
        <v>8.8800000000000008</v>
      </c>
      <c r="D19" s="64">
        <v>12.75</v>
      </c>
      <c r="E19" s="64">
        <v>4.46</v>
      </c>
      <c r="F19" s="64">
        <v>1.25</v>
      </c>
      <c r="G19" s="64">
        <v>12.85</v>
      </c>
      <c r="H19" s="64">
        <v>5.81</v>
      </c>
      <c r="I19" s="64">
        <v>1.79</v>
      </c>
      <c r="J19" s="64">
        <v>0.04</v>
      </c>
      <c r="K19" s="64">
        <v>334.86</v>
      </c>
      <c r="L19" s="64">
        <v>21.8</v>
      </c>
      <c r="M19" s="64">
        <v>98.83</v>
      </c>
      <c r="N19" s="64">
        <v>9.6999999999999993</v>
      </c>
      <c r="O19" s="64">
        <v>0.4</v>
      </c>
      <c r="P19" s="64">
        <v>0.43</v>
      </c>
      <c r="Q19" s="64">
        <v>3.39</v>
      </c>
      <c r="R19" s="198"/>
      <c r="S19" s="198"/>
      <c r="T19" s="198"/>
      <c r="U19" s="198"/>
    </row>
    <row r="20" spans="1:21" s="12" customFormat="1" x14ac:dyDescent="0.25">
      <c r="A20" s="214" t="s">
        <v>2180</v>
      </c>
      <c r="B20" s="64">
        <v>4.1900000000000004</v>
      </c>
      <c r="C20" s="64">
        <v>8.93</v>
      </c>
      <c r="D20" s="64">
        <v>13.12</v>
      </c>
      <c r="E20" s="64">
        <v>4.72</v>
      </c>
      <c r="F20" s="64">
        <v>0.4</v>
      </c>
      <c r="G20" s="64">
        <v>12.44</v>
      </c>
      <c r="H20" s="64">
        <v>6.11</v>
      </c>
      <c r="I20" s="64">
        <v>1.8</v>
      </c>
      <c r="J20" s="64">
        <v>0.11</v>
      </c>
      <c r="K20" s="64">
        <v>354.2</v>
      </c>
      <c r="L20" s="64">
        <v>21.95</v>
      </c>
      <c r="M20" s="64">
        <v>98.83</v>
      </c>
      <c r="N20" s="64">
        <v>9.6</v>
      </c>
      <c r="O20" s="64">
        <v>0</v>
      </c>
      <c r="P20" s="64">
        <v>0.44</v>
      </c>
      <c r="Q20" s="64">
        <v>3.47</v>
      </c>
      <c r="R20" s="198"/>
      <c r="S20" s="198"/>
      <c r="T20" s="198"/>
      <c r="U20" s="198"/>
    </row>
    <row r="21" spans="1:21" s="12" customFormat="1" x14ac:dyDescent="0.25">
      <c r="A21" s="214" t="s">
        <v>2181</v>
      </c>
      <c r="B21" s="64">
        <v>4.22</v>
      </c>
      <c r="C21" s="64">
        <v>8.14</v>
      </c>
      <c r="D21" s="64">
        <v>12.36</v>
      </c>
      <c r="E21" s="64">
        <v>4.74</v>
      </c>
      <c r="F21" s="64">
        <v>0.94</v>
      </c>
      <c r="G21" s="64">
        <v>12.44</v>
      </c>
      <c r="H21" s="64">
        <v>6.11</v>
      </c>
      <c r="I21" s="64">
        <v>1.76</v>
      </c>
      <c r="J21" s="64">
        <v>0.16</v>
      </c>
      <c r="K21" s="64">
        <v>328.86</v>
      </c>
      <c r="L21" s="64">
        <v>21.99</v>
      </c>
      <c r="M21" s="64">
        <v>98.83</v>
      </c>
      <c r="N21" s="64">
        <v>9.8000000000000007</v>
      </c>
      <c r="O21" s="64">
        <v>0.8</v>
      </c>
      <c r="P21" s="64">
        <v>0.44</v>
      </c>
      <c r="Q21" s="64">
        <v>2.77</v>
      </c>
      <c r="R21" s="198"/>
      <c r="S21" s="198"/>
      <c r="T21" s="198"/>
      <c r="U21" s="198"/>
    </row>
    <row r="22" spans="1:21" s="12" customFormat="1" x14ac:dyDescent="0.25">
      <c r="A22" s="214" t="s">
        <v>2182</v>
      </c>
      <c r="B22" s="64">
        <v>4.1399999999999997</v>
      </c>
      <c r="C22" s="64">
        <v>8.49</v>
      </c>
      <c r="D22" s="64">
        <v>12.63</v>
      </c>
      <c r="E22" s="64">
        <v>4.53</v>
      </c>
      <c r="F22" s="64">
        <v>0.5</v>
      </c>
      <c r="G22" s="64">
        <v>12.44</v>
      </c>
      <c r="H22" s="64">
        <v>6.11</v>
      </c>
      <c r="I22" s="64">
        <v>1.84</v>
      </c>
      <c r="J22" s="64">
        <v>0.11</v>
      </c>
      <c r="K22" s="64">
        <v>36.86</v>
      </c>
      <c r="L22" s="64">
        <v>21.98</v>
      </c>
      <c r="M22" s="64">
        <v>98.83</v>
      </c>
      <c r="N22" s="64">
        <v>9.6999999999999993</v>
      </c>
      <c r="O22" s="64">
        <v>0</v>
      </c>
      <c r="P22" s="64">
        <v>0.43</v>
      </c>
      <c r="Q22" s="64">
        <v>2.75</v>
      </c>
      <c r="R22" s="198"/>
      <c r="S22" s="198"/>
      <c r="T22" s="198"/>
      <c r="U22" s="198"/>
    </row>
    <row r="23" spans="1:21" s="12" customFormat="1" x14ac:dyDescent="0.25">
      <c r="A23" s="214" t="s">
        <v>2183</v>
      </c>
      <c r="B23" s="64">
        <v>4.0199999999999996</v>
      </c>
      <c r="C23" s="64">
        <v>8.24</v>
      </c>
      <c r="D23" s="64">
        <v>12.25</v>
      </c>
      <c r="E23" s="64">
        <v>4.51</v>
      </c>
      <c r="F23" s="64">
        <v>0.97</v>
      </c>
      <c r="G23" s="64">
        <v>12.32</v>
      </c>
      <c r="H23" s="64">
        <v>7.25</v>
      </c>
      <c r="I23" s="64">
        <v>1.78</v>
      </c>
      <c r="J23" s="64">
        <v>7.0000000000000007E-2</v>
      </c>
      <c r="K23" s="64">
        <v>36.5</v>
      </c>
      <c r="L23" s="64">
        <v>21.97</v>
      </c>
      <c r="M23" s="64">
        <v>98.83</v>
      </c>
      <c r="N23" s="64">
        <v>9.8000000000000007</v>
      </c>
      <c r="O23" s="64">
        <v>0</v>
      </c>
      <c r="P23" s="64">
        <v>0.44</v>
      </c>
      <c r="Q23" s="64">
        <v>1.84</v>
      </c>
      <c r="R23" s="198"/>
      <c r="S23" s="198"/>
      <c r="T23" s="198"/>
      <c r="U23" s="198"/>
    </row>
    <row r="24" spans="1:21" s="12" customFormat="1" x14ac:dyDescent="0.25">
      <c r="A24" s="214" t="s">
        <v>2184</v>
      </c>
      <c r="B24" s="64">
        <v>3.99</v>
      </c>
      <c r="C24" s="64">
        <v>8.7799999999999994</v>
      </c>
      <c r="D24" s="64">
        <v>12.77</v>
      </c>
      <c r="E24" s="64">
        <v>4.18</v>
      </c>
      <c r="F24" s="64">
        <v>0.44</v>
      </c>
      <c r="G24" s="64">
        <v>12.03</v>
      </c>
      <c r="H24" s="64">
        <v>9.0399999999999991</v>
      </c>
      <c r="I24" s="64">
        <v>1.8</v>
      </c>
      <c r="J24" s="64">
        <v>0.2</v>
      </c>
      <c r="K24" s="64">
        <v>32.369999999999997</v>
      </c>
      <c r="L24" s="64">
        <v>21.92</v>
      </c>
      <c r="M24" s="64">
        <v>98.83</v>
      </c>
      <c r="N24" s="64">
        <v>10.1</v>
      </c>
      <c r="O24" s="64">
        <v>0</v>
      </c>
      <c r="P24" s="64">
        <v>0.43</v>
      </c>
      <c r="Q24" s="64">
        <v>2.46</v>
      </c>
      <c r="R24" s="198"/>
      <c r="S24" s="198"/>
      <c r="T24" s="198"/>
      <c r="U24" s="198"/>
    </row>
    <row r="25" spans="1:21" s="12" customFormat="1" x14ac:dyDescent="0.25">
      <c r="A25" s="214" t="s">
        <v>2185</v>
      </c>
      <c r="B25" s="64">
        <v>3.86</v>
      </c>
      <c r="C25" s="64">
        <v>8.16</v>
      </c>
      <c r="D25" s="64">
        <v>12.02</v>
      </c>
      <c r="E25" s="64">
        <v>5.39</v>
      </c>
      <c r="F25" s="64">
        <v>1.2</v>
      </c>
      <c r="G25" s="64">
        <v>12.03</v>
      </c>
      <c r="H25" s="64">
        <v>9.0399999999999991</v>
      </c>
      <c r="I25" s="64">
        <v>1.77</v>
      </c>
      <c r="J25" s="64">
        <v>0.25</v>
      </c>
      <c r="K25" s="64">
        <v>24.54</v>
      </c>
      <c r="L25" s="64">
        <v>21.85</v>
      </c>
      <c r="M25" s="64">
        <v>98.83</v>
      </c>
      <c r="N25" s="64">
        <v>9.8000000000000007</v>
      </c>
      <c r="O25" s="64">
        <v>0</v>
      </c>
      <c r="P25" s="64">
        <v>0.42</v>
      </c>
      <c r="Q25" s="64">
        <v>1.5</v>
      </c>
      <c r="R25" s="198"/>
      <c r="S25" s="198"/>
      <c r="T25" s="198"/>
      <c r="U25" s="198"/>
    </row>
    <row r="26" spans="1:21" s="12" customFormat="1" x14ac:dyDescent="0.25">
      <c r="A26" s="214" t="s">
        <v>2186</v>
      </c>
      <c r="B26" s="64">
        <v>3.68</v>
      </c>
      <c r="C26" s="64">
        <v>8.6199999999999992</v>
      </c>
      <c r="D26" s="64">
        <v>12.29</v>
      </c>
      <c r="E26" s="64">
        <v>5.35</v>
      </c>
      <c r="F26" s="64">
        <v>0.75</v>
      </c>
      <c r="G26" s="64">
        <v>12.03</v>
      </c>
      <c r="H26" s="64">
        <v>9.0399999999999991</v>
      </c>
      <c r="I26" s="64">
        <v>1.79</v>
      </c>
      <c r="J26" s="64">
        <v>0.28000000000000003</v>
      </c>
      <c r="K26" s="64">
        <v>33.6</v>
      </c>
      <c r="L26" s="64">
        <v>21.84</v>
      </c>
      <c r="M26" s="64">
        <v>98.83</v>
      </c>
      <c r="N26" s="64">
        <v>9.9</v>
      </c>
      <c r="O26" s="64">
        <v>0.2</v>
      </c>
      <c r="P26" s="64">
        <v>0.4</v>
      </c>
      <c r="Q26" s="64">
        <v>2.1800000000000002</v>
      </c>
      <c r="R26" s="198"/>
      <c r="S26" s="198"/>
      <c r="T26" s="198"/>
      <c r="U26" s="198"/>
    </row>
    <row r="27" spans="1:21" s="12" customFormat="1" x14ac:dyDescent="0.25">
      <c r="A27" s="214" t="s">
        <v>2187</v>
      </c>
      <c r="B27" s="64">
        <v>3.51</v>
      </c>
      <c r="C27" s="64">
        <v>8.5</v>
      </c>
      <c r="D27" s="64">
        <v>12</v>
      </c>
      <c r="E27" s="64">
        <v>5.63</v>
      </c>
      <c r="F27" s="64">
        <v>1.42</v>
      </c>
      <c r="G27" s="64">
        <v>11.2</v>
      </c>
      <c r="H27" s="64">
        <v>8.08</v>
      </c>
      <c r="I27" s="64">
        <v>1.8</v>
      </c>
      <c r="J27" s="64">
        <v>0.16</v>
      </c>
      <c r="K27" s="64">
        <v>18.18</v>
      </c>
      <c r="L27" s="64">
        <v>21.9</v>
      </c>
      <c r="M27" s="64">
        <v>98.83</v>
      </c>
      <c r="N27" s="64">
        <v>9.6999999999999993</v>
      </c>
      <c r="O27" s="64">
        <v>0</v>
      </c>
      <c r="P27" s="64">
        <v>0.38</v>
      </c>
      <c r="Q27" s="64">
        <v>1.6</v>
      </c>
      <c r="R27" s="198"/>
      <c r="S27" s="198"/>
      <c r="T27" s="198"/>
      <c r="U27" s="198"/>
    </row>
    <row r="28" spans="1:21" s="12" customFormat="1" x14ac:dyDescent="0.25">
      <c r="A28" s="214" t="s">
        <v>2188</v>
      </c>
      <c r="B28" s="64">
        <v>3.5</v>
      </c>
      <c r="C28" s="64">
        <v>8.51</v>
      </c>
      <c r="D28" s="64">
        <v>12.01</v>
      </c>
      <c r="E28" s="64">
        <v>5.53</v>
      </c>
      <c r="F28" s="64">
        <v>1.18</v>
      </c>
      <c r="G28" s="64">
        <v>9.17</v>
      </c>
      <c r="H28" s="64">
        <v>6.5</v>
      </c>
      <c r="I28" s="64">
        <v>1.82</v>
      </c>
      <c r="J28" s="64">
        <v>0.15</v>
      </c>
      <c r="K28" s="64">
        <v>24.82</v>
      </c>
      <c r="L28" s="64">
        <v>21.85</v>
      </c>
      <c r="M28" s="64">
        <v>98.83</v>
      </c>
      <c r="N28" s="64">
        <v>9.8000000000000007</v>
      </c>
      <c r="O28" s="64">
        <v>0</v>
      </c>
      <c r="P28" s="64">
        <v>0.4</v>
      </c>
      <c r="Q28" s="64">
        <v>1.41</v>
      </c>
      <c r="R28" s="198"/>
      <c r="S28" s="198"/>
      <c r="T28" s="198"/>
      <c r="U28" s="198"/>
    </row>
    <row r="29" spans="1:21" s="12" customFormat="1" x14ac:dyDescent="0.25">
      <c r="A29" s="214" t="s">
        <v>2189</v>
      </c>
      <c r="B29" s="64">
        <v>3.51</v>
      </c>
      <c r="C29" s="64">
        <v>8.75</v>
      </c>
      <c r="D29" s="64">
        <v>12.26</v>
      </c>
      <c r="E29" s="64">
        <v>5.59</v>
      </c>
      <c r="F29" s="64">
        <v>0.8</v>
      </c>
      <c r="G29" s="64">
        <v>9.17</v>
      </c>
      <c r="H29" s="64">
        <v>6.5</v>
      </c>
      <c r="I29" s="64">
        <v>1.79</v>
      </c>
      <c r="J29" s="64">
        <v>0.12</v>
      </c>
      <c r="K29" s="64">
        <v>8.3000000000000007</v>
      </c>
      <c r="L29" s="64">
        <v>21.81</v>
      </c>
      <c r="M29" s="64">
        <v>98.84</v>
      </c>
      <c r="N29" s="64">
        <v>9.8000000000000007</v>
      </c>
      <c r="O29" s="64">
        <v>0.2</v>
      </c>
      <c r="P29" s="64">
        <v>0.38</v>
      </c>
      <c r="Q29" s="64">
        <v>1.52</v>
      </c>
      <c r="R29" s="198"/>
      <c r="S29" s="198"/>
      <c r="T29" s="198"/>
      <c r="U29" s="198"/>
    </row>
    <row r="30" spans="1:21" s="12" customFormat="1" x14ac:dyDescent="0.25">
      <c r="A30" s="214" t="s">
        <v>2190</v>
      </c>
      <c r="B30" s="64">
        <v>3.7</v>
      </c>
      <c r="C30" s="64">
        <v>8.1300000000000008</v>
      </c>
      <c r="D30" s="64">
        <v>11.83</v>
      </c>
      <c r="E30" s="64">
        <v>5.86</v>
      </c>
      <c r="F30" s="64">
        <v>1.28</v>
      </c>
      <c r="G30" s="64">
        <v>9.17</v>
      </c>
      <c r="H30" s="64">
        <v>6.5</v>
      </c>
      <c r="I30" s="64">
        <v>1.84</v>
      </c>
      <c r="J30" s="64">
        <v>0.12</v>
      </c>
      <c r="K30" s="64">
        <v>14.56</v>
      </c>
      <c r="L30" s="64">
        <v>21.85</v>
      </c>
      <c r="M30" s="64">
        <v>98.85</v>
      </c>
      <c r="N30" s="64">
        <v>9.6999999999999993</v>
      </c>
      <c r="O30" s="64">
        <v>0</v>
      </c>
      <c r="P30" s="64">
        <v>0.4</v>
      </c>
      <c r="Q30" s="64">
        <v>0.82</v>
      </c>
      <c r="R30" s="198"/>
      <c r="S30" s="198"/>
      <c r="T30" s="198"/>
      <c r="U30" s="198"/>
    </row>
    <row r="31" spans="1:21" s="12" customFormat="1" x14ac:dyDescent="0.25">
      <c r="A31" s="214" t="s">
        <v>2191</v>
      </c>
      <c r="B31" s="64">
        <v>4.08</v>
      </c>
      <c r="C31" s="64">
        <v>8.7100000000000009</v>
      </c>
      <c r="D31" s="64">
        <v>12.79</v>
      </c>
      <c r="E31" s="64">
        <v>5.83</v>
      </c>
      <c r="F31" s="64">
        <v>0.16</v>
      </c>
      <c r="G31" s="64">
        <v>9.89</v>
      </c>
      <c r="H31" s="64">
        <v>6.41</v>
      </c>
      <c r="I31" s="64">
        <v>1.73</v>
      </c>
      <c r="J31" s="64">
        <v>0.16</v>
      </c>
      <c r="K31" s="64">
        <v>30.13</v>
      </c>
      <c r="L31" s="64">
        <v>21.91</v>
      </c>
      <c r="M31" s="64">
        <v>98.85</v>
      </c>
      <c r="N31" s="64">
        <v>9.9</v>
      </c>
      <c r="O31" s="64">
        <v>0</v>
      </c>
      <c r="P31" s="64">
        <v>0.4</v>
      </c>
      <c r="Q31" s="64">
        <v>1.88</v>
      </c>
      <c r="R31" s="198"/>
      <c r="S31" s="198"/>
      <c r="T31" s="198"/>
      <c r="U31" s="198"/>
    </row>
    <row r="32" spans="1:21" s="12" customFormat="1" x14ac:dyDescent="0.25">
      <c r="A32" s="214" t="s">
        <v>2192</v>
      </c>
      <c r="B32" s="64">
        <v>4.32</v>
      </c>
      <c r="C32" s="64">
        <v>8.5399999999999991</v>
      </c>
      <c r="D32" s="64">
        <v>12.86</v>
      </c>
      <c r="E32" s="64">
        <v>5.12</v>
      </c>
      <c r="F32" s="64">
        <v>0.63</v>
      </c>
      <c r="G32" s="64">
        <v>11.67</v>
      </c>
      <c r="H32" s="64">
        <v>6.02</v>
      </c>
      <c r="I32" s="64">
        <v>1.75</v>
      </c>
      <c r="J32" s="64">
        <v>0.16</v>
      </c>
      <c r="K32" s="64">
        <v>22.01</v>
      </c>
      <c r="L32" s="64">
        <v>21.97</v>
      </c>
      <c r="M32" s="64">
        <v>98.83</v>
      </c>
      <c r="N32" s="64">
        <v>10.3</v>
      </c>
      <c r="O32" s="64">
        <v>0</v>
      </c>
      <c r="P32" s="64">
        <v>0.44</v>
      </c>
      <c r="Q32" s="64">
        <v>1.21</v>
      </c>
      <c r="R32" s="198"/>
      <c r="S32" s="198"/>
      <c r="T32" s="198"/>
      <c r="U32" s="198"/>
    </row>
    <row r="33" spans="1:21" s="12" customFormat="1" x14ac:dyDescent="0.25">
      <c r="A33" s="214" t="s">
        <v>2193</v>
      </c>
      <c r="B33" s="64">
        <v>5.07</v>
      </c>
      <c r="C33" s="64">
        <v>9.16</v>
      </c>
      <c r="D33" s="64">
        <v>14.23</v>
      </c>
      <c r="E33" s="64">
        <v>5.32</v>
      </c>
      <c r="F33" s="64">
        <v>0.21</v>
      </c>
      <c r="G33" s="64">
        <v>11.67</v>
      </c>
      <c r="H33" s="64">
        <v>6.02</v>
      </c>
      <c r="I33" s="64">
        <v>1.83</v>
      </c>
      <c r="J33" s="64">
        <v>0.15</v>
      </c>
      <c r="K33" s="64">
        <v>2.3199999999999998</v>
      </c>
      <c r="L33" s="64">
        <v>22.02</v>
      </c>
      <c r="M33" s="64">
        <v>98.83</v>
      </c>
      <c r="N33" s="64">
        <v>11</v>
      </c>
      <c r="O33" s="64">
        <v>0.2</v>
      </c>
      <c r="P33" s="64">
        <v>0.53</v>
      </c>
      <c r="Q33" s="64">
        <v>1.71</v>
      </c>
      <c r="R33" s="198"/>
      <c r="S33" s="198"/>
      <c r="T33" s="198"/>
      <c r="U33" s="198"/>
    </row>
    <row r="34" spans="1:21" s="12" customFormat="1" x14ac:dyDescent="0.25">
      <c r="A34" s="214" t="s">
        <v>2194</v>
      </c>
      <c r="B34" s="64">
        <v>5.86</v>
      </c>
      <c r="C34" s="64">
        <v>9.33</v>
      </c>
      <c r="D34" s="64">
        <v>15.19</v>
      </c>
      <c r="E34" s="64">
        <v>5.43</v>
      </c>
      <c r="F34" s="64">
        <v>0.7</v>
      </c>
      <c r="G34" s="64">
        <v>11.67</v>
      </c>
      <c r="H34" s="64">
        <v>6.02</v>
      </c>
      <c r="I34" s="64">
        <v>1.81</v>
      </c>
      <c r="J34" s="64">
        <v>0.48</v>
      </c>
      <c r="K34" s="64">
        <v>320.25</v>
      </c>
      <c r="L34" s="64">
        <v>22.03</v>
      </c>
      <c r="M34" s="64">
        <v>98.83</v>
      </c>
      <c r="N34" s="64">
        <v>12.5</v>
      </c>
      <c r="O34" s="64">
        <v>0.4</v>
      </c>
      <c r="P34" s="64">
        <v>0.59</v>
      </c>
      <c r="Q34" s="64">
        <v>1.01</v>
      </c>
      <c r="R34" s="198"/>
      <c r="S34" s="198"/>
      <c r="T34" s="198"/>
      <c r="U34" s="198"/>
    </row>
    <row r="35" spans="1:21" s="12" customFormat="1" x14ac:dyDescent="0.25">
      <c r="A35" s="214" t="s">
        <v>2195</v>
      </c>
      <c r="B35" s="64">
        <v>6.36</v>
      </c>
      <c r="C35" s="64">
        <v>9.57</v>
      </c>
      <c r="D35" s="64">
        <v>15.93</v>
      </c>
      <c r="E35" s="64">
        <v>5.68</v>
      </c>
      <c r="F35" s="64">
        <v>0.41</v>
      </c>
      <c r="G35" s="64">
        <v>12.05</v>
      </c>
      <c r="H35" s="64">
        <v>5.79</v>
      </c>
      <c r="I35" s="64">
        <v>1.78</v>
      </c>
      <c r="J35" s="64">
        <v>1.61</v>
      </c>
      <c r="K35" s="64">
        <v>330.14</v>
      </c>
      <c r="L35" s="64">
        <v>21.86</v>
      </c>
      <c r="M35" s="64">
        <v>98.83</v>
      </c>
      <c r="N35" s="64">
        <v>13.6</v>
      </c>
      <c r="O35" s="64">
        <v>0</v>
      </c>
      <c r="P35" s="64">
        <v>0.57999999999999996</v>
      </c>
      <c r="Q35" s="64">
        <v>1.75</v>
      </c>
      <c r="R35" s="198"/>
      <c r="S35" s="198"/>
      <c r="T35" s="198"/>
      <c r="U35" s="198"/>
    </row>
    <row r="36" spans="1:21" s="12" customFormat="1" x14ac:dyDescent="0.25">
      <c r="A36" s="214" t="s">
        <v>2196</v>
      </c>
      <c r="B36" s="64">
        <v>6.39</v>
      </c>
      <c r="C36" s="64">
        <v>9.74</v>
      </c>
      <c r="D36" s="64">
        <v>16.13</v>
      </c>
      <c r="E36" s="64">
        <v>5.89</v>
      </c>
      <c r="F36" s="64">
        <v>0.67</v>
      </c>
      <c r="G36" s="64">
        <v>12.99</v>
      </c>
      <c r="H36" s="64">
        <v>5.42</v>
      </c>
      <c r="I36" s="64">
        <v>1.79</v>
      </c>
      <c r="J36" s="64">
        <v>1.04</v>
      </c>
      <c r="K36" s="64">
        <v>329.7</v>
      </c>
      <c r="L36" s="64">
        <v>20.96</v>
      </c>
      <c r="M36" s="64">
        <v>98.84</v>
      </c>
      <c r="N36" s="64">
        <v>18.399999999999999</v>
      </c>
      <c r="O36" s="64">
        <v>0</v>
      </c>
      <c r="P36" s="64">
        <v>0.56000000000000005</v>
      </c>
      <c r="Q36" s="64">
        <v>1.47</v>
      </c>
      <c r="R36" s="198"/>
      <c r="S36" s="198"/>
      <c r="T36" s="198"/>
      <c r="U36" s="198"/>
    </row>
    <row r="37" spans="1:21" s="12" customFormat="1" x14ac:dyDescent="0.25">
      <c r="A37" s="214" t="s">
        <v>2197</v>
      </c>
      <c r="B37" s="64">
        <v>6.14</v>
      </c>
      <c r="C37" s="64">
        <v>9.9</v>
      </c>
      <c r="D37" s="64">
        <v>16.04</v>
      </c>
      <c r="E37" s="64">
        <v>5.87</v>
      </c>
      <c r="F37" s="64">
        <v>0.37</v>
      </c>
      <c r="G37" s="64">
        <v>12.99</v>
      </c>
      <c r="H37" s="64">
        <v>5.42</v>
      </c>
      <c r="I37" s="64">
        <v>1.82</v>
      </c>
      <c r="J37" s="64">
        <v>0.7</v>
      </c>
      <c r="K37" s="64">
        <v>320.06</v>
      </c>
      <c r="L37" s="64">
        <v>20.64</v>
      </c>
      <c r="M37" s="64">
        <v>98.84</v>
      </c>
      <c r="N37" s="64">
        <v>22.4</v>
      </c>
      <c r="O37" s="64">
        <v>0</v>
      </c>
      <c r="P37" s="64">
        <v>0.48</v>
      </c>
      <c r="Q37" s="64">
        <v>1.22</v>
      </c>
      <c r="R37" s="198"/>
      <c r="S37" s="198"/>
      <c r="T37" s="198"/>
      <c r="U37" s="198"/>
    </row>
    <row r="38" spans="1:21" s="12" customFormat="1" x14ac:dyDescent="0.25">
      <c r="A38" s="214" t="s">
        <v>2198</v>
      </c>
      <c r="B38" s="64">
        <v>5.96</v>
      </c>
      <c r="C38" s="64">
        <v>9.9499999999999993</v>
      </c>
      <c r="D38" s="64">
        <v>15.91</v>
      </c>
      <c r="E38" s="64">
        <v>5.41</v>
      </c>
      <c r="F38" s="64">
        <v>1.41</v>
      </c>
      <c r="G38" s="64">
        <v>12.99</v>
      </c>
      <c r="H38" s="64">
        <v>5.42</v>
      </c>
      <c r="I38" s="64">
        <v>1.77</v>
      </c>
      <c r="J38" s="64">
        <v>0.14000000000000001</v>
      </c>
      <c r="K38" s="64">
        <v>336.82</v>
      </c>
      <c r="L38" s="64">
        <v>20.88</v>
      </c>
      <c r="M38" s="64">
        <v>98.84</v>
      </c>
      <c r="N38" s="64">
        <v>27.4</v>
      </c>
      <c r="O38" s="64">
        <v>0</v>
      </c>
      <c r="P38" s="64">
        <v>0.51</v>
      </c>
      <c r="Q38" s="64">
        <v>3.82</v>
      </c>
      <c r="R38" s="198"/>
      <c r="S38" s="198"/>
      <c r="T38" s="198"/>
      <c r="U38" s="198"/>
    </row>
    <row r="39" spans="1:21" s="12" customFormat="1" x14ac:dyDescent="0.25">
      <c r="A39" s="214" t="s">
        <v>2199</v>
      </c>
      <c r="B39" s="64">
        <v>6.27</v>
      </c>
      <c r="C39" s="64">
        <v>11.89</v>
      </c>
      <c r="D39" s="64">
        <v>18.16</v>
      </c>
      <c r="E39" s="64">
        <v>5.16</v>
      </c>
      <c r="F39" s="64">
        <v>1.7</v>
      </c>
      <c r="G39" s="64">
        <v>12.01</v>
      </c>
      <c r="H39" s="64">
        <v>5.03</v>
      </c>
      <c r="I39" s="64">
        <v>1.78</v>
      </c>
      <c r="J39" s="64">
        <v>0.13</v>
      </c>
      <c r="K39" s="64">
        <v>338.42</v>
      </c>
      <c r="L39" s="64">
        <v>21.1</v>
      </c>
      <c r="M39" s="64">
        <v>98.83</v>
      </c>
      <c r="N39" s="64">
        <v>31.6</v>
      </c>
      <c r="O39" s="64">
        <v>0</v>
      </c>
      <c r="P39" s="64">
        <v>0.51</v>
      </c>
      <c r="Q39" s="64">
        <v>5.46</v>
      </c>
      <c r="R39" s="198"/>
      <c r="S39" s="198"/>
      <c r="T39" s="198"/>
      <c r="U39" s="198"/>
    </row>
    <row r="40" spans="1:21" s="12" customFormat="1" x14ac:dyDescent="0.25">
      <c r="A40" s="214" t="s">
        <v>2200</v>
      </c>
      <c r="B40" s="64">
        <v>7.8</v>
      </c>
      <c r="C40" s="64">
        <v>12.7</v>
      </c>
      <c r="D40" s="64">
        <v>20.5</v>
      </c>
      <c r="E40" s="64">
        <v>4.63</v>
      </c>
      <c r="F40" s="64">
        <v>1.19</v>
      </c>
      <c r="G40" s="64">
        <v>9.6</v>
      </c>
      <c r="H40" s="64">
        <v>4.4000000000000004</v>
      </c>
      <c r="I40" s="64">
        <v>1.86</v>
      </c>
      <c r="J40" s="64">
        <v>0.17</v>
      </c>
      <c r="K40" s="64">
        <v>325.70999999999998</v>
      </c>
      <c r="L40" s="64">
        <v>21.27</v>
      </c>
      <c r="M40" s="64">
        <v>98.83</v>
      </c>
      <c r="N40" s="64">
        <v>31.7</v>
      </c>
      <c r="O40" s="64">
        <v>0</v>
      </c>
      <c r="P40" s="64">
        <v>0.51</v>
      </c>
      <c r="Q40" s="64">
        <v>4.7</v>
      </c>
      <c r="R40" s="198"/>
      <c r="S40" s="198"/>
      <c r="T40" s="198"/>
      <c r="U40" s="198"/>
    </row>
    <row r="41" spans="1:21" s="12" customFormat="1" x14ac:dyDescent="0.25">
      <c r="A41" s="214" t="s">
        <v>2201</v>
      </c>
      <c r="B41" s="64">
        <v>8.07</v>
      </c>
      <c r="C41" s="64">
        <v>11.54</v>
      </c>
      <c r="D41" s="64">
        <v>19.600000000000001</v>
      </c>
      <c r="E41" s="64">
        <v>5.0999999999999996</v>
      </c>
      <c r="F41" s="64">
        <v>1.37</v>
      </c>
      <c r="G41" s="64">
        <v>9.6</v>
      </c>
      <c r="H41" s="64">
        <v>4.4000000000000004</v>
      </c>
      <c r="I41" s="64">
        <v>1.81</v>
      </c>
      <c r="J41" s="64">
        <v>0.12</v>
      </c>
      <c r="K41" s="64">
        <v>3.9</v>
      </c>
      <c r="L41" s="64">
        <v>21.45</v>
      </c>
      <c r="M41" s="64">
        <v>98.83</v>
      </c>
      <c r="N41" s="64">
        <v>30.8</v>
      </c>
      <c r="O41" s="64">
        <v>0</v>
      </c>
      <c r="P41" s="64">
        <v>0.51</v>
      </c>
      <c r="Q41" s="64">
        <v>2.93</v>
      </c>
      <c r="R41" s="198"/>
      <c r="S41" s="198"/>
      <c r="T41" s="198"/>
      <c r="U41" s="198"/>
    </row>
    <row r="42" spans="1:21" s="12" customFormat="1" x14ac:dyDescent="0.25">
      <c r="A42" s="214" t="s">
        <v>2202</v>
      </c>
      <c r="B42" s="64">
        <v>13.99</v>
      </c>
      <c r="C42" s="64">
        <v>12.36</v>
      </c>
      <c r="D42" s="64">
        <v>25.41</v>
      </c>
      <c r="E42" s="64">
        <v>5.95</v>
      </c>
      <c r="F42" s="64">
        <v>0.82</v>
      </c>
      <c r="G42" s="64">
        <v>9.6</v>
      </c>
      <c r="H42" s="64">
        <v>4.4000000000000004</v>
      </c>
      <c r="I42" s="64">
        <v>1.8</v>
      </c>
      <c r="J42" s="64">
        <v>0.16</v>
      </c>
      <c r="K42" s="64">
        <v>334.57</v>
      </c>
      <c r="L42" s="64">
        <v>21.68</v>
      </c>
      <c r="M42" s="64">
        <v>98.84</v>
      </c>
      <c r="N42" s="64">
        <v>29.5</v>
      </c>
      <c r="O42" s="64">
        <v>0</v>
      </c>
      <c r="P42" s="64">
        <v>0.53</v>
      </c>
      <c r="Q42" s="64">
        <v>3.13</v>
      </c>
      <c r="R42" s="198"/>
      <c r="S42" s="198"/>
      <c r="T42" s="198"/>
      <c r="U42" s="198"/>
    </row>
    <row r="43" spans="1:21" s="12" customFormat="1" x14ac:dyDescent="0.25">
      <c r="A43" s="214" t="s">
        <v>2203</v>
      </c>
      <c r="B43" s="64">
        <v>8.6199999999999992</v>
      </c>
      <c r="C43" s="64">
        <v>10.64</v>
      </c>
      <c r="D43" s="64">
        <v>19.260000000000002</v>
      </c>
      <c r="E43" s="64">
        <v>5.24</v>
      </c>
      <c r="F43" s="64">
        <v>0.19</v>
      </c>
      <c r="G43" s="64">
        <v>10.48</v>
      </c>
      <c r="H43" s="64">
        <v>4.47</v>
      </c>
      <c r="I43" s="64">
        <v>1.82</v>
      </c>
      <c r="J43" s="64">
        <v>0.1</v>
      </c>
      <c r="K43" s="64">
        <v>339.04</v>
      </c>
      <c r="L43" s="64">
        <v>21.86</v>
      </c>
      <c r="M43" s="64">
        <v>98.84</v>
      </c>
      <c r="N43" s="64">
        <v>31.4</v>
      </c>
      <c r="O43" s="64">
        <v>0</v>
      </c>
      <c r="P43" s="64">
        <v>0.53</v>
      </c>
      <c r="Q43" s="64">
        <v>2.6</v>
      </c>
      <c r="R43" s="198"/>
      <c r="S43" s="198"/>
      <c r="T43" s="198"/>
      <c r="U43" s="198"/>
    </row>
    <row r="44" spans="1:21" s="12" customFormat="1" x14ac:dyDescent="0.25">
      <c r="A44" s="214" t="s">
        <v>2204</v>
      </c>
      <c r="B44" s="64">
        <v>9.27</v>
      </c>
      <c r="C44" s="64">
        <v>10.8</v>
      </c>
      <c r="D44" s="64">
        <v>20.07</v>
      </c>
      <c r="E44" s="64">
        <v>4.9800000000000004</v>
      </c>
      <c r="F44" s="64">
        <v>0.05</v>
      </c>
      <c r="G44" s="64">
        <v>12.66</v>
      </c>
      <c r="H44" s="64">
        <v>4.58</v>
      </c>
      <c r="I44" s="64">
        <v>1.81</v>
      </c>
      <c r="J44" s="64">
        <v>0.11</v>
      </c>
      <c r="K44" s="64">
        <v>9.94</v>
      </c>
      <c r="L44" s="64">
        <v>22</v>
      </c>
      <c r="M44" s="64">
        <v>98.83</v>
      </c>
      <c r="N44" s="64">
        <v>34</v>
      </c>
      <c r="O44" s="64">
        <v>0</v>
      </c>
      <c r="P44" s="64">
        <v>0.53</v>
      </c>
      <c r="Q44" s="64">
        <v>2.73</v>
      </c>
      <c r="R44" s="198"/>
      <c r="S44" s="198"/>
      <c r="T44" s="198"/>
      <c r="U44" s="198"/>
    </row>
    <row r="45" spans="1:21" s="12" customFormat="1" x14ac:dyDescent="0.25">
      <c r="A45" s="214" t="s">
        <v>2205</v>
      </c>
      <c r="B45" s="64">
        <v>10.1</v>
      </c>
      <c r="C45" s="64">
        <v>10.29</v>
      </c>
      <c r="D45" s="64">
        <v>20.39</v>
      </c>
      <c r="E45" s="64">
        <v>5.0199999999999996</v>
      </c>
      <c r="F45" s="64">
        <v>0.75</v>
      </c>
      <c r="G45" s="64">
        <v>12.66</v>
      </c>
      <c r="H45" s="64">
        <v>4.58</v>
      </c>
      <c r="I45" s="64">
        <v>1.85</v>
      </c>
      <c r="J45" s="64">
        <v>0.11</v>
      </c>
      <c r="K45" s="64">
        <v>17.399999999999999</v>
      </c>
      <c r="L45" s="64">
        <v>22.1</v>
      </c>
      <c r="M45" s="64">
        <v>98.83</v>
      </c>
      <c r="N45" s="64">
        <v>39</v>
      </c>
      <c r="O45" s="64">
        <v>0</v>
      </c>
      <c r="P45" s="64">
        <v>0.55000000000000004</v>
      </c>
      <c r="Q45" s="64">
        <v>1.35</v>
      </c>
      <c r="R45" s="198"/>
      <c r="S45" s="198"/>
      <c r="T45" s="198"/>
      <c r="U45" s="198"/>
    </row>
    <row r="46" spans="1:21" s="12" customFormat="1" x14ac:dyDescent="0.25">
      <c r="A46" s="214" t="s">
        <v>2206</v>
      </c>
      <c r="B46" s="64">
        <v>11.05</v>
      </c>
      <c r="C46" s="64">
        <v>12.46</v>
      </c>
      <c r="D46" s="64">
        <v>23.51</v>
      </c>
      <c r="E46" s="64">
        <v>5.36</v>
      </c>
      <c r="F46" s="64">
        <v>0.14000000000000001</v>
      </c>
      <c r="G46" s="64">
        <v>12.66</v>
      </c>
      <c r="H46" s="64">
        <v>4.58</v>
      </c>
      <c r="I46" s="64">
        <v>1.75</v>
      </c>
      <c r="J46" s="64">
        <v>0.24</v>
      </c>
      <c r="K46" s="64">
        <v>349.01</v>
      </c>
      <c r="L46" s="64">
        <v>22.13</v>
      </c>
      <c r="M46" s="64">
        <v>98.83</v>
      </c>
      <c r="N46" s="64">
        <v>29.7</v>
      </c>
      <c r="O46" s="64">
        <v>0</v>
      </c>
      <c r="P46" s="64">
        <v>0.56999999999999995</v>
      </c>
      <c r="Q46" s="64">
        <v>2.25</v>
      </c>
      <c r="R46" s="198"/>
      <c r="S46" s="198"/>
      <c r="T46" s="198"/>
      <c r="U46" s="198"/>
    </row>
    <row r="47" spans="1:21" s="12" customFormat="1" x14ac:dyDescent="0.25">
      <c r="A47" s="214" t="s">
        <v>2207</v>
      </c>
      <c r="B47" s="64">
        <v>11.92</v>
      </c>
      <c r="C47" s="64">
        <v>11.28</v>
      </c>
      <c r="D47" s="64">
        <v>23.2</v>
      </c>
      <c r="E47" s="64">
        <v>5.58</v>
      </c>
      <c r="F47" s="64">
        <v>1.05</v>
      </c>
      <c r="G47" s="64">
        <v>13.07</v>
      </c>
      <c r="H47" s="64">
        <v>6.08</v>
      </c>
      <c r="I47" s="64">
        <v>1.79</v>
      </c>
      <c r="J47" s="64">
        <v>0.35</v>
      </c>
      <c r="K47" s="64">
        <v>328.5</v>
      </c>
      <c r="L47" s="64">
        <v>22.21</v>
      </c>
      <c r="M47" s="64">
        <v>98.83</v>
      </c>
      <c r="N47" s="64">
        <v>51.1</v>
      </c>
      <c r="O47" s="64">
        <v>0</v>
      </c>
      <c r="P47" s="64">
        <v>0.56999999999999995</v>
      </c>
      <c r="Q47" s="64">
        <v>1.75</v>
      </c>
      <c r="R47" s="198"/>
      <c r="S47" s="198"/>
      <c r="T47" s="198"/>
      <c r="U47" s="198"/>
    </row>
    <row r="48" spans="1:21" s="12" customFormat="1" x14ac:dyDescent="0.25">
      <c r="A48" s="214" t="s">
        <v>2208</v>
      </c>
      <c r="B48" s="64">
        <v>12.87</v>
      </c>
      <c r="C48" s="64">
        <v>10.76</v>
      </c>
      <c r="D48" s="64">
        <v>23.63</v>
      </c>
      <c r="E48" s="64">
        <v>5.56</v>
      </c>
      <c r="F48" s="64">
        <v>0.05</v>
      </c>
      <c r="G48" s="64">
        <v>14.07</v>
      </c>
      <c r="H48" s="64">
        <v>8.8800000000000008</v>
      </c>
      <c r="I48" s="64">
        <v>1.77</v>
      </c>
      <c r="J48" s="64">
        <v>0.16</v>
      </c>
      <c r="K48" s="64">
        <v>331.18</v>
      </c>
      <c r="L48" s="64">
        <v>22.34</v>
      </c>
      <c r="M48" s="64">
        <v>98.83</v>
      </c>
      <c r="N48" s="64">
        <v>49.2</v>
      </c>
      <c r="O48" s="64">
        <v>0</v>
      </c>
      <c r="P48" s="64">
        <v>0.59</v>
      </c>
      <c r="Q48" s="64">
        <v>2.89</v>
      </c>
      <c r="R48" s="198"/>
      <c r="S48" s="198"/>
      <c r="T48" s="198"/>
      <c r="U48" s="198"/>
    </row>
    <row r="49" spans="1:21" s="12" customFormat="1" x14ac:dyDescent="0.25">
      <c r="A49" s="214" t="s">
        <v>2209</v>
      </c>
      <c r="B49" s="64">
        <v>14.03</v>
      </c>
      <c r="C49" s="64">
        <v>10.16</v>
      </c>
      <c r="D49" s="64">
        <v>24.19</v>
      </c>
      <c r="E49" s="64">
        <v>5.18</v>
      </c>
      <c r="F49" s="64">
        <v>0.95</v>
      </c>
      <c r="G49" s="64">
        <v>14.07</v>
      </c>
      <c r="H49" s="64">
        <v>8.8800000000000008</v>
      </c>
      <c r="I49" s="64">
        <v>1.87</v>
      </c>
      <c r="J49" s="64">
        <v>0.24</v>
      </c>
      <c r="K49" s="64">
        <v>331.98</v>
      </c>
      <c r="L49" s="64">
        <v>22.32</v>
      </c>
      <c r="M49" s="64">
        <v>98.83</v>
      </c>
      <c r="N49" s="64">
        <v>59.6</v>
      </c>
      <c r="O49" s="64">
        <v>0</v>
      </c>
      <c r="P49" s="64">
        <v>0.62</v>
      </c>
      <c r="Q49" s="64">
        <v>2.48</v>
      </c>
      <c r="R49" s="198"/>
      <c r="S49" s="198"/>
      <c r="T49" s="198"/>
      <c r="U49" s="198"/>
    </row>
    <row r="50" spans="1:21" s="12" customFormat="1" x14ac:dyDescent="0.25">
      <c r="A50" s="214" t="s">
        <v>2210</v>
      </c>
      <c r="B50" s="64">
        <v>14.76</v>
      </c>
      <c r="C50" s="64">
        <v>14.5</v>
      </c>
      <c r="D50" s="64">
        <v>29.25</v>
      </c>
      <c r="E50" s="64">
        <v>5.5</v>
      </c>
      <c r="F50" s="64">
        <v>1.24</v>
      </c>
      <c r="G50" s="64">
        <v>14.07</v>
      </c>
      <c r="H50" s="64">
        <v>8.8800000000000008</v>
      </c>
      <c r="I50" s="64">
        <v>1.85</v>
      </c>
      <c r="J50" s="64">
        <v>0.56999999999999995</v>
      </c>
      <c r="K50" s="64">
        <v>320.74</v>
      </c>
      <c r="L50" s="64">
        <v>22.51</v>
      </c>
      <c r="M50" s="64">
        <v>98.83</v>
      </c>
      <c r="N50" s="64">
        <v>114.6</v>
      </c>
      <c r="O50" s="64">
        <v>0</v>
      </c>
      <c r="P50" s="64">
        <v>0.65</v>
      </c>
      <c r="Q50" s="64">
        <v>4.08</v>
      </c>
      <c r="R50" s="198"/>
      <c r="S50" s="198"/>
      <c r="T50" s="198"/>
      <c r="U50" s="198"/>
    </row>
    <row r="51" spans="1:21" s="12" customFormat="1" x14ac:dyDescent="0.25">
      <c r="A51" s="214" t="s">
        <v>2211</v>
      </c>
      <c r="B51" s="64">
        <v>17.11</v>
      </c>
      <c r="C51" s="64">
        <v>17.87</v>
      </c>
      <c r="D51" s="64">
        <v>34.979999999999997</v>
      </c>
      <c r="E51" s="64">
        <v>5.18</v>
      </c>
      <c r="F51" s="64">
        <v>3.24</v>
      </c>
      <c r="G51" s="64">
        <v>14.07</v>
      </c>
      <c r="H51" s="64">
        <v>8.8800000000000008</v>
      </c>
      <c r="I51" s="64">
        <v>1.84</v>
      </c>
      <c r="J51" s="64">
        <v>0.56000000000000005</v>
      </c>
      <c r="K51" s="64">
        <v>318.86</v>
      </c>
      <c r="L51" s="64">
        <v>22.76</v>
      </c>
      <c r="M51" s="64">
        <v>98.83</v>
      </c>
      <c r="N51" s="64">
        <v>156.19999999999999</v>
      </c>
      <c r="O51" s="64">
        <v>0</v>
      </c>
      <c r="P51" s="64">
        <v>0.87</v>
      </c>
      <c r="Q51" s="64">
        <v>4.1100000000000003</v>
      </c>
      <c r="R51" s="198"/>
      <c r="S51" s="198"/>
      <c r="T51" s="198"/>
      <c r="U51" s="198"/>
    </row>
    <row r="52" spans="1:21" s="12" customFormat="1" x14ac:dyDescent="0.25">
      <c r="A52" s="214" t="s">
        <v>2212</v>
      </c>
      <c r="B52" s="64">
        <v>15.97</v>
      </c>
      <c r="C52" s="64">
        <v>28.36</v>
      </c>
      <c r="D52" s="64">
        <v>44.33</v>
      </c>
      <c r="E52" s="64">
        <v>4.54</v>
      </c>
      <c r="F52" s="64">
        <v>0.77</v>
      </c>
      <c r="G52" s="64">
        <v>14.07</v>
      </c>
      <c r="H52" s="64">
        <v>8.8800000000000008</v>
      </c>
      <c r="I52" s="64">
        <v>1.79</v>
      </c>
      <c r="J52" s="64">
        <v>0.47</v>
      </c>
      <c r="K52" s="64">
        <v>318.35000000000002</v>
      </c>
      <c r="L52" s="64">
        <v>22.95</v>
      </c>
      <c r="M52" s="64">
        <v>98.83</v>
      </c>
      <c r="N52" s="64">
        <v>203.6</v>
      </c>
      <c r="O52" s="64">
        <v>0</v>
      </c>
      <c r="P52" s="64">
        <v>0.9</v>
      </c>
      <c r="Q52" s="64">
        <v>5.71</v>
      </c>
      <c r="R52" s="198"/>
      <c r="S52" s="198"/>
      <c r="T52" s="198"/>
      <c r="U52" s="198"/>
    </row>
    <row r="53" spans="1:21" s="12" customFormat="1" x14ac:dyDescent="0.25">
      <c r="A53" s="214" t="s">
        <v>2213</v>
      </c>
      <c r="B53" s="64">
        <v>13.67</v>
      </c>
      <c r="C53" s="64">
        <v>26.83</v>
      </c>
      <c r="D53" s="64">
        <v>40.5</v>
      </c>
      <c r="E53" s="64">
        <v>3.06</v>
      </c>
      <c r="F53" s="64">
        <v>1.86</v>
      </c>
      <c r="G53" s="64">
        <v>14.07</v>
      </c>
      <c r="H53" s="64">
        <v>8.8800000000000008</v>
      </c>
      <c r="I53" s="64">
        <v>1.84</v>
      </c>
      <c r="J53" s="64">
        <v>0.31</v>
      </c>
      <c r="K53" s="64">
        <v>325.14999999999998</v>
      </c>
      <c r="L53" s="64">
        <v>23.25</v>
      </c>
      <c r="M53" s="64">
        <v>98.83</v>
      </c>
      <c r="N53" s="64">
        <v>208.3</v>
      </c>
      <c r="O53" s="64">
        <v>0</v>
      </c>
      <c r="P53" s="64">
        <v>0.89</v>
      </c>
      <c r="Q53" s="64">
        <v>4.5</v>
      </c>
      <c r="R53" s="198"/>
      <c r="S53" s="198"/>
      <c r="T53" s="198"/>
      <c r="U53" s="198"/>
    </row>
    <row r="54" spans="1:21" s="12" customFormat="1" x14ac:dyDescent="0.25">
      <c r="A54" s="214" t="s">
        <v>2214</v>
      </c>
      <c r="B54" s="64">
        <v>11.73</v>
      </c>
      <c r="C54" s="64">
        <v>23.7</v>
      </c>
      <c r="D54" s="64">
        <v>35.42</v>
      </c>
      <c r="E54" s="64">
        <v>9.3000000000000007</v>
      </c>
      <c r="F54" s="64">
        <v>1</v>
      </c>
      <c r="G54" s="64">
        <v>14.07</v>
      </c>
      <c r="H54" s="64">
        <v>8.8800000000000008</v>
      </c>
      <c r="I54" s="64">
        <v>1.82</v>
      </c>
      <c r="J54" s="64">
        <v>0.25</v>
      </c>
      <c r="K54" s="64">
        <v>342.4</v>
      </c>
      <c r="L54" s="64">
        <v>23.38</v>
      </c>
      <c r="M54" s="64">
        <v>98.83</v>
      </c>
      <c r="N54" s="64">
        <v>254.4</v>
      </c>
      <c r="O54" s="64">
        <v>0</v>
      </c>
      <c r="P54" s="64">
        <v>0.85</v>
      </c>
      <c r="Q54" s="64">
        <v>3.95</v>
      </c>
      <c r="R54" s="198"/>
      <c r="S54" s="198"/>
      <c r="T54" s="198"/>
      <c r="U54" s="198"/>
    </row>
    <row r="55" spans="1:21" s="12" customFormat="1" x14ac:dyDescent="0.25">
      <c r="A55" s="214" t="s">
        <v>2215</v>
      </c>
      <c r="B55" s="64">
        <v>10.69</v>
      </c>
      <c r="C55" s="64">
        <v>22.38</v>
      </c>
      <c r="D55" s="64">
        <v>33.06</v>
      </c>
      <c r="E55" s="211" t="s">
        <v>40</v>
      </c>
      <c r="F55" s="64">
        <v>0.81</v>
      </c>
      <c r="G55" s="64">
        <v>14.07</v>
      </c>
      <c r="H55" s="64">
        <v>8.8800000000000008</v>
      </c>
      <c r="I55" s="64">
        <v>1.66</v>
      </c>
      <c r="J55" s="64">
        <v>0.81</v>
      </c>
      <c r="K55" s="64">
        <v>323.13</v>
      </c>
      <c r="L55" s="64">
        <v>23.71</v>
      </c>
      <c r="M55" s="64">
        <v>98.83</v>
      </c>
      <c r="N55" s="64">
        <v>305.2</v>
      </c>
      <c r="O55" s="64">
        <v>0</v>
      </c>
      <c r="P55" s="64">
        <v>0.85</v>
      </c>
      <c r="Q55" s="64">
        <v>3.1</v>
      </c>
      <c r="R55" s="198"/>
      <c r="S55" s="198"/>
      <c r="T55" s="198"/>
      <c r="U55" s="198"/>
    </row>
    <row r="56" spans="1:21" s="12" customFormat="1" x14ac:dyDescent="0.25">
      <c r="A56" s="214" t="s">
        <v>2216</v>
      </c>
      <c r="B56" s="64">
        <v>11.17</v>
      </c>
      <c r="C56" s="64">
        <v>18.62</v>
      </c>
      <c r="D56" s="64">
        <v>29.79</v>
      </c>
      <c r="E56" s="211" t="s">
        <v>40</v>
      </c>
      <c r="F56" s="64">
        <v>1.37</v>
      </c>
      <c r="G56" s="64">
        <v>14.07</v>
      </c>
      <c r="H56" s="64">
        <v>8.8800000000000008</v>
      </c>
      <c r="I56" s="64">
        <v>1.83</v>
      </c>
      <c r="J56" s="64">
        <v>0.91</v>
      </c>
      <c r="K56" s="64">
        <v>330.61</v>
      </c>
      <c r="L56" s="64">
        <v>24.32</v>
      </c>
      <c r="M56" s="64">
        <v>98.85</v>
      </c>
      <c r="N56" s="64">
        <v>332.5</v>
      </c>
      <c r="O56" s="64">
        <v>0</v>
      </c>
      <c r="P56" s="64">
        <v>0.83</v>
      </c>
      <c r="Q56" s="64">
        <v>1.74</v>
      </c>
      <c r="R56" s="198"/>
      <c r="S56" s="198"/>
      <c r="T56" s="198"/>
      <c r="U56" s="198"/>
    </row>
    <row r="57" spans="1:21" s="12" customFormat="1" x14ac:dyDescent="0.25">
      <c r="A57" s="214" t="s">
        <v>2217</v>
      </c>
      <c r="B57" s="64">
        <v>11.02</v>
      </c>
      <c r="C57" s="64">
        <v>16.690000000000001</v>
      </c>
      <c r="D57" s="64">
        <v>27.71</v>
      </c>
      <c r="E57" s="64">
        <v>12.72</v>
      </c>
      <c r="F57" s="64">
        <v>0.83</v>
      </c>
      <c r="G57" s="64">
        <v>14.07</v>
      </c>
      <c r="H57" s="64">
        <v>8.8800000000000008</v>
      </c>
      <c r="I57" s="64">
        <v>1.75</v>
      </c>
      <c r="J57" s="64">
        <v>0.45</v>
      </c>
      <c r="K57" s="64">
        <v>322.51</v>
      </c>
      <c r="L57" s="64">
        <v>24.79</v>
      </c>
      <c r="M57" s="64">
        <v>98.85</v>
      </c>
      <c r="N57" s="64">
        <v>321.5</v>
      </c>
      <c r="O57" s="64">
        <v>0</v>
      </c>
      <c r="P57" s="64">
        <v>0.82</v>
      </c>
      <c r="Q57" s="64">
        <v>2.65</v>
      </c>
      <c r="R57" s="198"/>
      <c r="S57" s="198"/>
      <c r="T57" s="198"/>
      <c r="U57" s="198"/>
    </row>
    <row r="58" spans="1:21" s="12" customFormat="1" x14ac:dyDescent="0.25">
      <c r="A58" s="214" t="s">
        <v>2218</v>
      </c>
      <c r="B58" s="211" t="s">
        <v>40</v>
      </c>
      <c r="C58" s="211" t="s">
        <v>40</v>
      </c>
      <c r="D58" s="211" t="s">
        <v>40</v>
      </c>
      <c r="E58" s="64">
        <v>3.75</v>
      </c>
      <c r="F58" s="64">
        <v>1.1499999999999999</v>
      </c>
      <c r="G58" s="64">
        <v>14.07</v>
      </c>
      <c r="H58" s="64">
        <v>8.8800000000000008</v>
      </c>
      <c r="I58" s="64">
        <v>1.77</v>
      </c>
      <c r="J58" s="64">
        <v>0.4</v>
      </c>
      <c r="K58" s="64">
        <v>322.14</v>
      </c>
      <c r="L58" s="64">
        <v>25.68</v>
      </c>
      <c r="M58" s="64">
        <v>97.56</v>
      </c>
      <c r="N58" s="64">
        <v>381.7</v>
      </c>
      <c r="O58" s="64">
        <v>0</v>
      </c>
      <c r="P58" s="64">
        <v>0.78</v>
      </c>
      <c r="Q58" s="64">
        <v>2.69</v>
      </c>
      <c r="R58" s="198"/>
      <c r="S58" s="198"/>
      <c r="T58" s="198"/>
      <c r="U58" s="198"/>
    </row>
    <row r="59" spans="1:21" s="12" customFormat="1" x14ac:dyDescent="0.25">
      <c r="A59" s="214" t="s">
        <v>2219</v>
      </c>
      <c r="B59" s="211" t="s">
        <v>40</v>
      </c>
      <c r="C59" s="211" t="s">
        <v>40</v>
      </c>
      <c r="D59" s="211" t="s">
        <v>40</v>
      </c>
      <c r="E59" s="64">
        <v>2.0699999999999998</v>
      </c>
      <c r="F59" s="64">
        <v>1.59</v>
      </c>
      <c r="G59" s="64">
        <v>14.07</v>
      </c>
      <c r="H59" s="64">
        <v>8.8800000000000008</v>
      </c>
      <c r="I59" s="64">
        <v>1.82</v>
      </c>
      <c r="J59" s="64">
        <v>0.28999999999999998</v>
      </c>
      <c r="K59" s="64">
        <v>329.28</v>
      </c>
      <c r="L59" s="64">
        <v>26.45</v>
      </c>
      <c r="M59" s="64">
        <v>91.3</v>
      </c>
      <c r="N59" s="64">
        <v>410.4</v>
      </c>
      <c r="O59" s="64">
        <v>0</v>
      </c>
      <c r="P59" s="64">
        <v>0.79</v>
      </c>
      <c r="Q59" s="64">
        <v>1.63</v>
      </c>
      <c r="R59" s="198"/>
      <c r="S59" s="198"/>
      <c r="T59" s="198"/>
      <c r="U59" s="198"/>
    </row>
    <row r="60" spans="1:21" s="12" customFormat="1" x14ac:dyDescent="0.25">
      <c r="A60" s="214" t="s">
        <v>2220</v>
      </c>
      <c r="B60" s="211" t="s">
        <v>40</v>
      </c>
      <c r="C60" s="211" t="s">
        <v>40</v>
      </c>
      <c r="D60" s="211" t="s">
        <v>40</v>
      </c>
      <c r="E60" s="64">
        <v>1.85</v>
      </c>
      <c r="F60" s="64">
        <v>0.36</v>
      </c>
      <c r="G60" s="64">
        <v>14.07</v>
      </c>
      <c r="H60" s="64">
        <v>8.8800000000000008</v>
      </c>
      <c r="I60" s="64">
        <v>1.83</v>
      </c>
      <c r="J60" s="64">
        <v>0.49</v>
      </c>
      <c r="K60" s="64">
        <v>331.66</v>
      </c>
      <c r="L60" s="64">
        <v>26.91</v>
      </c>
      <c r="M60" s="64">
        <v>88.2</v>
      </c>
      <c r="N60" s="64">
        <v>398</v>
      </c>
      <c r="O60" s="64">
        <v>0</v>
      </c>
      <c r="P60" s="64">
        <v>0.76</v>
      </c>
      <c r="Q60" s="64">
        <v>2.6</v>
      </c>
      <c r="R60" s="198"/>
      <c r="S60" s="198"/>
      <c r="T60" s="198"/>
      <c r="U60" s="198"/>
    </row>
    <row r="61" spans="1:21" s="12" customFormat="1" x14ac:dyDescent="0.25">
      <c r="A61" s="214" t="s">
        <v>2221</v>
      </c>
      <c r="B61" s="211" t="s">
        <v>40</v>
      </c>
      <c r="C61" s="211" t="s">
        <v>40</v>
      </c>
      <c r="D61" s="211" t="s">
        <v>40</v>
      </c>
      <c r="E61" s="64">
        <v>1.84</v>
      </c>
      <c r="F61" s="64">
        <v>2.16</v>
      </c>
      <c r="G61" s="64">
        <v>14.07</v>
      </c>
      <c r="H61" s="64">
        <v>8.8800000000000008</v>
      </c>
      <c r="I61" s="64">
        <v>1.79</v>
      </c>
      <c r="J61" s="64">
        <v>0.56999999999999995</v>
      </c>
      <c r="K61" s="64">
        <v>321.72000000000003</v>
      </c>
      <c r="L61" s="64">
        <v>27.18</v>
      </c>
      <c r="M61" s="64">
        <v>85.74</v>
      </c>
      <c r="N61" s="64">
        <v>373.8</v>
      </c>
      <c r="O61" s="64">
        <v>0</v>
      </c>
      <c r="P61" s="64">
        <v>0.73</v>
      </c>
      <c r="Q61" s="64">
        <v>1.82</v>
      </c>
      <c r="R61" s="198"/>
      <c r="S61" s="198"/>
      <c r="T61" s="198"/>
      <c r="U61" s="198"/>
    </row>
    <row r="62" spans="1:21" s="12" customFormat="1" x14ac:dyDescent="0.25">
      <c r="A62" s="214" t="s">
        <v>2222</v>
      </c>
      <c r="B62" s="211" t="s">
        <v>40</v>
      </c>
      <c r="C62" s="211" t="s">
        <v>40</v>
      </c>
      <c r="D62" s="211" t="s">
        <v>40</v>
      </c>
      <c r="E62" s="64">
        <v>1.3</v>
      </c>
      <c r="F62" s="64">
        <v>4.16</v>
      </c>
      <c r="G62" s="64">
        <v>14.07</v>
      </c>
      <c r="H62" s="64">
        <v>8.8800000000000008</v>
      </c>
      <c r="I62" s="64">
        <v>1.77</v>
      </c>
      <c r="J62" s="64">
        <v>0.34</v>
      </c>
      <c r="K62" s="64">
        <v>335.46</v>
      </c>
      <c r="L62" s="64">
        <v>27.37</v>
      </c>
      <c r="M62" s="64">
        <v>84.11</v>
      </c>
      <c r="N62" s="64">
        <v>324.60000000000002</v>
      </c>
      <c r="O62" s="64">
        <v>0</v>
      </c>
      <c r="P62" s="64">
        <v>0.69</v>
      </c>
      <c r="Q62" s="64">
        <v>3.06</v>
      </c>
      <c r="R62" s="198"/>
      <c r="S62" s="198"/>
      <c r="T62" s="198"/>
      <c r="U62" s="198"/>
    </row>
    <row r="63" spans="1:21" s="12" customFormat="1" x14ac:dyDescent="0.25">
      <c r="A63" s="214" t="s">
        <v>2223</v>
      </c>
      <c r="B63" s="64">
        <v>10.83</v>
      </c>
      <c r="C63" s="64">
        <v>20.94</v>
      </c>
      <c r="D63" s="64">
        <v>31.77</v>
      </c>
      <c r="E63" s="64">
        <v>5.36</v>
      </c>
      <c r="F63" s="64">
        <v>4.4400000000000004</v>
      </c>
      <c r="G63" s="64">
        <v>14.07</v>
      </c>
      <c r="H63" s="64">
        <v>8.8800000000000008</v>
      </c>
      <c r="I63" s="64">
        <v>1.74</v>
      </c>
      <c r="J63" s="64">
        <v>0.56999999999999995</v>
      </c>
      <c r="K63" s="64">
        <v>320.86</v>
      </c>
      <c r="L63" s="64">
        <v>27.56</v>
      </c>
      <c r="M63" s="64">
        <v>83.48</v>
      </c>
      <c r="N63" s="64">
        <v>303.60000000000002</v>
      </c>
      <c r="O63" s="64">
        <v>0</v>
      </c>
      <c r="P63" s="64">
        <v>0.73</v>
      </c>
      <c r="Q63" s="64">
        <v>2.64</v>
      </c>
      <c r="R63" s="198"/>
      <c r="S63" s="198"/>
      <c r="T63" s="198"/>
      <c r="U63" s="198"/>
    </row>
    <row r="64" spans="1:21" s="12" customFormat="1" x14ac:dyDescent="0.25">
      <c r="A64" s="214" t="s">
        <v>2224</v>
      </c>
      <c r="B64" s="64">
        <v>10.09</v>
      </c>
      <c r="C64" s="64">
        <v>20.5</v>
      </c>
      <c r="D64" s="64">
        <v>30.58</v>
      </c>
      <c r="E64" s="64">
        <v>1.54</v>
      </c>
      <c r="F64" s="64">
        <v>3.17</v>
      </c>
      <c r="G64" s="64">
        <v>14.07</v>
      </c>
      <c r="H64" s="64">
        <v>8.8800000000000008</v>
      </c>
      <c r="I64" s="64">
        <v>1.8</v>
      </c>
      <c r="J64" s="64">
        <v>0.24</v>
      </c>
      <c r="K64" s="64">
        <v>346.74</v>
      </c>
      <c r="L64" s="64">
        <v>27.47</v>
      </c>
      <c r="M64" s="64">
        <v>82.6</v>
      </c>
      <c r="N64" s="64">
        <v>279.2</v>
      </c>
      <c r="O64" s="64">
        <v>0</v>
      </c>
      <c r="P64" s="64">
        <v>0.87</v>
      </c>
      <c r="Q64" s="64">
        <v>3.12</v>
      </c>
      <c r="R64" s="198"/>
      <c r="S64" s="198"/>
      <c r="T64" s="198"/>
      <c r="U64" s="198"/>
    </row>
    <row r="65" spans="1:21" s="12" customFormat="1" x14ac:dyDescent="0.25">
      <c r="A65" s="214" t="s">
        <v>2225</v>
      </c>
      <c r="B65" s="64">
        <v>7.31</v>
      </c>
      <c r="C65" s="64">
        <v>27.99</v>
      </c>
      <c r="D65" s="64">
        <v>35.29</v>
      </c>
      <c r="E65" s="64">
        <v>1.66</v>
      </c>
      <c r="F65" s="64">
        <v>6.47</v>
      </c>
      <c r="G65" s="64">
        <v>14.07</v>
      </c>
      <c r="H65" s="64">
        <v>8.8800000000000008</v>
      </c>
      <c r="I65" s="64">
        <v>1.84</v>
      </c>
      <c r="J65" s="64">
        <v>0.32</v>
      </c>
      <c r="K65" s="64">
        <v>318.93</v>
      </c>
      <c r="L65" s="64">
        <v>27.47</v>
      </c>
      <c r="M65" s="64">
        <v>81.95</v>
      </c>
      <c r="N65" s="64">
        <v>288.39999999999998</v>
      </c>
      <c r="O65" s="64">
        <v>0</v>
      </c>
      <c r="P65" s="64">
        <v>0.7</v>
      </c>
      <c r="Q65" s="64">
        <v>2.74</v>
      </c>
      <c r="R65" s="198"/>
      <c r="S65" s="198"/>
      <c r="T65" s="198"/>
      <c r="U65" s="198"/>
    </row>
    <row r="66" spans="1:21" s="12" customFormat="1" x14ac:dyDescent="0.25">
      <c r="A66" s="214" t="s">
        <v>2226</v>
      </c>
      <c r="B66" s="64">
        <v>5.21</v>
      </c>
      <c r="C66" s="64">
        <v>24.13</v>
      </c>
      <c r="D66" s="64">
        <v>29.34</v>
      </c>
      <c r="E66" s="64">
        <v>1.73</v>
      </c>
      <c r="F66" s="64">
        <v>3.55</v>
      </c>
      <c r="G66" s="64">
        <v>3.28</v>
      </c>
      <c r="H66" s="64">
        <v>2.0699999999999998</v>
      </c>
      <c r="I66" s="64">
        <v>1.78</v>
      </c>
      <c r="J66" s="64">
        <v>0.23</v>
      </c>
      <c r="K66" s="64">
        <v>350.7</v>
      </c>
      <c r="L66" s="64">
        <v>27.03</v>
      </c>
      <c r="M66" s="64">
        <v>81.84</v>
      </c>
      <c r="N66" s="64">
        <v>277</v>
      </c>
      <c r="O66" s="64">
        <v>0</v>
      </c>
      <c r="P66" s="64">
        <v>0.72</v>
      </c>
      <c r="Q66" s="64">
        <v>2.2000000000000002</v>
      </c>
      <c r="R66" s="198"/>
      <c r="S66" s="198"/>
      <c r="T66" s="198"/>
      <c r="U66" s="198"/>
    </row>
    <row r="67" spans="1:21" s="12" customFormat="1" x14ac:dyDescent="0.25">
      <c r="A67" s="214" t="s">
        <v>2227</v>
      </c>
      <c r="B67" s="64">
        <v>5.22</v>
      </c>
      <c r="C67" s="64">
        <v>20.86</v>
      </c>
      <c r="D67" s="64">
        <v>26.08</v>
      </c>
      <c r="E67" s="64">
        <v>1.98</v>
      </c>
      <c r="F67" s="64">
        <v>0.09</v>
      </c>
      <c r="G67" s="211" t="s">
        <v>40</v>
      </c>
      <c r="H67" s="211" t="s">
        <v>40</v>
      </c>
      <c r="I67" s="64">
        <v>1.76</v>
      </c>
      <c r="J67" s="64">
        <v>0.3</v>
      </c>
      <c r="K67" s="64">
        <v>326.89</v>
      </c>
      <c r="L67" s="64">
        <v>26.8</v>
      </c>
      <c r="M67" s="64">
        <v>83.58</v>
      </c>
      <c r="N67" s="64">
        <v>262.39999999999998</v>
      </c>
      <c r="O67" s="64">
        <v>0</v>
      </c>
      <c r="P67" s="64">
        <v>0.71</v>
      </c>
      <c r="Q67" s="64">
        <v>2.39</v>
      </c>
      <c r="R67" s="198"/>
      <c r="S67" s="198"/>
      <c r="T67" s="198"/>
      <c r="U67" s="198"/>
    </row>
    <row r="68" spans="1:21" s="12" customFormat="1" x14ac:dyDescent="0.25">
      <c r="A68" s="214" t="s">
        <v>2228</v>
      </c>
      <c r="B68" s="64">
        <v>5.38</v>
      </c>
      <c r="C68" s="64">
        <v>18.07</v>
      </c>
      <c r="D68" s="64">
        <v>23.45</v>
      </c>
      <c r="E68" s="64">
        <v>1.95</v>
      </c>
      <c r="F68" s="64">
        <v>1.3</v>
      </c>
      <c r="G68" s="211" t="s">
        <v>40</v>
      </c>
      <c r="H68" s="211" t="s">
        <v>40</v>
      </c>
      <c r="I68" s="64">
        <v>1.86</v>
      </c>
      <c r="J68" s="64">
        <v>0.16</v>
      </c>
      <c r="K68" s="64">
        <v>354.92</v>
      </c>
      <c r="L68" s="64">
        <v>26.16</v>
      </c>
      <c r="M68" s="64">
        <v>83.64</v>
      </c>
      <c r="N68" s="64">
        <v>228.8</v>
      </c>
      <c r="O68" s="64">
        <v>0</v>
      </c>
      <c r="P68" s="64">
        <v>0.67</v>
      </c>
      <c r="Q68" s="64">
        <v>1.04</v>
      </c>
      <c r="R68" s="198"/>
      <c r="S68" s="198"/>
      <c r="T68" s="198"/>
      <c r="U68" s="198"/>
    </row>
    <row r="69" spans="1:21" s="12" customFormat="1" x14ac:dyDescent="0.25">
      <c r="A69" s="214" t="s">
        <v>2229</v>
      </c>
      <c r="B69" s="64">
        <v>5.69</v>
      </c>
      <c r="C69" s="64">
        <v>18.75</v>
      </c>
      <c r="D69" s="64">
        <v>24.44</v>
      </c>
      <c r="E69" s="64">
        <v>1.79</v>
      </c>
      <c r="F69" s="64">
        <v>1.6</v>
      </c>
      <c r="G69" s="211" t="s">
        <v>40</v>
      </c>
      <c r="H69" s="211" t="s">
        <v>40</v>
      </c>
      <c r="I69" s="64">
        <v>1.76</v>
      </c>
      <c r="J69" s="64">
        <v>0.09</v>
      </c>
      <c r="K69" s="64">
        <v>330.6</v>
      </c>
      <c r="L69" s="64">
        <v>26.29</v>
      </c>
      <c r="M69" s="64">
        <v>83.21</v>
      </c>
      <c r="N69" s="64">
        <v>201.6</v>
      </c>
      <c r="O69" s="64">
        <v>0</v>
      </c>
      <c r="P69" s="64">
        <v>0.65</v>
      </c>
      <c r="Q69" s="64">
        <v>0.04</v>
      </c>
      <c r="R69" s="198"/>
      <c r="S69" s="198"/>
      <c r="T69" s="198"/>
      <c r="U69" s="198"/>
    </row>
    <row r="70" spans="1:21" s="12" customFormat="1" x14ac:dyDescent="0.25">
      <c r="A70" s="214" t="s">
        <v>2230</v>
      </c>
      <c r="B70" s="64">
        <v>4.84</v>
      </c>
      <c r="C70" s="64">
        <v>16.23</v>
      </c>
      <c r="D70" s="64">
        <v>21.07</v>
      </c>
      <c r="E70" s="64">
        <v>1.72</v>
      </c>
      <c r="F70" s="64">
        <v>1.88</v>
      </c>
      <c r="G70" s="64">
        <v>68.319999999999993</v>
      </c>
      <c r="H70" s="210" t="s">
        <v>36</v>
      </c>
      <c r="I70" s="64">
        <v>1.87</v>
      </c>
      <c r="J70" s="64">
        <v>0.14000000000000001</v>
      </c>
      <c r="K70" s="64">
        <v>6.34</v>
      </c>
      <c r="L70" s="64">
        <v>25.94</v>
      </c>
      <c r="M70" s="64">
        <v>83.77</v>
      </c>
      <c r="N70" s="64">
        <v>207.5</v>
      </c>
      <c r="O70" s="64">
        <v>0</v>
      </c>
      <c r="P70" s="64">
        <v>0.63</v>
      </c>
      <c r="Q70" s="64">
        <v>0</v>
      </c>
      <c r="R70" s="198"/>
      <c r="S70" s="198"/>
      <c r="T70" s="198"/>
      <c r="U70" s="198"/>
    </row>
    <row r="71" spans="1:21" s="12" customFormat="1" x14ac:dyDescent="0.25">
      <c r="A71" s="214" t="s">
        <v>2231</v>
      </c>
      <c r="B71" s="64">
        <v>4.92</v>
      </c>
      <c r="C71" s="64">
        <v>16.18</v>
      </c>
      <c r="D71" s="64">
        <v>21.11</v>
      </c>
      <c r="E71" s="64">
        <v>1.71</v>
      </c>
      <c r="F71" s="64">
        <v>1.1100000000000001</v>
      </c>
      <c r="G71" s="64">
        <v>87.84</v>
      </c>
      <c r="H71" s="210" t="s">
        <v>36</v>
      </c>
      <c r="I71" s="64">
        <v>1.79</v>
      </c>
      <c r="J71" s="64">
        <v>0.17</v>
      </c>
      <c r="K71" s="64">
        <v>11.56</v>
      </c>
      <c r="L71" s="64">
        <v>26.45</v>
      </c>
      <c r="M71" s="64">
        <v>81.37</v>
      </c>
      <c r="N71" s="64">
        <v>194</v>
      </c>
      <c r="O71" s="64">
        <v>0</v>
      </c>
      <c r="P71" s="64">
        <v>0.63</v>
      </c>
      <c r="Q71" s="64">
        <v>12.37</v>
      </c>
      <c r="R71" s="198"/>
      <c r="S71" s="198"/>
      <c r="T71" s="198"/>
      <c r="U71" s="198"/>
    </row>
    <row r="72" spans="1:21" s="12" customFormat="1" x14ac:dyDescent="0.25">
      <c r="A72" s="214" t="s">
        <v>2232</v>
      </c>
      <c r="B72" s="64">
        <v>5.2</v>
      </c>
      <c r="C72" s="64">
        <v>15.5</v>
      </c>
      <c r="D72" s="64">
        <v>20.7</v>
      </c>
      <c r="E72" s="64">
        <v>1.58</v>
      </c>
      <c r="F72" s="64">
        <v>1.35</v>
      </c>
      <c r="G72" s="64">
        <v>87.84</v>
      </c>
      <c r="H72" s="210" t="s">
        <v>36</v>
      </c>
      <c r="I72" s="64">
        <v>1.81</v>
      </c>
      <c r="J72" s="64">
        <v>0.09</v>
      </c>
      <c r="K72" s="64">
        <v>21.51</v>
      </c>
      <c r="L72" s="64">
        <v>26.26</v>
      </c>
      <c r="M72" s="64">
        <v>82.49</v>
      </c>
      <c r="N72" s="64">
        <v>204.3</v>
      </c>
      <c r="O72" s="64">
        <v>0</v>
      </c>
      <c r="P72" s="64">
        <v>0.61</v>
      </c>
      <c r="Q72" s="64">
        <v>12.15</v>
      </c>
      <c r="R72" s="198"/>
      <c r="S72" s="198"/>
      <c r="T72" s="198"/>
      <c r="U72" s="198"/>
    </row>
    <row r="73" spans="1:21" s="12" customFormat="1" x14ac:dyDescent="0.25">
      <c r="A73" s="214" t="s">
        <v>2233</v>
      </c>
      <c r="B73" s="64">
        <v>5.3</v>
      </c>
      <c r="C73" s="64">
        <v>15.91</v>
      </c>
      <c r="D73" s="64">
        <v>21.21</v>
      </c>
      <c r="E73" s="64">
        <v>1.44</v>
      </c>
      <c r="F73" s="64">
        <v>3.76</v>
      </c>
      <c r="G73" s="64">
        <v>87.84</v>
      </c>
      <c r="H73" s="210" t="s">
        <v>36</v>
      </c>
      <c r="I73" s="64">
        <v>1.75</v>
      </c>
      <c r="J73" s="64">
        <v>0.05</v>
      </c>
      <c r="K73" s="64">
        <v>194.34</v>
      </c>
      <c r="L73" s="64">
        <v>26.02</v>
      </c>
      <c r="M73" s="64">
        <v>86.46</v>
      </c>
      <c r="N73" s="64">
        <v>172.1</v>
      </c>
      <c r="O73" s="64">
        <v>0</v>
      </c>
      <c r="P73" s="64">
        <v>0.61</v>
      </c>
      <c r="Q73" s="64">
        <v>11.69</v>
      </c>
      <c r="R73" s="198"/>
      <c r="S73" s="198"/>
      <c r="T73" s="198"/>
      <c r="U73" s="198"/>
    </row>
    <row r="74" spans="1:21" s="12" customFormat="1" x14ac:dyDescent="0.25">
      <c r="A74" s="214" t="s">
        <v>2234</v>
      </c>
      <c r="B74" s="64">
        <v>6.41</v>
      </c>
      <c r="C74" s="64">
        <v>22.85</v>
      </c>
      <c r="D74" s="64">
        <v>29.27</v>
      </c>
      <c r="E74" s="64">
        <v>1.93</v>
      </c>
      <c r="F74" s="64">
        <v>6.62</v>
      </c>
      <c r="G74" s="64">
        <v>70.709999999999994</v>
      </c>
      <c r="H74" s="210" t="s">
        <v>36</v>
      </c>
      <c r="I74" s="64">
        <v>1.83</v>
      </c>
      <c r="J74" s="64">
        <v>0.05</v>
      </c>
      <c r="K74" s="64">
        <v>171.15</v>
      </c>
      <c r="L74" s="64">
        <v>25.91</v>
      </c>
      <c r="M74" s="64">
        <v>87.53</v>
      </c>
      <c r="N74" s="64">
        <v>124.3</v>
      </c>
      <c r="O74" s="64">
        <v>0</v>
      </c>
      <c r="P74" s="64">
        <v>0.64</v>
      </c>
      <c r="Q74" s="64">
        <v>12.51</v>
      </c>
      <c r="R74" s="198"/>
      <c r="S74" s="198"/>
      <c r="T74" s="198"/>
      <c r="U74" s="198"/>
    </row>
    <row r="75" spans="1:21" s="12" customFormat="1" x14ac:dyDescent="0.25">
      <c r="A75" s="214" t="s">
        <v>2235</v>
      </c>
      <c r="B75" s="64">
        <v>4.45</v>
      </c>
      <c r="C75" s="64">
        <v>18.86</v>
      </c>
      <c r="D75" s="64">
        <v>23.31</v>
      </c>
      <c r="E75" s="64">
        <v>2.0099999999999998</v>
      </c>
      <c r="F75" s="64">
        <v>12.15</v>
      </c>
      <c r="G75" s="64">
        <v>65.819999999999993</v>
      </c>
      <c r="H75" s="210" t="s">
        <v>36</v>
      </c>
      <c r="I75" s="64">
        <v>1.77</v>
      </c>
      <c r="J75" s="64">
        <v>0.02</v>
      </c>
      <c r="K75" s="64">
        <v>216.71</v>
      </c>
      <c r="L75" s="64">
        <v>25.7</v>
      </c>
      <c r="M75" s="64">
        <v>88.27</v>
      </c>
      <c r="N75" s="64">
        <v>57.3</v>
      </c>
      <c r="O75" s="64">
        <v>0</v>
      </c>
      <c r="P75" s="64">
        <v>0.71</v>
      </c>
      <c r="Q75" s="64">
        <v>12.13</v>
      </c>
      <c r="R75" s="198"/>
      <c r="S75" s="198"/>
      <c r="T75" s="198"/>
      <c r="U75" s="198"/>
    </row>
    <row r="76" spans="1:21" s="12" customFormat="1" x14ac:dyDescent="0.25">
      <c r="A76" s="214" t="s">
        <v>2236</v>
      </c>
      <c r="B76" s="64">
        <v>3.6</v>
      </c>
      <c r="C76" s="64">
        <v>17.239999999999998</v>
      </c>
      <c r="D76" s="64">
        <v>20.85</v>
      </c>
      <c r="E76" s="64">
        <v>1.92</v>
      </c>
      <c r="F76" s="64">
        <v>4.9800000000000004</v>
      </c>
      <c r="G76" s="64">
        <v>65.819999999999993</v>
      </c>
      <c r="H76" s="210" t="s">
        <v>36</v>
      </c>
      <c r="I76" s="64">
        <v>1.87</v>
      </c>
      <c r="J76" s="64">
        <v>0.01</v>
      </c>
      <c r="K76" s="64">
        <v>351.62</v>
      </c>
      <c r="L76" s="64">
        <v>25.36</v>
      </c>
      <c r="M76" s="64">
        <v>91.24</v>
      </c>
      <c r="N76" s="64">
        <v>23.2</v>
      </c>
      <c r="O76" s="64">
        <v>0</v>
      </c>
      <c r="P76" s="64">
        <v>0.7</v>
      </c>
      <c r="Q76" s="64">
        <v>12.44</v>
      </c>
      <c r="R76" s="198"/>
      <c r="S76" s="198"/>
      <c r="T76" s="198"/>
      <c r="U76" s="198"/>
    </row>
    <row r="77" spans="1:21" s="12" customFormat="1" x14ac:dyDescent="0.25">
      <c r="A77" s="214" t="s">
        <v>2237</v>
      </c>
      <c r="B77" s="64">
        <v>3.6</v>
      </c>
      <c r="C77" s="64">
        <v>16.45</v>
      </c>
      <c r="D77" s="64">
        <v>20.059999999999999</v>
      </c>
      <c r="E77" s="64">
        <v>2.69</v>
      </c>
      <c r="F77" s="64">
        <v>7.04</v>
      </c>
      <c r="G77" s="64">
        <v>65.819999999999993</v>
      </c>
      <c r="H77" s="210" t="s">
        <v>36</v>
      </c>
      <c r="I77" s="64">
        <v>1.87</v>
      </c>
      <c r="J77" s="64">
        <v>7.0000000000000007E-2</v>
      </c>
      <c r="K77" s="64">
        <v>5.15</v>
      </c>
      <c r="L77" s="64">
        <v>25.18</v>
      </c>
      <c r="M77" s="64">
        <v>93.36</v>
      </c>
      <c r="N77" s="64">
        <v>18.8</v>
      </c>
      <c r="O77" s="64">
        <v>0</v>
      </c>
      <c r="P77" s="64">
        <v>0.61</v>
      </c>
      <c r="Q77" s="64">
        <v>13.18</v>
      </c>
      <c r="R77" s="198"/>
      <c r="S77" s="198"/>
      <c r="T77" s="198"/>
      <c r="U77" s="198"/>
    </row>
    <row r="78" spans="1:21" s="12" customFormat="1" x14ac:dyDescent="0.25">
      <c r="A78" s="214" t="s">
        <v>2238</v>
      </c>
      <c r="B78" s="64">
        <v>3.83</v>
      </c>
      <c r="C78" s="64">
        <v>13.64</v>
      </c>
      <c r="D78" s="64">
        <v>17.48</v>
      </c>
      <c r="E78" s="64">
        <v>1.97</v>
      </c>
      <c r="F78" s="64">
        <v>3.01</v>
      </c>
      <c r="G78" s="64">
        <v>62.15</v>
      </c>
      <c r="H78" s="210" t="s">
        <v>36</v>
      </c>
      <c r="I78" s="64">
        <v>1.81</v>
      </c>
      <c r="J78" s="64">
        <v>0.13</v>
      </c>
      <c r="K78" s="64">
        <v>34.729999999999997</v>
      </c>
      <c r="L78" s="64">
        <v>24.61</v>
      </c>
      <c r="M78" s="64">
        <v>95.64</v>
      </c>
      <c r="N78" s="64">
        <v>15</v>
      </c>
      <c r="O78" s="64">
        <v>0</v>
      </c>
      <c r="P78" s="64">
        <v>0.61</v>
      </c>
      <c r="Q78" s="64">
        <v>12.2</v>
      </c>
      <c r="R78" s="198"/>
      <c r="S78" s="198"/>
      <c r="T78" s="198"/>
      <c r="U78" s="198"/>
    </row>
    <row r="79" spans="1:21" s="12" customFormat="1" x14ac:dyDescent="0.25">
      <c r="A79" s="214" t="s">
        <v>2239</v>
      </c>
      <c r="B79" s="64">
        <v>2.98</v>
      </c>
      <c r="C79" s="64">
        <v>12.75</v>
      </c>
      <c r="D79" s="64">
        <v>15.72</v>
      </c>
      <c r="E79" s="64">
        <v>2.23</v>
      </c>
      <c r="F79" s="26" t="s">
        <v>40</v>
      </c>
      <c r="G79" s="64">
        <v>52.96</v>
      </c>
      <c r="H79" s="210" t="s">
        <v>36</v>
      </c>
      <c r="I79" s="64">
        <v>1.81</v>
      </c>
      <c r="J79" s="64">
        <v>0.03</v>
      </c>
      <c r="K79" s="64">
        <v>344.02</v>
      </c>
      <c r="L79" s="64">
        <v>23.7</v>
      </c>
      <c r="M79" s="64">
        <v>98.71</v>
      </c>
      <c r="N79" s="64">
        <v>13.5</v>
      </c>
      <c r="O79" s="64">
        <v>0</v>
      </c>
      <c r="P79" s="64">
        <v>0.5</v>
      </c>
      <c r="Q79" s="64">
        <v>12.69</v>
      </c>
      <c r="R79" s="198"/>
      <c r="S79" s="198"/>
      <c r="T79" s="198"/>
      <c r="U79" s="198"/>
    </row>
    <row r="80" spans="1:21" s="12" customFormat="1" x14ac:dyDescent="0.25">
      <c r="A80" s="214" t="s">
        <v>2240</v>
      </c>
      <c r="B80" s="64">
        <v>2.4700000000000002</v>
      </c>
      <c r="C80" s="64">
        <v>11.72</v>
      </c>
      <c r="D80" s="64">
        <v>14.18</v>
      </c>
      <c r="E80" s="64">
        <v>1.74</v>
      </c>
      <c r="F80" s="64">
        <v>4.4800000000000004</v>
      </c>
      <c r="G80" s="64">
        <v>52.96</v>
      </c>
      <c r="H80" s="210" t="s">
        <v>36</v>
      </c>
      <c r="I80" s="64">
        <v>1.76</v>
      </c>
      <c r="J80" s="64">
        <v>0.1</v>
      </c>
      <c r="K80" s="64">
        <v>55.54</v>
      </c>
      <c r="L80" s="64">
        <v>23.46</v>
      </c>
      <c r="M80" s="64">
        <v>98.76</v>
      </c>
      <c r="N80" s="64">
        <v>10.5</v>
      </c>
      <c r="O80" s="64">
        <v>0</v>
      </c>
      <c r="P80" s="64">
        <v>0.42</v>
      </c>
      <c r="Q80" s="64">
        <v>10.94</v>
      </c>
      <c r="R80" s="198"/>
      <c r="S80" s="198"/>
      <c r="T80" s="198"/>
      <c r="U80" s="198"/>
    </row>
    <row r="81" spans="1:26" s="12" customFormat="1" x14ac:dyDescent="0.25">
      <c r="A81" s="214" t="s">
        <v>2241</v>
      </c>
      <c r="B81" s="64">
        <v>2.37</v>
      </c>
      <c r="C81" s="64">
        <v>11.04</v>
      </c>
      <c r="D81" s="64">
        <v>13.41</v>
      </c>
      <c r="E81" s="64">
        <v>1.78</v>
      </c>
      <c r="F81" s="64">
        <v>1.91</v>
      </c>
      <c r="G81" s="64">
        <v>52.96</v>
      </c>
      <c r="H81" s="210" t="s">
        <v>36</v>
      </c>
      <c r="I81" s="64">
        <v>1.83</v>
      </c>
      <c r="J81" s="64">
        <v>0.27</v>
      </c>
      <c r="K81" s="64">
        <v>14.54</v>
      </c>
      <c r="L81" s="64">
        <v>23.33</v>
      </c>
      <c r="M81" s="64">
        <v>98.78</v>
      </c>
      <c r="N81" s="64">
        <v>10</v>
      </c>
      <c r="O81" s="64">
        <v>0</v>
      </c>
      <c r="P81" s="64">
        <v>0.4</v>
      </c>
      <c r="Q81" s="64">
        <v>11.63</v>
      </c>
      <c r="R81" s="198"/>
      <c r="S81" s="198"/>
      <c r="T81" s="198"/>
      <c r="U81" s="198"/>
    </row>
    <row r="82" spans="1:26" s="12" customFormat="1" x14ac:dyDescent="0.25">
      <c r="A82" s="214" t="s">
        <v>2242</v>
      </c>
      <c r="B82" s="64">
        <v>2.57</v>
      </c>
      <c r="C82" s="64">
        <v>10.98</v>
      </c>
      <c r="D82" s="64">
        <v>13.55</v>
      </c>
      <c r="E82" s="64">
        <v>1.5</v>
      </c>
      <c r="F82" s="64">
        <v>2.19</v>
      </c>
      <c r="G82" s="64">
        <v>8.83</v>
      </c>
      <c r="H82" s="210" t="s">
        <v>36</v>
      </c>
      <c r="I82" s="64">
        <v>1.81</v>
      </c>
      <c r="J82" s="64">
        <v>0.41</v>
      </c>
      <c r="K82" s="64">
        <v>24.37</v>
      </c>
      <c r="L82" s="64">
        <v>23.3</v>
      </c>
      <c r="M82" s="64">
        <v>98.7</v>
      </c>
      <c r="N82" s="64">
        <v>9.8000000000000007</v>
      </c>
      <c r="O82" s="64">
        <v>0</v>
      </c>
      <c r="P82" s="64">
        <v>0.39</v>
      </c>
      <c r="Q82" s="64">
        <v>11.02</v>
      </c>
      <c r="R82" s="198"/>
      <c r="S82" s="198"/>
      <c r="T82" s="198"/>
      <c r="U82" s="198"/>
    </row>
    <row r="83" spans="1:26" s="12" customFormat="1" x14ac:dyDescent="0.25">
      <c r="A83" s="214" t="s">
        <v>2243</v>
      </c>
      <c r="B83" s="64">
        <v>2.8</v>
      </c>
      <c r="C83" s="64">
        <v>11.04</v>
      </c>
      <c r="D83" s="64">
        <v>13.84</v>
      </c>
      <c r="E83" s="64">
        <v>1.7</v>
      </c>
      <c r="F83" s="64">
        <v>2.11</v>
      </c>
      <c r="G83" s="210" t="s">
        <v>36</v>
      </c>
      <c r="H83" s="210" t="s">
        <v>36</v>
      </c>
      <c r="I83" s="64">
        <v>1.8</v>
      </c>
      <c r="J83" s="64">
        <v>0.17</v>
      </c>
      <c r="K83" s="64">
        <v>0.66</v>
      </c>
      <c r="L83" s="64">
        <v>23.03</v>
      </c>
      <c r="M83" s="64">
        <v>98.53</v>
      </c>
      <c r="N83" s="64">
        <v>9.9</v>
      </c>
      <c r="O83" s="64">
        <v>0</v>
      </c>
      <c r="P83" s="64">
        <v>0.39</v>
      </c>
      <c r="Q83" s="64">
        <v>11.6</v>
      </c>
      <c r="R83" s="198"/>
      <c r="S83" s="198"/>
      <c r="T83" s="198"/>
      <c r="U83" s="198"/>
    </row>
    <row r="84" spans="1:26" s="12" customFormat="1" x14ac:dyDescent="0.25">
      <c r="A84" s="214" t="s">
        <v>2244</v>
      </c>
      <c r="B84" s="64">
        <v>2.5499999999999998</v>
      </c>
      <c r="C84" s="64">
        <v>10.8</v>
      </c>
      <c r="D84" s="64">
        <v>13.35</v>
      </c>
      <c r="E84" s="64">
        <v>2.4900000000000002</v>
      </c>
      <c r="F84" s="64">
        <v>2.74</v>
      </c>
      <c r="G84" s="210" t="s">
        <v>36</v>
      </c>
      <c r="H84" s="210" t="s">
        <v>36</v>
      </c>
      <c r="I84" s="64">
        <v>1.79</v>
      </c>
      <c r="J84" s="64">
        <v>0.06</v>
      </c>
      <c r="K84" s="64">
        <v>111.98</v>
      </c>
      <c r="L84" s="64">
        <v>22.81</v>
      </c>
      <c r="M84" s="64">
        <v>98.77</v>
      </c>
      <c r="N84" s="64">
        <v>9.9</v>
      </c>
      <c r="O84" s="64">
        <v>0</v>
      </c>
      <c r="P84" s="64">
        <v>0.37</v>
      </c>
      <c r="Q84" s="64">
        <v>10.62</v>
      </c>
      <c r="R84" s="198"/>
      <c r="S84" s="198"/>
      <c r="T84" s="198"/>
      <c r="U84" s="198"/>
    </row>
    <row r="85" spans="1:26" s="12" customFormat="1" x14ac:dyDescent="0.25">
      <c r="A85" s="214" t="s">
        <v>2245</v>
      </c>
      <c r="B85" s="64">
        <v>2.57</v>
      </c>
      <c r="C85" s="64">
        <v>10.54</v>
      </c>
      <c r="D85" s="64">
        <v>13.11</v>
      </c>
      <c r="E85" s="64">
        <v>2.2200000000000002</v>
      </c>
      <c r="F85" s="64">
        <v>1.77</v>
      </c>
      <c r="G85" s="210" t="s">
        <v>36</v>
      </c>
      <c r="H85" s="210" t="s">
        <v>36</v>
      </c>
      <c r="I85" s="64">
        <v>1.84</v>
      </c>
      <c r="J85" s="64">
        <v>0.3</v>
      </c>
      <c r="K85" s="64">
        <v>28.16</v>
      </c>
      <c r="L85" s="64">
        <v>22.76</v>
      </c>
      <c r="M85" s="64">
        <v>98.78</v>
      </c>
      <c r="N85" s="64">
        <v>9.6</v>
      </c>
      <c r="O85" s="64">
        <v>0</v>
      </c>
      <c r="P85" s="64">
        <v>0.37</v>
      </c>
      <c r="Q85" s="64">
        <v>10.86</v>
      </c>
      <c r="R85" s="198"/>
      <c r="S85" s="198"/>
      <c r="T85" s="198"/>
      <c r="U85" s="198"/>
    </row>
    <row r="86" spans="1:26" s="12" customFormat="1" x14ac:dyDescent="0.25">
      <c r="A86" s="214" t="s">
        <v>2246</v>
      </c>
      <c r="B86" s="64">
        <v>2.92</v>
      </c>
      <c r="C86" s="64">
        <v>10.52</v>
      </c>
      <c r="D86" s="64">
        <v>13.44</v>
      </c>
      <c r="E86" s="64">
        <v>2.17</v>
      </c>
      <c r="F86" s="64">
        <v>1.84</v>
      </c>
      <c r="G86" s="64">
        <v>72.44</v>
      </c>
      <c r="H86" s="64">
        <v>7.4</v>
      </c>
      <c r="I86" s="64">
        <v>1.78</v>
      </c>
      <c r="J86" s="64">
        <v>0.35</v>
      </c>
      <c r="K86" s="64">
        <v>26.35</v>
      </c>
      <c r="L86" s="64">
        <v>22.78</v>
      </c>
      <c r="M86" s="64">
        <v>98.78</v>
      </c>
      <c r="N86" s="64">
        <v>9.6999999999999993</v>
      </c>
      <c r="O86" s="64">
        <v>0</v>
      </c>
      <c r="P86" s="64">
        <v>0.41</v>
      </c>
      <c r="Q86" s="64">
        <v>10.41</v>
      </c>
      <c r="R86" s="198"/>
      <c r="S86" s="198"/>
      <c r="T86" s="198"/>
      <c r="U86" s="198"/>
    </row>
    <row r="87" spans="1:26" s="12" customFormat="1" x14ac:dyDescent="0.25">
      <c r="A87" s="214" t="s">
        <v>2247</v>
      </c>
      <c r="B87" s="64">
        <v>3.56</v>
      </c>
      <c r="C87" s="64">
        <v>11.09</v>
      </c>
      <c r="D87" s="64">
        <v>14.64</v>
      </c>
      <c r="E87" s="64">
        <v>1.78</v>
      </c>
      <c r="F87" s="64">
        <v>0.87</v>
      </c>
      <c r="G87" s="64">
        <v>72.44</v>
      </c>
      <c r="H87" s="64">
        <v>7.4</v>
      </c>
      <c r="I87" s="64">
        <v>1.81</v>
      </c>
      <c r="J87" s="64">
        <v>0.36</v>
      </c>
      <c r="K87" s="64">
        <v>12.02</v>
      </c>
      <c r="L87" s="64">
        <v>22.83</v>
      </c>
      <c r="M87" s="64">
        <v>98.78</v>
      </c>
      <c r="N87" s="64">
        <v>9.9</v>
      </c>
      <c r="O87" s="64">
        <v>0</v>
      </c>
      <c r="P87" s="64">
        <v>0.44</v>
      </c>
      <c r="Q87" s="64">
        <v>11.88</v>
      </c>
      <c r="R87" s="198"/>
      <c r="S87" s="198"/>
      <c r="T87" s="198"/>
      <c r="U87" s="198"/>
    </row>
    <row r="88" spans="1:26" s="12" customFormat="1" x14ac:dyDescent="0.25">
      <c r="A88" s="214" t="s">
        <v>2248</v>
      </c>
      <c r="B88" s="64">
        <v>4.7300000000000004</v>
      </c>
      <c r="C88" s="64">
        <v>12.56</v>
      </c>
      <c r="D88" s="64">
        <v>17.29</v>
      </c>
      <c r="E88" s="64">
        <v>1</v>
      </c>
      <c r="F88" s="64">
        <v>1.44</v>
      </c>
      <c r="G88" s="64">
        <v>72.44</v>
      </c>
      <c r="H88" s="64">
        <v>7.4</v>
      </c>
      <c r="I88" s="64">
        <v>1.76</v>
      </c>
      <c r="J88" s="64">
        <v>0.36</v>
      </c>
      <c r="K88" s="64">
        <v>7.54</v>
      </c>
      <c r="L88" s="64">
        <v>22.75</v>
      </c>
      <c r="M88" s="64">
        <v>98.79</v>
      </c>
      <c r="N88" s="64">
        <v>9.3000000000000007</v>
      </c>
      <c r="O88" s="64">
        <v>0</v>
      </c>
      <c r="P88" s="64">
        <v>0.46</v>
      </c>
      <c r="Q88" s="64">
        <v>11.08</v>
      </c>
      <c r="R88" s="198"/>
      <c r="S88" s="198"/>
      <c r="T88" s="198"/>
      <c r="U88" s="198"/>
    </row>
    <row r="89" spans="1:26" s="12" customFormat="1" x14ac:dyDescent="0.25">
      <c r="A89" s="214" t="s">
        <v>2249</v>
      </c>
      <c r="B89" s="64">
        <v>4.87</v>
      </c>
      <c r="C89" s="64">
        <v>11.54</v>
      </c>
      <c r="D89" s="64">
        <v>16.399999999999999</v>
      </c>
      <c r="E89" s="64">
        <v>1.1000000000000001</v>
      </c>
      <c r="F89" s="64">
        <v>0.83</v>
      </c>
      <c r="G89" s="64">
        <v>72.44</v>
      </c>
      <c r="H89" s="64">
        <v>7.4</v>
      </c>
      <c r="I89" s="64">
        <v>1.85</v>
      </c>
      <c r="J89" s="64">
        <v>0.51</v>
      </c>
      <c r="K89" s="64">
        <v>328.37</v>
      </c>
      <c r="L89" s="64">
        <v>22.55</v>
      </c>
      <c r="M89" s="64">
        <v>98.82</v>
      </c>
      <c r="N89" s="64">
        <v>9.1</v>
      </c>
      <c r="O89" s="64">
        <v>0</v>
      </c>
      <c r="P89" s="64">
        <v>0.49</v>
      </c>
      <c r="Q89" s="64">
        <v>11.67</v>
      </c>
      <c r="R89" s="198"/>
      <c r="S89" s="198"/>
      <c r="T89" s="198"/>
      <c r="U89" s="198"/>
    </row>
    <row r="90" spans="1:26" s="12" customFormat="1" x14ac:dyDescent="0.25">
      <c r="A90" s="214" t="s">
        <v>2250</v>
      </c>
      <c r="B90" s="64">
        <v>5.21</v>
      </c>
      <c r="C90" s="64">
        <v>11.57</v>
      </c>
      <c r="D90" s="64">
        <v>16.77</v>
      </c>
      <c r="E90" s="64">
        <v>1.36</v>
      </c>
      <c r="F90" s="64">
        <v>0.66</v>
      </c>
      <c r="G90" s="64">
        <v>56.89</v>
      </c>
      <c r="H90" s="64">
        <v>6.86</v>
      </c>
      <c r="I90" s="64">
        <v>1.78</v>
      </c>
      <c r="J90" s="64">
        <v>0.49</v>
      </c>
      <c r="K90" s="64">
        <v>342.22</v>
      </c>
      <c r="L90" s="64">
        <v>22.41</v>
      </c>
      <c r="M90" s="64">
        <v>98.82</v>
      </c>
      <c r="N90" s="64">
        <v>9</v>
      </c>
      <c r="O90" s="64">
        <v>0</v>
      </c>
      <c r="P90" s="64">
        <v>0.52</v>
      </c>
      <c r="Q90" s="64">
        <v>12.58</v>
      </c>
      <c r="R90" s="198"/>
      <c r="S90" s="198"/>
      <c r="T90" s="198"/>
      <c r="U90" s="198"/>
    </row>
    <row r="91" spans="1:26" s="12" customFormat="1" x14ac:dyDescent="0.25">
      <c r="A91" s="214" t="s">
        <v>2251</v>
      </c>
      <c r="B91" s="64">
        <v>5.37</v>
      </c>
      <c r="C91" s="64">
        <v>11.88</v>
      </c>
      <c r="D91" s="64">
        <v>17.25</v>
      </c>
      <c r="E91" s="64">
        <v>1.17</v>
      </c>
      <c r="F91" s="64">
        <v>0.63</v>
      </c>
      <c r="G91" s="64">
        <v>54.27</v>
      </c>
      <c r="H91" s="64">
        <v>6.8</v>
      </c>
      <c r="I91" s="64">
        <v>1.84</v>
      </c>
      <c r="J91" s="64">
        <v>0.99</v>
      </c>
      <c r="K91" s="64">
        <v>321.51</v>
      </c>
      <c r="L91" s="64">
        <v>22.05</v>
      </c>
      <c r="M91" s="64">
        <v>98</v>
      </c>
      <c r="N91" s="64">
        <v>9.9</v>
      </c>
      <c r="O91" s="64">
        <v>0</v>
      </c>
      <c r="P91" s="64">
        <v>0.51</v>
      </c>
      <c r="Q91" s="64">
        <v>12.32</v>
      </c>
      <c r="R91" s="198"/>
      <c r="S91" s="198"/>
      <c r="T91" s="198"/>
      <c r="U91" s="198"/>
    </row>
    <row r="92" spans="1:26" s="12" customFormat="1" x14ac:dyDescent="0.25">
      <c r="A92" s="214" t="s">
        <v>2252</v>
      </c>
      <c r="B92" s="64">
        <v>5.41</v>
      </c>
      <c r="C92" s="64">
        <v>11.51</v>
      </c>
      <c r="D92" s="64">
        <v>16.920000000000002</v>
      </c>
      <c r="E92" s="64">
        <v>1.31</v>
      </c>
      <c r="F92" s="64">
        <v>1.22</v>
      </c>
      <c r="G92" s="64">
        <v>54.27</v>
      </c>
      <c r="H92" s="64">
        <v>6.8</v>
      </c>
      <c r="I92" s="64">
        <v>1.86</v>
      </c>
      <c r="J92" s="64">
        <v>1.22</v>
      </c>
      <c r="K92" s="64">
        <v>324.97000000000003</v>
      </c>
      <c r="L92" s="64">
        <v>21.41</v>
      </c>
      <c r="M92" s="64">
        <v>98.78</v>
      </c>
      <c r="N92" s="64">
        <v>9.5</v>
      </c>
      <c r="O92" s="64">
        <v>0</v>
      </c>
      <c r="P92" s="64">
        <v>0.52</v>
      </c>
      <c r="Q92" s="64">
        <v>11.53</v>
      </c>
      <c r="R92" s="198"/>
      <c r="S92" s="198"/>
      <c r="T92" s="198"/>
      <c r="U92" s="198"/>
    </row>
    <row r="93" spans="1:26" s="12" customFormat="1" x14ac:dyDescent="0.25">
      <c r="A93" s="214" t="s">
        <v>2253</v>
      </c>
      <c r="B93" s="64">
        <v>5.78</v>
      </c>
      <c r="C93" s="64">
        <v>11.77</v>
      </c>
      <c r="D93" s="64">
        <v>17.55</v>
      </c>
      <c r="E93" s="64">
        <v>0.94</v>
      </c>
      <c r="F93" s="64">
        <v>0.53</v>
      </c>
      <c r="G93" s="64">
        <v>54.27</v>
      </c>
      <c r="H93" s="64">
        <v>6.8</v>
      </c>
      <c r="I93" s="64">
        <v>1.79</v>
      </c>
      <c r="J93" s="64">
        <v>1.1000000000000001</v>
      </c>
      <c r="K93" s="64">
        <v>337.02</v>
      </c>
      <c r="L93" s="64">
        <v>21.26</v>
      </c>
      <c r="M93" s="64">
        <v>98.83</v>
      </c>
      <c r="N93" s="64">
        <v>9</v>
      </c>
      <c r="O93" s="64">
        <v>0</v>
      </c>
      <c r="P93" s="64">
        <v>0.5</v>
      </c>
      <c r="Q93" s="64">
        <v>12.04</v>
      </c>
      <c r="R93" s="198"/>
      <c r="S93" s="198"/>
      <c r="T93" s="198"/>
      <c r="U93" s="198"/>
    </row>
    <row r="94" spans="1:26" s="12" customFormat="1" x14ac:dyDescent="0.25">
      <c r="A94" s="214" t="s">
        <v>2254</v>
      </c>
      <c r="B94" s="64">
        <v>6.18</v>
      </c>
      <c r="C94" s="64">
        <v>11.07</v>
      </c>
      <c r="D94" s="64">
        <v>17.25</v>
      </c>
      <c r="E94" s="64">
        <v>1.37</v>
      </c>
      <c r="F94" s="64">
        <v>1.26</v>
      </c>
      <c r="G94" s="64">
        <v>37.630000000000003</v>
      </c>
      <c r="H94" s="64">
        <v>4.78</v>
      </c>
      <c r="I94" s="64">
        <v>1.82</v>
      </c>
      <c r="J94" s="64">
        <v>0.98</v>
      </c>
      <c r="K94" s="64">
        <v>339.47</v>
      </c>
      <c r="L94" s="64">
        <v>21.28</v>
      </c>
      <c r="M94" s="64">
        <v>98.82</v>
      </c>
      <c r="N94" s="64">
        <v>8.9</v>
      </c>
      <c r="O94" s="64">
        <v>0</v>
      </c>
      <c r="P94" s="64">
        <v>0.53</v>
      </c>
      <c r="Q94" s="64">
        <v>11.22</v>
      </c>
      <c r="R94" s="198"/>
      <c r="S94" s="198"/>
      <c r="T94" s="198"/>
      <c r="U94" s="198"/>
    </row>
    <row r="95" spans="1:26" s="12" customFormat="1" x14ac:dyDescent="0.25">
      <c r="A95" s="214" t="s">
        <v>2255</v>
      </c>
      <c r="B95" s="64">
        <v>6.8</v>
      </c>
      <c r="C95" s="64">
        <v>11.38</v>
      </c>
      <c r="D95" s="64">
        <v>18.18</v>
      </c>
      <c r="E95" s="64">
        <v>0.84</v>
      </c>
      <c r="F95" s="64">
        <v>0.14000000000000001</v>
      </c>
      <c r="G95" s="64">
        <v>34.82</v>
      </c>
      <c r="H95" s="64">
        <v>4.78</v>
      </c>
      <c r="I95" s="64">
        <v>1.81</v>
      </c>
      <c r="J95" s="64">
        <v>0.86</v>
      </c>
      <c r="K95" s="64">
        <v>334.24</v>
      </c>
      <c r="L95" s="64">
        <v>21.35</v>
      </c>
      <c r="M95" s="64">
        <v>98.83</v>
      </c>
      <c r="N95" s="64">
        <v>9.1</v>
      </c>
      <c r="O95" s="64">
        <v>0</v>
      </c>
      <c r="P95" s="64">
        <v>0.55000000000000004</v>
      </c>
      <c r="Q95" s="64">
        <v>12.63</v>
      </c>
      <c r="R95" s="198"/>
      <c r="S95" s="198"/>
      <c r="T95" s="198"/>
      <c r="U95" s="198"/>
    </row>
    <row r="96" spans="1:26" s="12" customFormat="1" x14ac:dyDescent="0.25">
      <c r="A96" s="214" t="s">
        <v>2256</v>
      </c>
      <c r="B96" s="64">
        <v>7.07</v>
      </c>
      <c r="C96" s="64">
        <v>11.01</v>
      </c>
      <c r="D96" s="64">
        <v>18.079999999999998</v>
      </c>
      <c r="E96" s="64">
        <v>0.59</v>
      </c>
      <c r="F96" s="64">
        <v>0.81</v>
      </c>
      <c r="G96" s="64">
        <v>34.82</v>
      </c>
      <c r="H96" s="64">
        <v>4.78</v>
      </c>
      <c r="I96" s="64">
        <v>1.8</v>
      </c>
      <c r="J96" s="64">
        <v>1.3</v>
      </c>
      <c r="K96" s="64">
        <v>332.82</v>
      </c>
      <c r="L96" s="64">
        <v>21.41</v>
      </c>
      <c r="M96" s="64">
        <v>98.82</v>
      </c>
      <c r="N96" s="64">
        <v>9.4</v>
      </c>
      <c r="O96" s="64">
        <v>0</v>
      </c>
      <c r="P96" s="64">
        <v>0.56999999999999995</v>
      </c>
      <c r="Q96" s="64">
        <v>11.9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2257</v>
      </c>
      <c r="B97" s="64">
        <v>7.52</v>
      </c>
      <c r="C97" s="64">
        <v>11.18</v>
      </c>
      <c r="D97" s="64">
        <v>18.7</v>
      </c>
      <c r="E97" s="64">
        <v>0.6</v>
      </c>
      <c r="F97" s="64">
        <v>1.19</v>
      </c>
      <c r="G97" s="64">
        <v>34.82</v>
      </c>
      <c r="H97" s="64">
        <v>4.78</v>
      </c>
      <c r="I97" s="64">
        <v>1.8</v>
      </c>
      <c r="J97" s="64">
        <v>1.17</v>
      </c>
      <c r="K97" s="64">
        <v>336.79</v>
      </c>
      <c r="L97" s="64">
        <v>21.46</v>
      </c>
      <c r="M97" s="64">
        <v>98.83</v>
      </c>
      <c r="N97" s="64">
        <v>9.3000000000000007</v>
      </c>
      <c r="O97" s="64">
        <v>0</v>
      </c>
      <c r="P97" s="64">
        <v>0.56999999999999995</v>
      </c>
      <c r="Q97" s="64">
        <v>12.46</v>
      </c>
      <c r="R97" s="198"/>
      <c r="S97" s="198"/>
      <c r="T97" s="198"/>
      <c r="U97" s="198"/>
    </row>
    <row r="98" spans="1:33" s="12" customFormat="1" x14ac:dyDescent="0.25">
      <c r="A98" s="214" t="s">
        <v>2258</v>
      </c>
      <c r="B98" s="64">
        <v>7.84</v>
      </c>
      <c r="C98" s="64">
        <v>9.93</v>
      </c>
      <c r="D98" s="64">
        <v>17.77</v>
      </c>
      <c r="E98" s="64">
        <v>0.65</v>
      </c>
      <c r="F98" s="64">
        <v>1.68</v>
      </c>
      <c r="G98" s="64">
        <v>31.33</v>
      </c>
      <c r="H98" s="64">
        <v>4.3499999999999996</v>
      </c>
      <c r="I98" s="64">
        <v>1.73</v>
      </c>
      <c r="J98" s="64">
        <v>0.88</v>
      </c>
      <c r="K98" s="64">
        <v>335.64</v>
      </c>
      <c r="L98" s="64">
        <v>21.5</v>
      </c>
      <c r="M98" s="64">
        <v>98.83</v>
      </c>
      <c r="N98" s="64">
        <v>9.5</v>
      </c>
      <c r="O98" s="64">
        <v>0</v>
      </c>
      <c r="P98" s="64">
        <v>0.57999999999999996</v>
      </c>
      <c r="Q98" s="64">
        <v>11.73</v>
      </c>
      <c r="R98" s="198"/>
      <c r="S98" s="198"/>
      <c r="T98" s="198"/>
      <c r="U98" s="198"/>
    </row>
    <row r="99" spans="1:33" s="12" customFormat="1" x14ac:dyDescent="0.25">
      <c r="A99" s="214" t="s">
        <v>2259</v>
      </c>
      <c r="B99" s="64">
        <v>9.14</v>
      </c>
      <c r="C99" s="64">
        <v>11.85</v>
      </c>
      <c r="D99" s="64">
        <v>20.99</v>
      </c>
      <c r="E99" s="64">
        <v>1.6</v>
      </c>
      <c r="F99" s="64">
        <v>3.66</v>
      </c>
      <c r="G99" s="64">
        <v>30.74</v>
      </c>
      <c r="H99" s="64">
        <v>4.3499999999999996</v>
      </c>
      <c r="I99" s="64">
        <v>1.82</v>
      </c>
      <c r="J99" s="64">
        <v>0.69</v>
      </c>
      <c r="K99" s="64">
        <v>340.31</v>
      </c>
      <c r="L99" s="64">
        <v>21.59</v>
      </c>
      <c r="M99" s="64">
        <v>98.83</v>
      </c>
      <c r="N99" s="64">
        <v>9.4</v>
      </c>
      <c r="O99" s="64">
        <v>0</v>
      </c>
      <c r="P99" s="64">
        <v>0.55000000000000004</v>
      </c>
      <c r="Q99" s="64">
        <v>12.83</v>
      </c>
      <c r="R99" s="198"/>
      <c r="S99" s="198"/>
      <c r="T99" s="198"/>
      <c r="U99" s="198"/>
    </row>
    <row r="100" spans="1:33" s="12" customFormat="1" x14ac:dyDescent="0.25">
      <c r="A100" s="214" t="s">
        <v>2260</v>
      </c>
      <c r="B100" s="64">
        <v>9.4600000000000009</v>
      </c>
      <c r="C100" s="64">
        <v>11.12</v>
      </c>
      <c r="D100" s="64">
        <v>20.58</v>
      </c>
      <c r="E100" s="64">
        <v>0.98</v>
      </c>
      <c r="F100" s="64">
        <v>2.4</v>
      </c>
      <c r="G100" s="64">
        <v>30.74</v>
      </c>
      <c r="H100" s="64">
        <v>4.3499999999999996</v>
      </c>
      <c r="I100" s="64">
        <v>1.8</v>
      </c>
      <c r="J100" s="64">
        <v>0.08</v>
      </c>
      <c r="K100" s="64">
        <v>319.05</v>
      </c>
      <c r="L100" s="64">
        <v>21.62</v>
      </c>
      <c r="M100" s="64">
        <v>98.83</v>
      </c>
      <c r="N100" s="64">
        <v>9.1999999999999993</v>
      </c>
      <c r="O100" s="64">
        <v>0</v>
      </c>
      <c r="P100" s="64">
        <v>0.56000000000000005</v>
      </c>
      <c r="Q100" s="64">
        <v>12.38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2261</v>
      </c>
      <c r="B101" s="64">
        <v>8.31</v>
      </c>
      <c r="C101" s="64">
        <v>10.47</v>
      </c>
      <c r="D101" s="64">
        <v>18.78</v>
      </c>
      <c r="E101" s="64">
        <v>1.26</v>
      </c>
      <c r="F101" s="64">
        <v>0.56999999999999995</v>
      </c>
      <c r="G101" s="64">
        <v>30.74</v>
      </c>
      <c r="H101" s="64">
        <v>4.3499999999999996</v>
      </c>
      <c r="I101" s="64">
        <v>1.76</v>
      </c>
      <c r="J101" s="64">
        <v>0.11</v>
      </c>
      <c r="K101" s="64">
        <v>1.26</v>
      </c>
      <c r="L101" s="64">
        <v>21.7</v>
      </c>
      <c r="M101" s="64">
        <v>98.83</v>
      </c>
      <c r="N101" s="64">
        <v>9.1999999999999993</v>
      </c>
      <c r="O101" s="64">
        <v>0</v>
      </c>
      <c r="P101" s="64">
        <v>0.56999999999999995</v>
      </c>
      <c r="Q101" s="64">
        <v>13.23</v>
      </c>
      <c r="R101" s="198"/>
      <c r="S101" s="198"/>
      <c r="T101" s="198"/>
      <c r="U101" s="198"/>
    </row>
    <row r="102" spans="1:33" s="12" customFormat="1" x14ac:dyDescent="0.25">
      <c r="A102" s="214" t="s">
        <v>2262</v>
      </c>
      <c r="B102" s="64">
        <v>8.3699999999999992</v>
      </c>
      <c r="C102" s="64">
        <v>10.4</v>
      </c>
      <c r="D102" s="64">
        <v>18.77</v>
      </c>
      <c r="E102" s="64">
        <v>1.33</v>
      </c>
      <c r="F102" s="64">
        <v>0.44</v>
      </c>
      <c r="G102" s="64">
        <v>28.68</v>
      </c>
      <c r="H102" s="64">
        <v>6.63</v>
      </c>
      <c r="I102" s="64">
        <v>1.8</v>
      </c>
      <c r="J102" s="64">
        <v>0.09</v>
      </c>
      <c r="K102" s="64">
        <v>12.5</v>
      </c>
      <c r="L102" s="64">
        <v>21.76</v>
      </c>
      <c r="M102" s="64">
        <v>98.83</v>
      </c>
      <c r="N102" s="64">
        <v>9.4</v>
      </c>
      <c r="O102" s="64">
        <v>0</v>
      </c>
      <c r="P102" s="64">
        <v>0.56999999999999995</v>
      </c>
      <c r="Q102" s="64">
        <v>13.26</v>
      </c>
      <c r="R102" s="198"/>
      <c r="S102" s="198"/>
      <c r="T102" s="198"/>
      <c r="U102" s="198"/>
    </row>
    <row r="103" spans="1:33" s="12" customFormat="1" x14ac:dyDescent="0.25">
      <c r="A103" s="214" t="s">
        <v>2263</v>
      </c>
      <c r="B103" s="64">
        <v>8.2100000000000009</v>
      </c>
      <c r="C103" s="64">
        <v>10.06</v>
      </c>
      <c r="D103" s="64">
        <v>18.260000000000002</v>
      </c>
      <c r="E103" s="64">
        <v>0.72</v>
      </c>
      <c r="F103" s="64">
        <v>0.41</v>
      </c>
      <c r="G103" s="64">
        <v>28.34</v>
      </c>
      <c r="H103" s="64">
        <v>6.63</v>
      </c>
      <c r="I103" s="64">
        <v>1.79</v>
      </c>
      <c r="J103" s="64">
        <v>0.05</v>
      </c>
      <c r="K103" s="64">
        <v>321.44</v>
      </c>
      <c r="L103" s="64">
        <v>21.71</v>
      </c>
      <c r="M103" s="64">
        <v>98.82</v>
      </c>
      <c r="N103" s="64">
        <v>9.6</v>
      </c>
      <c r="O103" s="64">
        <v>0</v>
      </c>
      <c r="P103" s="64">
        <v>0.54</v>
      </c>
      <c r="Q103" s="64">
        <v>12.96</v>
      </c>
      <c r="R103" s="198"/>
      <c r="S103" s="198"/>
      <c r="T103" s="198"/>
      <c r="U103" s="198"/>
    </row>
    <row r="104" spans="1:33" s="12" customFormat="1" x14ac:dyDescent="0.25">
      <c r="A104" s="214" t="s">
        <v>2264</v>
      </c>
      <c r="B104" s="64">
        <v>7.79</v>
      </c>
      <c r="C104" s="64">
        <v>9.51</v>
      </c>
      <c r="D104" s="64">
        <v>17.3</v>
      </c>
      <c r="E104" s="64">
        <v>0.78</v>
      </c>
      <c r="F104" s="64">
        <v>0.42</v>
      </c>
      <c r="G104" s="64">
        <v>28.34</v>
      </c>
      <c r="H104" s="64">
        <v>6.63</v>
      </c>
      <c r="I104" s="64">
        <v>1.76</v>
      </c>
      <c r="J104" s="64">
        <v>0.1</v>
      </c>
      <c r="K104" s="64">
        <v>26.47</v>
      </c>
      <c r="L104" s="64">
        <v>21.55</v>
      </c>
      <c r="M104" s="64">
        <v>98.83</v>
      </c>
      <c r="N104" s="64">
        <v>9.6</v>
      </c>
      <c r="O104" s="64">
        <v>0</v>
      </c>
      <c r="P104" s="64">
        <v>0.54</v>
      </c>
      <c r="Q104" s="64">
        <v>12.66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2.37</v>
      </c>
      <c r="C106" s="67">
        <f>MIN(C9:C104)</f>
        <v>8.1300000000000008</v>
      </c>
      <c r="D106" s="67">
        <f t="shared" ref="D106:Q106" si="0">MIN(D9:D104)</f>
        <v>11.83</v>
      </c>
      <c r="E106" s="67">
        <f t="shared" si="0"/>
        <v>0.59</v>
      </c>
      <c r="F106" s="67">
        <f t="shared" si="0"/>
        <v>0.05</v>
      </c>
      <c r="G106" s="67">
        <f t="shared" si="0"/>
        <v>3.28</v>
      </c>
      <c r="H106" s="67">
        <f t="shared" si="0"/>
        <v>2.0699999999999998</v>
      </c>
      <c r="I106" s="67">
        <f t="shared" si="0"/>
        <v>1.66</v>
      </c>
      <c r="J106" s="67">
        <f t="shared" si="0"/>
        <v>0.01</v>
      </c>
      <c r="K106" s="67">
        <f t="shared" si="0"/>
        <v>0.66</v>
      </c>
      <c r="L106" s="67">
        <f t="shared" si="0"/>
        <v>20.64</v>
      </c>
      <c r="M106" s="67">
        <f t="shared" si="0"/>
        <v>81.37</v>
      </c>
      <c r="N106" s="67">
        <f t="shared" si="0"/>
        <v>8.9</v>
      </c>
      <c r="O106" s="67">
        <f t="shared" si="0"/>
        <v>0</v>
      </c>
      <c r="P106" s="67">
        <f t="shared" si="0"/>
        <v>0.37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17.11</v>
      </c>
      <c r="C107" s="66">
        <f t="shared" ref="C107:Q107" si="1">MAX(C9:C104)</f>
        <v>28.36</v>
      </c>
      <c r="D107" s="66">
        <f t="shared" si="1"/>
        <v>44.33</v>
      </c>
      <c r="E107" s="66">
        <f t="shared" si="1"/>
        <v>12.72</v>
      </c>
      <c r="F107" s="66">
        <f t="shared" si="1"/>
        <v>12.15</v>
      </c>
      <c r="G107" s="66">
        <f t="shared" si="1"/>
        <v>87.84</v>
      </c>
      <c r="H107" s="66">
        <f t="shared" si="1"/>
        <v>9.0399999999999991</v>
      </c>
      <c r="I107" s="66">
        <f t="shared" si="1"/>
        <v>1.87</v>
      </c>
      <c r="J107" s="66">
        <f t="shared" si="1"/>
        <v>1.61</v>
      </c>
      <c r="K107" s="66">
        <f t="shared" si="1"/>
        <v>354.92</v>
      </c>
      <c r="L107" s="66">
        <f t="shared" si="1"/>
        <v>27.56</v>
      </c>
      <c r="M107" s="66">
        <f t="shared" si="1"/>
        <v>98.85</v>
      </c>
      <c r="N107" s="66">
        <f t="shared" si="1"/>
        <v>410.4</v>
      </c>
      <c r="O107" s="66">
        <f t="shared" si="1"/>
        <v>0.8</v>
      </c>
      <c r="P107" s="66">
        <f t="shared" si="1"/>
        <v>0.9</v>
      </c>
      <c r="Q107" s="66">
        <f t="shared" si="1"/>
        <v>13.26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6.3917582417582439</v>
      </c>
      <c r="C108" s="67">
        <f t="shared" ref="C108:Q108" si="2">AVERAGE(C9:C104)</f>
        <v>12.73010989010989</v>
      </c>
      <c r="D108" s="67">
        <f t="shared" si="2"/>
        <v>19.110329670329669</v>
      </c>
      <c r="E108" s="67">
        <f t="shared" si="2"/>
        <v>3.4928723404255342</v>
      </c>
      <c r="F108" s="67">
        <f t="shared" si="2"/>
        <v>1.7293684210526314</v>
      </c>
      <c r="G108" s="67">
        <f t="shared" si="2"/>
        <v>26.851777777777791</v>
      </c>
      <c r="H108" s="67">
        <f t="shared" si="2"/>
        <v>6.7602597402597402</v>
      </c>
      <c r="I108" s="67">
        <f t="shared" si="2"/>
        <v>1.7995833333333335</v>
      </c>
      <c r="J108" s="67">
        <f t="shared" si="2"/>
        <v>0.32333333333333347</v>
      </c>
      <c r="K108" s="67">
        <f t="shared" si="2"/>
        <v>200.18000000000004</v>
      </c>
      <c r="L108" s="67">
        <f t="shared" si="2"/>
        <v>23.038020833333338</v>
      </c>
      <c r="M108" s="67">
        <f t="shared" si="2"/>
        <v>96.123854166666646</v>
      </c>
      <c r="N108" s="67">
        <f t="shared" si="2"/>
        <v>79.71041666666666</v>
      </c>
      <c r="O108" s="67">
        <f t="shared" si="2"/>
        <v>4.3750000000000011E-2</v>
      </c>
      <c r="P108" s="67">
        <f t="shared" si="2"/>
        <v>0.55708333333333349</v>
      </c>
      <c r="Q108" s="67">
        <f t="shared" si="2"/>
        <v>5.8185416666666656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3.4407420367016366</v>
      </c>
      <c r="C109" s="67">
        <f t="shared" ref="C109:Q109" si="3">STDEV(C9:C104)</f>
        <v>4.8372461161067735</v>
      </c>
      <c r="D109" s="67">
        <f t="shared" si="3"/>
        <v>7.0632457837187816</v>
      </c>
      <c r="E109" s="67">
        <f t="shared" si="3"/>
        <v>2.1446997044428979</v>
      </c>
      <c r="F109" s="67">
        <f t="shared" si="3"/>
        <v>1.8806686285684462</v>
      </c>
      <c r="G109" s="67">
        <f t="shared" si="3"/>
        <v>22.970047549895149</v>
      </c>
      <c r="H109" s="67">
        <f t="shared" si="3"/>
        <v>1.7047541681288225</v>
      </c>
      <c r="I109" s="67">
        <f t="shared" si="3"/>
        <v>3.7833893650692792E-2</v>
      </c>
      <c r="J109" s="67">
        <f t="shared" si="3"/>
        <v>0.33389461516335905</v>
      </c>
      <c r="K109" s="67">
        <f t="shared" si="3"/>
        <v>148.87599037277189</v>
      </c>
      <c r="L109" s="67">
        <f t="shared" si="3"/>
        <v>1.9367822581154743</v>
      </c>
      <c r="M109" s="67">
        <f t="shared" si="3"/>
        <v>5.5494262140174957</v>
      </c>
      <c r="N109" s="67">
        <f t="shared" si="3"/>
        <v>116.49979668305424</v>
      </c>
      <c r="O109" s="67">
        <f t="shared" si="3"/>
        <v>0.14568350699556323</v>
      </c>
      <c r="P109" s="67">
        <f t="shared" si="3"/>
        <v>0.13866215411011001</v>
      </c>
      <c r="Q109" s="67">
        <f t="shared" si="3"/>
        <v>4.7295351900620304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COUNT(B9:B104)+5</f>
        <v>96</v>
      </c>
      <c r="C110" s="66">
        <f>COUNT(C9:C104)+5</f>
        <v>96</v>
      </c>
      <c r="D110" s="66">
        <f>COUNT(D9:D104)+5</f>
        <v>96</v>
      </c>
      <c r="E110" s="66">
        <f>COUNT(E9:E104)+2</f>
        <v>96</v>
      </c>
      <c r="F110" s="66">
        <f>COUNT(F9:F104)+1</f>
        <v>96</v>
      </c>
      <c r="G110" s="66">
        <f>COUNT(G9:G104)+6</f>
        <v>96</v>
      </c>
      <c r="H110" s="66">
        <f>COUNT(H9:H104)+19</f>
        <v>96</v>
      </c>
      <c r="I110" s="66">
        <f>COUNT(I9:I104)</f>
        <v>96</v>
      </c>
      <c r="J110" s="66">
        <f>COUNT(J9:J104)</f>
        <v>96</v>
      </c>
      <c r="K110" s="66">
        <f t="shared" ref="K110:P110" si="4">COUNT(K9:K104)</f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2265</v>
      </c>
      <c r="B9" s="64">
        <v>7.37</v>
      </c>
      <c r="C9" s="64">
        <v>9.1999999999999993</v>
      </c>
      <c r="D9" s="64">
        <v>16.57</v>
      </c>
      <c r="E9" s="64">
        <v>1.5</v>
      </c>
      <c r="F9" s="64">
        <v>0.4</v>
      </c>
      <c r="G9" s="64">
        <v>28.34</v>
      </c>
      <c r="H9" s="64">
        <v>6.63</v>
      </c>
      <c r="I9" s="64">
        <v>1.82</v>
      </c>
      <c r="J9" s="64">
        <v>0.17</v>
      </c>
      <c r="K9" s="64">
        <v>13.72</v>
      </c>
      <c r="L9" s="64">
        <v>21.6</v>
      </c>
      <c r="M9" s="64">
        <v>98.82</v>
      </c>
      <c r="N9" s="64">
        <v>9.5</v>
      </c>
      <c r="O9" s="64">
        <v>0</v>
      </c>
      <c r="P9" s="64">
        <v>0.52</v>
      </c>
      <c r="Q9" s="64">
        <v>12.33</v>
      </c>
      <c r="R9" s="198"/>
      <c r="S9" s="198"/>
      <c r="T9" s="198"/>
      <c r="U9" s="198"/>
    </row>
    <row r="10" spans="1:21" s="12" customFormat="1" x14ac:dyDescent="0.25">
      <c r="A10" s="214" t="s">
        <v>2266</v>
      </c>
      <c r="B10" s="64">
        <v>6.89</v>
      </c>
      <c r="C10" s="64">
        <v>9.1199999999999992</v>
      </c>
      <c r="D10" s="64">
        <v>16.010000000000002</v>
      </c>
      <c r="E10" s="64">
        <v>1.4</v>
      </c>
      <c r="F10" s="64">
        <v>0.39</v>
      </c>
      <c r="G10" s="64">
        <v>22.96</v>
      </c>
      <c r="H10" s="64">
        <v>5.96</v>
      </c>
      <c r="I10" s="64">
        <v>1.76</v>
      </c>
      <c r="J10" s="64">
        <v>0.12</v>
      </c>
      <c r="K10" s="64">
        <v>19.82</v>
      </c>
      <c r="L10" s="64">
        <v>21.65</v>
      </c>
      <c r="M10" s="64">
        <v>98.83</v>
      </c>
      <c r="N10" s="64">
        <v>9.5</v>
      </c>
      <c r="O10" s="64">
        <v>0</v>
      </c>
      <c r="P10" s="64">
        <v>0.5</v>
      </c>
      <c r="Q10" s="64">
        <v>12.54</v>
      </c>
      <c r="R10" s="198"/>
      <c r="S10" s="198"/>
      <c r="T10" s="198"/>
      <c r="U10" s="198"/>
    </row>
    <row r="11" spans="1:21" s="12" customFormat="1" x14ac:dyDescent="0.25">
      <c r="A11" s="214" t="s">
        <v>2267</v>
      </c>
      <c r="B11" s="64">
        <v>6.45</v>
      </c>
      <c r="C11" s="64">
        <v>8.9499999999999993</v>
      </c>
      <c r="D11" s="64">
        <v>15.4</v>
      </c>
      <c r="E11" s="64">
        <v>1.81</v>
      </c>
      <c r="F11" s="64">
        <v>0.56999999999999995</v>
      </c>
      <c r="G11" s="64">
        <v>22.06</v>
      </c>
      <c r="H11" s="64">
        <v>5.96</v>
      </c>
      <c r="I11" s="64">
        <v>1.79</v>
      </c>
      <c r="J11" s="64">
        <v>0.1</v>
      </c>
      <c r="K11" s="64">
        <v>9.6300000000000008</v>
      </c>
      <c r="L11" s="64">
        <v>21.7</v>
      </c>
      <c r="M11" s="64">
        <v>98.83</v>
      </c>
      <c r="N11" s="64">
        <v>9.5</v>
      </c>
      <c r="O11" s="64">
        <v>0</v>
      </c>
      <c r="P11" s="64">
        <v>0.48</v>
      </c>
      <c r="Q11" s="64">
        <v>11.73</v>
      </c>
      <c r="R11" s="198"/>
      <c r="S11" s="198"/>
      <c r="T11" s="198"/>
      <c r="U11" s="198"/>
    </row>
    <row r="12" spans="1:21" s="12" customFormat="1" x14ac:dyDescent="0.25">
      <c r="A12" s="214" t="s">
        <v>2268</v>
      </c>
      <c r="B12" s="64">
        <v>6.02</v>
      </c>
      <c r="C12" s="64">
        <v>8.73</v>
      </c>
      <c r="D12" s="64">
        <v>14.75</v>
      </c>
      <c r="E12" s="64">
        <v>0.81</v>
      </c>
      <c r="F12" s="64">
        <v>1.04</v>
      </c>
      <c r="G12" s="64">
        <v>22.06</v>
      </c>
      <c r="H12" s="64">
        <v>5.96</v>
      </c>
      <c r="I12" s="64">
        <v>1.86</v>
      </c>
      <c r="J12" s="64">
        <v>0.05</v>
      </c>
      <c r="K12" s="64">
        <v>141.72</v>
      </c>
      <c r="L12" s="64">
        <v>21.79</v>
      </c>
      <c r="M12" s="64">
        <v>98.85</v>
      </c>
      <c r="N12" s="64">
        <v>9.6</v>
      </c>
      <c r="O12" s="64">
        <v>0</v>
      </c>
      <c r="P12" s="64">
        <v>0.46</v>
      </c>
      <c r="Q12" s="64">
        <v>12.44</v>
      </c>
      <c r="R12" s="198"/>
      <c r="S12" s="198"/>
      <c r="T12" s="198"/>
      <c r="U12" s="198"/>
    </row>
    <row r="13" spans="1:21" s="12" customFormat="1" x14ac:dyDescent="0.25">
      <c r="A13" s="214" t="s">
        <v>2269</v>
      </c>
      <c r="B13" s="64">
        <v>5.33</v>
      </c>
      <c r="C13" s="64">
        <v>10.029999999999999</v>
      </c>
      <c r="D13" s="64">
        <v>15.36</v>
      </c>
      <c r="E13" s="64">
        <v>1.56</v>
      </c>
      <c r="F13" s="64">
        <v>1</v>
      </c>
      <c r="G13" s="64">
        <v>22.06</v>
      </c>
      <c r="H13" s="64">
        <v>5.96</v>
      </c>
      <c r="I13" s="64">
        <v>1.83</v>
      </c>
      <c r="J13" s="64">
        <v>7.0000000000000007E-2</v>
      </c>
      <c r="K13" s="64">
        <v>3.36</v>
      </c>
      <c r="L13" s="64">
        <v>21.86</v>
      </c>
      <c r="M13" s="64">
        <v>98.85</v>
      </c>
      <c r="N13" s="64">
        <v>9.5</v>
      </c>
      <c r="O13" s="64">
        <v>0</v>
      </c>
      <c r="P13" s="64">
        <v>0.39</v>
      </c>
      <c r="Q13" s="64">
        <v>12.67</v>
      </c>
      <c r="R13" s="198"/>
      <c r="S13" s="198"/>
      <c r="T13" s="198"/>
      <c r="U13" s="198"/>
    </row>
    <row r="14" spans="1:21" s="12" customFormat="1" x14ac:dyDescent="0.25">
      <c r="A14" s="214" t="s">
        <v>2270</v>
      </c>
      <c r="B14" s="64">
        <v>5.61</v>
      </c>
      <c r="C14" s="64">
        <v>8.65</v>
      </c>
      <c r="D14" s="64">
        <v>14.26</v>
      </c>
      <c r="E14" s="64">
        <v>1.76</v>
      </c>
      <c r="F14" s="64">
        <v>1.1299999999999999</v>
      </c>
      <c r="G14" s="64">
        <v>16.329999999999998</v>
      </c>
      <c r="H14" s="64">
        <v>5.76</v>
      </c>
      <c r="I14" s="64">
        <v>1.81</v>
      </c>
      <c r="J14" s="64">
        <v>0.05</v>
      </c>
      <c r="K14" s="64">
        <v>18.88</v>
      </c>
      <c r="L14" s="64">
        <v>21.84</v>
      </c>
      <c r="M14" s="64">
        <v>98.85</v>
      </c>
      <c r="N14" s="64">
        <v>9.4</v>
      </c>
      <c r="O14" s="64">
        <v>0</v>
      </c>
      <c r="P14" s="64">
        <v>0.45</v>
      </c>
      <c r="Q14" s="64">
        <v>11.76</v>
      </c>
      <c r="R14" s="198"/>
      <c r="S14" s="198"/>
      <c r="T14" s="198"/>
      <c r="U14" s="198"/>
    </row>
    <row r="15" spans="1:21" s="12" customFormat="1" x14ac:dyDescent="0.25">
      <c r="A15" s="214" t="s">
        <v>2271</v>
      </c>
      <c r="B15" s="64">
        <v>5.07</v>
      </c>
      <c r="C15" s="64">
        <v>10.09</v>
      </c>
      <c r="D15" s="64">
        <v>15.16</v>
      </c>
      <c r="E15" s="64">
        <v>1.89</v>
      </c>
      <c r="F15" s="64">
        <v>2.2799999999999998</v>
      </c>
      <c r="G15" s="64">
        <v>15.36</v>
      </c>
      <c r="H15" s="64">
        <v>5.76</v>
      </c>
      <c r="I15" s="64">
        <v>1.77</v>
      </c>
      <c r="J15" s="64">
        <v>0.09</v>
      </c>
      <c r="K15" s="64">
        <v>234.14</v>
      </c>
      <c r="L15" s="64">
        <v>21.89</v>
      </c>
      <c r="M15" s="64">
        <v>98.85</v>
      </c>
      <c r="N15" s="64">
        <v>9.1</v>
      </c>
      <c r="O15" s="64">
        <v>0</v>
      </c>
      <c r="P15" s="64">
        <v>0.38</v>
      </c>
      <c r="Q15" s="64">
        <v>12.51</v>
      </c>
      <c r="R15" s="198"/>
      <c r="S15" s="198"/>
      <c r="T15" s="198"/>
      <c r="U15" s="198"/>
    </row>
    <row r="16" spans="1:21" s="12" customFormat="1" x14ac:dyDescent="0.25">
      <c r="A16" s="214" t="s">
        <v>2272</v>
      </c>
      <c r="B16" s="64">
        <v>5.33</v>
      </c>
      <c r="C16" s="64">
        <v>9.23</v>
      </c>
      <c r="D16" s="64">
        <v>14.55</v>
      </c>
      <c r="E16" s="64">
        <v>1.64</v>
      </c>
      <c r="F16" s="64">
        <v>1.1599999999999999</v>
      </c>
      <c r="G16" s="64">
        <v>15.36</v>
      </c>
      <c r="H16" s="64">
        <v>5.76</v>
      </c>
      <c r="I16" s="64">
        <v>1.86</v>
      </c>
      <c r="J16" s="64">
        <v>0.1</v>
      </c>
      <c r="K16" s="64">
        <v>22.69</v>
      </c>
      <c r="L16" s="64">
        <v>21.93</v>
      </c>
      <c r="M16" s="64">
        <v>98.85</v>
      </c>
      <c r="N16" s="64">
        <v>9.3000000000000007</v>
      </c>
      <c r="O16" s="64">
        <v>0</v>
      </c>
      <c r="P16" s="64">
        <v>0.43</v>
      </c>
      <c r="Q16" s="64">
        <v>12.37</v>
      </c>
      <c r="R16" s="198"/>
      <c r="S16" s="198"/>
      <c r="T16" s="198"/>
      <c r="U16" s="198"/>
    </row>
    <row r="17" spans="1:21" s="12" customFormat="1" x14ac:dyDescent="0.25">
      <c r="A17" s="214" t="s">
        <v>2273</v>
      </c>
      <c r="B17" s="64">
        <v>5.46</v>
      </c>
      <c r="C17" s="64">
        <v>9.67</v>
      </c>
      <c r="D17" s="64">
        <v>15.14</v>
      </c>
      <c r="E17" s="64">
        <v>1.43</v>
      </c>
      <c r="F17" s="64">
        <v>0.68</v>
      </c>
      <c r="G17" s="64">
        <v>15.36</v>
      </c>
      <c r="H17" s="64">
        <v>5.76</v>
      </c>
      <c r="I17" s="64">
        <v>1.82</v>
      </c>
      <c r="J17" s="64">
        <v>0.08</v>
      </c>
      <c r="K17" s="64">
        <v>36.76</v>
      </c>
      <c r="L17" s="64">
        <v>21.89</v>
      </c>
      <c r="M17" s="64">
        <v>98.85</v>
      </c>
      <c r="N17" s="64">
        <v>9.4</v>
      </c>
      <c r="O17" s="64">
        <v>0</v>
      </c>
      <c r="P17" s="64">
        <v>0.42</v>
      </c>
      <c r="Q17" s="64">
        <v>12.94</v>
      </c>
      <c r="R17" s="198"/>
      <c r="S17" s="198"/>
      <c r="T17" s="198"/>
      <c r="U17" s="198"/>
    </row>
    <row r="18" spans="1:21" s="12" customFormat="1" x14ac:dyDescent="0.25">
      <c r="A18" s="214" t="s">
        <v>2274</v>
      </c>
      <c r="B18" s="64">
        <v>5.59</v>
      </c>
      <c r="C18" s="64">
        <v>9.2799999999999994</v>
      </c>
      <c r="D18" s="64">
        <v>14.87</v>
      </c>
      <c r="E18" s="64">
        <v>2.16</v>
      </c>
      <c r="F18" s="64">
        <v>0.24</v>
      </c>
      <c r="G18" s="64">
        <v>11.87</v>
      </c>
      <c r="H18" s="64">
        <v>6.07</v>
      </c>
      <c r="I18" s="64">
        <v>1.8</v>
      </c>
      <c r="J18" s="64">
        <v>0.1</v>
      </c>
      <c r="K18" s="64">
        <v>16.079999999999998</v>
      </c>
      <c r="L18" s="64">
        <v>21.8</v>
      </c>
      <c r="M18" s="64">
        <v>98.85</v>
      </c>
      <c r="N18" s="64">
        <v>9.5</v>
      </c>
      <c r="O18" s="64">
        <v>0</v>
      </c>
      <c r="P18" s="64">
        <v>0.42</v>
      </c>
      <c r="Q18" s="64">
        <v>13.07</v>
      </c>
      <c r="R18" s="198"/>
      <c r="S18" s="198"/>
      <c r="T18" s="198"/>
      <c r="U18" s="198"/>
    </row>
    <row r="19" spans="1:21" s="12" customFormat="1" x14ac:dyDescent="0.25">
      <c r="A19" s="214" t="s">
        <v>2275</v>
      </c>
      <c r="B19" s="64">
        <v>5.29</v>
      </c>
      <c r="C19" s="64">
        <v>8.3800000000000008</v>
      </c>
      <c r="D19" s="64">
        <v>13.66</v>
      </c>
      <c r="E19" s="64">
        <v>1.1599999999999999</v>
      </c>
      <c r="F19" s="64">
        <v>1.1100000000000001</v>
      </c>
      <c r="G19" s="64">
        <v>11.28</v>
      </c>
      <c r="H19" s="64">
        <v>6.07</v>
      </c>
      <c r="I19" s="64">
        <v>1.84</v>
      </c>
      <c r="J19" s="64">
        <v>0.05</v>
      </c>
      <c r="K19" s="64">
        <v>33.78</v>
      </c>
      <c r="L19" s="64">
        <v>21.78</v>
      </c>
      <c r="M19" s="64">
        <v>98.85</v>
      </c>
      <c r="N19" s="64">
        <v>9.5</v>
      </c>
      <c r="O19" s="64">
        <v>0</v>
      </c>
      <c r="P19" s="64">
        <v>0.42</v>
      </c>
      <c r="Q19" s="64">
        <v>12.05</v>
      </c>
      <c r="R19" s="198"/>
      <c r="S19" s="198"/>
      <c r="T19" s="198"/>
      <c r="U19" s="198"/>
    </row>
    <row r="20" spans="1:21" s="12" customFormat="1" x14ac:dyDescent="0.25">
      <c r="A20" s="214" t="s">
        <v>2276</v>
      </c>
      <c r="B20" s="64">
        <v>4.91</v>
      </c>
      <c r="C20" s="64">
        <v>8.56</v>
      </c>
      <c r="D20" s="64">
        <v>13.48</v>
      </c>
      <c r="E20" s="64">
        <v>1.45</v>
      </c>
      <c r="F20" s="64">
        <v>0.22</v>
      </c>
      <c r="G20" s="64">
        <v>11.28</v>
      </c>
      <c r="H20" s="64">
        <v>6.07</v>
      </c>
      <c r="I20" s="64">
        <v>1.75</v>
      </c>
      <c r="J20" s="64">
        <v>0.04</v>
      </c>
      <c r="K20" s="64">
        <v>234.25</v>
      </c>
      <c r="L20" s="64">
        <v>21.77</v>
      </c>
      <c r="M20" s="64">
        <v>98.85</v>
      </c>
      <c r="N20" s="64">
        <v>9.5</v>
      </c>
      <c r="O20" s="64">
        <v>0</v>
      </c>
      <c r="P20" s="64">
        <v>0.39</v>
      </c>
      <c r="Q20" s="64">
        <v>12.6</v>
      </c>
      <c r="R20" s="198"/>
      <c r="S20" s="198"/>
      <c r="T20" s="198"/>
      <c r="U20" s="198"/>
    </row>
    <row r="21" spans="1:21" s="12" customFormat="1" x14ac:dyDescent="0.25">
      <c r="A21" s="214" t="s">
        <v>2277</v>
      </c>
      <c r="B21" s="64">
        <v>4.5999999999999996</v>
      </c>
      <c r="C21" s="64">
        <v>7.88</v>
      </c>
      <c r="D21" s="64">
        <v>12.48</v>
      </c>
      <c r="E21" s="64">
        <v>1.04</v>
      </c>
      <c r="F21" s="64">
        <v>1.04</v>
      </c>
      <c r="G21" s="64">
        <v>11.28</v>
      </c>
      <c r="H21" s="64">
        <v>6.07</v>
      </c>
      <c r="I21" s="64">
        <v>1.86</v>
      </c>
      <c r="J21" s="64">
        <v>0.02</v>
      </c>
      <c r="K21" s="64">
        <v>3.65</v>
      </c>
      <c r="L21" s="64">
        <v>21.76</v>
      </c>
      <c r="M21" s="64">
        <v>98.85</v>
      </c>
      <c r="N21" s="64">
        <v>9.6</v>
      </c>
      <c r="O21" s="64">
        <v>0</v>
      </c>
      <c r="P21" s="64">
        <v>0.4</v>
      </c>
      <c r="Q21" s="64">
        <v>11.34</v>
      </c>
      <c r="R21" s="198"/>
      <c r="S21" s="198"/>
      <c r="T21" s="198"/>
      <c r="U21" s="198"/>
    </row>
    <row r="22" spans="1:21" s="12" customFormat="1" x14ac:dyDescent="0.25">
      <c r="A22" s="214" t="s">
        <v>2278</v>
      </c>
      <c r="B22" s="64">
        <v>4.3499999999999996</v>
      </c>
      <c r="C22" s="64">
        <v>8.15</v>
      </c>
      <c r="D22" s="64">
        <v>12.51</v>
      </c>
      <c r="E22" s="64">
        <v>1.54</v>
      </c>
      <c r="F22" s="64">
        <v>0.17</v>
      </c>
      <c r="G22" s="64">
        <v>12.66</v>
      </c>
      <c r="H22" s="64">
        <v>4.58</v>
      </c>
      <c r="I22" s="64">
        <v>1.74</v>
      </c>
      <c r="J22" s="64">
        <v>0.04</v>
      </c>
      <c r="K22" s="64">
        <v>229.87</v>
      </c>
      <c r="L22" s="64">
        <v>21.74</v>
      </c>
      <c r="M22" s="64">
        <v>98.85</v>
      </c>
      <c r="N22" s="64">
        <v>9.5</v>
      </c>
      <c r="O22" s="64">
        <v>0</v>
      </c>
      <c r="P22" s="64">
        <v>0.37</v>
      </c>
      <c r="Q22" s="64">
        <v>12.06</v>
      </c>
      <c r="R22" s="198"/>
      <c r="S22" s="198"/>
      <c r="T22" s="198"/>
      <c r="U22" s="198"/>
    </row>
    <row r="23" spans="1:21" s="12" customFormat="1" x14ac:dyDescent="0.25">
      <c r="A23" s="214" t="s">
        <v>2279</v>
      </c>
      <c r="B23" s="64">
        <v>4.1500000000000004</v>
      </c>
      <c r="C23" s="64">
        <v>7.6</v>
      </c>
      <c r="D23" s="64">
        <v>11.75</v>
      </c>
      <c r="E23" s="64">
        <v>2.17</v>
      </c>
      <c r="F23" s="64">
        <v>1.1499999999999999</v>
      </c>
      <c r="G23" s="64">
        <v>12.89</v>
      </c>
      <c r="H23" s="64">
        <v>4.58</v>
      </c>
      <c r="I23" s="64">
        <v>1.86</v>
      </c>
      <c r="J23" s="64">
        <v>0.02</v>
      </c>
      <c r="K23" s="64">
        <v>52.33</v>
      </c>
      <c r="L23" s="64">
        <v>21.73</v>
      </c>
      <c r="M23" s="64">
        <v>98.83</v>
      </c>
      <c r="N23" s="64">
        <v>9.5</v>
      </c>
      <c r="O23" s="64">
        <v>0</v>
      </c>
      <c r="P23" s="64">
        <v>0.36</v>
      </c>
      <c r="Q23" s="64">
        <v>11.39</v>
      </c>
      <c r="R23" s="198"/>
      <c r="S23" s="198"/>
      <c r="T23" s="198"/>
      <c r="U23" s="198"/>
    </row>
    <row r="24" spans="1:21" s="12" customFormat="1" x14ac:dyDescent="0.25">
      <c r="A24" s="214" t="s">
        <v>2280</v>
      </c>
      <c r="B24" s="64">
        <v>3.96</v>
      </c>
      <c r="C24" s="64">
        <v>7.91</v>
      </c>
      <c r="D24" s="64">
        <v>11.87</v>
      </c>
      <c r="E24" s="64">
        <v>1.25</v>
      </c>
      <c r="F24" s="64">
        <v>0.41</v>
      </c>
      <c r="G24" s="64">
        <v>12.89</v>
      </c>
      <c r="H24" s="64">
        <v>4.58</v>
      </c>
      <c r="I24" s="64">
        <v>1.8</v>
      </c>
      <c r="J24" s="64">
        <v>7.0000000000000007E-2</v>
      </c>
      <c r="K24" s="64">
        <v>355.04</v>
      </c>
      <c r="L24" s="64">
        <v>21.69</v>
      </c>
      <c r="M24" s="64">
        <v>98.83</v>
      </c>
      <c r="N24" s="64">
        <v>9.5</v>
      </c>
      <c r="O24" s="64">
        <v>0</v>
      </c>
      <c r="P24" s="64">
        <v>0.34</v>
      </c>
      <c r="Q24" s="64">
        <v>12.52</v>
      </c>
      <c r="R24" s="198"/>
      <c r="S24" s="198"/>
      <c r="T24" s="198"/>
      <c r="U24" s="198"/>
    </row>
    <row r="25" spans="1:21" s="12" customFormat="1" x14ac:dyDescent="0.25">
      <c r="A25" s="214" t="s">
        <v>2281</v>
      </c>
      <c r="B25" s="64">
        <v>3.72</v>
      </c>
      <c r="C25" s="64">
        <v>7.32</v>
      </c>
      <c r="D25" s="64">
        <v>11.05</v>
      </c>
      <c r="E25" s="64">
        <v>1.59</v>
      </c>
      <c r="F25" s="64">
        <v>1.34</v>
      </c>
      <c r="G25" s="64">
        <v>12.89</v>
      </c>
      <c r="H25" s="64">
        <v>4.58</v>
      </c>
      <c r="I25" s="64">
        <v>1.82</v>
      </c>
      <c r="J25" s="64">
        <v>0.13</v>
      </c>
      <c r="K25" s="64">
        <v>17.11</v>
      </c>
      <c r="L25" s="64">
        <v>21.71</v>
      </c>
      <c r="M25" s="64">
        <v>98.83</v>
      </c>
      <c r="N25" s="64">
        <v>9.5</v>
      </c>
      <c r="O25" s="64">
        <v>0</v>
      </c>
      <c r="P25" s="64">
        <v>0.32</v>
      </c>
      <c r="Q25" s="64">
        <v>11.21</v>
      </c>
      <c r="R25" s="198"/>
      <c r="S25" s="198"/>
      <c r="T25" s="198"/>
      <c r="U25" s="198"/>
    </row>
    <row r="26" spans="1:21" s="12" customFormat="1" x14ac:dyDescent="0.25">
      <c r="A26" s="214" t="s">
        <v>2282</v>
      </c>
      <c r="B26" s="64">
        <v>3.62</v>
      </c>
      <c r="C26" s="64">
        <v>7.44</v>
      </c>
      <c r="D26" s="64">
        <v>11.07</v>
      </c>
      <c r="E26" s="64">
        <v>1.78</v>
      </c>
      <c r="F26" s="64">
        <v>1.05</v>
      </c>
      <c r="G26" s="64">
        <v>10.37</v>
      </c>
      <c r="H26" s="64">
        <v>3.59</v>
      </c>
      <c r="I26" s="64">
        <v>1.74</v>
      </c>
      <c r="J26" s="64">
        <v>0.13</v>
      </c>
      <c r="K26" s="64">
        <v>18.11</v>
      </c>
      <c r="L26" s="64">
        <v>21.66</v>
      </c>
      <c r="M26" s="64">
        <v>98.83</v>
      </c>
      <c r="N26" s="64">
        <v>9.5</v>
      </c>
      <c r="O26" s="64">
        <v>0</v>
      </c>
      <c r="P26" s="64">
        <v>0.32</v>
      </c>
      <c r="Q26" s="64">
        <v>11.59</v>
      </c>
      <c r="R26" s="198"/>
      <c r="S26" s="198"/>
      <c r="T26" s="198"/>
      <c r="U26" s="198"/>
    </row>
    <row r="27" spans="1:21" s="12" customFormat="1" x14ac:dyDescent="0.25">
      <c r="A27" s="214" t="s">
        <v>2283</v>
      </c>
      <c r="B27" s="64">
        <v>3.48</v>
      </c>
      <c r="C27" s="64">
        <v>7.54</v>
      </c>
      <c r="D27" s="64">
        <v>11.02</v>
      </c>
      <c r="E27" s="64">
        <v>1.81</v>
      </c>
      <c r="F27" s="64">
        <v>0.73</v>
      </c>
      <c r="G27" s="64">
        <v>9.9499999999999993</v>
      </c>
      <c r="H27" s="64">
        <v>3.59</v>
      </c>
      <c r="I27" s="64">
        <v>1.85</v>
      </c>
      <c r="J27" s="64">
        <v>0.21</v>
      </c>
      <c r="K27" s="64">
        <v>16.77</v>
      </c>
      <c r="L27" s="64">
        <v>21.66</v>
      </c>
      <c r="M27" s="64">
        <v>98.83</v>
      </c>
      <c r="N27" s="64">
        <v>9.5</v>
      </c>
      <c r="O27" s="64">
        <v>0</v>
      </c>
      <c r="P27" s="64">
        <v>0.3</v>
      </c>
      <c r="Q27" s="64">
        <v>11.27</v>
      </c>
      <c r="R27" s="198"/>
      <c r="S27" s="198"/>
      <c r="T27" s="198"/>
      <c r="U27" s="198"/>
    </row>
    <row r="28" spans="1:21" s="12" customFormat="1" x14ac:dyDescent="0.25">
      <c r="A28" s="214" t="s">
        <v>2284</v>
      </c>
      <c r="B28" s="64">
        <v>3.44</v>
      </c>
      <c r="C28" s="64">
        <v>7.41</v>
      </c>
      <c r="D28" s="64">
        <v>10.85</v>
      </c>
      <c r="E28" s="64">
        <v>1.96</v>
      </c>
      <c r="F28" s="64">
        <v>0.71</v>
      </c>
      <c r="G28" s="64">
        <v>9.9499999999999993</v>
      </c>
      <c r="H28" s="64">
        <v>3.59</v>
      </c>
      <c r="I28" s="64">
        <v>1.74</v>
      </c>
      <c r="J28" s="64">
        <v>0.25</v>
      </c>
      <c r="K28" s="64">
        <v>24.75</v>
      </c>
      <c r="L28" s="64">
        <v>21.68</v>
      </c>
      <c r="M28" s="64">
        <v>98.83</v>
      </c>
      <c r="N28" s="64">
        <v>9.5</v>
      </c>
      <c r="O28" s="64">
        <v>0</v>
      </c>
      <c r="P28" s="64">
        <v>0.3</v>
      </c>
      <c r="Q28" s="64">
        <v>11.36</v>
      </c>
      <c r="R28" s="198"/>
      <c r="S28" s="198"/>
      <c r="T28" s="198"/>
      <c r="U28" s="198"/>
    </row>
    <row r="29" spans="1:21" s="12" customFormat="1" x14ac:dyDescent="0.25">
      <c r="A29" s="214" t="s">
        <v>2285</v>
      </c>
      <c r="B29" s="64">
        <v>3.33</v>
      </c>
      <c r="C29" s="64">
        <v>7.95</v>
      </c>
      <c r="D29" s="64">
        <v>11.28</v>
      </c>
      <c r="E29" s="64">
        <v>2.2799999999999998</v>
      </c>
      <c r="F29" s="64">
        <v>0.79</v>
      </c>
      <c r="G29" s="64">
        <v>9.9499999999999993</v>
      </c>
      <c r="H29" s="64">
        <v>3.59</v>
      </c>
      <c r="I29" s="64">
        <v>1.86</v>
      </c>
      <c r="J29" s="64">
        <v>0.27</v>
      </c>
      <c r="K29" s="64">
        <v>20.28</v>
      </c>
      <c r="L29" s="64">
        <v>21.76</v>
      </c>
      <c r="M29" s="64">
        <v>98.83</v>
      </c>
      <c r="N29" s="64">
        <v>9.5</v>
      </c>
      <c r="O29" s="64">
        <v>0</v>
      </c>
      <c r="P29" s="64">
        <v>0.28999999999999998</v>
      </c>
      <c r="Q29" s="64">
        <v>11.63</v>
      </c>
      <c r="R29" s="198"/>
      <c r="S29" s="198"/>
      <c r="T29" s="198"/>
      <c r="U29" s="198"/>
    </row>
    <row r="30" spans="1:21" s="12" customFormat="1" x14ac:dyDescent="0.25">
      <c r="A30" s="214" t="s">
        <v>2286</v>
      </c>
      <c r="B30" s="64">
        <v>3.27</v>
      </c>
      <c r="C30" s="64">
        <v>8.4499999999999993</v>
      </c>
      <c r="D30" s="64">
        <v>11.72</v>
      </c>
      <c r="E30" s="64">
        <v>2.37</v>
      </c>
      <c r="F30" s="64">
        <v>0.59</v>
      </c>
      <c r="G30" s="64">
        <v>9.6999999999999993</v>
      </c>
      <c r="H30" s="64">
        <v>2.61</v>
      </c>
      <c r="I30" s="64">
        <v>1.73</v>
      </c>
      <c r="J30" s="64">
        <v>0.2</v>
      </c>
      <c r="K30" s="64">
        <v>15</v>
      </c>
      <c r="L30" s="64">
        <v>21.78</v>
      </c>
      <c r="M30" s="64">
        <v>98.82</v>
      </c>
      <c r="N30" s="64">
        <v>9.6999999999999993</v>
      </c>
      <c r="O30" s="64">
        <v>0</v>
      </c>
      <c r="P30" s="64">
        <v>0.28000000000000003</v>
      </c>
      <c r="Q30" s="64">
        <v>11.43</v>
      </c>
      <c r="R30" s="198"/>
      <c r="S30" s="198"/>
      <c r="T30" s="198"/>
      <c r="U30" s="198"/>
    </row>
    <row r="31" spans="1:21" s="12" customFormat="1" x14ac:dyDescent="0.25">
      <c r="A31" s="214" t="s">
        <v>2287</v>
      </c>
      <c r="B31" s="64">
        <v>3.19</v>
      </c>
      <c r="C31" s="64">
        <v>8.41</v>
      </c>
      <c r="D31" s="64">
        <v>11.6</v>
      </c>
      <c r="E31" s="64">
        <v>1.66</v>
      </c>
      <c r="F31" s="64">
        <v>0.77</v>
      </c>
      <c r="G31" s="64">
        <v>9.65</v>
      </c>
      <c r="H31" s="64">
        <v>2.61</v>
      </c>
      <c r="I31" s="64">
        <v>1.81</v>
      </c>
      <c r="J31" s="64">
        <v>0.21</v>
      </c>
      <c r="K31" s="64">
        <v>21.41</v>
      </c>
      <c r="L31" s="64">
        <v>21.8</v>
      </c>
      <c r="M31" s="64">
        <v>98.82</v>
      </c>
      <c r="N31" s="64">
        <v>10.1</v>
      </c>
      <c r="O31" s="64">
        <v>0</v>
      </c>
      <c r="P31" s="64">
        <v>0.27</v>
      </c>
      <c r="Q31" s="64">
        <v>11.21</v>
      </c>
      <c r="R31" s="198"/>
      <c r="S31" s="198"/>
      <c r="T31" s="198"/>
      <c r="U31" s="198"/>
    </row>
    <row r="32" spans="1:21" s="12" customFormat="1" x14ac:dyDescent="0.25">
      <c r="A32" s="214" t="s">
        <v>2288</v>
      </c>
      <c r="B32" s="64">
        <v>3.11</v>
      </c>
      <c r="C32" s="64">
        <v>8.19</v>
      </c>
      <c r="D32" s="64">
        <v>11.3</v>
      </c>
      <c r="E32" s="64">
        <v>1.39</v>
      </c>
      <c r="F32" s="64">
        <v>1.1399999999999999</v>
      </c>
      <c r="G32" s="64">
        <v>9.65</v>
      </c>
      <c r="H32" s="64">
        <v>2.61</v>
      </c>
      <c r="I32" s="64">
        <v>1.78</v>
      </c>
      <c r="J32" s="64">
        <v>0.19</v>
      </c>
      <c r="K32" s="64">
        <v>27.27</v>
      </c>
      <c r="L32" s="64">
        <v>21.81</v>
      </c>
      <c r="M32" s="64">
        <v>98.82</v>
      </c>
      <c r="N32" s="64">
        <v>13</v>
      </c>
      <c r="O32" s="64">
        <v>0</v>
      </c>
      <c r="P32" s="64">
        <v>0.27</v>
      </c>
      <c r="Q32" s="64">
        <v>9.85</v>
      </c>
      <c r="R32" s="198"/>
      <c r="S32" s="198"/>
      <c r="T32" s="198"/>
      <c r="U32" s="198"/>
    </row>
    <row r="33" spans="1:21" s="12" customFormat="1" x14ac:dyDescent="0.25">
      <c r="A33" s="214" t="s">
        <v>2289</v>
      </c>
      <c r="B33" s="64">
        <v>3.23</v>
      </c>
      <c r="C33" s="64">
        <v>8.2899999999999991</v>
      </c>
      <c r="D33" s="64">
        <v>11.52</v>
      </c>
      <c r="E33" s="64">
        <v>1.29</v>
      </c>
      <c r="F33" s="64">
        <v>0.65</v>
      </c>
      <c r="G33" s="64">
        <v>9.65</v>
      </c>
      <c r="H33" s="64">
        <v>2.61</v>
      </c>
      <c r="I33" s="64">
        <v>1.8</v>
      </c>
      <c r="J33" s="64">
        <v>0.22</v>
      </c>
      <c r="K33" s="64">
        <v>18.100000000000001</v>
      </c>
      <c r="L33" s="64">
        <v>21.85</v>
      </c>
      <c r="M33" s="64">
        <v>98.83</v>
      </c>
      <c r="N33" s="64">
        <v>20.9</v>
      </c>
      <c r="O33" s="64">
        <v>0</v>
      </c>
      <c r="P33" s="64">
        <v>0.27</v>
      </c>
      <c r="Q33" s="64">
        <v>10.77</v>
      </c>
      <c r="R33" s="198"/>
      <c r="S33" s="198"/>
      <c r="T33" s="198"/>
      <c r="U33" s="198"/>
    </row>
    <row r="34" spans="1:21" s="12" customFormat="1" x14ac:dyDescent="0.25">
      <c r="A34" s="214" t="s">
        <v>2290</v>
      </c>
      <c r="B34" s="64">
        <v>3.37</v>
      </c>
      <c r="C34" s="64">
        <v>8.42</v>
      </c>
      <c r="D34" s="64">
        <v>11.79</v>
      </c>
      <c r="E34" s="64">
        <v>1.91</v>
      </c>
      <c r="F34" s="64">
        <v>0.78</v>
      </c>
      <c r="G34" s="64">
        <v>9.09</v>
      </c>
      <c r="H34" s="64">
        <v>3.05</v>
      </c>
      <c r="I34" s="64">
        <v>1.85</v>
      </c>
      <c r="J34" s="64">
        <v>0.19</v>
      </c>
      <c r="K34" s="64">
        <v>28.47</v>
      </c>
      <c r="L34" s="64">
        <v>21.98</v>
      </c>
      <c r="M34" s="64">
        <v>98.82</v>
      </c>
      <c r="N34" s="64">
        <v>32.799999999999997</v>
      </c>
      <c r="O34" s="64">
        <v>0</v>
      </c>
      <c r="P34" s="64">
        <v>0.27</v>
      </c>
      <c r="Q34" s="64">
        <v>10.51</v>
      </c>
      <c r="R34" s="198"/>
      <c r="S34" s="198"/>
      <c r="T34" s="198"/>
      <c r="U34" s="198"/>
    </row>
    <row r="35" spans="1:21" s="12" customFormat="1" x14ac:dyDescent="0.25">
      <c r="A35" s="214" t="s">
        <v>2291</v>
      </c>
      <c r="B35" s="64">
        <v>3.52</v>
      </c>
      <c r="C35" s="64">
        <v>8.73</v>
      </c>
      <c r="D35" s="64">
        <v>12.25</v>
      </c>
      <c r="E35" s="64">
        <v>1.65</v>
      </c>
      <c r="F35" s="64">
        <v>0.24</v>
      </c>
      <c r="G35" s="64">
        <v>8.99</v>
      </c>
      <c r="H35" s="64">
        <v>3.05</v>
      </c>
      <c r="I35" s="64">
        <v>1.79</v>
      </c>
      <c r="J35" s="64">
        <v>0.17</v>
      </c>
      <c r="K35" s="64">
        <v>11.31</v>
      </c>
      <c r="L35" s="64">
        <v>21.98</v>
      </c>
      <c r="M35" s="64">
        <v>98.82</v>
      </c>
      <c r="N35" s="64">
        <v>44.7</v>
      </c>
      <c r="O35" s="64">
        <v>0</v>
      </c>
      <c r="P35" s="64">
        <v>0.27</v>
      </c>
      <c r="Q35" s="64">
        <v>11.27</v>
      </c>
      <c r="R35" s="198"/>
      <c r="S35" s="198"/>
      <c r="T35" s="198"/>
      <c r="U35" s="198"/>
    </row>
    <row r="36" spans="1:21" s="12" customFormat="1" x14ac:dyDescent="0.25">
      <c r="A36" s="214" t="s">
        <v>2292</v>
      </c>
      <c r="B36" s="64">
        <v>3.8</v>
      </c>
      <c r="C36" s="64">
        <v>9.0299999999999994</v>
      </c>
      <c r="D36" s="64">
        <v>12.83</v>
      </c>
      <c r="E36" s="64">
        <v>1.92</v>
      </c>
      <c r="F36" s="64">
        <v>0.42</v>
      </c>
      <c r="G36" s="64">
        <v>8.99</v>
      </c>
      <c r="H36" s="64">
        <v>3.05</v>
      </c>
      <c r="I36" s="64">
        <v>1.79</v>
      </c>
      <c r="J36" s="64">
        <v>0.2</v>
      </c>
      <c r="K36" s="64">
        <v>21.05</v>
      </c>
      <c r="L36" s="64">
        <v>22.12</v>
      </c>
      <c r="M36" s="64">
        <v>98.82</v>
      </c>
      <c r="N36" s="64">
        <v>59.7</v>
      </c>
      <c r="O36" s="64">
        <v>0</v>
      </c>
      <c r="P36" s="64">
        <v>0.27</v>
      </c>
      <c r="Q36" s="64">
        <v>11.53</v>
      </c>
      <c r="R36" s="198"/>
      <c r="S36" s="198"/>
      <c r="T36" s="198"/>
      <c r="U36" s="198"/>
    </row>
    <row r="37" spans="1:21" s="12" customFormat="1" x14ac:dyDescent="0.25">
      <c r="A37" s="214" t="s">
        <v>2293</v>
      </c>
      <c r="B37" s="64">
        <v>4.25</v>
      </c>
      <c r="C37" s="64">
        <v>9.85</v>
      </c>
      <c r="D37" s="64">
        <v>14.11</v>
      </c>
      <c r="E37" s="64">
        <v>1.97</v>
      </c>
      <c r="F37" s="64">
        <v>1.28</v>
      </c>
      <c r="G37" s="64">
        <v>8.99</v>
      </c>
      <c r="H37" s="64">
        <v>3.05</v>
      </c>
      <c r="I37" s="64">
        <v>1.82</v>
      </c>
      <c r="J37" s="64">
        <v>0.27</v>
      </c>
      <c r="K37" s="64">
        <v>20.66</v>
      </c>
      <c r="L37" s="64">
        <v>22.35</v>
      </c>
      <c r="M37" s="64">
        <v>98.82</v>
      </c>
      <c r="N37" s="64">
        <v>90.2</v>
      </c>
      <c r="O37" s="64">
        <v>0</v>
      </c>
      <c r="P37" s="64">
        <v>0.28000000000000003</v>
      </c>
      <c r="Q37" s="64">
        <v>10.48</v>
      </c>
      <c r="R37" s="198"/>
      <c r="S37" s="198"/>
      <c r="T37" s="198"/>
      <c r="U37" s="198"/>
    </row>
    <row r="38" spans="1:21" s="12" customFormat="1" x14ac:dyDescent="0.25">
      <c r="A38" s="214" t="s">
        <v>2294</v>
      </c>
      <c r="B38" s="64">
        <v>4.42</v>
      </c>
      <c r="C38" s="64">
        <v>9.5</v>
      </c>
      <c r="D38" s="64">
        <v>13.92</v>
      </c>
      <c r="E38" s="64">
        <v>2.1</v>
      </c>
      <c r="F38" s="64">
        <v>0.81</v>
      </c>
      <c r="G38" s="64">
        <v>11.12</v>
      </c>
      <c r="H38" s="64">
        <v>5.85</v>
      </c>
      <c r="I38" s="64">
        <v>1.77</v>
      </c>
      <c r="J38" s="64">
        <v>0.21</v>
      </c>
      <c r="K38" s="64">
        <v>15.11</v>
      </c>
      <c r="L38" s="64">
        <v>22.43</v>
      </c>
      <c r="M38" s="64">
        <v>98.82</v>
      </c>
      <c r="N38" s="64">
        <v>55.5</v>
      </c>
      <c r="O38" s="64">
        <v>0</v>
      </c>
      <c r="P38" s="64">
        <v>0.31</v>
      </c>
      <c r="Q38" s="64">
        <v>11.34</v>
      </c>
      <c r="R38" s="198"/>
      <c r="S38" s="198"/>
      <c r="T38" s="198"/>
      <c r="U38" s="198"/>
    </row>
    <row r="39" spans="1:21" s="12" customFormat="1" x14ac:dyDescent="0.25">
      <c r="A39" s="214" t="s">
        <v>2295</v>
      </c>
      <c r="B39" s="64">
        <v>5.04</v>
      </c>
      <c r="C39" s="64">
        <v>10.86</v>
      </c>
      <c r="D39" s="64">
        <v>15.9</v>
      </c>
      <c r="E39" s="64">
        <v>1.45</v>
      </c>
      <c r="F39" s="64">
        <v>0.25</v>
      </c>
      <c r="G39" s="64">
        <v>11.48</v>
      </c>
      <c r="H39" s="64">
        <v>5.85</v>
      </c>
      <c r="I39" s="64">
        <v>1.87</v>
      </c>
      <c r="J39" s="64">
        <v>0.16</v>
      </c>
      <c r="K39" s="64">
        <v>28.16</v>
      </c>
      <c r="L39" s="64">
        <v>22.51</v>
      </c>
      <c r="M39" s="64">
        <v>98.82</v>
      </c>
      <c r="N39" s="64">
        <v>55.6</v>
      </c>
      <c r="O39" s="64">
        <v>0</v>
      </c>
      <c r="P39" s="64">
        <v>0.32</v>
      </c>
      <c r="Q39" s="64">
        <v>11.03</v>
      </c>
      <c r="R39" s="198"/>
      <c r="S39" s="198"/>
      <c r="T39" s="198"/>
      <c r="U39" s="198"/>
    </row>
    <row r="40" spans="1:21" s="12" customFormat="1" x14ac:dyDescent="0.25">
      <c r="A40" s="214" t="s">
        <v>2296</v>
      </c>
      <c r="B40" s="64">
        <v>6.03</v>
      </c>
      <c r="C40" s="64">
        <v>10.220000000000001</v>
      </c>
      <c r="D40" s="64">
        <v>16.25</v>
      </c>
      <c r="E40" s="64">
        <v>0.59</v>
      </c>
      <c r="F40" s="64">
        <v>0.76</v>
      </c>
      <c r="G40" s="64">
        <v>11.48</v>
      </c>
      <c r="H40" s="64">
        <v>5.85</v>
      </c>
      <c r="I40" s="64">
        <v>1.76</v>
      </c>
      <c r="J40" s="64">
        <v>0.2</v>
      </c>
      <c r="K40" s="64">
        <v>28.98</v>
      </c>
      <c r="L40" s="64">
        <v>22.58</v>
      </c>
      <c r="M40" s="64">
        <v>98.8</v>
      </c>
      <c r="N40" s="64">
        <v>58.5</v>
      </c>
      <c r="O40" s="64">
        <v>0</v>
      </c>
      <c r="P40" s="64">
        <v>0.35</v>
      </c>
      <c r="Q40" s="64">
        <v>11.43</v>
      </c>
      <c r="R40" s="198"/>
      <c r="S40" s="198"/>
      <c r="T40" s="198"/>
      <c r="U40" s="198"/>
    </row>
    <row r="41" spans="1:21" s="12" customFormat="1" x14ac:dyDescent="0.25">
      <c r="A41" s="214" t="s">
        <v>2297</v>
      </c>
      <c r="B41" s="64">
        <v>6.33</v>
      </c>
      <c r="C41" s="64">
        <v>10.63</v>
      </c>
      <c r="D41" s="64">
        <v>16.97</v>
      </c>
      <c r="E41" s="64">
        <v>0.19</v>
      </c>
      <c r="F41" s="64">
        <v>0.08</v>
      </c>
      <c r="G41" s="64">
        <v>11.48</v>
      </c>
      <c r="H41" s="64">
        <v>5.85</v>
      </c>
      <c r="I41" s="64">
        <v>1.77</v>
      </c>
      <c r="J41" s="64">
        <v>0.25</v>
      </c>
      <c r="K41" s="64">
        <v>22.41</v>
      </c>
      <c r="L41" s="64">
        <v>22.65</v>
      </c>
      <c r="M41" s="64">
        <v>98.79</v>
      </c>
      <c r="N41" s="64">
        <v>62.3</v>
      </c>
      <c r="O41" s="64">
        <v>0</v>
      </c>
      <c r="P41" s="64">
        <v>0.36</v>
      </c>
      <c r="Q41" s="64">
        <v>12.22</v>
      </c>
      <c r="R41" s="198"/>
      <c r="S41" s="198"/>
      <c r="T41" s="198"/>
      <c r="U41" s="198"/>
    </row>
    <row r="42" spans="1:21" s="12" customFormat="1" x14ac:dyDescent="0.25">
      <c r="A42" s="214" t="s">
        <v>2298</v>
      </c>
      <c r="B42" s="64">
        <v>6.63</v>
      </c>
      <c r="C42" s="64">
        <v>10.67</v>
      </c>
      <c r="D42" s="64">
        <v>17.3</v>
      </c>
      <c r="E42" s="64">
        <v>0.3</v>
      </c>
      <c r="F42" s="64">
        <v>0.81</v>
      </c>
      <c r="G42" s="64">
        <v>15.54</v>
      </c>
      <c r="H42" s="64">
        <v>6.01</v>
      </c>
      <c r="I42" s="64">
        <v>1.7</v>
      </c>
      <c r="J42" s="64">
        <v>0.27</v>
      </c>
      <c r="K42" s="64">
        <v>25.39</v>
      </c>
      <c r="L42" s="64">
        <v>22.71</v>
      </c>
      <c r="M42" s="64">
        <v>98.78</v>
      </c>
      <c r="N42" s="64">
        <v>69.2</v>
      </c>
      <c r="O42" s="64">
        <v>0</v>
      </c>
      <c r="P42" s="64">
        <v>0.39</v>
      </c>
      <c r="Q42" s="64">
        <v>11.04</v>
      </c>
      <c r="R42" s="198"/>
      <c r="S42" s="198"/>
      <c r="T42" s="198"/>
      <c r="U42" s="198"/>
    </row>
    <row r="43" spans="1:21" s="12" customFormat="1" x14ac:dyDescent="0.25">
      <c r="A43" s="214" t="s">
        <v>2299</v>
      </c>
      <c r="B43" s="64">
        <v>7.07</v>
      </c>
      <c r="C43" s="64">
        <v>11.03</v>
      </c>
      <c r="D43" s="64">
        <v>18.09</v>
      </c>
      <c r="E43" s="64">
        <v>0.31</v>
      </c>
      <c r="F43" s="64">
        <v>0.46</v>
      </c>
      <c r="G43" s="64">
        <v>16.29</v>
      </c>
      <c r="H43" s="64">
        <v>6.01</v>
      </c>
      <c r="I43" s="64">
        <v>1.83</v>
      </c>
      <c r="J43" s="64">
        <v>0.28000000000000003</v>
      </c>
      <c r="K43" s="64">
        <v>22.49</v>
      </c>
      <c r="L43" s="64">
        <v>22.77</v>
      </c>
      <c r="M43" s="64">
        <v>98.78</v>
      </c>
      <c r="N43" s="64">
        <v>107.8</v>
      </c>
      <c r="O43" s="64">
        <v>0</v>
      </c>
      <c r="P43" s="64">
        <v>0.39</v>
      </c>
      <c r="Q43" s="64">
        <v>11.69</v>
      </c>
      <c r="R43" s="198"/>
      <c r="S43" s="198"/>
      <c r="T43" s="198"/>
      <c r="U43" s="198"/>
    </row>
    <row r="44" spans="1:21" s="12" customFormat="1" x14ac:dyDescent="0.25">
      <c r="A44" s="214" t="s">
        <v>2300</v>
      </c>
      <c r="B44" s="64">
        <v>7.09</v>
      </c>
      <c r="C44" s="64">
        <v>11.14</v>
      </c>
      <c r="D44" s="64">
        <v>18.23</v>
      </c>
      <c r="E44" s="64">
        <v>0.14000000000000001</v>
      </c>
      <c r="F44" s="64">
        <v>1.23</v>
      </c>
      <c r="G44" s="64">
        <v>16.29</v>
      </c>
      <c r="H44" s="64">
        <v>6.01</v>
      </c>
      <c r="I44" s="64">
        <v>1.84</v>
      </c>
      <c r="J44" s="64">
        <v>0.28000000000000003</v>
      </c>
      <c r="K44" s="64">
        <v>20.350000000000001</v>
      </c>
      <c r="L44" s="64">
        <v>22.81</v>
      </c>
      <c r="M44" s="64">
        <v>98.78</v>
      </c>
      <c r="N44" s="64">
        <v>167.2</v>
      </c>
      <c r="O44" s="64">
        <v>0</v>
      </c>
      <c r="P44" s="64">
        <v>0.4</v>
      </c>
      <c r="Q44" s="64">
        <v>10.86</v>
      </c>
      <c r="R44" s="198"/>
      <c r="S44" s="198"/>
      <c r="T44" s="198"/>
      <c r="U44" s="198"/>
    </row>
    <row r="45" spans="1:21" s="12" customFormat="1" x14ac:dyDescent="0.25">
      <c r="A45" s="214" t="s">
        <v>2301</v>
      </c>
      <c r="B45" s="64">
        <v>6.51</v>
      </c>
      <c r="C45" s="64">
        <v>11.29</v>
      </c>
      <c r="D45" s="64">
        <v>17.8</v>
      </c>
      <c r="E45" s="64">
        <v>0.56000000000000005</v>
      </c>
      <c r="F45" s="64">
        <v>0.3</v>
      </c>
      <c r="G45" s="64">
        <v>16.29</v>
      </c>
      <c r="H45" s="64">
        <v>6.01</v>
      </c>
      <c r="I45" s="64">
        <v>1.82</v>
      </c>
      <c r="J45" s="64">
        <v>0.27</v>
      </c>
      <c r="K45" s="64">
        <v>24.46</v>
      </c>
      <c r="L45" s="64">
        <v>22.93</v>
      </c>
      <c r="M45" s="64">
        <v>98.79</v>
      </c>
      <c r="N45" s="64">
        <v>114.2</v>
      </c>
      <c r="O45" s="64">
        <v>0</v>
      </c>
      <c r="P45" s="64">
        <v>0.41</v>
      </c>
      <c r="Q45" s="64">
        <v>11.66</v>
      </c>
      <c r="R45" s="198"/>
      <c r="S45" s="198"/>
      <c r="T45" s="198"/>
      <c r="U45" s="198"/>
    </row>
    <row r="46" spans="1:21" s="12" customFormat="1" x14ac:dyDescent="0.25">
      <c r="A46" s="214" t="s">
        <v>2302</v>
      </c>
      <c r="B46" s="64">
        <v>6.21</v>
      </c>
      <c r="C46" s="64">
        <v>11.38</v>
      </c>
      <c r="D46" s="64">
        <v>17.59</v>
      </c>
      <c r="E46" s="64">
        <v>0.05</v>
      </c>
      <c r="F46" s="64">
        <v>1.06</v>
      </c>
      <c r="G46" s="64">
        <v>17.350000000000001</v>
      </c>
      <c r="H46" s="64">
        <v>4.3</v>
      </c>
      <c r="I46" s="64">
        <v>1.77</v>
      </c>
      <c r="J46" s="64">
        <v>0.28000000000000003</v>
      </c>
      <c r="K46" s="64">
        <v>28.56</v>
      </c>
      <c r="L46" s="64">
        <v>22.99</v>
      </c>
      <c r="M46" s="64">
        <v>98.78</v>
      </c>
      <c r="N46" s="64">
        <v>111</v>
      </c>
      <c r="O46" s="64">
        <v>0</v>
      </c>
      <c r="P46" s="64">
        <v>0.42</v>
      </c>
      <c r="Q46" s="64">
        <v>10.66</v>
      </c>
      <c r="R46" s="198"/>
      <c r="S46" s="198"/>
      <c r="T46" s="198"/>
      <c r="U46" s="198"/>
    </row>
    <row r="47" spans="1:21" s="12" customFormat="1" x14ac:dyDescent="0.25">
      <c r="A47" s="214" t="s">
        <v>2303</v>
      </c>
      <c r="B47" s="64">
        <v>6.11</v>
      </c>
      <c r="C47" s="64">
        <v>11.65</v>
      </c>
      <c r="D47" s="64">
        <v>17.760000000000002</v>
      </c>
      <c r="E47" s="64">
        <v>0.08</v>
      </c>
      <c r="F47" s="64">
        <v>0.28999999999999998</v>
      </c>
      <c r="G47" s="64">
        <v>17.54</v>
      </c>
      <c r="H47" s="64">
        <v>4.3</v>
      </c>
      <c r="I47" s="64">
        <v>1.88</v>
      </c>
      <c r="J47" s="64">
        <v>0.27</v>
      </c>
      <c r="K47" s="64">
        <v>20.100000000000001</v>
      </c>
      <c r="L47" s="64">
        <v>22.82</v>
      </c>
      <c r="M47" s="64">
        <v>98.79</v>
      </c>
      <c r="N47" s="64">
        <v>85</v>
      </c>
      <c r="O47" s="64">
        <v>0</v>
      </c>
      <c r="P47" s="64">
        <v>0.43</v>
      </c>
      <c r="Q47" s="64">
        <v>11.36</v>
      </c>
      <c r="R47" s="198"/>
      <c r="S47" s="198"/>
      <c r="T47" s="198"/>
      <c r="U47" s="198"/>
    </row>
    <row r="48" spans="1:21" s="12" customFormat="1" x14ac:dyDescent="0.25">
      <c r="A48" s="214" t="s">
        <v>2304</v>
      </c>
      <c r="B48" s="64">
        <v>6.15</v>
      </c>
      <c r="C48" s="64">
        <v>13.95</v>
      </c>
      <c r="D48" s="64">
        <v>20.100000000000001</v>
      </c>
      <c r="E48" s="64">
        <v>0.4</v>
      </c>
      <c r="F48" s="64">
        <v>0.9</v>
      </c>
      <c r="G48" s="64">
        <v>17.54</v>
      </c>
      <c r="H48" s="64">
        <v>4.3</v>
      </c>
      <c r="I48" s="64">
        <v>1.77</v>
      </c>
      <c r="J48" s="64">
        <v>0.27</v>
      </c>
      <c r="K48" s="64">
        <v>15.5</v>
      </c>
      <c r="L48" s="64">
        <v>22.9</v>
      </c>
      <c r="M48" s="64">
        <v>98.79</v>
      </c>
      <c r="N48" s="64">
        <v>132.4</v>
      </c>
      <c r="O48" s="64">
        <v>0</v>
      </c>
      <c r="P48" s="64">
        <v>0.44</v>
      </c>
      <c r="Q48" s="64">
        <v>11.34</v>
      </c>
      <c r="R48" s="198"/>
      <c r="S48" s="198"/>
      <c r="T48" s="198"/>
      <c r="U48" s="198"/>
    </row>
    <row r="49" spans="1:21" s="12" customFormat="1" x14ac:dyDescent="0.25">
      <c r="A49" s="214" t="s">
        <v>2305</v>
      </c>
      <c r="B49" s="64">
        <v>6.54</v>
      </c>
      <c r="C49" s="64">
        <v>12.57</v>
      </c>
      <c r="D49" s="64">
        <v>19.100000000000001</v>
      </c>
      <c r="E49" s="64">
        <v>0.42</v>
      </c>
      <c r="F49" s="64">
        <v>1.34</v>
      </c>
      <c r="G49" s="64">
        <v>17.54</v>
      </c>
      <c r="H49" s="64">
        <v>4.3</v>
      </c>
      <c r="I49" s="64">
        <v>1.84</v>
      </c>
      <c r="J49" s="64">
        <v>0.23</v>
      </c>
      <c r="K49" s="64">
        <v>22.46</v>
      </c>
      <c r="L49" s="64">
        <v>23.06</v>
      </c>
      <c r="M49" s="64">
        <v>98.79</v>
      </c>
      <c r="N49" s="64">
        <v>115.4</v>
      </c>
      <c r="O49" s="64">
        <v>0</v>
      </c>
      <c r="P49" s="64">
        <v>0.48</v>
      </c>
      <c r="Q49" s="64">
        <v>10.81</v>
      </c>
      <c r="R49" s="198"/>
      <c r="S49" s="198"/>
      <c r="T49" s="198"/>
      <c r="U49" s="198"/>
    </row>
    <row r="50" spans="1:21" s="12" customFormat="1" x14ac:dyDescent="0.25">
      <c r="A50" s="214" t="s">
        <v>2306</v>
      </c>
      <c r="B50" s="64">
        <v>8.15</v>
      </c>
      <c r="C50" s="64">
        <v>14.39</v>
      </c>
      <c r="D50" s="64">
        <v>22.55</v>
      </c>
      <c r="E50" s="64">
        <v>0.3</v>
      </c>
      <c r="F50" s="64">
        <v>0.74</v>
      </c>
      <c r="G50" s="64">
        <v>15.65</v>
      </c>
      <c r="H50" s="64">
        <v>7.29</v>
      </c>
      <c r="I50" s="64">
        <v>1.78</v>
      </c>
      <c r="J50" s="64">
        <v>0.17</v>
      </c>
      <c r="K50" s="64">
        <v>18.12</v>
      </c>
      <c r="L50" s="64">
        <v>23.07</v>
      </c>
      <c r="M50" s="64">
        <v>98.8</v>
      </c>
      <c r="N50" s="64">
        <v>55.3</v>
      </c>
      <c r="O50" s="64">
        <v>0</v>
      </c>
      <c r="P50" s="64">
        <v>0.51</v>
      </c>
      <c r="Q50" s="64">
        <v>11.29</v>
      </c>
      <c r="R50" s="198"/>
      <c r="S50" s="198"/>
      <c r="T50" s="198"/>
      <c r="U50" s="198"/>
    </row>
    <row r="51" spans="1:21" s="12" customFormat="1" x14ac:dyDescent="0.25">
      <c r="A51" s="214" t="s">
        <v>2307</v>
      </c>
      <c r="B51" s="64">
        <v>7.16</v>
      </c>
      <c r="C51" s="64">
        <v>12.92</v>
      </c>
      <c r="D51" s="64">
        <v>20.09</v>
      </c>
      <c r="E51" s="64">
        <v>0.32</v>
      </c>
      <c r="F51" s="64">
        <v>0.71</v>
      </c>
      <c r="G51" s="64">
        <v>15.33</v>
      </c>
      <c r="H51" s="64">
        <v>7.29</v>
      </c>
      <c r="I51" s="64">
        <v>1.81</v>
      </c>
      <c r="J51" s="64">
        <v>0.31</v>
      </c>
      <c r="K51" s="64">
        <v>21.54</v>
      </c>
      <c r="L51" s="64">
        <v>22.58</v>
      </c>
      <c r="M51" s="64">
        <v>98.83</v>
      </c>
      <c r="N51" s="64">
        <v>114.7</v>
      </c>
      <c r="O51" s="64">
        <v>0</v>
      </c>
      <c r="P51" s="64">
        <v>0.5</v>
      </c>
      <c r="Q51" s="64">
        <v>11.99</v>
      </c>
      <c r="R51" s="198"/>
      <c r="S51" s="198"/>
      <c r="T51" s="198"/>
      <c r="U51" s="198"/>
    </row>
    <row r="52" spans="1:21" s="12" customFormat="1" x14ac:dyDescent="0.25">
      <c r="A52" s="214" t="s">
        <v>2308</v>
      </c>
      <c r="B52" s="64">
        <v>6.3</v>
      </c>
      <c r="C52" s="64">
        <v>14.23</v>
      </c>
      <c r="D52" s="64">
        <v>20.53</v>
      </c>
      <c r="E52" s="64">
        <v>0.9</v>
      </c>
      <c r="F52" s="64">
        <v>1.54</v>
      </c>
      <c r="G52" s="64">
        <v>15.33</v>
      </c>
      <c r="H52" s="64">
        <v>7.29</v>
      </c>
      <c r="I52" s="64">
        <v>1.81</v>
      </c>
      <c r="J52" s="64">
        <v>0.3</v>
      </c>
      <c r="K52" s="64">
        <v>16.02</v>
      </c>
      <c r="L52" s="64">
        <v>22.73</v>
      </c>
      <c r="M52" s="64">
        <v>98.82</v>
      </c>
      <c r="N52" s="64">
        <v>75.2</v>
      </c>
      <c r="O52" s="64">
        <v>0</v>
      </c>
      <c r="P52" s="64">
        <v>0.51</v>
      </c>
      <c r="Q52" s="64">
        <v>11.46</v>
      </c>
      <c r="R52" s="198"/>
      <c r="S52" s="198"/>
      <c r="T52" s="198"/>
      <c r="U52" s="198"/>
    </row>
    <row r="53" spans="1:21" s="12" customFormat="1" x14ac:dyDescent="0.25">
      <c r="A53" s="214" t="s">
        <v>2309</v>
      </c>
      <c r="B53" s="64">
        <v>5.98</v>
      </c>
      <c r="C53" s="64">
        <v>15.02</v>
      </c>
      <c r="D53" s="64">
        <v>20.99</v>
      </c>
      <c r="E53" s="64">
        <v>0.33</v>
      </c>
      <c r="F53" s="64">
        <v>0.9</v>
      </c>
      <c r="G53" s="64">
        <v>15.33</v>
      </c>
      <c r="H53" s="64">
        <v>7.29</v>
      </c>
      <c r="I53" s="64">
        <v>1.77</v>
      </c>
      <c r="J53" s="64">
        <v>0.27</v>
      </c>
      <c r="K53" s="64">
        <v>7.47</v>
      </c>
      <c r="L53" s="64">
        <v>22.5</v>
      </c>
      <c r="M53" s="64">
        <v>98.84</v>
      </c>
      <c r="N53" s="64">
        <v>85.9</v>
      </c>
      <c r="O53" s="64">
        <v>0</v>
      </c>
      <c r="P53" s="64">
        <v>0.51</v>
      </c>
      <c r="Q53" s="64">
        <v>12.48</v>
      </c>
      <c r="R53" s="198"/>
      <c r="S53" s="198"/>
      <c r="T53" s="198"/>
      <c r="U53" s="198"/>
    </row>
    <row r="54" spans="1:21" s="12" customFormat="1" x14ac:dyDescent="0.25">
      <c r="A54" s="214" t="s">
        <v>2310</v>
      </c>
      <c r="B54" s="64">
        <v>5.94</v>
      </c>
      <c r="C54" s="64">
        <v>14.91</v>
      </c>
      <c r="D54" s="64">
        <v>20.85</v>
      </c>
      <c r="E54" s="64">
        <v>0.26</v>
      </c>
      <c r="F54" s="64">
        <v>0.73</v>
      </c>
      <c r="G54" s="64">
        <v>11.44</v>
      </c>
      <c r="H54" s="64">
        <v>7.82</v>
      </c>
      <c r="I54" s="64">
        <v>1.77</v>
      </c>
      <c r="J54" s="64">
        <v>0.22</v>
      </c>
      <c r="K54" s="64">
        <v>0.57999999999999996</v>
      </c>
      <c r="L54" s="64">
        <v>22.45</v>
      </c>
      <c r="M54" s="64">
        <v>98.85</v>
      </c>
      <c r="N54" s="64">
        <v>140.69999999999999</v>
      </c>
      <c r="O54" s="64">
        <v>0</v>
      </c>
      <c r="P54" s="64">
        <v>0.48</v>
      </c>
      <c r="Q54" s="64">
        <v>11.38</v>
      </c>
      <c r="R54" s="198"/>
      <c r="S54" s="198"/>
      <c r="T54" s="198"/>
      <c r="U54" s="198"/>
    </row>
    <row r="55" spans="1:21" s="12" customFormat="1" x14ac:dyDescent="0.25">
      <c r="A55" s="214" t="s">
        <v>2311</v>
      </c>
      <c r="B55" s="64">
        <v>6.07</v>
      </c>
      <c r="C55" s="64">
        <v>13.79</v>
      </c>
      <c r="D55" s="64">
        <v>19.86</v>
      </c>
      <c r="E55" s="64">
        <v>0.25</v>
      </c>
      <c r="F55" s="64">
        <v>0.72</v>
      </c>
      <c r="G55" s="64">
        <v>10.78</v>
      </c>
      <c r="H55" s="64">
        <v>7.82</v>
      </c>
      <c r="I55" s="64">
        <v>1.85</v>
      </c>
      <c r="J55" s="64">
        <v>0.32</v>
      </c>
      <c r="K55" s="64">
        <v>20.399999999999999</v>
      </c>
      <c r="L55" s="64">
        <v>22.28</v>
      </c>
      <c r="M55" s="64">
        <v>98.85</v>
      </c>
      <c r="N55" s="64">
        <v>110.1</v>
      </c>
      <c r="O55" s="64">
        <v>0</v>
      </c>
      <c r="P55" s="64">
        <v>0.49</v>
      </c>
      <c r="Q55" s="64">
        <v>11.05</v>
      </c>
      <c r="R55" s="198"/>
      <c r="S55" s="198"/>
      <c r="T55" s="198"/>
      <c r="U55" s="198"/>
    </row>
    <row r="56" spans="1:21" s="12" customFormat="1" x14ac:dyDescent="0.25">
      <c r="A56" s="214" t="s">
        <v>2312</v>
      </c>
      <c r="B56" s="64">
        <v>6.03</v>
      </c>
      <c r="C56" s="64">
        <v>13.44</v>
      </c>
      <c r="D56" s="64">
        <v>19.47</v>
      </c>
      <c r="E56" s="64">
        <v>0.3</v>
      </c>
      <c r="F56" s="64">
        <v>0.94</v>
      </c>
      <c r="G56" s="64">
        <v>10.78</v>
      </c>
      <c r="H56" s="64">
        <v>7.82</v>
      </c>
      <c r="I56" s="64">
        <v>1.77</v>
      </c>
      <c r="J56" s="64">
        <v>0.43</v>
      </c>
      <c r="K56" s="64">
        <v>23.47</v>
      </c>
      <c r="L56" s="64">
        <v>21.92</v>
      </c>
      <c r="M56" s="64">
        <v>98.85</v>
      </c>
      <c r="N56" s="64">
        <v>133.1</v>
      </c>
      <c r="O56" s="64">
        <v>0</v>
      </c>
      <c r="P56" s="64">
        <v>0.46</v>
      </c>
      <c r="Q56" s="64">
        <v>10.64</v>
      </c>
      <c r="R56" s="198"/>
      <c r="S56" s="198"/>
      <c r="T56" s="198"/>
      <c r="U56" s="198"/>
    </row>
    <row r="57" spans="1:21" s="12" customFormat="1" x14ac:dyDescent="0.25">
      <c r="A57" s="214" t="s">
        <v>2313</v>
      </c>
      <c r="B57" s="64">
        <v>5.71</v>
      </c>
      <c r="C57" s="64">
        <v>13.71</v>
      </c>
      <c r="D57" s="64">
        <v>19.420000000000002</v>
      </c>
      <c r="E57" s="64">
        <v>1.35</v>
      </c>
      <c r="F57" s="64">
        <v>1.35</v>
      </c>
      <c r="G57" s="64">
        <v>10.78</v>
      </c>
      <c r="H57" s="64">
        <v>7.82</v>
      </c>
      <c r="I57" s="64">
        <v>1.78</v>
      </c>
      <c r="J57" s="64">
        <v>0.41</v>
      </c>
      <c r="K57" s="64">
        <v>17.920000000000002</v>
      </c>
      <c r="L57" s="64">
        <v>21.69</v>
      </c>
      <c r="M57" s="64">
        <v>98.85</v>
      </c>
      <c r="N57" s="64">
        <v>87.4</v>
      </c>
      <c r="O57" s="64">
        <v>0</v>
      </c>
      <c r="P57" s="64">
        <v>0.42</v>
      </c>
      <c r="Q57" s="64">
        <v>10.81</v>
      </c>
      <c r="R57" s="198"/>
      <c r="S57" s="198"/>
      <c r="T57" s="198"/>
      <c r="U57" s="198"/>
    </row>
    <row r="58" spans="1:21" s="12" customFormat="1" x14ac:dyDescent="0.25">
      <c r="A58" s="214" t="s">
        <v>2314</v>
      </c>
      <c r="B58" s="64">
        <v>5.47</v>
      </c>
      <c r="C58" s="64">
        <v>14.28</v>
      </c>
      <c r="D58" s="64">
        <v>19.75</v>
      </c>
      <c r="E58" s="64">
        <v>2.19</v>
      </c>
      <c r="F58" s="64">
        <v>1.59</v>
      </c>
      <c r="G58" s="64">
        <v>15.97</v>
      </c>
      <c r="H58" s="64">
        <v>5.58</v>
      </c>
      <c r="I58" s="64">
        <v>1.74</v>
      </c>
      <c r="J58" s="64">
        <v>0.28000000000000003</v>
      </c>
      <c r="K58" s="64">
        <v>11.11</v>
      </c>
      <c r="L58" s="64">
        <v>21.75</v>
      </c>
      <c r="M58" s="64">
        <v>98.85</v>
      </c>
      <c r="N58" s="64">
        <v>147.69999999999999</v>
      </c>
      <c r="O58" s="64">
        <v>0</v>
      </c>
      <c r="P58" s="64">
        <v>0.4</v>
      </c>
      <c r="Q58" s="64">
        <v>10.63</v>
      </c>
      <c r="R58" s="198"/>
      <c r="S58" s="198"/>
      <c r="T58" s="198"/>
      <c r="U58" s="198"/>
    </row>
    <row r="59" spans="1:21" s="12" customFormat="1" x14ac:dyDescent="0.25">
      <c r="A59" s="214" t="s">
        <v>2315</v>
      </c>
      <c r="B59" s="64">
        <v>5.52</v>
      </c>
      <c r="C59" s="64">
        <v>15.21</v>
      </c>
      <c r="D59" s="64">
        <v>20.72</v>
      </c>
      <c r="E59" s="64">
        <v>1.68</v>
      </c>
      <c r="F59" s="64">
        <v>0.91</v>
      </c>
      <c r="G59" s="64">
        <v>16.850000000000001</v>
      </c>
      <c r="H59" s="64">
        <v>5.58</v>
      </c>
      <c r="I59" s="64">
        <v>1.63</v>
      </c>
      <c r="J59" s="64">
        <v>0.24</v>
      </c>
      <c r="K59" s="64">
        <v>359.44</v>
      </c>
      <c r="L59" s="64">
        <v>21.98</v>
      </c>
      <c r="M59" s="64">
        <v>98.85</v>
      </c>
      <c r="N59" s="64">
        <v>141.19999999999999</v>
      </c>
      <c r="O59" s="64">
        <v>0</v>
      </c>
      <c r="P59" s="64">
        <v>0.4</v>
      </c>
      <c r="Q59" s="64">
        <v>11.29</v>
      </c>
      <c r="R59" s="198"/>
      <c r="S59" s="198"/>
      <c r="T59" s="198"/>
      <c r="U59" s="198"/>
    </row>
    <row r="60" spans="1:21" s="12" customFormat="1" x14ac:dyDescent="0.25">
      <c r="A60" s="214" t="s">
        <v>2316</v>
      </c>
      <c r="B60" s="64">
        <v>6.86</v>
      </c>
      <c r="C60" s="64">
        <v>14.93</v>
      </c>
      <c r="D60" s="64">
        <v>21.79</v>
      </c>
      <c r="E60" s="64">
        <v>1.46</v>
      </c>
      <c r="F60" s="64">
        <v>0.56000000000000005</v>
      </c>
      <c r="G60" s="64">
        <v>16.850000000000001</v>
      </c>
      <c r="H60" s="64">
        <v>5.58</v>
      </c>
      <c r="I60" s="64">
        <v>1.63</v>
      </c>
      <c r="J60" s="64">
        <v>0.24</v>
      </c>
      <c r="K60" s="64">
        <v>25.55</v>
      </c>
      <c r="L60" s="64">
        <v>22.22</v>
      </c>
      <c r="M60" s="64">
        <v>98.85</v>
      </c>
      <c r="N60" s="64">
        <v>151.4</v>
      </c>
      <c r="O60" s="64">
        <v>0</v>
      </c>
      <c r="P60" s="64">
        <v>0.44</v>
      </c>
      <c r="Q60" s="64">
        <v>11.26</v>
      </c>
      <c r="R60" s="198"/>
      <c r="S60" s="198"/>
      <c r="T60" s="198"/>
      <c r="U60" s="198"/>
    </row>
    <row r="61" spans="1:21" s="12" customFormat="1" x14ac:dyDescent="0.25">
      <c r="A61" s="214" t="s">
        <v>2317</v>
      </c>
      <c r="B61" s="64">
        <v>6.98</v>
      </c>
      <c r="C61" s="64">
        <v>16.07</v>
      </c>
      <c r="D61" s="64">
        <v>23.05</v>
      </c>
      <c r="E61" s="64">
        <v>1.91</v>
      </c>
      <c r="F61" s="64">
        <v>1.69</v>
      </c>
      <c r="G61" s="64">
        <v>16.850000000000001</v>
      </c>
      <c r="H61" s="64">
        <v>5.58</v>
      </c>
      <c r="I61" s="64">
        <v>1.5</v>
      </c>
      <c r="J61" s="64">
        <v>0.19</v>
      </c>
      <c r="K61" s="64">
        <v>14.01</v>
      </c>
      <c r="L61" s="64">
        <v>22.13</v>
      </c>
      <c r="M61" s="64">
        <v>98.85</v>
      </c>
      <c r="N61" s="64">
        <v>195.2</v>
      </c>
      <c r="O61" s="64">
        <v>0</v>
      </c>
      <c r="P61" s="64">
        <v>0.51</v>
      </c>
      <c r="Q61" s="64">
        <v>10.64</v>
      </c>
      <c r="R61" s="198"/>
      <c r="S61" s="198"/>
      <c r="T61" s="198"/>
      <c r="U61" s="198"/>
    </row>
    <row r="62" spans="1:21" s="12" customFormat="1" x14ac:dyDescent="0.25">
      <c r="A62" s="214" t="s">
        <v>2318</v>
      </c>
      <c r="B62" s="64">
        <v>6.92</v>
      </c>
      <c r="C62" s="64">
        <v>18.440000000000001</v>
      </c>
      <c r="D62" s="64">
        <v>25.36</v>
      </c>
      <c r="E62" s="64">
        <v>1.76</v>
      </c>
      <c r="F62" s="64">
        <v>1.25</v>
      </c>
      <c r="G62" s="64">
        <v>12.82</v>
      </c>
      <c r="H62" s="64">
        <v>4.22</v>
      </c>
      <c r="I62" s="64">
        <v>1.52</v>
      </c>
      <c r="J62" s="64">
        <v>0.2</v>
      </c>
      <c r="K62" s="64">
        <v>7.76</v>
      </c>
      <c r="L62" s="64">
        <v>22.38</v>
      </c>
      <c r="M62" s="64">
        <v>98.85</v>
      </c>
      <c r="N62" s="64">
        <v>129.1</v>
      </c>
      <c r="O62" s="64">
        <v>0</v>
      </c>
      <c r="P62" s="64">
        <v>0.63</v>
      </c>
      <c r="Q62" s="64">
        <v>12.07</v>
      </c>
      <c r="R62" s="198"/>
      <c r="S62" s="198"/>
      <c r="T62" s="198"/>
      <c r="U62" s="198"/>
    </row>
    <row r="63" spans="1:21" s="12" customFormat="1" x14ac:dyDescent="0.25">
      <c r="A63" s="214" t="s">
        <v>2319</v>
      </c>
      <c r="B63" s="64">
        <v>6.72</v>
      </c>
      <c r="C63" s="64">
        <v>18.010000000000002</v>
      </c>
      <c r="D63" s="64">
        <v>24.73</v>
      </c>
      <c r="E63" s="64">
        <v>2.74</v>
      </c>
      <c r="F63" s="64">
        <v>1.02</v>
      </c>
      <c r="G63" s="64">
        <v>12.08</v>
      </c>
      <c r="H63" s="64">
        <v>4.22</v>
      </c>
      <c r="I63" s="64">
        <v>1.56</v>
      </c>
      <c r="J63" s="64">
        <v>0.26</v>
      </c>
      <c r="K63" s="64">
        <v>14.76</v>
      </c>
      <c r="L63" s="64">
        <v>22.43</v>
      </c>
      <c r="M63" s="64">
        <v>98.85</v>
      </c>
      <c r="N63" s="64">
        <v>124.4</v>
      </c>
      <c r="O63" s="64">
        <v>0</v>
      </c>
      <c r="P63" s="64">
        <v>0.64</v>
      </c>
      <c r="Q63" s="64">
        <v>11.77</v>
      </c>
      <c r="R63" s="198"/>
      <c r="S63" s="198"/>
      <c r="T63" s="198"/>
      <c r="U63" s="198"/>
    </row>
    <row r="64" spans="1:21" s="12" customFormat="1" x14ac:dyDescent="0.25">
      <c r="A64" s="214" t="s">
        <v>2320</v>
      </c>
      <c r="B64" s="64">
        <v>6.56</v>
      </c>
      <c r="C64" s="64">
        <v>15.39</v>
      </c>
      <c r="D64" s="64">
        <v>21.95</v>
      </c>
      <c r="E64" s="64">
        <v>1.83</v>
      </c>
      <c r="F64" s="64">
        <v>1.01</v>
      </c>
      <c r="G64" s="64">
        <v>12.08</v>
      </c>
      <c r="H64" s="64">
        <v>4.22</v>
      </c>
      <c r="I64" s="64">
        <v>1.49</v>
      </c>
      <c r="J64" s="64">
        <v>0.23</v>
      </c>
      <c r="K64" s="64">
        <v>0.19</v>
      </c>
      <c r="L64" s="64">
        <v>22.7</v>
      </c>
      <c r="M64" s="64">
        <v>98.85</v>
      </c>
      <c r="N64" s="64">
        <v>127.7</v>
      </c>
      <c r="O64" s="64">
        <v>0</v>
      </c>
      <c r="P64" s="64">
        <v>0.66</v>
      </c>
      <c r="Q64" s="64">
        <v>11.12</v>
      </c>
      <c r="R64" s="198"/>
      <c r="S64" s="198"/>
      <c r="T64" s="198"/>
      <c r="U64" s="198"/>
    </row>
    <row r="65" spans="1:21" s="12" customFormat="1" x14ac:dyDescent="0.25">
      <c r="A65" s="214" t="s">
        <v>2321</v>
      </c>
      <c r="B65" s="64">
        <v>7</v>
      </c>
      <c r="C65" s="64">
        <v>14.21</v>
      </c>
      <c r="D65" s="64">
        <v>21.21</v>
      </c>
      <c r="E65" s="64">
        <v>2.09</v>
      </c>
      <c r="F65" s="64">
        <v>0.16</v>
      </c>
      <c r="G65" s="64">
        <v>12.08</v>
      </c>
      <c r="H65" s="64">
        <v>4.22</v>
      </c>
      <c r="I65" s="64">
        <v>1.45</v>
      </c>
      <c r="J65" s="64">
        <v>0.35</v>
      </c>
      <c r="K65" s="64">
        <v>24.46</v>
      </c>
      <c r="L65" s="64">
        <v>22.69</v>
      </c>
      <c r="M65" s="64">
        <v>98.84</v>
      </c>
      <c r="N65" s="64">
        <v>99.2</v>
      </c>
      <c r="O65" s="64">
        <v>0</v>
      </c>
      <c r="P65" s="64">
        <v>0.67</v>
      </c>
      <c r="Q65" s="64">
        <v>11.48</v>
      </c>
      <c r="R65" s="198"/>
      <c r="S65" s="198"/>
      <c r="T65" s="198"/>
      <c r="U65" s="198"/>
    </row>
    <row r="66" spans="1:21" s="12" customFormat="1" x14ac:dyDescent="0.25">
      <c r="A66" s="214" t="s">
        <v>2322</v>
      </c>
      <c r="B66" s="64">
        <v>7.15</v>
      </c>
      <c r="C66" s="64">
        <v>13.67</v>
      </c>
      <c r="D66" s="64">
        <v>20.81</v>
      </c>
      <c r="E66" s="64">
        <v>1.86</v>
      </c>
      <c r="F66" s="64">
        <v>1.06</v>
      </c>
      <c r="G66" s="64">
        <v>13.19</v>
      </c>
      <c r="H66" s="64">
        <v>5.0999999999999996</v>
      </c>
      <c r="I66" s="64">
        <v>1.55</v>
      </c>
      <c r="J66" s="64">
        <v>0.24</v>
      </c>
      <c r="K66" s="64">
        <v>13.95</v>
      </c>
      <c r="L66" s="64">
        <v>22.52</v>
      </c>
      <c r="M66" s="64">
        <v>98.83</v>
      </c>
      <c r="N66" s="64">
        <v>87.9</v>
      </c>
      <c r="O66" s="64">
        <v>0</v>
      </c>
      <c r="P66" s="64">
        <v>0.75</v>
      </c>
      <c r="Q66" s="64">
        <v>10.65</v>
      </c>
      <c r="R66" s="198"/>
      <c r="S66" s="198"/>
      <c r="T66" s="198"/>
      <c r="U66" s="198"/>
    </row>
    <row r="67" spans="1:21" s="12" customFormat="1" x14ac:dyDescent="0.25">
      <c r="A67" s="214" t="s">
        <v>2323</v>
      </c>
      <c r="B67" s="64">
        <v>7.98</v>
      </c>
      <c r="C67" s="64">
        <v>13.88</v>
      </c>
      <c r="D67" s="64">
        <v>21.86</v>
      </c>
      <c r="E67" s="64">
        <v>2.1800000000000002</v>
      </c>
      <c r="F67" s="64">
        <v>0.4</v>
      </c>
      <c r="G67" s="64">
        <v>13.37</v>
      </c>
      <c r="H67" s="64">
        <v>5.0999999999999996</v>
      </c>
      <c r="I67" s="64">
        <v>1.44</v>
      </c>
      <c r="J67" s="64">
        <v>0.3</v>
      </c>
      <c r="K67" s="64">
        <v>358.8</v>
      </c>
      <c r="L67" s="64">
        <v>22.39</v>
      </c>
      <c r="M67" s="64">
        <v>98.83</v>
      </c>
      <c r="N67" s="64">
        <v>54.3</v>
      </c>
      <c r="O67" s="64">
        <v>0</v>
      </c>
      <c r="P67" s="64">
        <v>0.81</v>
      </c>
      <c r="Q67" s="64">
        <v>11.78</v>
      </c>
      <c r="R67" s="198"/>
      <c r="S67" s="198"/>
      <c r="T67" s="198"/>
      <c r="U67" s="198"/>
    </row>
    <row r="68" spans="1:21" s="12" customFormat="1" x14ac:dyDescent="0.25">
      <c r="A68" s="214" t="s">
        <v>2324</v>
      </c>
      <c r="B68" s="64">
        <v>8.2899999999999991</v>
      </c>
      <c r="C68" s="64">
        <v>15.09</v>
      </c>
      <c r="D68" s="64">
        <v>23.38</v>
      </c>
      <c r="E68" s="64">
        <v>1.7</v>
      </c>
      <c r="F68" s="64">
        <v>0.91</v>
      </c>
      <c r="G68" s="64">
        <v>13.37</v>
      </c>
      <c r="H68" s="64">
        <v>5.0999999999999996</v>
      </c>
      <c r="I68" s="64">
        <v>1.48</v>
      </c>
      <c r="J68" s="64">
        <v>0.19</v>
      </c>
      <c r="K68" s="64">
        <v>4.4000000000000004</v>
      </c>
      <c r="L68" s="64">
        <v>22.51</v>
      </c>
      <c r="M68" s="64">
        <v>98.83</v>
      </c>
      <c r="N68" s="64">
        <v>48.1</v>
      </c>
      <c r="O68" s="64">
        <v>0</v>
      </c>
      <c r="P68" s="64">
        <v>0.84</v>
      </c>
      <c r="Q68" s="64">
        <v>11.12</v>
      </c>
      <c r="R68" s="198"/>
      <c r="S68" s="198"/>
      <c r="T68" s="198"/>
      <c r="U68" s="198"/>
    </row>
    <row r="69" spans="1:21" s="12" customFormat="1" x14ac:dyDescent="0.25">
      <c r="A69" s="214" t="s">
        <v>2325</v>
      </c>
      <c r="B69" s="64">
        <v>10.49</v>
      </c>
      <c r="C69" s="64">
        <v>15.98</v>
      </c>
      <c r="D69" s="64">
        <v>26.47</v>
      </c>
      <c r="E69" s="64">
        <v>2.09</v>
      </c>
      <c r="F69" s="64">
        <v>0.78</v>
      </c>
      <c r="G69" s="64">
        <v>13.37</v>
      </c>
      <c r="H69" s="64">
        <v>5.0999999999999996</v>
      </c>
      <c r="I69" s="64">
        <v>1.52</v>
      </c>
      <c r="J69" s="64">
        <v>0.38</v>
      </c>
      <c r="K69" s="64">
        <v>325.82</v>
      </c>
      <c r="L69" s="64">
        <v>22.57</v>
      </c>
      <c r="M69" s="64">
        <v>98.83</v>
      </c>
      <c r="N69" s="64">
        <v>32.6</v>
      </c>
      <c r="O69" s="64">
        <v>0</v>
      </c>
      <c r="P69" s="64">
        <v>0.84</v>
      </c>
      <c r="Q69" s="64">
        <v>12.08</v>
      </c>
      <c r="R69" s="198"/>
      <c r="S69" s="198"/>
      <c r="T69" s="198"/>
      <c r="U69" s="198"/>
    </row>
    <row r="70" spans="1:21" s="12" customFormat="1" x14ac:dyDescent="0.25">
      <c r="A70" s="214" t="s">
        <v>2326</v>
      </c>
      <c r="B70" s="64">
        <v>10.74</v>
      </c>
      <c r="C70" s="64">
        <v>14.82</v>
      </c>
      <c r="D70" s="64">
        <v>25.56</v>
      </c>
      <c r="E70" s="64">
        <v>1.86</v>
      </c>
      <c r="F70" s="64">
        <v>1.48</v>
      </c>
      <c r="G70" s="64">
        <v>9.9600000000000009</v>
      </c>
      <c r="H70" s="64">
        <v>4.49</v>
      </c>
      <c r="I70" s="64">
        <v>1.5</v>
      </c>
      <c r="J70" s="64">
        <v>0.46</v>
      </c>
      <c r="K70" s="64">
        <v>328.81</v>
      </c>
      <c r="L70" s="64">
        <v>22.59</v>
      </c>
      <c r="M70" s="64">
        <v>98.83</v>
      </c>
      <c r="N70" s="64">
        <v>48.9</v>
      </c>
      <c r="O70" s="64">
        <v>0</v>
      </c>
      <c r="P70" s="64">
        <v>0.85</v>
      </c>
      <c r="Q70" s="64">
        <v>11.81</v>
      </c>
      <c r="R70" s="198"/>
      <c r="S70" s="198"/>
      <c r="T70" s="198"/>
      <c r="U70" s="198"/>
    </row>
    <row r="71" spans="1:21" s="12" customFormat="1" x14ac:dyDescent="0.25">
      <c r="A71" s="214" t="s">
        <v>2327</v>
      </c>
      <c r="B71" s="64">
        <v>10.97</v>
      </c>
      <c r="C71" s="64">
        <v>14.86</v>
      </c>
      <c r="D71" s="64">
        <v>26.07</v>
      </c>
      <c r="E71" s="64">
        <v>1.78</v>
      </c>
      <c r="F71" s="64">
        <v>0.74</v>
      </c>
      <c r="G71" s="64">
        <v>9.39</v>
      </c>
      <c r="H71" s="64">
        <v>4.49</v>
      </c>
      <c r="I71" s="64">
        <v>1.58</v>
      </c>
      <c r="J71" s="64">
        <v>0.3</v>
      </c>
      <c r="K71" s="64">
        <v>359.08</v>
      </c>
      <c r="L71" s="64">
        <v>23.03</v>
      </c>
      <c r="M71" s="64">
        <v>98.82</v>
      </c>
      <c r="N71" s="64">
        <v>100.5</v>
      </c>
      <c r="O71" s="64">
        <v>0</v>
      </c>
      <c r="P71" s="64">
        <v>0.83</v>
      </c>
      <c r="Q71" s="64">
        <v>0</v>
      </c>
      <c r="R71" s="198"/>
      <c r="S71" s="198"/>
      <c r="T71" s="198"/>
      <c r="U71" s="198"/>
    </row>
    <row r="72" spans="1:21" s="12" customFormat="1" x14ac:dyDescent="0.25">
      <c r="A72" s="214" t="s">
        <v>2328</v>
      </c>
      <c r="B72" s="64">
        <v>11</v>
      </c>
      <c r="C72" s="64">
        <v>14.46</v>
      </c>
      <c r="D72" s="64">
        <v>25.46</v>
      </c>
      <c r="E72" s="64">
        <v>0.56000000000000005</v>
      </c>
      <c r="F72" s="64">
        <v>0.92</v>
      </c>
      <c r="G72" s="64">
        <v>9.39</v>
      </c>
      <c r="H72" s="64">
        <v>4.49</v>
      </c>
      <c r="I72" s="64">
        <v>1.5</v>
      </c>
      <c r="J72" s="64">
        <v>0.26</v>
      </c>
      <c r="K72" s="64">
        <v>353.13</v>
      </c>
      <c r="L72" s="64">
        <v>23.21</v>
      </c>
      <c r="M72" s="64">
        <v>98.81</v>
      </c>
      <c r="N72" s="64">
        <v>96.2</v>
      </c>
      <c r="O72" s="64">
        <v>0</v>
      </c>
      <c r="P72" s="64">
        <v>0.81</v>
      </c>
      <c r="Q72" s="64">
        <v>12.61</v>
      </c>
      <c r="R72" s="198"/>
      <c r="S72" s="198"/>
      <c r="T72" s="198"/>
      <c r="U72" s="198"/>
    </row>
    <row r="73" spans="1:21" s="12" customFormat="1" x14ac:dyDescent="0.25">
      <c r="A73" s="214" t="s">
        <v>2329</v>
      </c>
      <c r="B73" s="64">
        <v>10.88</v>
      </c>
      <c r="C73" s="64">
        <v>14.11</v>
      </c>
      <c r="D73" s="64">
        <v>24.98</v>
      </c>
      <c r="E73" s="64">
        <v>0.99</v>
      </c>
      <c r="F73" s="64">
        <v>0.98</v>
      </c>
      <c r="G73" s="64">
        <v>9.39</v>
      </c>
      <c r="H73" s="64">
        <v>4.49</v>
      </c>
      <c r="I73" s="64">
        <v>1.46</v>
      </c>
      <c r="J73" s="64">
        <v>0.13</v>
      </c>
      <c r="K73" s="64">
        <v>12.18</v>
      </c>
      <c r="L73" s="64">
        <v>22.94</v>
      </c>
      <c r="M73" s="64">
        <v>98.81</v>
      </c>
      <c r="N73" s="64">
        <v>55.8</v>
      </c>
      <c r="O73" s="64">
        <v>0</v>
      </c>
      <c r="P73" s="64">
        <v>0.83</v>
      </c>
      <c r="Q73" s="64">
        <v>11.98</v>
      </c>
      <c r="R73" s="198"/>
      <c r="S73" s="198"/>
      <c r="T73" s="198"/>
      <c r="U73" s="198"/>
    </row>
    <row r="74" spans="1:21" s="12" customFormat="1" x14ac:dyDescent="0.25">
      <c r="A74" s="214" t="s">
        <v>2330</v>
      </c>
      <c r="B74" s="64">
        <v>14.09</v>
      </c>
      <c r="C74" s="64">
        <v>16.100000000000001</v>
      </c>
      <c r="D74" s="64">
        <v>30.2</v>
      </c>
      <c r="E74" s="64">
        <v>1.24</v>
      </c>
      <c r="F74" s="64">
        <v>0.6</v>
      </c>
      <c r="G74" s="64">
        <v>16.010000000000002</v>
      </c>
      <c r="H74" s="64">
        <v>6.96</v>
      </c>
      <c r="I74" s="64">
        <v>1.43</v>
      </c>
      <c r="J74" s="64">
        <v>0.14000000000000001</v>
      </c>
      <c r="K74" s="64">
        <v>10.199999999999999</v>
      </c>
      <c r="L74" s="64">
        <v>22.74</v>
      </c>
      <c r="M74" s="64">
        <v>98.82</v>
      </c>
      <c r="N74" s="64">
        <v>29.3</v>
      </c>
      <c r="O74" s="64">
        <v>0</v>
      </c>
      <c r="P74" s="64">
        <v>0.84</v>
      </c>
      <c r="Q74" s="64">
        <v>12.42</v>
      </c>
      <c r="R74" s="198"/>
      <c r="S74" s="198"/>
      <c r="T74" s="198"/>
      <c r="U74" s="198"/>
    </row>
    <row r="75" spans="1:21" s="12" customFormat="1" x14ac:dyDescent="0.25">
      <c r="A75" s="214" t="s">
        <v>2331</v>
      </c>
      <c r="B75" s="64">
        <v>12.19</v>
      </c>
      <c r="C75" s="64">
        <v>14.7</v>
      </c>
      <c r="D75" s="64">
        <v>26.89</v>
      </c>
      <c r="E75" s="64">
        <v>1.1000000000000001</v>
      </c>
      <c r="F75" s="64">
        <v>1.1299999999999999</v>
      </c>
      <c r="G75" s="64">
        <v>17.23</v>
      </c>
      <c r="H75" s="64">
        <v>6.96</v>
      </c>
      <c r="I75" s="64">
        <v>1.47</v>
      </c>
      <c r="J75" s="64">
        <v>0.25</v>
      </c>
      <c r="K75" s="64">
        <v>15.98</v>
      </c>
      <c r="L75" s="64">
        <v>22.53</v>
      </c>
      <c r="M75" s="64">
        <v>98.83</v>
      </c>
      <c r="N75" s="64">
        <v>28</v>
      </c>
      <c r="O75" s="64">
        <v>0</v>
      </c>
      <c r="P75" s="64">
        <v>0.82</v>
      </c>
      <c r="Q75" s="64">
        <v>12.05</v>
      </c>
      <c r="R75" s="198"/>
      <c r="S75" s="198"/>
      <c r="T75" s="198"/>
      <c r="U75" s="198"/>
    </row>
    <row r="76" spans="1:21" s="12" customFormat="1" x14ac:dyDescent="0.25">
      <c r="A76" s="214" t="s">
        <v>2332</v>
      </c>
      <c r="B76" s="64">
        <v>11.14</v>
      </c>
      <c r="C76" s="64">
        <v>14.34</v>
      </c>
      <c r="D76" s="64">
        <v>25.47</v>
      </c>
      <c r="E76" s="64">
        <v>1.36</v>
      </c>
      <c r="F76" s="64">
        <v>0.46</v>
      </c>
      <c r="G76" s="64">
        <v>17.23</v>
      </c>
      <c r="H76" s="64">
        <v>6.96</v>
      </c>
      <c r="I76" s="64">
        <v>1.51</v>
      </c>
      <c r="J76" s="64">
        <v>0.24</v>
      </c>
      <c r="K76" s="64">
        <v>4.03</v>
      </c>
      <c r="L76" s="64">
        <v>22.56</v>
      </c>
      <c r="M76" s="64">
        <v>98.83</v>
      </c>
      <c r="N76" s="64">
        <v>29.2</v>
      </c>
      <c r="O76" s="64">
        <v>0</v>
      </c>
      <c r="P76" s="64">
        <v>0.81</v>
      </c>
      <c r="Q76" s="64">
        <v>12.37</v>
      </c>
      <c r="R76" s="198"/>
      <c r="S76" s="198"/>
      <c r="T76" s="198"/>
      <c r="U76" s="198"/>
    </row>
    <row r="77" spans="1:21" s="12" customFormat="1" x14ac:dyDescent="0.25">
      <c r="A77" s="214" t="s">
        <v>2333</v>
      </c>
      <c r="B77" s="64">
        <v>11</v>
      </c>
      <c r="C77" s="64">
        <v>14.25</v>
      </c>
      <c r="D77" s="64">
        <v>25.24</v>
      </c>
      <c r="E77" s="64">
        <v>1.35</v>
      </c>
      <c r="F77" s="64">
        <v>0.65</v>
      </c>
      <c r="G77" s="64">
        <v>17.23</v>
      </c>
      <c r="H77" s="64">
        <v>6.96</v>
      </c>
      <c r="I77" s="64">
        <v>1.51</v>
      </c>
      <c r="J77" s="64">
        <v>0.16</v>
      </c>
      <c r="K77" s="64">
        <v>16.38</v>
      </c>
      <c r="L77" s="64">
        <v>22.56</v>
      </c>
      <c r="M77" s="64">
        <v>98.83</v>
      </c>
      <c r="N77" s="64">
        <v>33</v>
      </c>
      <c r="O77" s="64">
        <v>0</v>
      </c>
      <c r="P77" s="64">
        <v>0.78</v>
      </c>
      <c r="Q77" s="64">
        <v>11.76</v>
      </c>
      <c r="R77" s="198"/>
      <c r="S77" s="198"/>
      <c r="T77" s="198"/>
      <c r="U77" s="198"/>
    </row>
    <row r="78" spans="1:21" s="12" customFormat="1" x14ac:dyDescent="0.25">
      <c r="A78" s="214" t="s">
        <v>2334</v>
      </c>
      <c r="B78" s="64">
        <v>11.07</v>
      </c>
      <c r="C78" s="64">
        <v>14.06</v>
      </c>
      <c r="D78" s="64">
        <v>25.12</v>
      </c>
      <c r="E78" s="64">
        <v>1.39</v>
      </c>
      <c r="F78" s="64">
        <v>1.26</v>
      </c>
      <c r="G78" s="64">
        <v>20.7</v>
      </c>
      <c r="H78" s="64">
        <v>6.46</v>
      </c>
      <c r="I78" s="64">
        <v>1.5</v>
      </c>
      <c r="J78" s="64">
        <v>0.16</v>
      </c>
      <c r="K78" s="64">
        <v>23.27</v>
      </c>
      <c r="L78" s="64">
        <v>22.43</v>
      </c>
      <c r="M78" s="64">
        <v>98.82</v>
      </c>
      <c r="N78" s="64">
        <v>25.2</v>
      </c>
      <c r="O78" s="64">
        <v>0</v>
      </c>
      <c r="P78" s="64">
        <v>0.79</v>
      </c>
      <c r="Q78" s="64">
        <v>11.32</v>
      </c>
      <c r="R78" s="198"/>
      <c r="S78" s="198"/>
      <c r="T78" s="198"/>
      <c r="U78" s="198"/>
    </row>
    <row r="79" spans="1:21" s="12" customFormat="1" x14ac:dyDescent="0.25">
      <c r="A79" s="214" t="s">
        <v>2335</v>
      </c>
      <c r="B79" s="64">
        <v>11.94</v>
      </c>
      <c r="C79" s="64">
        <v>14.07</v>
      </c>
      <c r="D79" s="64">
        <v>26.01</v>
      </c>
      <c r="E79" s="64">
        <v>1.39</v>
      </c>
      <c r="F79" s="64">
        <v>0.22</v>
      </c>
      <c r="G79" s="64">
        <v>21.28</v>
      </c>
      <c r="H79" s="64">
        <v>6.46</v>
      </c>
      <c r="I79" s="64">
        <v>1.48</v>
      </c>
      <c r="J79" s="64">
        <v>0.13</v>
      </c>
      <c r="K79" s="64">
        <v>12.33</v>
      </c>
      <c r="L79" s="64">
        <v>22.38</v>
      </c>
      <c r="M79" s="64">
        <v>98.83</v>
      </c>
      <c r="N79" s="64">
        <v>17.100000000000001</v>
      </c>
      <c r="O79" s="64">
        <v>0</v>
      </c>
      <c r="P79" s="64">
        <v>0.78</v>
      </c>
      <c r="Q79" s="64">
        <v>12.29</v>
      </c>
      <c r="R79" s="198"/>
      <c r="S79" s="198"/>
      <c r="T79" s="198"/>
      <c r="U79" s="198"/>
    </row>
    <row r="80" spans="1:21" s="12" customFormat="1" x14ac:dyDescent="0.25">
      <c r="A80" s="214" t="s">
        <v>2336</v>
      </c>
      <c r="B80" s="64">
        <v>12.7</v>
      </c>
      <c r="C80" s="64">
        <v>13.75</v>
      </c>
      <c r="D80" s="64">
        <v>26.44</v>
      </c>
      <c r="E80" s="64">
        <v>1.0900000000000001</v>
      </c>
      <c r="F80" s="64">
        <v>0.54</v>
      </c>
      <c r="G80" s="64">
        <v>21.28</v>
      </c>
      <c r="H80" s="64">
        <v>6.46</v>
      </c>
      <c r="I80" s="64">
        <v>1.47</v>
      </c>
      <c r="J80" s="64">
        <v>0.11</v>
      </c>
      <c r="K80" s="64">
        <v>4.09</v>
      </c>
      <c r="L80" s="64">
        <v>22.35</v>
      </c>
      <c r="M80" s="64">
        <v>98.82</v>
      </c>
      <c r="N80" s="64">
        <v>11</v>
      </c>
      <c r="O80" s="64">
        <v>0</v>
      </c>
      <c r="P80" s="64">
        <v>0.8</v>
      </c>
      <c r="Q80" s="64">
        <v>11.9</v>
      </c>
      <c r="R80" s="198"/>
      <c r="S80" s="198"/>
      <c r="T80" s="198"/>
      <c r="U80" s="198"/>
    </row>
    <row r="81" spans="1:26" s="12" customFormat="1" x14ac:dyDescent="0.25">
      <c r="A81" s="214" t="s">
        <v>2337</v>
      </c>
      <c r="B81" s="64">
        <v>13.38</v>
      </c>
      <c r="C81" s="64">
        <v>13.71</v>
      </c>
      <c r="D81" s="64">
        <v>27.09</v>
      </c>
      <c r="E81" s="64">
        <v>1.3</v>
      </c>
      <c r="F81" s="64">
        <v>0.47</v>
      </c>
      <c r="G81" s="64">
        <v>21.28</v>
      </c>
      <c r="H81" s="64">
        <v>6.46</v>
      </c>
      <c r="I81" s="64">
        <v>1.49</v>
      </c>
      <c r="J81" s="64">
        <v>0.15</v>
      </c>
      <c r="K81" s="64">
        <v>336.05</v>
      </c>
      <c r="L81" s="64">
        <v>22.3</v>
      </c>
      <c r="M81" s="64">
        <v>98.83</v>
      </c>
      <c r="N81" s="64">
        <v>9.9</v>
      </c>
      <c r="O81" s="64">
        <v>0</v>
      </c>
      <c r="P81" s="64">
        <v>0.83</v>
      </c>
      <c r="Q81" s="64">
        <v>12.28</v>
      </c>
      <c r="R81" s="198"/>
      <c r="S81" s="198"/>
      <c r="T81" s="198"/>
      <c r="U81" s="198"/>
    </row>
    <row r="82" spans="1:26" s="12" customFormat="1" x14ac:dyDescent="0.25">
      <c r="A82" s="214" t="s">
        <v>2338</v>
      </c>
      <c r="B82" s="64">
        <v>15.03</v>
      </c>
      <c r="C82" s="64">
        <v>15.06</v>
      </c>
      <c r="D82" s="64">
        <v>30.08</v>
      </c>
      <c r="E82" s="64">
        <v>1.1100000000000001</v>
      </c>
      <c r="F82" s="64">
        <v>0.49</v>
      </c>
      <c r="G82" s="64">
        <v>21.57</v>
      </c>
      <c r="H82" s="64">
        <v>4.99</v>
      </c>
      <c r="I82" s="64">
        <v>1.52</v>
      </c>
      <c r="J82" s="64">
        <v>0.32</v>
      </c>
      <c r="K82" s="64">
        <v>324.47000000000003</v>
      </c>
      <c r="L82" s="64">
        <v>22.18</v>
      </c>
      <c r="M82" s="64">
        <v>98.84</v>
      </c>
      <c r="N82" s="64">
        <v>9.6999999999999993</v>
      </c>
      <c r="O82" s="64">
        <v>0</v>
      </c>
      <c r="P82" s="64">
        <v>0.86</v>
      </c>
      <c r="Q82" s="64">
        <v>12.53</v>
      </c>
      <c r="R82" s="198"/>
      <c r="S82" s="198"/>
      <c r="T82" s="198"/>
      <c r="U82" s="198"/>
    </row>
    <row r="83" spans="1:26" s="12" customFormat="1" x14ac:dyDescent="0.25">
      <c r="A83" s="214" t="s">
        <v>2339</v>
      </c>
      <c r="B83" s="64">
        <v>18.079999999999998</v>
      </c>
      <c r="C83" s="64">
        <v>17.3</v>
      </c>
      <c r="D83" s="64">
        <v>35.369999999999997</v>
      </c>
      <c r="E83" s="64">
        <v>1.6</v>
      </c>
      <c r="F83" s="64">
        <v>0.62</v>
      </c>
      <c r="G83" s="64">
        <v>21.62</v>
      </c>
      <c r="H83" s="64">
        <v>4.99</v>
      </c>
      <c r="I83" s="64">
        <v>1.46</v>
      </c>
      <c r="J83" s="64">
        <v>0.24</v>
      </c>
      <c r="K83" s="64">
        <v>322.62</v>
      </c>
      <c r="L83" s="64">
        <v>22.09</v>
      </c>
      <c r="M83" s="64">
        <v>98.83</v>
      </c>
      <c r="N83" s="64">
        <v>9.8000000000000007</v>
      </c>
      <c r="O83" s="64">
        <v>0</v>
      </c>
      <c r="P83" s="64">
        <v>0.97</v>
      </c>
      <c r="Q83" s="64">
        <v>13.3</v>
      </c>
      <c r="R83" s="198"/>
      <c r="S83" s="198"/>
      <c r="T83" s="198"/>
      <c r="U83" s="198"/>
    </row>
    <row r="84" spans="1:26" s="12" customFormat="1" x14ac:dyDescent="0.25">
      <c r="A84" s="214" t="s">
        <v>2340</v>
      </c>
      <c r="B84" s="64">
        <v>17.68</v>
      </c>
      <c r="C84" s="64">
        <v>15.78</v>
      </c>
      <c r="D84" s="64">
        <v>33.450000000000003</v>
      </c>
      <c r="E84" s="64">
        <v>1.65</v>
      </c>
      <c r="F84" s="64">
        <v>0.96</v>
      </c>
      <c r="G84" s="64">
        <v>21.62</v>
      </c>
      <c r="H84" s="64">
        <v>4.99</v>
      </c>
      <c r="I84" s="64">
        <v>1.47</v>
      </c>
      <c r="J84" s="64">
        <v>0.09</v>
      </c>
      <c r="K84" s="64">
        <v>6.23</v>
      </c>
      <c r="L84" s="64">
        <v>22.03</v>
      </c>
      <c r="M84" s="64">
        <v>98.83</v>
      </c>
      <c r="N84" s="64">
        <v>9.6</v>
      </c>
      <c r="O84" s="64">
        <v>0</v>
      </c>
      <c r="P84" s="64">
        <v>0.94</v>
      </c>
      <c r="Q84" s="64">
        <v>13.37</v>
      </c>
      <c r="R84" s="198"/>
      <c r="S84" s="198"/>
      <c r="T84" s="198"/>
      <c r="U84" s="198"/>
    </row>
    <row r="85" spans="1:26" s="12" customFormat="1" x14ac:dyDescent="0.25">
      <c r="A85" s="214" t="s">
        <v>2341</v>
      </c>
      <c r="B85" s="64">
        <v>18.36</v>
      </c>
      <c r="C85" s="64">
        <v>15.49</v>
      </c>
      <c r="D85" s="64">
        <v>33.54</v>
      </c>
      <c r="E85" s="64">
        <v>1.41</v>
      </c>
      <c r="F85" s="64">
        <v>1.32</v>
      </c>
      <c r="G85" s="64">
        <v>21.62</v>
      </c>
      <c r="H85" s="64">
        <v>4.99</v>
      </c>
      <c r="I85" s="64">
        <v>1.49</v>
      </c>
      <c r="J85" s="64">
        <v>0.08</v>
      </c>
      <c r="K85" s="64">
        <v>355.46</v>
      </c>
      <c r="L85" s="64">
        <v>22.02</v>
      </c>
      <c r="M85" s="64">
        <v>98.82</v>
      </c>
      <c r="N85" s="64">
        <v>9.5</v>
      </c>
      <c r="O85" s="64">
        <v>0</v>
      </c>
      <c r="P85" s="64">
        <v>0.92</v>
      </c>
      <c r="Q85" s="64">
        <v>13.58</v>
      </c>
      <c r="R85" s="198"/>
      <c r="S85" s="198"/>
      <c r="T85" s="198"/>
      <c r="U85" s="198"/>
    </row>
    <row r="86" spans="1:26" s="12" customFormat="1" x14ac:dyDescent="0.25">
      <c r="A86" s="214" t="s">
        <v>2342</v>
      </c>
      <c r="B86" s="64">
        <v>16.8</v>
      </c>
      <c r="C86" s="64">
        <v>14.77</v>
      </c>
      <c r="D86" s="64">
        <v>31.56</v>
      </c>
      <c r="E86" s="64">
        <v>1.18</v>
      </c>
      <c r="F86" s="64">
        <v>0.76</v>
      </c>
      <c r="G86" s="64">
        <v>27.42</v>
      </c>
      <c r="H86" s="64">
        <v>6.61</v>
      </c>
      <c r="I86" s="64">
        <v>1.51</v>
      </c>
      <c r="J86" s="64">
        <v>0.03</v>
      </c>
      <c r="K86" s="64">
        <v>251.2</v>
      </c>
      <c r="L86" s="64">
        <v>21.98</v>
      </c>
      <c r="M86" s="64">
        <v>98.83</v>
      </c>
      <c r="N86" s="64">
        <v>9.5</v>
      </c>
      <c r="O86" s="64">
        <v>0</v>
      </c>
      <c r="P86" s="64">
        <v>0.92</v>
      </c>
      <c r="Q86" s="64">
        <v>14.16</v>
      </c>
      <c r="R86" s="198"/>
      <c r="S86" s="198"/>
      <c r="T86" s="198"/>
      <c r="U86" s="198"/>
    </row>
    <row r="87" spans="1:26" s="12" customFormat="1" x14ac:dyDescent="0.25">
      <c r="A87" s="214" t="s">
        <v>2343</v>
      </c>
      <c r="B87" s="64">
        <v>15.6</v>
      </c>
      <c r="C87" s="64">
        <v>18.07</v>
      </c>
      <c r="D87" s="64">
        <v>33.67</v>
      </c>
      <c r="E87" s="64">
        <v>1.7</v>
      </c>
      <c r="F87" s="64">
        <v>0.68</v>
      </c>
      <c r="G87" s="64">
        <v>28.4</v>
      </c>
      <c r="H87" s="64">
        <v>6.61</v>
      </c>
      <c r="I87" s="64">
        <v>1.42</v>
      </c>
      <c r="J87" s="64">
        <v>0.1</v>
      </c>
      <c r="K87" s="64">
        <v>210.06</v>
      </c>
      <c r="L87" s="64">
        <v>21.86</v>
      </c>
      <c r="M87" s="64">
        <v>98.84</v>
      </c>
      <c r="N87" s="64">
        <v>9.5</v>
      </c>
      <c r="O87" s="64">
        <v>0</v>
      </c>
      <c r="P87" s="64">
        <v>0.92</v>
      </c>
      <c r="Q87" s="64">
        <v>13.63</v>
      </c>
      <c r="R87" s="198"/>
      <c r="S87" s="198"/>
      <c r="T87" s="198"/>
      <c r="U87" s="198"/>
    </row>
    <row r="88" spans="1:26" s="12" customFormat="1" x14ac:dyDescent="0.25">
      <c r="A88" s="214" t="s">
        <v>2344</v>
      </c>
      <c r="B88" s="64">
        <v>16.52</v>
      </c>
      <c r="C88" s="64">
        <v>13.08</v>
      </c>
      <c r="D88" s="64">
        <v>29.59</v>
      </c>
      <c r="E88" s="64">
        <v>0.69</v>
      </c>
      <c r="F88" s="64">
        <v>0.56000000000000005</v>
      </c>
      <c r="G88" s="64">
        <v>28.4</v>
      </c>
      <c r="H88" s="64">
        <v>6.61</v>
      </c>
      <c r="I88" s="64">
        <v>1.5</v>
      </c>
      <c r="J88" s="64">
        <v>0.18</v>
      </c>
      <c r="K88" s="64">
        <v>196.7</v>
      </c>
      <c r="L88" s="64">
        <v>21.77</v>
      </c>
      <c r="M88" s="64">
        <v>98.85</v>
      </c>
      <c r="N88" s="64">
        <v>9.6999999999999993</v>
      </c>
      <c r="O88" s="64">
        <v>0</v>
      </c>
      <c r="P88" s="64">
        <v>0.91</v>
      </c>
      <c r="Q88" s="64">
        <v>13.26</v>
      </c>
      <c r="R88" s="198"/>
      <c r="S88" s="198"/>
      <c r="T88" s="198"/>
      <c r="U88" s="198"/>
    </row>
    <row r="89" spans="1:26" s="12" customFormat="1" x14ac:dyDescent="0.25">
      <c r="A89" s="214" t="s">
        <v>2345</v>
      </c>
      <c r="B89" s="64">
        <v>16.41</v>
      </c>
      <c r="C89" s="64">
        <v>12.21</v>
      </c>
      <c r="D89" s="64">
        <v>28.63</v>
      </c>
      <c r="E89" s="64">
        <v>1.79</v>
      </c>
      <c r="F89" s="64">
        <v>0.28999999999999998</v>
      </c>
      <c r="G89" s="64">
        <v>28.4</v>
      </c>
      <c r="H89" s="64">
        <v>6.61</v>
      </c>
      <c r="I89" s="64">
        <v>1.56</v>
      </c>
      <c r="J89" s="64">
        <v>0.16</v>
      </c>
      <c r="K89" s="64">
        <v>195.49</v>
      </c>
      <c r="L89" s="64">
        <v>21.67</v>
      </c>
      <c r="M89" s="64">
        <v>98.85</v>
      </c>
      <c r="N89" s="64">
        <v>9.9</v>
      </c>
      <c r="O89" s="64">
        <v>0</v>
      </c>
      <c r="P89" s="64">
        <v>0.88</v>
      </c>
      <c r="Q89" s="64">
        <v>14.04</v>
      </c>
      <c r="R89" s="198"/>
      <c r="S89" s="198"/>
      <c r="T89" s="198"/>
      <c r="U89" s="198"/>
    </row>
    <row r="90" spans="1:26" s="12" customFormat="1" x14ac:dyDescent="0.25">
      <c r="A90" s="214" t="s">
        <v>2346</v>
      </c>
      <c r="B90" s="64">
        <v>16.05</v>
      </c>
      <c r="C90" s="64">
        <v>11.04</v>
      </c>
      <c r="D90" s="64">
        <v>27.09</v>
      </c>
      <c r="E90" s="64">
        <v>1.61</v>
      </c>
      <c r="F90" s="64">
        <v>0.5</v>
      </c>
      <c r="G90" s="64">
        <v>27.5</v>
      </c>
      <c r="H90" s="64">
        <v>8.9700000000000006</v>
      </c>
      <c r="I90" s="64">
        <v>1.53</v>
      </c>
      <c r="J90" s="64">
        <v>0.18</v>
      </c>
      <c r="K90" s="64">
        <v>201.26</v>
      </c>
      <c r="L90" s="64">
        <v>21.61</v>
      </c>
      <c r="M90" s="64">
        <v>98.85</v>
      </c>
      <c r="N90" s="64">
        <v>9.9</v>
      </c>
      <c r="O90" s="64">
        <v>0</v>
      </c>
      <c r="P90" s="64">
        <v>0.86</v>
      </c>
      <c r="Q90" s="64">
        <v>14.09</v>
      </c>
      <c r="R90" s="198"/>
      <c r="S90" s="198"/>
      <c r="T90" s="198"/>
      <c r="U90" s="198"/>
    </row>
    <row r="91" spans="1:26" s="12" customFormat="1" x14ac:dyDescent="0.25">
      <c r="A91" s="214" t="s">
        <v>2347</v>
      </c>
      <c r="B91" s="64">
        <v>15.61</v>
      </c>
      <c r="C91" s="64">
        <v>10.72</v>
      </c>
      <c r="D91" s="64">
        <v>26.33</v>
      </c>
      <c r="E91" s="64">
        <v>0.69</v>
      </c>
      <c r="F91" s="64">
        <v>0.3</v>
      </c>
      <c r="G91" s="64">
        <v>27.35</v>
      </c>
      <c r="H91" s="64">
        <v>8.9700000000000006</v>
      </c>
      <c r="I91" s="64">
        <v>1.5</v>
      </c>
      <c r="J91" s="64">
        <v>0</v>
      </c>
      <c r="K91" s="64">
        <v>327.05</v>
      </c>
      <c r="L91" s="64">
        <v>21.58</v>
      </c>
      <c r="M91" s="64">
        <v>98.85</v>
      </c>
      <c r="N91" s="64">
        <v>9.6</v>
      </c>
      <c r="O91" s="64">
        <v>0</v>
      </c>
      <c r="P91" s="64">
        <v>0.83</v>
      </c>
      <c r="Q91" s="64">
        <v>14.07</v>
      </c>
      <c r="R91" s="198"/>
      <c r="S91" s="198"/>
      <c r="T91" s="198"/>
      <c r="U91" s="198"/>
    </row>
    <row r="92" spans="1:26" s="12" customFormat="1" x14ac:dyDescent="0.25">
      <c r="A92" s="214" t="s">
        <v>2348</v>
      </c>
      <c r="B92" s="64">
        <v>15.07</v>
      </c>
      <c r="C92" s="64">
        <v>10.43</v>
      </c>
      <c r="D92" s="64">
        <v>25.5</v>
      </c>
      <c r="E92" s="64">
        <v>1.1200000000000001</v>
      </c>
      <c r="F92" s="64">
        <v>0.41</v>
      </c>
      <c r="G92" s="64">
        <v>27.35</v>
      </c>
      <c r="H92" s="64">
        <v>8.9700000000000006</v>
      </c>
      <c r="I92" s="64">
        <v>1.56</v>
      </c>
      <c r="J92" s="64">
        <v>0</v>
      </c>
      <c r="K92" s="64">
        <v>16.32</v>
      </c>
      <c r="L92" s="64">
        <v>21.58</v>
      </c>
      <c r="M92" s="64">
        <v>98.85</v>
      </c>
      <c r="N92" s="64">
        <v>9.6999999999999993</v>
      </c>
      <c r="O92" s="64">
        <v>0</v>
      </c>
      <c r="P92" s="64">
        <v>0.82</v>
      </c>
      <c r="Q92" s="64">
        <v>14.02</v>
      </c>
      <c r="R92" s="198"/>
      <c r="S92" s="198"/>
      <c r="T92" s="198"/>
      <c r="U92" s="198"/>
    </row>
    <row r="93" spans="1:26" s="12" customFormat="1" x14ac:dyDescent="0.25">
      <c r="A93" s="214" t="s">
        <v>2349</v>
      </c>
      <c r="B93" s="64">
        <v>14.77</v>
      </c>
      <c r="C93" s="64">
        <v>10.34</v>
      </c>
      <c r="D93" s="64">
        <v>25.11</v>
      </c>
      <c r="E93" s="64">
        <v>1.22</v>
      </c>
      <c r="F93" s="64">
        <v>0.34</v>
      </c>
      <c r="G93" s="64">
        <v>27.35</v>
      </c>
      <c r="H93" s="64">
        <v>8.9700000000000006</v>
      </c>
      <c r="I93" s="64">
        <v>1.49</v>
      </c>
      <c r="J93" s="64">
        <v>0.05</v>
      </c>
      <c r="K93" s="64">
        <v>332.69</v>
      </c>
      <c r="L93" s="64">
        <v>21.55</v>
      </c>
      <c r="M93" s="64">
        <v>98.85</v>
      </c>
      <c r="N93" s="64">
        <v>9.6</v>
      </c>
      <c r="O93" s="64">
        <v>0</v>
      </c>
      <c r="P93" s="64">
        <v>0.8</v>
      </c>
      <c r="Q93" s="64">
        <v>13.81</v>
      </c>
      <c r="R93" s="198"/>
      <c r="S93" s="198"/>
      <c r="T93" s="198"/>
      <c r="U93" s="198"/>
    </row>
    <row r="94" spans="1:26" s="12" customFormat="1" x14ac:dyDescent="0.25">
      <c r="A94" s="214" t="s">
        <v>2350</v>
      </c>
      <c r="B94" s="64">
        <v>14.21</v>
      </c>
      <c r="C94" s="64">
        <v>10</v>
      </c>
      <c r="D94" s="64">
        <v>24.21</v>
      </c>
      <c r="E94" s="64">
        <v>1.2</v>
      </c>
      <c r="F94" s="64">
        <v>0.74</v>
      </c>
      <c r="G94" s="64">
        <v>26.8</v>
      </c>
      <c r="H94" s="64">
        <v>6.41</v>
      </c>
      <c r="I94" s="64">
        <v>1.5</v>
      </c>
      <c r="J94" s="64">
        <v>0.11</v>
      </c>
      <c r="K94" s="64">
        <v>19.7</v>
      </c>
      <c r="L94" s="64">
        <v>21.52</v>
      </c>
      <c r="M94" s="64">
        <v>98.85</v>
      </c>
      <c r="N94" s="64">
        <v>9.5</v>
      </c>
      <c r="O94" s="64">
        <v>0</v>
      </c>
      <c r="P94" s="64">
        <v>0.79</v>
      </c>
      <c r="Q94" s="64">
        <v>13.97</v>
      </c>
      <c r="R94" s="198"/>
      <c r="S94" s="198"/>
      <c r="T94" s="198"/>
      <c r="U94" s="198"/>
    </row>
    <row r="95" spans="1:26" s="12" customFormat="1" x14ac:dyDescent="0.25">
      <c r="A95" s="214" t="s">
        <v>2351</v>
      </c>
      <c r="B95" s="64">
        <v>13.53</v>
      </c>
      <c r="C95" s="64">
        <v>11.02</v>
      </c>
      <c r="D95" s="64">
        <v>24.55</v>
      </c>
      <c r="E95" s="64">
        <v>1.28</v>
      </c>
      <c r="F95" s="64">
        <v>0.73</v>
      </c>
      <c r="G95" s="64">
        <v>26.71</v>
      </c>
      <c r="H95" s="64">
        <v>6.41</v>
      </c>
      <c r="I95" s="64">
        <v>1.48</v>
      </c>
      <c r="J95" s="64">
        <v>0.08</v>
      </c>
      <c r="K95" s="64">
        <v>0.81</v>
      </c>
      <c r="L95" s="64">
        <v>21.59</v>
      </c>
      <c r="M95" s="64">
        <v>98.85</v>
      </c>
      <c r="N95" s="64">
        <v>9.5</v>
      </c>
      <c r="O95" s="64">
        <v>0</v>
      </c>
      <c r="P95" s="64">
        <v>0.75</v>
      </c>
      <c r="Q95" s="64">
        <v>14.78</v>
      </c>
      <c r="R95" s="198"/>
      <c r="S95" s="198"/>
      <c r="T95" s="198"/>
      <c r="U95" s="198"/>
    </row>
    <row r="96" spans="1:26" s="12" customFormat="1" x14ac:dyDescent="0.25">
      <c r="A96" s="214" t="s">
        <v>2352</v>
      </c>
      <c r="B96" s="64">
        <v>13.36</v>
      </c>
      <c r="C96" s="64">
        <v>9.82</v>
      </c>
      <c r="D96" s="64">
        <v>23.18</v>
      </c>
      <c r="E96" s="64">
        <v>1.76</v>
      </c>
      <c r="F96" s="64">
        <v>0.86</v>
      </c>
      <c r="G96" s="64">
        <v>26.71</v>
      </c>
      <c r="H96" s="64">
        <v>6.41</v>
      </c>
      <c r="I96" s="64">
        <v>1.54</v>
      </c>
      <c r="J96" s="64">
        <v>0.09</v>
      </c>
      <c r="K96" s="64">
        <v>22.37</v>
      </c>
      <c r="L96" s="64">
        <v>21.6</v>
      </c>
      <c r="M96" s="64">
        <v>98.85</v>
      </c>
      <c r="N96" s="64">
        <v>9.8000000000000007</v>
      </c>
      <c r="O96" s="64">
        <v>0</v>
      </c>
      <c r="P96" s="64">
        <v>0.77</v>
      </c>
      <c r="Q96" s="64">
        <v>13.94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2353</v>
      </c>
      <c r="B97" s="64">
        <v>11.83</v>
      </c>
      <c r="C97" s="64">
        <v>11.32</v>
      </c>
      <c r="D97" s="64">
        <v>23.15</v>
      </c>
      <c r="E97" s="64">
        <v>1.4</v>
      </c>
      <c r="F97" s="64">
        <v>1.25</v>
      </c>
      <c r="G97" s="64">
        <v>26.71</v>
      </c>
      <c r="H97" s="64">
        <v>6.41</v>
      </c>
      <c r="I97" s="64">
        <v>1.55</v>
      </c>
      <c r="J97" s="64">
        <v>0.02</v>
      </c>
      <c r="K97" s="64">
        <v>273.36</v>
      </c>
      <c r="L97" s="64">
        <v>21.58</v>
      </c>
      <c r="M97" s="64">
        <v>98.85</v>
      </c>
      <c r="N97" s="64">
        <v>9.8000000000000007</v>
      </c>
      <c r="O97" s="64">
        <v>0</v>
      </c>
      <c r="P97" s="64">
        <v>0.66</v>
      </c>
      <c r="Q97" s="64">
        <v>14.06</v>
      </c>
      <c r="R97" s="198"/>
      <c r="S97" s="198"/>
      <c r="T97" s="198"/>
      <c r="U97" s="198"/>
    </row>
    <row r="98" spans="1:33" s="12" customFormat="1" x14ac:dyDescent="0.25">
      <c r="A98" s="214" t="s">
        <v>2354</v>
      </c>
      <c r="B98" s="64">
        <v>11.88</v>
      </c>
      <c r="C98" s="64">
        <v>10.07</v>
      </c>
      <c r="D98" s="64">
        <v>21.95</v>
      </c>
      <c r="E98" s="64">
        <v>1.0900000000000001</v>
      </c>
      <c r="F98" s="64">
        <v>1.1299999999999999</v>
      </c>
      <c r="G98" s="64">
        <v>22.28</v>
      </c>
      <c r="H98" s="64">
        <v>4.59</v>
      </c>
      <c r="I98" s="64">
        <v>1.46</v>
      </c>
      <c r="J98" s="64">
        <v>0.17</v>
      </c>
      <c r="K98" s="64">
        <v>14.09</v>
      </c>
      <c r="L98" s="64">
        <v>21.57</v>
      </c>
      <c r="M98" s="64">
        <v>98.85</v>
      </c>
      <c r="N98" s="64">
        <v>9.6</v>
      </c>
      <c r="O98" s="64">
        <v>0</v>
      </c>
      <c r="P98" s="64">
        <v>0.72</v>
      </c>
      <c r="Q98" s="64">
        <v>13.41</v>
      </c>
      <c r="R98" s="198"/>
      <c r="S98" s="198"/>
      <c r="T98" s="198"/>
      <c r="U98" s="198"/>
    </row>
    <row r="99" spans="1:33" s="12" customFormat="1" x14ac:dyDescent="0.25">
      <c r="A99" s="214" t="s">
        <v>2355</v>
      </c>
      <c r="B99" s="64">
        <v>12.24</v>
      </c>
      <c r="C99" s="64">
        <v>9.8800000000000008</v>
      </c>
      <c r="D99" s="64">
        <v>22.12</v>
      </c>
      <c r="E99" s="64">
        <v>1.1499999999999999</v>
      </c>
      <c r="F99" s="64">
        <v>0.36</v>
      </c>
      <c r="G99" s="64">
        <v>21.53</v>
      </c>
      <c r="H99" s="64">
        <v>4.59</v>
      </c>
      <c r="I99" s="64">
        <v>1.5</v>
      </c>
      <c r="J99" s="64">
        <v>0.2</v>
      </c>
      <c r="K99" s="64">
        <v>12.06</v>
      </c>
      <c r="L99" s="64">
        <v>21.53</v>
      </c>
      <c r="M99" s="64">
        <v>98.85</v>
      </c>
      <c r="N99" s="64">
        <v>9.6</v>
      </c>
      <c r="O99" s="64">
        <v>0</v>
      </c>
      <c r="P99" s="64">
        <v>0.72</v>
      </c>
      <c r="Q99" s="64">
        <v>13.44</v>
      </c>
      <c r="R99" s="198"/>
      <c r="S99" s="198"/>
      <c r="T99" s="198"/>
      <c r="U99" s="198"/>
    </row>
    <row r="100" spans="1:33" s="12" customFormat="1" x14ac:dyDescent="0.25">
      <c r="A100" s="214" t="s">
        <v>2356</v>
      </c>
      <c r="B100" s="64">
        <v>11.55</v>
      </c>
      <c r="C100" s="64">
        <v>10.91</v>
      </c>
      <c r="D100" s="64">
        <v>22.46</v>
      </c>
      <c r="E100" s="64">
        <v>1.62</v>
      </c>
      <c r="F100" s="64">
        <v>0.28000000000000003</v>
      </c>
      <c r="G100" s="64">
        <v>21.53</v>
      </c>
      <c r="H100" s="64">
        <v>4.59</v>
      </c>
      <c r="I100" s="64">
        <v>1.52</v>
      </c>
      <c r="J100" s="64">
        <v>0.18</v>
      </c>
      <c r="K100" s="64">
        <v>15.01</v>
      </c>
      <c r="L100" s="64">
        <v>21.56</v>
      </c>
      <c r="M100" s="64">
        <v>98.85</v>
      </c>
      <c r="N100" s="64">
        <v>9.5</v>
      </c>
      <c r="O100" s="64">
        <v>0</v>
      </c>
      <c r="P100" s="64">
        <v>0.67</v>
      </c>
      <c r="Q100" s="64">
        <v>13.24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2357</v>
      </c>
      <c r="B101" s="64">
        <v>10.43</v>
      </c>
      <c r="C101" s="64">
        <v>10.44</v>
      </c>
      <c r="D101" s="64">
        <v>20.86</v>
      </c>
      <c r="E101" s="64">
        <v>1.29</v>
      </c>
      <c r="F101" s="64">
        <v>0.78</v>
      </c>
      <c r="G101" s="64">
        <v>21.53</v>
      </c>
      <c r="H101" s="64">
        <v>4.59</v>
      </c>
      <c r="I101" s="64">
        <v>1.46</v>
      </c>
      <c r="J101" s="64">
        <v>0.17</v>
      </c>
      <c r="K101" s="64">
        <v>23.87</v>
      </c>
      <c r="L101" s="64">
        <v>21.6</v>
      </c>
      <c r="M101" s="64">
        <v>98.85</v>
      </c>
      <c r="N101" s="64">
        <v>9.8000000000000007</v>
      </c>
      <c r="O101" s="64">
        <v>0</v>
      </c>
      <c r="P101" s="64">
        <v>0.64</v>
      </c>
      <c r="Q101" s="64">
        <v>13.01</v>
      </c>
      <c r="R101" s="198"/>
      <c r="S101" s="198"/>
      <c r="T101" s="198"/>
      <c r="U101" s="198"/>
    </row>
    <row r="102" spans="1:33" s="12" customFormat="1" x14ac:dyDescent="0.25">
      <c r="A102" s="214" t="s">
        <v>2358</v>
      </c>
      <c r="B102" s="64">
        <v>9.27</v>
      </c>
      <c r="C102" s="64">
        <v>10.88</v>
      </c>
      <c r="D102" s="64">
        <v>20.14</v>
      </c>
      <c r="E102" s="64">
        <v>1.29</v>
      </c>
      <c r="F102" s="64">
        <v>0.28999999999999998</v>
      </c>
      <c r="G102" s="64">
        <v>24.24</v>
      </c>
      <c r="H102" s="64">
        <v>4.3499999999999996</v>
      </c>
      <c r="I102" s="64">
        <v>1.51</v>
      </c>
      <c r="J102" s="64">
        <v>0.15</v>
      </c>
      <c r="K102" s="64">
        <v>16.579999999999998</v>
      </c>
      <c r="L102" s="64">
        <v>21.63</v>
      </c>
      <c r="M102" s="64">
        <v>98.85</v>
      </c>
      <c r="N102" s="64">
        <v>9.6999999999999993</v>
      </c>
      <c r="O102" s="64">
        <v>0</v>
      </c>
      <c r="P102" s="64">
        <v>0.57999999999999996</v>
      </c>
      <c r="Q102" s="64">
        <v>12.89</v>
      </c>
      <c r="R102" s="198"/>
      <c r="S102" s="198"/>
      <c r="T102" s="198"/>
      <c r="U102" s="198"/>
    </row>
    <row r="103" spans="1:33" s="12" customFormat="1" x14ac:dyDescent="0.25">
      <c r="A103" s="214" t="s">
        <v>2359</v>
      </c>
      <c r="B103" s="64">
        <v>8.33</v>
      </c>
      <c r="C103" s="64">
        <v>10.44</v>
      </c>
      <c r="D103" s="64">
        <v>18.760000000000002</v>
      </c>
      <c r="E103" s="64">
        <v>0.84</v>
      </c>
      <c r="F103" s="64">
        <v>0.7</v>
      </c>
      <c r="G103" s="64">
        <v>24.69</v>
      </c>
      <c r="H103" s="64">
        <v>4.3499999999999996</v>
      </c>
      <c r="I103" s="64">
        <v>1.5</v>
      </c>
      <c r="J103" s="64">
        <v>0.16</v>
      </c>
      <c r="K103" s="64">
        <v>16.100000000000001</v>
      </c>
      <c r="L103" s="64">
        <v>21.55</v>
      </c>
      <c r="M103" s="64">
        <v>98.85</v>
      </c>
      <c r="N103" s="64">
        <v>9.6999999999999993</v>
      </c>
      <c r="O103" s="64">
        <v>0</v>
      </c>
      <c r="P103" s="64">
        <v>0.56999999999999995</v>
      </c>
      <c r="Q103" s="64">
        <v>12.33</v>
      </c>
      <c r="R103" s="198"/>
      <c r="S103" s="198"/>
      <c r="T103" s="198"/>
      <c r="U103" s="198"/>
    </row>
    <row r="104" spans="1:33" s="12" customFormat="1" x14ac:dyDescent="0.25">
      <c r="A104" s="214" t="s">
        <v>2360</v>
      </c>
      <c r="B104" s="64">
        <v>7.39</v>
      </c>
      <c r="C104" s="64">
        <v>10.47</v>
      </c>
      <c r="D104" s="64">
        <v>17.86</v>
      </c>
      <c r="E104" s="64">
        <v>0.81</v>
      </c>
      <c r="F104" s="64">
        <v>0.73</v>
      </c>
      <c r="G104" s="64">
        <v>24.69</v>
      </c>
      <c r="H104" s="64">
        <v>4.3499999999999996</v>
      </c>
      <c r="I104" s="64">
        <v>1.49</v>
      </c>
      <c r="J104" s="64">
        <v>0.14000000000000001</v>
      </c>
      <c r="K104" s="64">
        <v>11.07</v>
      </c>
      <c r="L104" s="64">
        <v>21.57</v>
      </c>
      <c r="M104" s="64">
        <v>98.85</v>
      </c>
      <c r="N104" s="64">
        <v>9.6999999999999993</v>
      </c>
      <c r="O104" s="64">
        <v>0</v>
      </c>
      <c r="P104" s="64">
        <v>0.52</v>
      </c>
      <c r="Q104" s="64">
        <v>12.02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3.11</v>
      </c>
      <c r="C106" s="67">
        <f>MIN(C9:C104)</f>
        <v>7.32</v>
      </c>
      <c r="D106" s="67">
        <f t="shared" ref="D106:Q106" si="0">MIN(D9:D104)</f>
        <v>10.85</v>
      </c>
      <c r="E106" s="67">
        <f t="shared" si="0"/>
        <v>0.05</v>
      </c>
      <c r="F106" s="67">
        <f t="shared" si="0"/>
        <v>0.08</v>
      </c>
      <c r="G106" s="67">
        <f t="shared" si="0"/>
        <v>8.99</v>
      </c>
      <c r="H106" s="67">
        <f t="shared" si="0"/>
        <v>2.61</v>
      </c>
      <c r="I106" s="67">
        <f t="shared" si="0"/>
        <v>1.42</v>
      </c>
      <c r="J106" s="67">
        <f t="shared" si="0"/>
        <v>0</v>
      </c>
      <c r="K106" s="67">
        <f t="shared" si="0"/>
        <v>0.19</v>
      </c>
      <c r="L106" s="67">
        <f t="shared" si="0"/>
        <v>21.52</v>
      </c>
      <c r="M106" s="67">
        <f t="shared" si="0"/>
        <v>98.78</v>
      </c>
      <c r="N106" s="67">
        <f t="shared" si="0"/>
        <v>9.1</v>
      </c>
      <c r="O106" s="67">
        <f t="shared" si="0"/>
        <v>0</v>
      </c>
      <c r="P106" s="67">
        <f t="shared" si="0"/>
        <v>0.27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18.36</v>
      </c>
      <c r="C107" s="66">
        <f t="shared" ref="C107:Q107" si="1">MAX(C9:C104)</f>
        <v>18.440000000000001</v>
      </c>
      <c r="D107" s="66">
        <f t="shared" si="1"/>
        <v>35.369999999999997</v>
      </c>
      <c r="E107" s="66">
        <f t="shared" si="1"/>
        <v>2.74</v>
      </c>
      <c r="F107" s="66">
        <f t="shared" si="1"/>
        <v>2.2799999999999998</v>
      </c>
      <c r="G107" s="66">
        <f t="shared" si="1"/>
        <v>28.4</v>
      </c>
      <c r="H107" s="66">
        <f t="shared" si="1"/>
        <v>8.9700000000000006</v>
      </c>
      <c r="I107" s="66">
        <f t="shared" si="1"/>
        <v>1.88</v>
      </c>
      <c r="J107" s="66">
        <f t="shared" si="1"/>
        <v>0.46</v>
      </c>
      <c r="K107" s="66">
        <f t="shared" si="1"/>
        <v>359.44</v>
      </c>
      <c r="L107" s="66">
        <f t="shared" si="1"/>
        <v>23.21</v>
      </c>
      <c r="M107" s="66">
        <f t="shared" si="1"/>
        <v>98.85</v>
      </c>
      <c r="N107" s="66">
        <f t="shared" si="1"/>
        <v>195.2</v>
      </c>
      <c r="O107" s="66">
        <f t="shared" si="1"/>
        <v>0</v>
      </c>
      <c r="P107" s="66">
        <f t="shared" si="1"/>
        <v>0.97</v>
      </c>
      <c r="Q107" s="66">
        <f t="shared" si="1"/>
        <v>14.78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8.3772916666666664</v>
      </c>
      <c r="C108" s="67">
        <f t="shared" ref="C108:Q108" si="2">AVERAGE(C9:C104)</f>
        <v>11.809270833333336</v>
      </c>
      <c r="D108" s="67">
        <f t="shared" si="2"/>
        <v>20.184895833333329</v>
      </c>
      <c r="E108" s="67">
        <f t="shared" si="2"/>
        <v>1.3244791666666671</v>
      </c>
      <c r="F108" s="67">
        <f t="shared" si="2"/>
        <v>0.78406250000000011</v>
      </c>
      <c r="G108" s="67">
        <f t="shared" si="2"/>
        <v>16.796770833333337</v>
      </c>
      <c r="H108" s="67">
        <f t="shared" si="2"/>
        <v>5.5079166666666692</v>
      </c>
      <c r="I108" s="67">
        <f t="shared" si="2"/>
        <v>1.6587499999999997</v>
      </c>
      <c r="J108" s="67">
        <f t="shared" si="2"/>
        <v>0.18437500000000004</v>
      </c>
      <c r="K108" s="67">
        <f t="shared" si="2"/>
        <v>82.144270833333337</v>
      </c>
      <c r="L108" s="67">
        <f t="shared" si="2"/>
        <v>22.125520833333336</v>
      </c>
      <c r="M108" s="67">
        <f t="shared" si="2"/>
        <v>98.831666666666763</v>
      </c>
      <c r="N108" s="67">
        <f t="shared" si="2"/>
        <v>46.475000000000001</v>
      </c>
      <c r="O108" s="67">
        <f t="shared" si="2"/>
        <v>0</v>
      </c>
      <c r="P108" s="67">
        <f t="shared" si="2"/>
        <v>0.56666666666666654</v>
      </c>
      <c r="Q108" s="67">
        <f t="shared" si="2"/>
        <v>11.94375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4.1943228495988114</v>
      </c>
      <c r="C109" s="67">
        <f t="shared" ref="C109:Q109" si="3">STDEV(C9:C104)</f>
        <v>2.9048004713764297</v>
      </c>
      <c r="D109" s="67">
        <f t="shared" si="3"/>
        <v>6.1601701949816654</v>
      </c>
      <c r="E109" s="67">
        <f t="shared" si="3"/>
        <v>0.60486252425291898</v>
      </c>
      <c r="F109" s="67">
        <f t="shared" si="3"/>
        <v>0.39731620212833496</v>
      </c>
      <c r="G109" s="67">
        <f t="shared" si="3"/>
        <v>6.0550924187465069</v>
      </c>
      <c r="H109" s="67">
        <f t="shared" si="3"/>
        <v>1.4830877581065782</v>
      </c>
      <c r="I109" s="67">
        <f t="shared" si="3"/>
        <v>0.15521970846106128</v>
      </c>
      <c r="J109" s="67">
        <f t="shared" si="3"/>
        <v>9.8491917915821001E-2</v>
      </c>
      <c r="K109" s="67">
        <f t="shared" si="3"/>
        <v>120.54203922497474</v>
      </c>
      <c r="L109" s="67">
        <f t="shared" si="3"/>
        <v>0.47422373088008202</v>
      </c>
      <c r="M109" s="67">
        <f t="shared" si="3"/>
        <v>1.9982448438916316E-2</v>
      </c>
      <c r="N109" s="67">
        <f t="shared" si="3"/>
        <v>48.640396899350179</v>
      </c>
      <c r="O109" s="67">
        <f t="shared" si="3"/>
        <v>0</v>
      </c>
      <c r="P109" s="67">
        <f t="shared" si="3"/>
        <v>0.21537564083866736</v>
      </c>
      <c r="Q109" s="67">
        <f t="shared" si="3"/>
        <v>1.6199748211168763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215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5" sqref="H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2361</v>
      </c>
      <c r="B9" s="64">
        <v>6.59</v>
      </c>
      <c r="C9" s="64">
        <v>10.14</v>
      </c>
      <c r="D9" s="64">
        <v>16.73</v>
      </c>
      <c r="E9" s="64">
        <v>0.8</v>
      </c>
      <c r="F9" s="64">
        <v>0.37</v>
      </c>
      <c r="G9" s="64">
        <v>24.69</v>
      </c>
      <c r="H9" s="64">
        <v>4.3499999999999996</v>
      </c>
      <c r="I9" s="64">
        <v>1.48</v>
      </c>
      <c r="J9" s="64">
        <v>0.06</v>
      </c>
      <c r="K9" s="64">
        <v>7.23</v>
      </c>
      <c r="L9" s="64">
        <v>21.52</v>
      </c>
      <c r="M9" s="64">
        <v>98.85</v>
      </c>
      <c r="N9" s="64">
        <v>9.9</v>
      </c>
      <c r="O9" s="64">
        <v>0</v>
      </c>
      <c r="P9" s="64">
        <v>0.5</v>
      </c>
      <c r="Q9" s="64">
        <v>11.86</v>
      </c>
      <c r="S9" s="198"/>
      <c r="T9" s="198"/>
      <c r="U9" s="198"/>
    </row>
    <row r="10" spans="1:21" s="12" customFormat="1" x14ac:dyDescent="0.25">
      <c r="A10" s="214" t="s">
        <v>2362</v>
      </c>
      <c r="B10" s="64">
        <v>5.84</v>
      </c>
      <c r="C10" s="64">
        <v>9.7799999999999994</v>
      </c>
      <c r="D10" s="64">
        <v>15.62</v>
      </c>
      <c r="E10" s="64">
        <v>1.6</v>
      </c>
      <c r="F10" s="64">
        <v>0.7</v>
      </c>
      <c r="G10" s="64">
        <v>18.41</v>
      </c>
      <c r="H10" s="64">
        <v>5.32</v>
      </c>
      <c r="I10" s="64">
        <v>1.48</v>
      </c>
      <c r="J10" s="64">
        <v>0</v>
      </c>
      <c r="K10" s="64">
        <v>103.85</v>
      </c>
      <c r="L10" s="64">
        <v>21.53</v>
      </c>
      <c r="M10" s="64">
        <v>98.85</v>
      </c>
      <c r="N10" s="64">
        <v>9.6999999999999993</v>
      </c>
      <c r="O10" s="64">
        <v>0</v>
      </c>
      <c r="P10" s="64">
        <v>0.47</v>
      </c>
      <c r="Q10" s="64">
        <v>11.63</v>
      </c>
      <c r="S10" s="198"/>
      <c r="T10" s="198"/>
      <c r="U10" s="198"/>
    </row>
    <row r="11" spans="1:21" s="12" customFormat="1" x14ac:dyDescent="0.25">
      <c r="A11" s="214" t="s">
        <v>2363</v>
      </c>
      <c r="B11" s="64">
        <v>5.22</v>
      </c>
      <c r="C11" s="64">
        <v>9.49</v>
      </c>
      <c r="D11" s="64">
        <v>14.72</v>
      </c>
      <c r="E11" s="64">
        <v>1.18</v>
      </c>
      <c r="F11" s="64">
        <v>0.73</v>
      </c>
      <c r="G11" s="64">
        <v>17.350000000000001</v>
      </c>
      <c r="H11" s="64">
        <v>5.32</v>
      </c>
      <c r="I11" s="64">
        <v>1.56</v>
      </c>
      <c r="J11" s="64">
        <v>0.16</v>
      </c>
      <c r="K11" s="64">
        <v>6.9</v>
      </c>
      <c r="L11" s="64">
        <v>21.57</v>
      </c>
      <c r="M11" s="64">
        <v>98.85</v>
      </c>
      <c r="N11" s="64">
        <v>9.6999999999999993</v>
      </c>
      <c r="O11" s="64">
        <v>0</v>
      </c>
      <c r="P11" s="64">
        <v>0.42</v>
      </c>
      <c r="Q11" s="64">
        <v>11.76</v>
      </c>
      <c r="S11" s="198"/>
      <c r="T11" s="198"/>
      <c r="U11" s="198"/>
    </row>
    <row r="12" spans="1:21" s="12" customFormat="1" x14ac:dyDescent="0.25">
      <c r="A12" s="214" t="s">
        <v>2364</v>
      </c>
      <c r="B12" s="64">
        <v>4.82</v>
      </c>
      <c r="C12" s="64">
        <v>8.89</v>
      </c>
      <c r="D12" s="64">
        <v>13.72</v>
      </c>
      <c r="E12" s="64">
        <v>1.42</v>
      </c>
      <c r="F12" s="64">
        <v>1.62</v>
      </c>
      <c r="G12" s="64">
        <v>17.350000000000001</v>
      </c>
      <c r="H12" s="64">
        <v>5.32</v>
      </c>
      <c r="I12" s="64">
        <v>1.49</v>
      </c>
      <c r="J12" s="64">
        <v>0.16</v>
      </c>
      <c r="K12" s="64">
        <v>30.36</v>
      </c>
      <c r="L12" s="64">
        <v>21.56</v>
      </c>
      <c r="M12" s="64">
        <v>98.85</v>
      </c>
      <c r="N12" s="64">
        <v>9.8000000000000007</v>
      </c>
      <c r="O12" s="64">
        <v>0</v>
      </c>
      <c r="P12" s="64">
        <v>0.43</v>
      </c>
      <c r="Q12" s="64">
        <v>11.35</v>
      </c>
      <c r="S12" s="198"/>
      <c r="T12" s="198"/>
      <c r="U12" s="198"/>
    </row>
    <row r="13" spans="1:21" s="12" customFormat="1" x14ac:dyDescent="0.25">
      <c r="A13" s="214" t="s">
        <v>2365</v>
      </c>
      <c r="B13" s="64">
        <v>4.51</v>
      </c>
      <c r="C13" s="64">
        <v>9.24</v>
      </c>
      <c r="D13" s="64">
        <v>13.74</v>
      </c>
      <c r="E13" s="64">
        <v>1.0900000000000001</v>
      </c>
      <c r="F13" s="64">
        <v>0.68</v>
      </c>
      <c r="G13" s="64">
        <v>17.350000000000001</v>
      </c>
      <c r="H13" s="64">
        <v>5.32</v>
      </c>
      <c r="I13" s="64">
        <v>1.55</v>
      </c>
      <c r="J13" s="64">
        <v>0.14000000000000001</v>
      </c>
      <c r="K13" s="64">
        <v>16.13</v>
      </c>
      <c r="L13" s="64">
        <v>21.64</v>
      </c>
      <c r="M13" s="64">
        <v>98.83</v>
      </c>
      <c r="N13" s="64">
        <v>9.6999999999999993</v>
      </c>
      <c r="O13" s="64">
        <v>0</v>
      </c>
      <c r="P13" s="64">
        <v>0.4</v>
      </c>
      <c r="Q13" s="64">
        <v>12.16</v>
      </c>
      <c r="S13" s="198"/>
      <c r="T13" s="198"/>
      <c r="U13" s="198"/>
    </row>
    <row r="14" spans="1:21" s="12" customFormat="1" x14ac:dyDescent="0.25">
      <c r="A14" s="214" t="s">
        <v>2366</v>
      </c>
      <c r="B14" s="64">
        <v>4.2</v>
      </c>
      <c r="C14" s="64">
        <v>8.35</v>
      </c>
      <c r="D14" s="64">
        <v>12.55</v>
      </c>
      <c r="E14" s="64">
        <v>1.23</v>
      </c>
      <c r="F14" s="64">
        <v>1.42</v>
      </c>
      <c r="G14" s="64">
        <v>13.89</v>
      </c>
      <c r="H14" s="64">
        <v>4.42</v>
      </c>
      <c r="I14" s="64">
        <v>1.47</v>
      </c>
      <c r="J14" s="64">
        <v>0.12</v>
      </c>
      <c r="K14" s="64">
        <v>15.81</v>
      </c>
      <c r="L14" s="64">
        <v>21.65</v>
      </c>
      <c r="M14" s="64">
        <v>98.85</v>
      </c>
      <c r="N14" s="64">
        <v>9.8000000000000007</v>
      </c>
      <c r="O14" s="64">
        <v>0</v>
      </c>
      <c r="P14" s="64">
        <v>0.43</v>
      </c>
      <c r="Q14" s="64">
        <v>11.2</v>
      </c>
      <c r="S14" s="198"/>
      <c r="T14" s="198"/>
      <c r="U14" s="198"/>
    </row>
    <row r="15" spans="1:21" s="12" customFormat="1" x14ac:dyDescent="0.25">
      <c r="A15" s="214" t="s">
        <v>2367</v>
      </c>
      <c r="B15" s="64">
        <v>4.08</v>
      </c>
      <c r="C15" s="64">
        <v>8.34</v>
      </c>
      <c r="D15" s="64">
        <v>12.42</v>
      </c>
      <c r="E15" s="64">
        <v>1.37</v>
      </c>
      <c r="F15" s="64">
        <v>0.37</v>
      </c>
      <c r="G15" s="64">
        <v>13.31</v>
      </c>
      <c r="H15" s="64">
        <v>4.42</v>
      </c>
      <c r="I15" s="64">
        <v>1.46</v>
      </c>
      <c r="J15" s="64">
        <v>0.12</v>
      </c>
      <c r="K15" s="64">
        <v>39.29</v>
      </c>
      <c r="L15" s="64">
        <v>21.72</v>
      </c>
      <c r="M15" s="64">
        <v>98.83</v>
      </c>
      <c r="N15" s="64">
        <v>9.6999999999999993</v>
      </c>
      <c r="O15" s="64">
        <v>0</v>
      </c>
      <c r="P15" s="64">
        <v>0.42</v>
      </c>
      <c r="Q15" s="64">
        <v>12.04</v>
      </c>
      <c r="S15" s="198"/>
      <c r="T15" s="198"/>
      <c r="U15" s="198"/>
    </row>
    <row r="16" spans="1:21" s="12" customFormat="1" x14ac:dyDescent="0.25">
      <c r="A16" s="214" t="s">
        <v>2368</v>
      </c>
      <c r="B16" s="64">
        <v>3.82</v>
      </c>
      <c r="C16" s="64">
        <v>8.1</v>
      </c>
      <c r="D16" s="64">
        <v>11.92</v>
      </c>
      <c r="E16" s="64">
        <v>1.59</v>
      </c>
      <c r="F16" s="64">
        <v>0.83</v>
      </c>
      <c r="G16" s="64">
        <v>13.31</v>
      </c>
      <c r="H16" s="64">
        <v>4.42</v>
      </c>
      <c r="I16" s="64">
        <v>1.53</v>
      </c>
      <c r="J16" s="64">
        <v>0.28000000000000003</v>
      </c>
      <c r="K16" s="64">
        <v>25.22</v>
      </c>
      <c r="L16" s="64">
        <v>21.67</v>
      </c>
      <c r="M16" s="64">
        <v>98.83</v>
      </c>
      <c r="N16" s="64">
        <v>9.9</v>
      </c>
      <c r="O16" s="64">
        <v>0</v>
      </c>
      <c r="P16" s="64">
        <v>0.39</v>
      </c>
      <c r="Q16" s="64">
        <v>10.79</v>
      </c>
      <c r="S16" s="198"/>
      <c r="T16" s="198"/>
      <c r="U16" s="198"/>
    </row>
    <row r="17" spans="1:21" s="12" customFormat="1" x14ac:dyDescent="0.25">
      <c r="A17" s="214" t="s">
        <v>2369</v>
      </c>
      <c r="B17" s="64">
        <v>3.52</v>
      </c>
      <c r="C17" s="64">
        <v>7.9</v>
      </c>
      <c r="D17" s="64">
        <v>11.41</v>
      </c>
      <c r="E17" s="64">
        <v>1.45</v>
      </c>
      <c r="F17" s="64">
        <v>0.35</v>
      </c>
      <c r="G17" s="64">
        <v>13.31</v>
      </c>
      <c r="H17" s="64">
        <v>4.42</v>
      </c>
      <c r="I17" s="64">
        <v>1.47</v>
      </c>
      <c r="J17" s="64">
        <v>0.04</v>
      </c>
      <c r="K17" s="64">
        <v>47.21</v>
      </c>
      <c r="L17" s="64">
        <v>21.6</v>
      </c>
      <c r="M17" s="64">
        <v>98.83</v>
      </c>
      <c r="N17" s="64">
        <v>9.8000000000000007</v>
      </c>
      <c r="O17" s="64">
        <v>0</v>
      </c>
      <c r="P17" s="64">
        <v>0.38</v>
      </c>
      <c r="Q17" s="64">
        <v>11.24</v>
      </c>
      <c r="S17" s="198"/>
      <c r="T17" s="198"/>
      <c r="U17" s="198"/>
    </row>
    <row r="18" spans="1:21" s="12" customFormat="1" x14ac:dyDescent="0.25">
      <c r="A18" s="214" t="s">
        <v>2370</v>
      </c>
      <c r="B18" s="64">
        <v>3.38</v>
      </c>
      <c r="C18" s="64">
        <v>7.44</v>
      </c>
      <c r="D18" s="64">
        <v>10.82</v>
      </c>
      <c r="E18" s="64">
        <v>1.01</v>
      </c>
      <c r="F18" s="64">
        <v>0.91</v>
      </c>
      <c r="G18" s="64">
        <v>13.31</v>
      </c>
      <c r="H18" s="64">
        <v>5.13</v>
      </c>
      <c r="I18" s="64">
        <v>1.47</v>
      </c>
      <c r="J18" s="64">
        <v>0.02</v>
      </c>
      <c r="K18" s="64">
        <v>24.89</v>
      </c>
      <c r="L18" s="64">
        <v>21.55</v>
      </c>
      <c r="M18" s="64">
        <v>98.83</v>
      </c>
      <c r="N18" s="64">
        <v>9.9</v>
      </c>
      <c r="O18" s="64">
        <v>0</v>
      </c>
      <c r="P18" s="64">
        <v>0.37</v>
      </c>
      <c r="Q18" s="64">
        <v>10.45</v>
      </c>
      <c r="S18" s="198"/>
      <c r="T18" s="198"/>
      <c r="U18" s="198"/>
    </row>
    <row r="19" spans="1:21" s="12" customFormat="1" x14ac:dyDescent="0.25">
      <c r="A19" s="214" t="s">
        <v>2371</v>
      </c>
      <c r="B19" s="64">
        <v>3.3</v>
      </c>
      <c r="C19" s="64">
        <v>7.38</v>
      </c>
      <c r="D19" s="64">
        <v>10.68</v>
      </c>
      <c r="E19" s="64">
        <v>1.1200000000000001</v>
      </c>
      <c r="F19" s="64">
        <v>0.28000000000000003</v>
      </c>
      <c r="G19" s="64">
        <v>13.31</v>
      </c>
      <c r="H19" s="64">
        <v>5.13</v>
      </c>
      <c r="I19" s="64">
        <v>1.46</v>
      </c>
      <c r="J19" s="64">
        <v>0.09</v>
      </c>
      <c r="K19" s="64">
        <v>353.14</v>
      </c>
      <c r="L19" s="64">
        <v>21.54</v>
      </c>
      <c r="M19" s="64">
        <v>98.83</v>
      </c>
      <c r="N19" s="64">
        <v>9.8000000000000007</v>
      </c>
      <c r="O19" s="64">
        <v>0</v>
      </c>
      <c r="P19" s="64">
        <v>0.36</v>
      </c>
      <c r="Q19" s="64">
        <v>11.27</v>
      </c>
      <c r="S19" s="198"/>
      <c r="T19" s="198"/>
      <c r="U19" s="198"/>
    </row>
    <row r="20" spans="1:21" s="12" customFormat="1" x14ac:dyDescent="0.25">
      <c r="A20" s="214" t="s">
        <v>2372</v>
      </c>
      <c r="B20" s="64">
        <v>3.17</v>
      </c>
      <c r="C20" s="64">
        <v>7.05</v>
      </c>
      <c r="D20" s="64">
        <v>10.220000000000001</v>
      </c>
      <c r="E20" s="64">
        <v>0.79</v>
      </c>
      <c r="F20" s="64">
        <v>1.01</v>
      </c>
      <c r="G20" s="64">
        <v>13.31</v>
      </c>
      <c r="H20" s="64">
        <v>5.13</v>
      </c>
      <c r="I20" s="64">
        <v>1.53</v>
      </c>
      <c r="J20" s="64">
        <v>0.2</v>
      </c>
      <c r="K20" s="64">
        <v>21.48</v>
      </c>
      <c r="L20" s="64">
        <v>21.56</v>
      </c>
      <c r="M20" s="64">
        <v>98.83</v>
      </c>
      <c r="N20" s="64">
        <v>9.6</v>
      </c>
      <c r="O20" s="64">
        <v>0</v>
      </c>
      <c r="P20" s="64">
        <v>0.34</v>
      </c>
      <c r="Q20" s="64">
        <v>10.01</v>
      </c>
      <c r="S20" s="198"/>
      <c r="T20" s="198"/>
      <c r="U20" s="198"/>
    </row>
    <row r="21" spans="1:21" s="12" customFormat="1" x14ac:dyDescent="0.25">
      <c r="A21" s="214" t="s">
        <v>2373</v>
      </c>
      <c r="B21" s="64">
        <v>3.13</v>
      </c>
      <c r="C21" s="64">
        <v>7.17</v>
      </c>
      <c r="D21" s="64">
        <v>10.31</v>
      </c>
      <c r="E21" s="64">
        <v>1.48</v>
      </c>
      <c r="F21" s="64">
        <v>0.53</v>
      </c>
      <c r="G21" s="64">
        <v>13.31</v>
      </c>
      <c r="H21" s="64">
        <v>5.13</v>
      </c>
      <c r="I21" s="64">
        <v>1.46</v>
      </c>
      <c r="J21" s="64">
        <v>0.17</v>
      </c>
      <c r="K21" s="64">
        <v>13.22</v>
      </c>
      <c r="L21" s="64">
        <v>21.54</v>
      </c>
      <c r="M21" s="64">
        <v>98.83</v>
      </c>
      <c r="N21" s="64">
        <v>9.5</v>
      </c>
      <c r="O21" s="64">
        <v>0</v>
      </c>
      <c r="P21" s="64">
        <v>0.33</v>
      </c>
      <c r="Q21" s="64">
        <v>10.66</v>
      </c>
      <c r="S21" s="198"/>
      <c r="T21" s="198"/>
      <c r="U21" s="198"/>
    </row>
    <row r="22" spans="1:21" s="12" customFormat="1" x14ac:dyDescent="0.25">
      <c r="A22" s="214" t="s">
        <v>2374</v>
      </c>
      <c r="B22" s="64">
        <v>3.11</v>
      </c>
      <c r="C22" s="64">
        <v>7.81</v>
      </c>
      <c r="D22" s="64">
        <v>10.91</v>
      </c>
      <c r="E22" s="64">
        <v>1.1599999999999999</v>
      </c>
      <c r="F22" s="64">
        <v>0.8</v>
      </c>
      <c r="G22" s="64">
        <v>10.24</v>
      </c>
      <c r="H22" s="64">
        <v>5.25</v>
      </c>
      <c r="I22" s="64">
        <v>1.46</v>
      </c>
      <c r="J22" s="64">
        <v>0.08</v>
      </c>
      <c r="K22" s="64">
        <v>35.700000000000003</v>
      </c>
      <c r="L22" s="64">
        <v>21.61</v>
      </c>
      <c r="M22" s="64">
        <v>98.83</v>
      </c>
      <c r="N22" s="64">
        <v>9.1</v>
      </c>
      <c r="O22" s="64">
        <v>0</v>
      </c>
      <c r="P22" s="64">
        <v>0.32</v>
      </c>
      <c r="Q22" s="64">
        <v>10.72</v>
      </c>
      <c r="S22" s="198"/>
      <c r="T22" s="198"/>
      <c r="U22" s="198"/>
    </row>
    <row r="23" spans="1:21" s="12" customFormat="1" x14ac:dyDescent="0.25">
      <c r="A23" s="214" t="s">
        <v>2375</v>
      </c>
      <c r="B23" s="64">
        <v>3.19</v>
      </c>
      <c r="C23" s="64">
        <v>7.78</v>
      </c>
      <c r="D23" s="64">
        <v>10.97</v>
      </c>
      <c r="E23" s="64">
        <v>1.41</v>
      </c>
      <c r="F23" s="64">
        <v>1.73</v>
      </c>
      <c r="G23" s="64">
        <v>9.7200000000000006</v>
      </c>
      <c r="H23" s="64">
        <v>5.25</v>
      </c>
      <c r="I23" s="64">
        <v>1.51</v>
      </c>
      <c r="J23" s="64">
        <v>0.16</v>
      </c>
      <c r="K23" s="64">
        <v>18.07</v>
      </c>
      <c r="L23" s="64">
        <v>21.56</v>
      </c>
      <c r="M23" s="64">
        <v>98.83</v>
      </c>
      <c r="N23" s="64">
        <v>9.1999999999999993</v>
      </c>
      <c r="O23" s="64">
        <v>0</v>
      </c>
      <c r="P23" s="64">
        <v>0.32</v>
      </c>
      <c r="Q23" s="64">
        <v>10.38</v>
      </c>
      <c r="S23" s="198"/>
      <c r="T23" s="198"/>
      <c r="U23" s="198"/>
    </row>
    <row r="24" spans="1:21" s="12" customFormat="1" x14ac:dyDescent="0.25">
      <c r="A24" s="214" t="s">
        <v>2376</v>
      </c>
      <c r="B24" s="64">
        <v>3.28</v>
      </c>
      <c r="C24" s="64">
        <v>7.96</v>
      </c>
      <c r="D24" s="64">
        <v>11.24</v>
      </c>
      <c r="E24" s="64">
        <v>0.89</v>
      </c>
      <c r="F24" s="64">
        <v>1.0900000000000001</v>
      </c>
      <c r="G24" s="64">
        <v>9.7200000000000006</v>
      </c>
      <c r="H24" s="64">
        <v>5.25</v>
      </c>
      <c r="I24" s="64">
        <v>1.53</v>
      </c>
      <c r="J24" s="64">
        <v>0.3</v>
      </c>
      <c r="K24" s="64">
        <v>22.83</v>
      </c>
      <c r="L24" s="64">
        <v>21.57</v>
      </c>
      <c r="M24" s="64">
        <v>98.84</v>
      </c>
      <c r="N24" s="64">
        <v>9</v>
      </c>
      <c r="O24" s="64">
        <v>0</v>
      </c>
      <c r="P24" s="64">
        <v>0.32</v>
      </c>
      <c r="Q24" s="64">
        <v>10.85</v>
      </c>
      <c r="S24" s="198"/>
      <c r="T24" s="198"/>
      <c r="U24" s="198"/>
    </row>
    <row r="25" spans="1:21" s="12" customFormat="1" x14ac:dyDescent="0.25">
      <c r="A25" s="214" t="s">
        <v>2377</v>
      </c>
      <c r="B25" s="64">
        <v>3.15</v>
      </c>
      <c r="C25" s="64">
        <v>7.83</v>
      </c>
      <c r="D25" s="64">
        <v>10.98</v>
      </c>
      <c r="E25" s="64">
        <v>1.54</v>
      </c>
      <c r="F25" s="64">
        <v>1.32</v>
      </c>
      <c r="G25" s="64">
        <v>9.7200000000000006</v>
      </c>
      <c r="H25" s="64">
        <v>5.25</v>
      </c>
      <c r="I25" s="64">
        <v>1.51</v>
      </c>
      <c r="J25" s="64">
        <v>0.28999999999999998</v>
      </c>
      <c r="K25" s="64">
        <v>20.58</v>
      </c>
      <c r="L25" s="64">
        <v>21.55</v>
      </c>
      <c r="M25" s="64">
        <v>98.83</v>
      </c>
      <c r="N25" s="64">
        <v>9.1</v>
      </c>
      <c r="O25" s="64">
        <v>0</v>
      </c>
      <c r="P25" s="64">
        <v>0.31</v>
      </c>
      <c r="Q25" s="64">
        <v>10.76</v>
      </c>
      <c r="S25" s="198"/>
      <c r="T25" s="198"/>
      <c r="U25" s="198"/>
    </row>
    <row r="26" spans="1:21" s="12" customFormat="1" x14ac:dyDescent="0.25">
      <c r="A26" s="214" t="s">
        <v>2378</v>
      </c>
      <c r="B26" s="64">
        <v>3.01</v>
      </c>
      <c r="C26" s="64">
        <v>7.89</v>
      </c>
      <c r="D26" s="64">
        <v>10.9</v>
      </c>
      <c r="E26" s="64">
        <v>1.0900000000000001</v>
      </c>
      <c r="F26" s="64">
        <v>1.58</v>
      </c>
      <c r="G26" s="64">
        <v>11.74</v>
      </c>
      <c r="H26" s="64">
        <v>4.04</v>
      </c>
      <c r="I26" s="64">
        <v>1.53</v>
      </c>
      <c r="J26" s="64">
        <v>0.25</v>
      </c>
      <c r="K26" s="64">
        <v>21.73</v>
      </c>
      <c r="L26" s="64">
        <v>21.47</v>
      </c>
      <c r="M26" s="64">
        <v>98.84</v>
      </c>
      <c r="N26" s="64">
        <v>9.1999999999999993</v>
      </c>
      <c r="O26" s="64">
        <v>0</v>
      </c>
      <c r="P26" s="64">
        <v>0.28999999999999998</v>
      </c>
      <c r="Q26" s="64">
        <v>10.56</v>
      </c>
      <c r="S26" s="198"/>
      <c r="T26" s="198"/>
      <c r="U26" s="198"/>
    </row>
    <row r="27" spans="1:21" s="12" customFormat="1" x14ac:dyDescent="0.25">
      <c r="A27" s="214" t="s">
        <v>2379</v>
      </c>
      <c r="B27" s="64">
        <v>2.87</v>
      </c>
      <c r="C27" s="64">
        <v>7.72</v>
      </c>
      <c r="D27" s="64">
        <v>10.59</v>
      </c>
      <c r="E27" s="64">
        <v>1.26</v>
      </c>
      <c r="F27" s="64">
        <v>0.67</v>
      </c>
      <c r="G27" s="64">
        <v>12.08</v>
      </c>
      <c r="H27" s="64">
        <v>4.04</v>
      </c>
      <c r="I27" s="64">
        <v>1.51</v>
      </c>
      <c r="J27" s="64">
        <v>0.26</v>
      </c>
      <c r="K27" s="64">
        <v>21.53</v>
      </c>
      <c r="L27" s="64">
        <v>21.47</v>
      </c>
      <c r="M27" s="64">
        <v>98.84</v>
      </c>
      <c r="N27" s="64">
        <v>9.4</v>
      </c>
      <c r="O27" s="64">
        <v>0</v>
      </c>
      <c r="P27" s="64">
        <v>0.28999999999999998</v>
      </c>
      <c r="Q27" s="64">
        <v>10.77</v>
      </c>
      <c r="S27" s="198"/>
      <c r="T27" s="198"/>
      <c r="U27" s="198"/>
    </row>
    <row r="28" spans="1:21" s="12" customFormat="1" x14ac:dyDescent="0.25">
      <c r="A28" s="214" t="s">
        <v>2380</v>
      </c>
      <c r="B28" s="64">
        <v>2.82</v>
      </c>
      <c r="C28" s="64">
        <v>7.66</v>
      </c>
      <c r="D28" s="64">
        <v>10.48</v>
      </c>
      <c r="E28" s="64">
        <v>0.67</v>
      </c>
      <c r="F28" s="64">
        <v>0.65</v>
      </c>
      <c r="G28" s="64">
        <v>12.08</v>
      </c>
      <c r="H28" s="64">
        <v>4.04</v>
      </c>
      <c r="I28" s="64">
        <v>1.44</v>
      </c>
      <c r="J28" s="64">
        <v>0.19</v>
      </c>
      <c r="K28" s="64">
        <v>22.53</v>
      </c>
      <c r="L28" s="64">
        <v>21.39</v>
      </c>
      <c r="M28" s="64">
        <v>98.85</v>
      </c>
      <c r="N28" s="64">
        <v>9.6999999999999993</v>
      </c>
      <c r="O28" s="64">
        <v>0</v>
      </c>
      <c r="P28" s="64">
        <v>0.27</v>
      </c>
      <c r="Q28" s="64">
        <v>9.7799999999999994</v>
      </c>
      <c r="S28" s="198"/>
      <c r="T28" s="198"/>
      <c r="U28" s="198"/>
    </row>
    <row r="29" spans="1:21" s="12" customFormat="1" x14ac:dyDescent="0.25">
      <c r="A29" s="214" t="s">
        <v>2381</v>
      </c>
      <c r="B29" s="64">
        <v>2.85</v>
      </c>
      <c r="C29" s="64">
        <v>7.51</v>
      </c>
      <c r="D29" s="64">
        <v>10.36</v>
      </c>
      <c r="E29" s="64">
        <v>0.65</v>
      </c>
      <c r="F29" s="64">
        <v>0.8</v>
      </c>
      <c r="G29" s="64">
        <v>12.08</v>
      </c>
      <c r="H29" s="64">
        <v>4.04</v>
      </c>
      <c r="I29" s="64">
        <v>1.46</v>
      </c>
      <c r="J29" s="64">
        <v>0.13</v>
      </c>
      <c r="K29" s="64">
        <v>34.96</v>
      </c>
      <c r="L29" s="64">
        <v>21.24</v>
      </c>
      <c r="M29" s="64">
        <v>98.85</v>
      </c>
      <c r="N29" s="64">
        <v>9.6999999999999993</v>
      </c>
      <c r="O29" s="64">
        <v>0</v>
      </c>
      <c r="P29" s="64">
        <v>0.27</v>
      </c>
      <c r="Q29" s="64">
        <v>9.81</v>
      </c>
      <c r="S29" s="198"/>
      <c r="T29" s="198"/>
      <c r="U29" s="198"/>
    </row>
    <row r="30" spans="1:21" s="12" customFormat="1" x14ac:dyDescent="0.25">
      <c r="A30" s="214" t="s">
        <v>2382</v>
      </c>
      <c r="B30" s="64">
        <v>2.79</v>
      </c>
      <c r="C30" s="64">
        <v>7.24</v>
      </c>
      <c r="D30" s="64">
        <v>10.029999999999999</v>
      </c>
      <c r="E30" s="64">
        <v>1.52</v>
      </c>
      <c r="F30" s="64">
        <v>1.18</v>
      </c>
      <c r="G30" s="64">
        <v>11.18</v>
      </c>
      <c r="H30" s="64">
        <v>3.14</v>
      </c>
      <c r="I30" s="64">
        <v>1.49</v>
      </c>
      <c r="J30" s="64">
        <v>0.25</v>
      </c>
      <c r="K30" s="64">
        <v>25.28</v>
      </c>
      <c r="L30" s="64">
        <v>21.14</v>
      </c>
      <c r="M30" s="64">
        <v>98.85</v>
      </c>
      <c r="N30" s="64">
        <v>9.6</v>
      </c>
      <c r="O30" s="64">
        <v>0</v>
      </c>
      <c r="P30" s="64">
        <v>0.26</v>
      </c>
      <c r="Q30" s="64">
        <v>9.1</v>
      </c>
      <c r="S30" s="198"/>
      <c r="T30" s="198"/>
      <c r="U30" s="198"/>
    </row>
    <row r="31" spans="1:21" s="12" customFormat="1" x14ac:dyDescent="0.25">
      <c r="A31" s="214" t="s">
        <v>2383</v>
      </c>
      <c r="B31" s="64">
        <v>2.78</v>
      </c>
      <c r="C31" s="64">
        <v>7.45</v>
      </c>
      <c r="D31" s="64">
        <v>10.23</v>
      </c>
      <c r="E31" s="64">
        <v>1.84</v>
      </c>
      <c r="F31" s="64">
        <v>0.5</v>
      </c>
      <c r="G31" s="64">
        <v>11.03</v>
      </c>
      <c r="H31" s="64">
        <v>3.14</v>
      </c>
      <c r="I31" s="64">
        <v>1.49</v>
      </c>
      <c r="J31" s="64">
        <v>0.28000000000000003</v>
      </c>
      <c r="K31" s="64">
        <v>29.42</v>
      </c>
      <c r="L31" s="64">
        <v>21.14</v>
      </c>
      <c r="M31" s="64">
        <v>98.85</v>
      </c>
      <c r="N31" s="64">
        <v>10.199999999999999</v>
      </c>
      <c r="O31" s="64">
        <v>0</v>
      </c>
      <c r="P31" s="64">
        <v>0.26</v>
      </c>
      <c r="Q31" s="64">
        <v>9.6</v>
      </c>
      <c r="S31" s="198"/>
      <c r="T31" s="198"/>
      <c r="U31" s="198"/>
    </row>
    <row r="32" spans="1:21" s="12" customFormat="1" x14ac:dyDescent="0.25">
      <c r="A32" s="214" t="s">
        <v>2384</v>
      </c>
      <c r="B32" s="64">
        <v>2.74</v>
      </c>
      <c r="C32" s="64">
        <v>7.73</v>
      </c>
      <c r="D32" s="64">
        <v>10.47</v>
      </c>
      <c r="E32" s="64">
        <v>1.33</v>
      </c>
      <c r="F32" s="64">
        <v>1.71</v>
      </c>
      <c r="G32" s="64">
        <v>11.03</v>
      </c>
      <c r="H32" s="64">
        <v>3.14</v>
      </c>
      <c r="I32" s="64">
        <v>1.48</v>
      </c>
      <c r="J32" s="64">
        <v>0.4</v>
      </c>
      <c r="K32" s="64">
        <v>18.079999999999998</v>
      </c>
      <c r="L32" s="64">
        <v>21.08</v>
      </c>
      <c r="M32" s="64">
        <v>98.85</v>
      </c>
      <c r="N32" s="64">
        <v>15.3</v>
      </c>
      <c r="O32" s="64">
        <v>0</v>
      </c>
      <c r="P32" s="64">
        <v>0.26</v>
      </c>
      <c r="Q32" s="64">
        <v>8.84</v>
      </c>
      <c r="S32" s="198"/>
      <c r="T32" s="198"/>
      <c r="U32" s="198"/>
    </row>
    <row r="33" spans="1:21" s="12" customFormat="1" x14ac:dyDescent="0.25">
      <c r="A33" s="214" t="s">
        <v>2385</v>
      </c>
      <c r="B33" s="64">
        <v>2.76</v>
      </c>
      <c r="C33" s="64">
        <v>8.4700000000000006</v>
      </c>
      <c r="D33" s="64">
        <v>11.23</v>
      </c>
      <c r="E33" s="64">
        <v>1.49</v>
      </c>
      <c r="F33" s="64">
        <v>1.05</v>
      </c>
      <c r="G33" s="64">
        <v>11.03</v>
      </c>
      <c r="H33" s="64">
        <v>3.14</v>
      </c>
      <c r="I33" s="64">
        <v>1.53</v>
      </c>
      <c r="J33" s="64">
        <v>0.28000000000000003</v>
      </c>
      <c r="K33" s="64">
        <v>21.97</v>
      </c>
      <c r="L33" s="64">
        <v>21.1</v>
      </c>
      <c r="M33" s="64">
        <v>98.85</v>
      </c>
      <c r="N33" s="64">
        <v>31.6</v>
      </c>
      <c r="O33" s="64">
        <v>0</v>
      </c>
      <c r="P33" s="64">
        <v>0.25</v>
      </c>
      <c r="Q33" s="64">
        <v>10.199999999999999</v>
      </c>
      <c r="S33" s="198"/>
      <c r="T33" s="198"/>
      <c r="U33" s="198"/>
    </row>
    <row r="34" spans="1:21" s="12" customFormat="1" x14ac:dyDescent="0.25">
      <c r="A34" s="214" t="s">
        <v>2386</v>
      </c>
      <c r="B34" s="64">
        <v>2.95</v>
      </c>
      <c r="C34" s="64">
        <v>9.4499999999999993</v>
      </c>
      <c r="D34" s="64">
        <v>12.39</v>
      </c>
      <c r="E34" s="64">
        <v>0.93</v>
      </c>
      <c r="F34" s="64">
        <v>1.49</v>
      </c>
      <c r="G34" s="64">
        <v>10.77</v>
      </c>
      <c r="H34" s="64">
        <v>3.49</v>
      </c>
      <c r="I34" s="64">
        <v>1.54</v>
      </c>
      <c r="J34" s="64">
        <v>0.21</v>
      </c>
      <c r="K34" s="64">
        <v>20.99</v>
      </c>
      <c r="L34" s="64">
        <v>21.27</v>
      </c>
      <c r="M34" s="64">
        <v>98.85</v>
      </c>
      <c r="N34" s="64">
        <v>51.4</v>
      </c>
      <c r="O34" s="64">
        <v>0</v>
      </c>
      <c r="P34" s="64">
        <v>0.25</v>
      </c>
      <c r="Q34" s="64">
        <v>10.31</v>
      </c>
      <c r="S34" s="198"/>
      <c r="T34" s="198"/>
      <c r="U34" s="198"/>
    </row>
    <row r="35" spans="1:21" s="12" customFormat="1" x14ac:dyDescent="0.25">
      <c r="A35" s="214" t="s">
        <v>2387</v>
      </c>
      <c r="B35" s="64">
        <v>3.32</v>
      </c>
      <c r="C35" s="64">
        <v>10.48</v>
      </c>
      <c r="D35" s="64">
        <v>13.8</v>
      </c>
      <c r="E35" s="64">
        <v>0.87</v>
      </c>
      <c r="F35" s="64">
        <v>1.1100000000000001</v>
      </c>
      <c r="G35" s="64">
        <v>10.73</v>
      </c>
      <c r="H35" s="64">
        <v>3.49</v>
      </c>
      <c r="I35" s="64">
        <v>1.57</v>
      </c>
      <c r="J35" s="64">
        <v>0.2</v>
      </c>
      <c r="K35" s="64">
        <v>23.5</v>
      </c>
      <c r="L35" s="64">
        <v>21.41</v>
      </c>
      <c r="M35" s="64">
        <v>98.83</v>
      </c>
      <c r="N35" s="64">
        <v>55</v>
      </c>
      <c r="O35" s="64">
        <v>0</v>
      </c>
      <c r="P35" s="64">
        <v>0.26</v>
      </c>
      <c r="Q35" s="64">
        <v>10.76</v>
      </c>
      <c r="S35" s="198"/>
      <c r="T35" s="198"/>
      <c r="U35" s="198"/>
    </row>
    <row r="36" spans="1:21" s="12" customFormat="1" x14ac:dyDescent="0.25">
      <c r="A36" s="214" t="s">
        <v>2388</v>
      </c>
      <c r="B36" s="64">
        <v>3.62</v>
      </c>
      <c r="C36" s="64">
        <v>10.119999999999999</v>
      </c>
      <c r="D36" s="64">
        <v>13.74</v>
      </c>
      <c r="E36" s="64">
        <v>1.1000000000000001</v>
      </c>
      <c r="F36" s="64">
        <v>1.1100000000000001</v>
      </c>
      <c r="G36" s="64">
        <v>10.73</v>
      </c>
      <c r="H36" s="64">
        <v>3.49</v>
      </c>
      <c r="I36" s="64">
        <v>1.49</v>
      </c>
      <c r="J36" s="64">
        <v>0.23</v>
      </c>
      <c r="K36" s="64">
        <v>24.17</v>
      </c>
      <c r="L36" s="64">
        <v>21.47</v>
      </c>
      <c r="M36" s="64">
        <v>98.83</v>
      </c>
      <c r="N36" s="64">
        <v>68.3</v>
      </c>
      <c r="O36" s="64">
        <v>0</v>
      </c>
      <c r="P36" s="64">
        <v>0.27</v>
      </c>
      <c r="Q36" s="64">
        <v>10.38</v>
      </c>
      <c r="S36" s="198"/>
      <c r="T36" s="198"/>
      <c r="U36" s="198"/>
    </row>
    <row r="37" spans="1:21" s="12" customFormat="1" x14ac:dyDescent="0.25">
      <c r="A37" s="214" t="s">
        <v>2389</v>
      </c>
      <c r="B37" s="64">
        <v>3.98</v>
      </c>
      <c r="C37" s="64">
        <v>11.05</v>
      </c>
      <c r="D37" s="64">
        <v>15.03</v>
      </c>
      <c r="E37" s="64">
        <v>1.23</v>
      </c>
      <c r="F37" s="64">
        <v>0.82</v>
      </c>
      <c r="G37" s="64">
        <v>10.73</v>
      </c>
      <c r="H37" s="64">
        <v>3.49</v>
      </c>
      <c r="I37" s="64">
        <v>1.49</v>
      </c>
      <c r="J37" s="64">
        <v>0.18</v>
      </c>
      <c r="K37" s="64">
        <v>18.21</v>
      </c>
      <c r="L37" s="64">
        <v>21.69</v>
      </c>
      <c r="M37" s="64">
        <v>98.83</v>
      </c>
      <c r="N37" s="64">
        <v>58.2</v>
      </c>
      <c r="O37" s="64">
        <v>0</v>
      </c>
      <c r="P37" s="64">
        <v>0.27</v>
      </c>
      <c r="Q37" s="64">
        <v>10.89</v>
      </c>
      <c r="S37" s="198"/>
      <c r="T37" s="198"/>
      <c r="U37" s="198"/>
    </row>
    <row r="38" spans="1:21" s="12" customFormat="1" x14ac:dyDescent="0.25">
      <c r="A38" s="214" t="s">
        <v>2390</v>
      </c>
      <c r="B38" s="64">
        <v>4.3600000000000003</v>
      </c>
      <c r="C38" s="64">
        <v>11.77</v>
      </c>
      <c r="D38" s="64">
        <v>16.13</v>
      </c>
      <c r="E38" s="64">
        <v>1.65</v>
      </c>
      <c r="F38" s="64">
        <v>1.04</v>
      </c>
      <c r="G38" s="64">
        <v>8.66</v>
      </c>
      <c r="H38" s="64">
        <v>5.08</v>
      </c>
      <c r="I38" s="64">
        <v>1.49</v>
      </c>
      <c r="J38" s="64">
        <v>0.23</v>
      </c>
      <c r="K38" s="64">
        <v>21.93</v>
      </c>
      <c r="L38" s="64">
        <v>21.66</v>
      </c>
      <c r="M38" s="64">
        <v>98.83</v>
      </c>
      <c r="N38" s="64">
        <v>70.599999999999994</v>
      </c>
      <c r="O38" s="64">
        <v>0</v>
      </c>
      <c r="P38" s="64">
        <v>0.31</v>
      </c>
      <c r="Q38" s="64">
        <v>10.83</v>
      </c>
      <c r="S38" s="198"/>
      <c r="T38" s="198"/>
      <c r="U38" s="198"/>
    </row>
    <row r="39" spans="1:21" s="12" customFormat="1" x14ac:dyDescent="0.25">
      <c r="A39" s="214" t="s">
        <v>2391</v>
      </c>
      <c r="B39" s="64">
        <v>4.66</v>
      </c>
      <c r="C39" s="64">
        <v>10.93</v>
      </c>
      <c r="D39" s="64">
        <v>15.59</v>
      </c>
      <c r="E39" s="64">
        <v>1.79</v>
      </c>
      <c r="F39" s="64">
        <v>0.01</v>
      </c>
      <c r="G39" s="64">
        <v>8.2799999999999994</v>
      </c>
      <c r="H39" s="64">
        <v>5.08</v>
      </c>
      <c r="I39" s="64">
        <v>1.5</v>
      </c>
      <c r="J39" s="64">
        <v>0.08</v>
      </c>
      <c r="K39" s="64">
        <v>4.8099999999999996</v>
      </c>
      <c r="L39" s="64">
        <v>21.77</v>
      </c>
      <c r="M39" s="64">
        <v>98.83</v>
      </c>
      <c r="N39" s="64">
        <v>89.1</v>
      </c>
      <c r="O39" s="64">
        <v>0</v>
      </c>
      <c r="P39" s="64">
        <v>0.31</v>
      </c>
      <c r="Q39" s="64">
        <v>10.86</v>
      </c>
      <c r="S39" s="198"/>
      <c r="T39" s="198"/>
      <c r="U39" s="198"/>
    </row>
    <row r="40" spans="1:21" s="12" customFormat="1" x14ac:dyDescent="0.25">
      <c r="A40" s="214" t="s">
        <v>2392</v>
      </c>
      <c r="B40" s="64">
        <v>4.8</v>
      </c>
      <c r="C40" s="64">
        <v>10.09</v>
      </c>
      <c r="D40" s="64">
        <v>14.89</v>
      </c>
      <c r="E40" s="64">
        <v>0.3</v>
      </c>
      <c r="F40" s="64">
        <v>0.8</v>
      </c>
      <c r="G40" s="64">
        <v>8.2799999999999994</v>
      </c>
      <c r="H40" s="64">
        <v>5.08</v>
      </c>
      <c r="I40" s="64">
        <v>1.54</v>
      </c>
      <c r="J40" s="64">
        <v>0.21</v>
      </c>
      <c r="K40" s="64">
        <v>24.85</v>
      </c>
      <c r="L40" s="64">
        <v>21.94</v>
      </c>
      <c r="M40" s="64">
        <v>98.83</v>
      </c>
      <c r="N40" s="64">
        <v>72.7</v>
      </c>
      <c r="O40" s="64">
        <v>0</v>
      </c>
      <c r="P40" s="64">
        <v>0.33</v>
      </c>
      <c r="Q40" s="64">
        <v>9.35</v>
      </c>
      <c r="S40" s="198"/>
      <c r="T40" s="198"/>
      <c r="U40" s="198"/>
    </row>
    <row r="41" spans="1:21" s="12" customFormat="1" x14ac:dyDescent="0.25">
      <c r="A41" s="214" t="s">
        <v>2393</v>
      </c>
      <c r="B41" s="64">
        <v>4.9400000000000004</v>
      </c>
      <c r="C41" s="64">
        <v>10.17</v>
      </c>
      <c r="D41" s="64">
        <v>15.11</v>
      </c>
      <c r="E41" s="64">
        <v>0.57999999999999996</v>
      </c>
      <c r="F41" s="64">
        <v>0.26</v>
      </c>
      <c r="G41" s="64">
        <v>8.2799999999999994</v>
      </c>
      <c r="H41" s="64">
        <v>5.08</v>
      </c>
      <c r="I41" s="64">
        <v>1.53</v>
      </c>
      <c r="J41" s="64">
        <v>0.2</v>
      </c>
      <c r="K41" s="64">
        <v>16.61</v>
      </c>
      <c r="L41" s="64">
        <v>22.01</v>
      </c>
      <c r="M41" s="64">
        <v>98.83</v>
      </c>
      <c r="N41" s="64">
        <v>69.3</v>
      </c>
      <c r="O41" s="64">
        <v>0</v>
      </c>
      <c r="P41" s="64">
        <v>0.35</v>
      </c>
      <c r="Q41" s="64">
        <v>10.119999999999999</v>
      </c>
      <c r="S41" s="198"/>
      <c r="T41" s="198"/>
      <c r="U41" s="198"/>
    </row>
    <row r="42" spans="1:21" s="12" customFormat="1" x14ac:dyDescent="0.25">
      <c r="A42" s="214" t="s">
        <v>2394</v>
      </c>
      <c r="B42" s="64">
        <v>4.96</v>
      </c>
      <c r="C42" s="64">
        <v>10.06</v>
      </c>
      <c r="D42" s="64">
        <v>15.02</v>
      </c>
      <c r="E42" s="64">
        <v>0.31</v>
      </c>
      <c r="F42" s="64">
        <v>0.93</v>
      </c>
      <c r="G42" s="64">
        <v>9.48</v>
      </c>
      <c r="H42" s="64">
        <v>3.92</v>
      </c>
      <c r="I42" s="64">
        <v>1.5</v>
      </c>
      <c r="J42" s="64">
        <v>0.23</v>
      </c>
      <c r="K42" s="64">
        <v>18.850000000000001</v>
      </c>
      <c r="L42" s="64">
        <v>22.18</v>
      </c>
      <c r="M42" s="64">
        <v>98.83</v>
      </c>
      <c r="N42" s="64">
        <v>96.9</v>
      </c>
      <c r="O42" s="64">
        <v>0</v>
      </c>
      <c r="P42" s="64">
        <v>0.36</v>
      </c>
      <c r="Q42" s="64">
        <v>9.19</v>
      </c>
      <c r="S42" s="198"/>
      <c r="T42" s="198"/>
      <c r="U42" s="198"/>
    </row>
    <row r="43" spans="1:21" s="12" customFormat="1" x14ac:dyDescent="0.25">
      <c r="A43" s="214" t="s">
        <v>2395</v>
      </c>
      <c r="B43" s="64">
        <v>5.13</v>
      </c>
      <c r="C43" s="64">
        <v>10.130000000000001</v>
      </c>
      <c r="D43" s="64">
        <v>15.25</v>
      </c>
      <c r="E43" s="64">
        <v>0.6</v>
      </c>
      <c r="F43" s="64">
        <v>0.43</v>
      </c>
      <c r="G43" s="64">
        <v>9.68</v>
      </c>
      <c r="H43" s="64">
        <v>3.92</v>
      </c>
      <c r="I43" s="64">
        <v>1.45</v>
      </c>
      <c r="J43" s="64">
        <v>0.33</v>
      </c>
      <c r="K43" s="64">
        <v>22.25</v>
      </c>
      <c r="L43" s="64">
        <v>22.47</v>
      </c>
      <c r="M43" s="64">
        <v>98.82</v>
      </c>
      <c r="N43" s="64">
        <v>135</v>
      </c>
      <c r="O43" s="64">
        <v>0</v>
      </c>
      <c r="P43" s="64">
        <v>0.37</v>
      </c>
      <c r="Q43" s="64">
        <v>9.84</v>
      </c>
      <c r="S43" s="198"/>
      <c r="T43" s="198"/>
      <c r="U43" s="198"/>
    </row>
    <row r="44" spans="1:21" s="12" customFormat="1" x14ac:dyDescent="0.25">
      <c r="A44" s="214" t="s">
        <v>2396</v>
      </c>
      <c r="B44" s="64">
        <v>5.37</v>
      </c>
      <c r="C44" s="64">
        <v>10.18</v>
      </c>
      <c r="D44" s="64">
        <v>15.56</v>
      </c>
      <c r="E44" s="64">
        <v>0.5</v>
      </c>
      <c r="F44" s="64">
        <v>1.1299999999999999</v>
      </c>
      <c r="G44" s="64">
        <v>9.68</v>
      </c>
      <c r="H44" s="64">
        <v>3.92</v>
      </c>
      <c r="I44" s="64">
        <v>1.56</v>
      </c>
      <c r="J44" s="64">
        <v>0.24</v>
      </c>
      <c r="K44" s="64">
        <v>22.35</v>
      </c>
      <c r="L44" s="64">
        <v>22.92</v>
      </c>
      <c r="M44" s="64">
        <v>98.8</v>
      </c>
      <c r="N44" s="64">
        <v>142.5</v>
      </c>
      <c r="O44" s="64">
        <v>0</v>
      </c>
      <c r="P44" s="64">
        <v>0.37</v>
      </c>
      <c r="Q44" s="64">
        <v>9.36</v>
      </c>
      <c r="S44" s="198"/>
      <c r="T44" s="198"/>
      <c r="U44" s="198"/>
    </row>
    <row r="45" spans="1:21" s="12" customFormat="1" x14ac:dyDescent="0.25">
      <c r="A45" s="214" t="s">
        <v>2397</v>
      </c>
      <c r="B45" s="64">
        <v>5.77</v>
      </c>
      <c r="C45" s="64">
        <v>11.17</v>
      </c>
      <c r="D45" s="64">
        <v>16.940000000000001</v>
      </c>
      <c r="E45" s="64">
        <v>1.1000000000000001</v>
      </c>
      <c r="F45" s="64">
        <v>0.28000000000000003</v>
      </c>
      <c r="G45" s="64">
        <v>9.68</v>
      </c>
      <c r="H45" s="64">
        <v>3.92</v>
      </c>
      <c r="I45" s="64">
        <v>1.52</v>
      </c>
      <c r="J45" s="64">
        <v>0.3</v>
      </c>
      <c r="K45" s="64">
        <v>24.56</v>
      </c>
      <c r="L45" s="64">
        <v>22.92</v>
      </c>
      <c r="M45" s="64">
        <v>98.8</v>
      </c>
      <c r="N45" s="64">
        <v>115.1</v>
      </c>
      <c r="O45" s="64">
        <v>0</v>
      </c>
      <c r="P45" s="64">
        <v>0.39</v>
      </c>
      <c r="Q45" s="64">
        <v>10.66</v>
      </c>
      <c r="S45" s="198"/>
      <c r="T45" s="198"/>
      <c r="U45" s="198"/>
    </row>
    <row r="46" spans="1:21" s="12" customFormat="1" x14ac:dyDescent="0.25">
      <c r="A46" s="214" t="s">
        <v>2398</v>
      </c>
      <c r="B46" s="64">
        <v>6.41</v>
      </c>
      <c r="C46" s="64">
        <v>13.01</v>
      </c>
      <c r="D46" s="64">
        <v>19.420000000000002</v>
      </c>
      <c r="E46" s="64">
        <v>0.89</v>
      </c>
      <c r="F46" s="64">
        <v>0.7</v>
      </c>
      <c r="G46" s="64">
        <v>12.96</v>
      </c>
      <c r="H46" s="64">
        <v>5.14</v>
      </c>
      <c r="I46" s="64">
        <v>1.51</v>
      </c>
      <c r="J46" s="64">
        <v>0.28999999999999998</v>
      </c>
      <c r="K46" s="64">
        <v>25</v>
      </c>
      <c r="L46" s="64">
        <v>23.23</v>
      </c>
      <c r="M46" s="64">
        <v>98.78</v>
      </c>
      <c r="N46" s="64">
        <v>190</v>
      </c>
      <c r="O46" s="64">
        <v>0</v>
      </c>
      <c r="P46" s="64">
        <v>0.42</v>
      </c>
      <c r="Q46" s="64">
        <v>10.7</v>
      </c>
      <c r="S46" s="198"/>
      <c r="T46" s="198"/>
      <c r="U46" s="198"/>
    </row>
    <row r="47" spans="1:21" s="12" customFormat="1" x14ac:dyDescent="0.25">
      <c r="A47" s="214" t="s">
        <v>2399</v>
      </c>
      <c r="B47" s="64">
        <v>6.27</v>
      </c>
      <c r="C47" s="64">
        <v>12.73</v>
      </c>
      <c r="D47" s="64">
        <v>19.010000000000002</v>
      </c>
      <c r="E47" s="64">
        <v>0.94</v>
      </c>
      <c r="F47" s="64">
        <v>0.74</v>
      </c>
      <c r="G47" s="64">
        <v>13.52</v>
      </c>
      <c r="H47" s="64">
        <v>5.14</v>
      </c>
      <c r="I47" s="64">
        <v>1.56</v>
      </c>
      <c r="J47" s="64">
        <v>0.23</v>
      </c>
      <c r="K47" s="64">
        <v>16.97</v>
      </c>
      <c r="L47" s="64">
        <v>23.59</v>
      </c>
      <c r="M47" s="64">
        <v>98.49</v>
      </c>
      <c r="N47" s="64">
        <v>193.9</v>
      </c>
      <c r="O47" s="64">
        <v>0</v>
      </c>
      <c r="P47" s="64">
        <v>0.43</v>
      </c>
      <c r="Q47" s="64">
        <v>10.78</v>
      </c>
      <c r="S47" s="198"/>
      <c r="T47" s="198"/>
      <c r="U47" s="198"/>
    </row>
    <row r="48" spans="1:21" s="12" customFormat="1" x14ac:dyDescent="0.25">
      <c r="A48" s="214" t="s">
        <v>2400</v>
      </c>
      <c r="B48" s="64">
        <v>5.96</v>
      </c>
      <c r="C48" s="64">
        <v>12.68</v>
      </c>
      <c r="D48" s="64">
        <v>18.64</v>
      </c>
      <c r="E48" s="64">
        <v>0.93</v>
      </c>
      <c r="F48" s="64">
        <v>1.0900000000000001</v>
      </c>
      <c r="G48" s="64">
        <v>13.52</v>
      </c>
      <c r="H48" s="64">
        <v>5.14</v>
      </c>
      <c r="I48" s="64">
        <v>1.51</v>
      </c>
      <c r="J48" s="64">
        <v>0.3</v>
      </c>
      <c r="K48" s="64">
        <v>19.11</v>
      </c>
      <c r="L48" s="64">
        <v>23.51</v>
      </c>
      <c r="M48" s="64">
        <v>98.01</v>
      </c>
      <c r="N48" s="64">
        <v>226.2</v>
      </c>
      <c r="O48" s="64">
        <v>0</v>
      </c>
      <c r="P48" s="64">
        <v>0.45</v>
      </c>
      <c r="Q48" s="64">
        <v>10.73</v>
      </c>
      <c r="S48" s="198"/>
      <c r="T48" s="198"/>
      <c r="U48" s="198"/>
    </row>
    <row r="49" spans="1:21" s="12" customFormat="1" x14ac:dyDescent="0.25">
      <c r="A49" s="214" t="s">
        <v>2401</v>
      </c>
      <c r="B49" s="64">
        <v>5.56</v>
      </c>
      <c r="C49" s="64">
        <v>12.51</v>
      </c>
      <c r="D49" s="64">
        <v>18.07</v>
      </c>
      <c r="E49" s="64">
        <v>0.26</v>
      </c>
      <c r="F49" s="64">
        <v>1.24</v>
      </c>
      <c r="G49" s="64">
        <v>13.52</v>
      </c>
      <c r="H49" s="64">
        <v>5.14</v>
      </c>
      <c r="I49" s="64">
        <v>1.59</v>
      </c>
      <c r="J49" s="64">
        <v>0.34</v>
      </c>
      <c r="K49" s="64">
        <v>23.26</v>
      </c>
      <c r="L49" s="64">
        <v>24.07</v>
      </c>
      <c r="M49" s="64">
        <v>95.91</v>
      </c>
      <c r="N49" s="64">
        <v>503</v>
      </c>
      <c r="O49" s="64">
        <v>0</v>
      </c>
      <c r="P49" s="64">
        <v>0.45</v>
      </c>
      <c r="Q49" s="64">
        <v>10.33</v>
      </c>
      <c r="S49" s="198"/>
      <c r="T49" s="198"/>
      <c r="U49" s="198"/>
    </row>
    <row r="50" spans="1:21" s="12" customFormat="1" x14ac:dyDescent="0.25">
      <c r="A50" s="214" t="s">
        <v>2402</v>
      </c>
      <c r="B50" s="64">
        <v>5.07</v>
      </c>
      <c r="C50" s="64">
        <v>12.23</v>
      </c>
      <c r="D50" s="64">
        <v>17.309999999999999</v>
      </c>
      <c r="E50" s="64">
        <v>0.85</v>
      </c>
      <c r="F50" s="64">
        <v>1.56</v>
      </c>
      <c r="G50" s="64">
        <v>15.96</v>
      </c>
      <c r="H50" s="64">
        <v>6.73</v>
      </c>
      <c r="I50" s="64">
        <v>1.53</v>
      </c>
      <c r="J50" s="64">
        <v>0.36</v>
      </c>
      <c r="K50" s="64">
        <v>16.64</v>
      </c>
      <c r="L50" s="64">
        <v>25.09</v>
      </c>
      <c r="M50" s="64">
        <v>91.46</v>
      </c>
      <c r="N50" s="64">
        <v>648.6</v>
      </c>
      <c r="O50" s="64">
        <v>0</v>
      </c>
      <c r="P50" s="64">
        <v>0.47</v>
      </c>
      <c r="Q50" s="64">
        <v>10.02</v>
      </c>
      <c r="S50" s="198"/>
      <c r="T50" s="198"/>
      <c r="U50" s="198"/>
    </row>
    <row r="51" spans="1:21" s="12" customFormat="1" x14ac:dyDescent="0.25">
      <c r="A51" s="214" t="s">
        <v>2403</v>
      </c>
      <c r="B51" s="64">
        <v>4.9000000000000004</v>
      </c>
      <c r="C51" s="64">
        <v>12.7</v>
      </c>
      <c r="D51" s="64">
        <v>17.600000000000001</v>
      </c>
      <c r="E51" s="64">
        <v>0.99</v>
      </c>
      <c r="F51" s="64">
        <v>0.36</v>
      </c>
      <c r="G51" s="64">
        <v>16.37</v>
      </c>
      <c r="H51" s="64">
        <v>6.73</v>
      </c>
      <c r="I51" s="64">
        <v>1.55</v>
      </c>
      <c r="J51" s="64">
        <v>0.32</v>
      </c>
      <c r="K51" s="64">
        <v>28.15</v>
      </c>
      <c r="L51" s="64">
        <v>26.01</v>
      </c>
      <c r="M51" s="64">
        <v>86.02</v>
      </c>
      <c r="N51" s="64">
        <v>586.4</v>
      </c>
      <c r="O51" s="64">
        <v>0</v>
      </c>
      <c r="P51" s="64">
        <v>0.46</v>
      </c>
      <c r="Q51" s="64">
        <v>10.43</v>
      </c>
      <c r="S51" s="198"/>
      <c r="T51" s="198"/>
      <c r="U51" s="198"/>
    </row>
    <row r="52" spans="1:21" s="12" customFormat="1" x14ac:dyDescent="0.25">
      <c r="A52" s="214" t="s">
        <v>2404</v>
      </c>
      <c r="B52" s="64">
        <v>5.1100000000000003</v>
      </c>
      <c r="C52" s="64">
        <v>13.45</v>
      </c>
      <c r="D52" s="64">
        <v>18.559999999999999</v>
      </c>
      <c r="E52" s="64">
        <v>0.53</v>
      </c>
      <c r="F52" s="64">
        <v>1.55</v>
      </c>
      <c r="G52" s="64">
        <v>16.37</v>
      </c>
      <c r="H52" s="64">
        <v>6.73</v>
      </c>
      <c r="I52" s="64">
        <v>1.5</v>
      </c>
      <c r="J52" s="64">
        <v>0.41</v>
      </c>
      <c r="K52" s="64">
        <v>23.3</v>
      </c>
      <c r="L52" s="64">
        <v>25.91</v>
      </c>
      <c r="M52" s="64">
        <v>86.6</v>
      </c>
      <c r="N52" s="64">
        <v>695.1</v>
      </c>
      <c r="O52" s="64">
        <v>0</v>
      </c>
      <c r="P52" s="64">
        <v>0.49</v>
      </c>
      <c r="Q52" s="64">
        <v>9.51</v>
      </c>
      <c r="S52" s="198"/>
      <c r="T52" s="198"/>
      <c r="U52" s="198"/>
    </row>
    <row r="53" spans="1:21" s="12" customFormat="1" x14ac:dyDescent="0.25">
      <c r="A53" s="214" t="s">
        <v>2405</v>
      </c>
      <c r="B53" s="64">
        <v>5.08</v>
      </c>
      <c r="C53" s="64">
        <v>14.4</v>
      </c>
      <c r="D53" s="64">
        <v>19.48</v>
      </c>
      <c r="E53" s="64">
        <v>0.47</v>
      </c>
      <c r="F53" s="64">
        <v>1.27</v>
      </c>
      <c r="G53" s="64">
        <v>16.37</v>
      </c>
      <c r="H53" s="64">
        <v>6.73</v>
      </c>
      <c r="I53" s="64">
        <v>1.53</v>
      </c>
      <c r="J53" s="64">
        <v>0.37</v>
      </c>
      <c r="K53" s="64">
        <v>19.190000000000001</v>
      </c>
      <c r="L53" s="64">
        <v>25.59</v>
      </c>
      <c r="M53" s="64">
        <v>87.47</v>
      </c>
      <c r="N53" s="64">
        <v>442.8</v>
      </c>
      <c r="O53" s="64">
        <v>0</v>
      </c>
      <c r="P53" s="64">
        <v>0.5</v>
      </c>
      <c r="Q53" s="64">
        <v>10.18</v>
      </c>
      <c r="S53" s="198"/>
      <c r="T53" s="198"/>
      <c r="U53" s="198"/>
    </row>
    <row r="54" spans="1:21" s="12" customFormat="1" x14ac:dyDescent="0.25">
      <c r="A54" s="214" t="s">
        <v>2406</v>
      </c>
      <c r="B54" s="64">
        <v>4.76</v>
      </c>
      <c r="C54" s="64">
        <v>14.56</v>
      </c>
      <c r="D54" s="64">
        <v>19.32</v>
      </c>
      <c r="E54" s="64">
        <v>0.27</v>
      </c>
      <c r="F54" s="64">
        <v>1.97</v>
      </c>
      <c r="G54" s="64">
        <v>21.59</v>
      </c>
      <c r="H54" s="64">
        <v>8.5500000000000007</v>
      </c>
      <c r="I54" s="64">
        <v>1.48</v>
      </c>
      <c r="J54" s="64">
        <v>0.35</v>
      </c>
      <c r="K54" s="64">
        <v>21.98</v>
      </c>
      <c r="L54" s="64">
        <v>25.67</v>
      </c>
      <c r="M54" s="64">
        <v>86.67</v>
      </c>
      <c r="N54" s="64">
        <v>555.70000000000005</v>
      </c>
      <c r="O54" s="64">
        <v>0</v>
      </c>
      <c r="P54" s="64">
        <v>0.5</v>
      </c>
      <c r="Q54" s="64">
        <v>9.34</v>
      </c>
      <c r="S54" s="198"/>
      <c r="T54" s="198"/>
      <c r="U54" s="198"/>
    </row>
    <row r="55" spans="1:21" s="12" customFormat="1" x14ac:dyDescent="0.25">
      <c r="A55" s="214" t="s">
        <v>2407</v>
      </c>
      <c r="B55" s="64">
        <v>4.1500000000000004</v>
      </c>
      <c r="C55" s="64">
        <v>14.02</v>
      </c>
      <c r="D55" s="64">
        <v>18.170000000000002</v>
      </c>
      <c r="E55" s="64">
        <v>0.55000000000000004</v>
      </c>
      <c r="F55" s="64">
        <v>1.1399999999999999</v>
      </c>
      <c r="G55" s="64">
        <v>22.47</v>
      </c>
      <c r="H55" s="64">
        <v>8.5500000000000007</v>
      </c>
      <c r="I55" s="64">
        <v>1.54</v>
      </c>
      <c r="J55" s="64">
        <v>0.35</v>
      </c>
      <c r="K55" s="64">
        <v>19.64</v>
      </c>
      <c r="L55" s="64">
        <v>25.11</v>
      </c>
      <c r="M55" s="64">
        <v>88.68</v>
      </c>
      <c r="N55" s="64">
        <v>341.4</v>
      </c>
      <c r="O55" s="64">
        <v>0</v>
      </c>
      <c r="P55" s="64">
        <v>0.49</v>
      </c>
      <c r="Q55" s="64">
        <v>9.8000000000000007</v>
      </c>
      <c r="S55" s="198"/>
      <c r="T55" s="198"/>
      <c r="U55" s="198"/>
    </row>
    <row r="56" spans="1:21" s="12" customFormat="1" x14ac:dyDescent="0.25">
      <c r="A56" s="214" t="s">
        <v>2408</v>
      </c>
      <c r="B56" s="64">
        <v>3.6</v>
      </c>
      <c r="C56" s="64">
        <v>13.5</v>
      </c>
      <c r="D56" s="64">
        <v>17.100000000000001</v>
      </c>
      <c r="E56" s="64">
        <v>0.02</v>
      </c>
      <c r="F56" s="64">
        <v>1.9</v>
      </c>
      <c r="G56" s="64">
        <v>22.47</v>
      </c>
      <c r="H56" s="64">
        <v>8.5500000000000007</v>
      </c>
      <c r="I56" s="64">
        <v>1.42</v>
      </c>
      <c r="J56" s="64">
        <v>0.4</v>
      </c>
      <c r="K56" s="64">
        <v>12.29</v>
      </c>
      <c r="L56" s="64">
        <v>25</v>
      </c>
      <c r="M56" s="64">
        <v>89.9</v>
      </c>
      <c r="N56" s="64">
        <v>206.4</v>
      </c>
      <c r="O56" s="64">
        <v>0</v>
      </c>
      <c r="P56" s="64">
        <v>0.5</v>
      </c>
      <c r="Q56" s="64">
        <v>8.7100000000000009</v>
      </c>
      <c r="S56" s="198"/>
      <c r="T56" s="198"/>
      <c r="U56" s="198"/>
    </row>
    <row r="57" spans="1:21" s="12" customFormat="1" x14ac:dyDescent="0.25">
      <c r="A57" s="214" t="s">
        <v>2409</v>
      </c>
      <c r="B57" s="64">
        <v>3.74</v>
      </c>
      <c r="C57" s="64">
        <v>13.68</v>
      </c>
      <c r="D57" s="64">
        <v>17.43</v>
      </c>
      <c r="E57" s="64">
        <v>0.22</v>
      </c>
      <c r="F57" s="64">
        <v>1.52</v>
      </c>
      <c r="G57" s="64">
        <v>22.47</v>
      </c>
      <c r="H57" s="64">
        <v>8.5500000000000007</v>
      </c>
      <c r="I57" s="64">
        <v>1.45</v>
      </c>
      <c r="J57" s="64">
        <v>0.32</v>
      </c>
      <c r="K57" s="64">
        <v>23.57</v>
      </c>
      <c r="L57" s="64">
        <v>24.68</v>
      </c>
      <c r="M57" s="64">
        <v>92.26</v>
      </c>
      <c r="N57" s="64">
        <v>192.1</v>
      </c>
      <c r="O57" s="64">
        <v>0</v>
      </c>
      <c r="P57" s="64">
        <v>0.52</v>
      </c>
      <c r="Q57" s="64">
        <v>9.66</v>
      </c>
      <c r="S57" s="198"/>
      <c r="T57" s="198"/>
      <c r="U57" s="198"/>
    </row>
    <row r="58" spans="1:21" s="12" customFormat="1" x14ac:dyDescent="0.25">
      <c r="A58" s="214" t="s">
        <v>2410</v>
      </c>
      <c r="B58" s="64">
        <v>4.1900000000000004</v>
      </c>
      <c r="C58" s="64">
        <v>13.92</v>
      </c>
      <c r="D58" s="64">
        <v>18.11</v>
      </c>
      <c r="E58" s="64">
        <v>0.78</v>
      </c>
      <c r="F58" s="64">
        <v>1.64</v>
      </c>
      <c r="G58" s="64">
        <v>23.83</v>
      </c>
      <c r="H58" s="64">
        <v>7.77</v>
      </c>
      <c r="I58" s="64">
        <v>1.46</v>
      </c>
      <c r="J58" s="64">
        <v>0.37</v>
      </c>
      <c r="K58" s="64">
        <v>25.39</v>
      </c>
      <c r="L58" s="64">
        <v>24.81</v>
      </c>
      <c r="M58" s="64">
        <v>90.87</v>
      </c>
      <c r="N58" s="64">
        <v>237.7</v>
      </c>
      <c r="O58" s="64">
        <v>0</v>
      </c>
      <c r="P58" s="64">
        <v>0.54</v>
      </c>
      <c r="Q58" s="64">
        <v>9.67</v>
      </c>
      <c r="S58" s="198"/>
      <c r="T58" s="198"/>
      <c r="U58" s="198"/>
    </row>
    <row r="59" spans="1:21" s="12" customFormat="1" x14ac:dyDescent="0.25">
      <c r="A59" s="214" t="s">
        <v>2411</v>
      </c>
      <c r="B59" s="64">
        <v>4.53</v>
      </c>
      <c r="C59" s="64">
        <v>14.86</v>
      </c>
      <c r="D59" s="64">
        <v>19.39</v>
      </c>
      <c r="E59" s="64">
        <v>0.75</v>
      </c>
      <c r="F59" s="64">
        <v>1.46</v>
      </c>
      <c r="G59" s="64">
        <v>24.05</v>
      </c>
      <c r="H59" s="64">
        <v>7.77</v>
      </c>
      <c r="I59" s="64">
        <v>1.53</v>
      </c>
      <c r="J59" s="64">
        <v>0.32</v>
      </c>
      <c r="K59" s="64">
        <v>19.010000000000002</v>
      </c>
      <c r="L59" s="64">
        <v>24.65</v>
      </c>
      <c r="M59" s="64">
        <v>91.35</v>
      </c>
      <c r="N59" s="64">
        <v>182.6</v>
      </c>
      <c r="O59" s="64">
        <v>0</v>
      </c>
      <c r="P59" s="64">
        <v>0.6</v>
      </c>
      <c r="Q59" s="64">
        <v>10.38</v>
      </c>
      <c r="S59" s="198"/>
      <c r="T59" s="198"/>
      <c r="U59" s="198"/>
    </row>
    <row r="60" spans="1:21" s="12" customFormat="1" x14ac:dyDescent="0.25">
      <c r="A60" s="214" t="s">
        <v>2412</v>
      </c>
      <c r="B60" s="64">
        <v>4.7300000000000004</v>
      </c>
      <c r="C60" s="64">
        <v>15.51</v>
      </c>
      <c r="D60" s="64">
        <v>20.239999999999998</v>
      </c>
      <c r="E60" s="64">
        <v>0.73</v>
      </c>
      <c r="F60" s="64">
        <v>1.27</v>
      </c>
      <c r="G60" s="64">
        <v>24.05</v>
      </c>
      <c r="H60" s="64">
        <v>7.77</v>
      </c>
      <c r="I60" s="64">
        <v>1.5</v>
      </c>
      <c r="J60" s="64">
        <v>0.31</v>
      </c>
      <c r="K60" s="64">
        <v>24.12</v>
      </c>
      <c r="L60" s="64">
        <v>24.38</v>
      </c>
      <c r="M60" s="64">
        <v>92.61</v>
      </c>
      <c r="N60" s="64">
        <v>149.80000000000001</v>
      </c>
      <c r="O60" s="64">
        <v>0</v>
      </c>
      <c r="P60" s="64">
        <v>0.61</v>
      </c>
      <c r="Q60" s="64">
        <v>9.8699999999999992</v>
      </c>
      <c r="S60" s="198"/>
      <c r="T60" s="198"/>
      <c r="U60" s="198"/>
    </row>
    <row r="61" spans="1:21" s="12" customFormat="1" x14ac:dyDescent="0.25">
      <c r="A61" s="214" t="s">
        <v>2413</v>
      </c>
      <c r="B61" s="64">
        <v>4.67</v>
      </c>
      <c r="C61" s="64">
        <v>15.06</v>
      </c>
      <c r="D61" s="64">
        <v>19.739999999999998</v>
      </c>
      <c r="E61" s="64">
        <v>1</v>
      </c>
      <c r="F61" s="64">
        <v>1.18</v>
      </c>
      <c r="G61" s="64">
        <v>24.05</v>
      </c>
      <c r="H61" s="64">
        <v>7.77</v>
      </c>
      <c r="I61" s="64">
        <v>1.55</v>
      </c>
      <c r="J61" s="64">
        <v>0.23</v>
      </c>
      <c r="K61" s="64">
        <v>21.61</v>
      </c>
      <c r="L61" s="64">
        <v>24.31</v>
      </c>
      <c r="M61" s="64">
        <v>94.03</v>
      </c>
      <c r="N61" s="64">
        <v>218.8</v>
      </c>
      <c r="O61" s="64">
        <v>0</v>
      </c>
      <c r="P61" s="64">
        <v>0.54</v>
      </c>
      <c r="Q61" s="64">
        <v>9.8800000000000008</v>
      </c>
      <c r="S61" s="198"/>
      <c r="T61" s="198"/>
      <c r="U61" s="198"/>
    </row>
    <row r="62" spans="1:21" s="12" customFormat="1" x14ac:dyDescent="0.25">
      <c r="A62" s="214" t="s">
        <v>2414</v>
      </c>
      <c r="B62" s="64">
        <v>4.6399999999999997</v>
      </c>
      <c r="C62" s="64">
        <v>14.72</v>
      </c>
      <c r="D62" s="64">
        <v>19.37</v>
      </c>
      <c r="E62" s="64">
        <v>0.99</v>
      </c>
      <c r="F62" s="64">
        <v>0.5</v>
      </c>
      <c r="G62" s="64">
        <v>23.51</v>
      </c>
      <c r="H62" s="64">
        <v>8.6999999999999993</v>
      </c>
      <c r="I62" s="64">
        <v>1.47</v>
      </c>
      <c r="J62" s="64">
        <v>0.3</v>
      </c>
      <c r="K62" s="64">
        <v>15.81</v>
      </c>
      <c r="L62" s="64">
        <v>24.7</v>
      </c>
      <c r="M62" s="64">
        <v>91.7</v>
      </c>
      <c r="N62" s="64">
        <v>311.5</v>
      </c>
      <c r="O62" s="64">
        <v>0</v>
      </c>
      <c r="P62" s="64">
        <v>0.55000000000000004</v>
      </c>
      <c r="Q62" s="64">
        <v>10.56</v>
      </c>
      <c r="S62" s="198"/>
      <c r="T62" s="198"/>
      <c r="U62" s="198"/>
    </row>
    <row r="63" spans="1:21" s="12" customFormat="1" x14ac:dyDescent="0.25">
      <c r="A63" s="214" t="s">
        <v>2415</v>
      </c>
      <c r="B63" s="64">
        <v>4.2699999999999996</v>
      </c>
      <c r="C63" s="64">
        <v>14.12</v>
      </c>
      <c r="D63" s="64">
        <v>18.39</v>
      </c>
      <c r="E63" s="64">
        <v>0.89</v>
      </c>
      <c r="F63" s="64">
        <v>1.07</v>
      </c>
      <c r="G63" s="64">
        <v>23.42</v>
      </c>
      <c r="H63" s="64">
        <v>8.6999999999999993</v>
      </c>
      <c r="I63" s="64">
        <v>1.48</v>
      </c>
      <c r="J63" s="64">
        <v>0.33</v>
      </c>
      <c r="K63" s="64">
        <v>21.1</v>
      </c>
      <c r="L63" s="64">
        <v>24.64</v>
      </c>
      <c r="M63" s="64">
        <v>91.29</v>
      </c>
      <c r="N63" s="64">
        <v>282.60000000000002</v>
      </c>
      <c r="O63" s="64">
        <v>0</v>
      </c>
      <c r="P63" s="64">
        <v>0.53</v>
      </c>
      <c r="Q63" s="64">
        <v>9.48</v>
      </c>
      <c r="S63" s="198"/>
      <c r="T63" s="198"/>
      <c r="U63" s="198"/>
    </row>
    <row r="64" spans="1:21" s="12" customFormat="1" x14ac:dyDescent="0.25">
      <c r="A64" s="214" t="s">
        <v>2416</v>
      </c>
      <c r="B64" s="64">
        <v>3.96</v>
      </c>
      <c r="C64" s="64">
        <v>13.83</v>
      </c>
      <c r="D64" s="64">
        <v>17.78</v>
      </c>
      <c r="E64" s="64">
        <v>0.44</v>
      </c>
      <c r="F64" s="64">
        <v>1.75</v>
      </c>
      <c r="G64" s="64">
        <v>23.42</v>
      </c>
      <c r="H64" s="64">
        <v>8.6999999999999993</v>
      </c>
      <c r="I64" s="64">
        <v>1.45</v>
      </c>
      <c r="J64" s="64">
        <v>0.39</v>
      </c>
      <c r="K64" s="64">
        <v>23.55</v>
      </c>
      <c r="L64" s="64">
        <v>24.65</v>
      </c>
      <c r="M64" s="64">
        <v>90.02</v>
      </c>
      <c r="N64" s="64">
        <v>220.8</v>
      </c>
      <c r="O64" s="64">
        <v>0</v>
      </c>
      <c r="P64" s="64">
        <v>0.52</v>
      </c>
      <c r="Q64" s="64">
        <v>8.74</v>
      </c>
      <c r="S64" s="198"/>
      <c r="T64" s="198"/>
      <c r="U64" s="198"/>
    </row>
    <row r="65" spans="1:21" s="12" customFormat="1" x14ac:dyDescent="0.25">
      <c r="A65" s="214" t="s">
        <v>2417</v>
      </c>
      <c r="B65" s="64">
        <v>3.72</v>
      </c>
      <c r="C65" s="64">
        <v>14.35</v>
      </c>
      <c r="D65" s="64">
        <v>18.07</v>
      </c>
      <c r="E65" s="64">
        <v>0.62</v>
      </c>
      <c r="F65" s="64">
        <v>1.65</v>
      </c>
      <c r="G65" s="64">
        <v>23.42</v>
      </c>
      <c r="H65" s="64">
        <v>8.6999999999999993</v>
      </c>
      <c r="I65" s="64">
        <v>1.58</v>
      </c>
      <c r="J65" s="64">
        <v>0.39</v>
      </c>
      <c r="K65" s="64">
        <v>26.48</v>
      </c>
      <c r="L65" s="64">
        <v>24.71</v>
      </c>
      <c r="M65" s="64">
        <v>90.37</v>
      </c>
      <c r="N65" s="64">
        <v>248.6</v>
      </c>
      <c r="O65" s="64">
        <v>0</v>
      </c>
      <c r="P65" s="64">
        <v>0.51</v>
      </c>
      <c r="Q65" s="64">
        <v>8.9700000000000006</v>
      </c>
      <c r="S65" s="198"/>
      <c r="T65" s="198"/>
      <c r="U65" s="198"/>
    </row>
    <row r="66" spans="1:21" s="12" customFormat="1" x14ac:dyDescent="0.25">
      <c r="A66" s="214" t="s">
        <v>2418</v>
      </c>
      <c r="B66" s="64">
        <v>3.9</v>
      </c>
      <c r="C66" s="64">
        <v>14.38</v>
      </c>
      <c r="D66" s="64">
        <v>18.28</v>
      </c>
      <c r="E66" s="64">
        <v>0.32</v>
      </c>
      <c r="F66" s="64">
        <v>1.82</v>
      </c>
      <c r="G66" s="64">
        <v>22.66</v>
      </c>
      <c r="H66" s="64">
        <v>9.2100000000000009</v>
      </c>
      <c r="I66" s="64">
        <v>1.47</v>
      </c>
      <c r="J66" s="64">
        <v>0.28000000000000003</v>
      </c>
      <c r="K66" s="64">
        <v>24.71</v>
      </c>
      <c r="L66" s="64">
        <v>24.77</v>
      </c>
      <c r="M66" s="64">
        <v>90.06</v>
      </c>
      <c r="N66" s="64">
        <v>229.8</v>
      </c>
      <c r="O66" s="64">
        <v>0</v>
      </c>
      <c r="P66" s="64">
        <v>0.53</v>
      </c>
      <c r="Q66" s="64">
        <v>8.34</v>
      </c>
      <c r="S66" s="198"/>
      <c r="T66" s="198"/>
      <c r="U66" s="198"/>
    </row>
    <row r="67" spans="1:21" s="12" customFormat="1" x14ac:dyDescent="0.25">
      <c r="A67" s="214" t="s">
        <v>2419</v>
      </c>
      <c r="B67" s="64">
        <v>4.0999999999999996</v>
      </c>
      <c r="C67" s="64">
        <v>14.77</v>
      </c>
      <c r="D67" s="64">
        <v>18.87</v>
      </c>
      <c r="E67" s="64">
        <v>0.82</v>
      </c>
      <c r="F67" s="64">
        <v>0.89</v>
      </c>
      <c r="G67" s="64">
        <v>22.53</v>
      </c>
      <c r="H67" s="64">
        <v>9.2100000000000009</v>
      </c>
      <c r="I67" s="64">
        <v>1.54</v>
      </c>
      <c r="J67" s="64">
        <v>0.3</v>
      </c>
      <c r="K67" s="64">
        <v>25.87</v>
      </c>
      <c r="L67" s="64">
        <v>24.82</v>
      </c>
      <c r="M67" s="64">
        <v>90.14</v>
      </c>
      <c r="N67" s="64">
        <v>179.2</v>
      </c>
      <c r="O67" s="64">
        <v>0</v>
      </c>
      <c r="P67" s="64">
        <v>0.52</v>
      </c>
      <c r="Q67" s="64">
        <v>9.06</v>
      </c>
      <c r="S67" s="198"/>
      <c r="T67" s="198"/>
      <c r="U67" s="198"/>
    </row>
    <row r="68" spans="1:21" s="12" customFormat="1" x14ac:dyDescent="0.25">
      <c r="A68" s="214" t="s">
        <v>2420</v>
      </c>
      <c r="B68" s="64">
        <v>4.05</v>
      </c>
      <c r="C68" s="64">
        <v>14.49</v>
      </c>
      <c r="D68" s="64">
        <v>18.54</v>
      </c>
      <c r="E68" s="64">
        <v>0.18</v>
      </c>
      <c r="F68" s="64">
        <v>1.81</v>
      </c>
      <c r="G68" s="64">
        <v>22.53</v>
      </c>
      <c r="H68" s="64">
        <v>9.2100000000000009</v>
      </c>
      <c r="I68" s="64">
        <v>1.45</v>
      </c>
      <c r="J68" s="64">
        <v>0.13</v>
      </c>
      <c r="K68" s="64">
        <v>13.66</v>
      </c>
      <c r="L68" s="64">
        <v>24.6</v>
      </c>
      <c r="M68" s="64">
        <v>91.25</v>
      </c>
      <c r="N68" s="64">
        <v>155</v>
      </c>
      <c r="O68" s="64">
        <v>0</v>
      </c>
      <c r="P68" s="64">
        <v>0.52</v>
      </c>
      <c r="Q68" s="64">
        <v>8.41</v>
      </c>
      <c r="S68" s="198"/>
      <c r="T68" s="198"/>
      <c r="U68" s="198"/>
    </row>
    <row r="69" spans="1:21" s="12" customFormat="1" x14ac:dyDescent="0.25">
      <c r="A69" s="214" t="s">
        <v>2421</v>
      </c>
      <c r="B69" s="64">
        <v>3.95</v>
      </c>
      <c r="C69" s="64">
        <v>14.45</v>
      </c>
      <c r="D69" s="64">
        <v>18.399999999999999</v>
      </c>
      <c r="E69" s="64">
        <v>0.97</v>
      </c>
      <c r="F69" s="64">
        <v>0.79</v>
      </c>
      <c r="G69" s="64">
        <v>22.53</v>
      </c>
      <c r="H69" s="64">
        <v>9.2100000000000009</v>
      </c>
      <c r="I69" s="64">
        <v>1.53</v>
      </c>
      <c r="J69" s="64">
        <v>0.16</v>
      </c>
      <c r="K69" s="64">
        <v>29.68</v>
      </c>
      <c r="L69" s="64">
        <v>24.64</v>
      </c>
      <c r="M69" s="64">
        <v>92.3</v>
      </c>
      <c r="N69" s="64">
        <v>146.6</v>
      </c>
      <c r="O69" s="64">
        <v>0</v>
      </c>
      <c r="P69" s="64">
        <v>0.52</v>
      </c>
      <c r="Q69" s="64">
        <v>9.9</v>
      </c>
      <c r="S69" s="198"/>
      <c r="T69" s="198"/>
      <c r="U69" s="198"/>
    </row>
    <row r="70" spans="1:21" s="12" customFormat="1" x14ac:dyDescent="0.25">
      <c r="A70" s="214" t="s">
        <v>2422</v>
      </c>
      <c r="B70" s="64">
        <v>4.2300000000000004</v>
      </c>
      <c r="C70" s="64">
        <v>14.76</v>
      </c>
      <c r="D70" s="64">
        <v>18.989999999999998</v>
      </c>
      <c r="E70" s="64">
        <v>0.55000000000000004</v>
      </c>
      <c r="F70" s="64">
        <v>2.13</v>
      </c>
      <c r="G70" s="64">
        <v>22.35</v>
      </c>
      <c r="H70" s="64">
        <v>8.67</v>
      </c>
      <c r="I70" s="64">
        <v>1.56</v>
      </c>
      <c r="J70" s="64">
        <v>0.21</v>
      </c>
      <c r="K70" s="64">
        <v>7.62</v>
      </c>
      <c r="L70" s="64">
        <v>24.55</v>
      </c>
      <c r="M70" s="64">
        <v>92.18</v>
      </c>
      <c r="N70" s="64">
        <v>145.6</v>
      </c>
      <c r="O70" s="64">
        <v>0</v>
      </c>
      <c r="P70" s="64">
        <v>0.51</v>
      </c>
      <c r="Q70" s="64">
        <v>8.9499999999999993</v>
      </c>
      <c r="S70" s="198"/>
      <c r="T70" s="198"/>
      <c r="U70" s="198"/>
    </row>
    <row r="71" spans="1:21" s="12" customFormat="1" x14ac:dyDescent="0.25">
      <c r="A71" s="214" t="s">
        <v>2423</v>
      </c>
      <c r="B71" s="64">
        <v>4.2699999999999996</v>
      </c>
      <c r="C71" s="64">
        <v>13.66</v>
      </c>
      <c r="D71" s="64">
        <v>17.940000000000001</v>
      </c>
      <c r="E71" s="64">
        <v>0.36</v>
      </c>
      <c r="F71" s="64">
        <v>1.89</v>
      </c>
      <c r="G71" s="64">
        <v>22.32</v>
      </c>
      <c r="H71" s="64">
        <v>8.67</v>
      </c>
      <c r="I71" s="64">
        <v>1.53</v>
      </c>
      <c r="J71" s="64">
        <v>0.2</v>
      </c>
      <c r="K71" s="64">
        <v>28.24</v>
      </c>
      <c r="L71" s="64">
        <v>24.65</v>
      </c>
      <c r="M71" s="64">
        <v>92.53</v>
      </c>
      <c r="N71" s="64">
        <v>145.30000000000001</v>
      </c>
      <c r="O71" s="64">
        <v>0</v>
      </c>
      <c r="P71" s="64">
        <v>0.51</v>
      </c>
      <c r="Q71" s="64">
        <v>9.51</v>
      </c>
      <c r="S71" s="198"/>
      <c r="T71" s="198"/>
      <c r="U71" s="198"/>
    </row>
    <row r="72" spans="1:21" s="12" customFormat="1" x14ac:dyDescent="0.25">
      <c r="A72" s="214" t="s">
        <v>2424</v>
      </c>
      <c r="B72" s="64">
        <v>4.41</v>
      </c>
      <c r="C72" s="64">
        <v>13.5</v>
      </c>
      <c r="D72" s="64">
        <v>17.920000000000002</v>
      </c>
      <c r="E72" s="64">
        <v>0.55000000000000004</v>
      </c>
      <c r="F72" s="64">
        <v>2.61</v>
      </c>
      <c r="G72" s="64">
        <v>22.32</v>
      </c>
      <c r="H72" s="64">
        <v>8.67</v>
      </c>
      <c r="I72" s="64">
        <v>1.48</v>
      </c>
      <c r="J72" s="64">
        <v>0.21</v>
      </c>
      <c r="K72" s="64">
        <v>14.91</v>
      </c>
      <c r="L72" s="64">
        <v>24.85</v>
      </c>
      <c r="M72" s="64">
        <v>91.49</v>
      </c>
      <c r="N72" s="64">
        <v>121.9</v>
      </c>
      <c r="O72" s="64">
        <v>0</v>
      </c>
      <c r="P72" s="64">
        <v>0.5</v>
      </c>
      <c r="Q72" s="64">
        <v>8.66</v>
      </c>
      <c r="S72" s="198"/>
      <c r="T72" s="198"/>
      <c r="U72" s="198"/>
    </row>
    <row r="73" spans="1:21" s="12" customFormat="1" x14ac:dyDescent="0.25">
      <c r="A73" s="214" t="s">
        <v>2425</v>
      </c>
      <c r="B73" s="64">
        <v>4.2300000000000004</v>
      </c>
      <c r="C73" s="64">
        <v>12.78</v>
      </c>
      <c r="D73" s="64">
        <v>17.010000000000002</v>
      </c>
      <c r="E73" s="64">
        <v>1.41</v>
      </c>
      <c r="F73" s="64">
        <v>1.41</v>
      </c>
      <c r="G73" s="64">
        <v>22.32</v>
      </c>
      <c r="H73" s="64">
        <v>8.67</v>
      </c>
      <c r="I73" s="64">
        <v>1.49</v>
      </c>
      <c r="J73" s="64">
        <v>0.26</v>
      </c>
      <c r="K73" s="64">
        <v>21.87</v>
      </c>
      <c r="L73" s="64">
        <v>24.65</v>
      </c>
      <c r="M73" s="64">
        <v>91.05</v>
      </c>
      <c r="N73" s="64">
        <v>97.1</v>
      </c>
      <c r="O73" s="64">
        <v>0</v>
      </c>
      <c r="P73" s="64">
        <v>0.5</v>
      </c>
      <c r="Q73" s="64">
        <v>9.2100000000000009</v>
      </c>
      <c r="S73" s="198"/>
      <c r="T73" s="198"/>
      <c r="U73" s="198"/>
    </row>
    <row r="74" spans="1:21" s="12" customFormat="1" x14ac:dyDescent="0.25">
      <c r="A74" s="214" t="s">
        <v>2426</v>
      </c>
      <c r="B74" s="64">
        <v>4.6500000000000004</v>
      </c>
      <c r="C74" s="64">
        <v>13.74</v>
      </c>
      <c r="D74" s="64">
        <v>18.39</v>
      </c>
      <c r="E74" s="64">
        <v>0.92</v>
      </c>
      <c r="F74" s="64">
        <v>0.42</v>
      </c>
      <c r="G74" s="64">
        <v>28.28</v>
      </c>
      <c r="H74" s="64">
        <v>9.26</v>
      </c>
      <c r="I74" s="64">
        <v>1.48</v>
      </c>
      <c r="J74" s="64">
        <v>0.18</v>
      </c>
      <c r="K74" s="64">
        <v>15.4</v>
      </c>
      <c r="L74" s="64">
        <v>24.59</v>
      </c>
      <c r="M74" s="64">
        <v>92.73</v>
      </c>
      <c r="N74" s="64">
        <v>79.5</v>
      </c>
      <c r="O74" s="64">
        <v>0</v>
      </c>
      <c r="P74" s="64">
        <v>0.51</v>
      </c>
      <c r="Q74" s="64">
        <v>9.51</v>
      </c>
      <c r="S74" s="198"/>
      <c r="T74" s="198"/>
      <c r="U74" s="198"/>
    </row>
    <row r="75" spans="1:21" s="12" customFormat="1" x14ac:dyDescent="0.25">
      <c r="A75" s="214" t="s">
        <v>2427</v>
      </c>
      <c r="B75" s="64">
        <v>4.71</v>
      </c>
      <c r="C75" s="64">
        <v>13.24</v>
      </c>
      <c r="D75" s="64">
        <v>17.95</v>
      </c>
      <c r="E75" s="64">
        <v>0.84</v>
      </c>
      <c r="F75" s="64">
        <v>1.08</v>
      </c>
      <c r="G75" s="64">
        <v>29.29</v>
      </c>
      <c r="H75" s="64">
        <v>9.26</v>
      </c>
      <c r="I75" s="64">
        <v>1.49</v>
      </c>
      <c r="J75" s="64">
        <v>0.15</v>
      </c>
      <c r="K75" s="64">
        <v>23.52</v>
      </c>
      <c r="L75" s="64">
        <v>24.37</v>
      </c>
      <c r="M75" s="64">
        <v>93.84</v>
      </c>
      <c r="N75" s="64">
        <v>67.3</v>
      </c>
      <c r="O75" s="64">
        <v>0</v>
      </c>
      <c r="P75" s="64">
        <v>0.49</v>
      </c>
      <c r="Q75" s="64">
        <v>8.2200000000000006</v>
      </c>
      <c r="S75" s="198"/>
      <c r="T75" s="198"/>
      <c r="U75" s="198"/>
    </row>
    <row r="76" spans="1:21" s="12" customFormat="1" x14ac:dyDescent="0.25">
      <c r="A76" s="214" t="s">
        <v>2428</v>
      </c>
      <c r="B76" s="64">
        <v>4.1900000000000004</v>
      </c>
      <c r="C76" s="64">
        <v>12.15</v>
      </c>
      <c r="D76" s="64">
        <v>16.34</v>
      </c>
      <c r="E76" s="64">
        <v>0.53</v>
      </c>
      <c r="F76" s="64">
        <v>0.83</v>
      </c>
      <c r="G76" s="64">
        <v>29.29</v>
      </c>
      <c r="H76" s="64">
        <v>9.26</v>
      </c>
      <c r="I76" s="64">
        <v>1.5</v>
      </c>
      <c r="J76" s="64">
        <v>0.12</v>
      </c>
      <c r="K76" s="64">
        <v>21.37</v>
      </c>
      <c r="L76" s="64">
        <v>24.16</v>
      </c>
      <c r="M76" s="64">
        <v>94.14</v>
      </c>
      <c r="N76" s="64">
        <v>57.3</v>
      </c>
      <c r="O76" s="64">
        <v>0</v>
      </c>
      <c r="P76" s="64">
        <v>0.49</v>
      </c>
      <c r="Q76" s="64">
        <v>8.51</v>
      </c>
      <c r="S76" s="198"/>
      <c r="T76" s="198"/>
      <c r="U76" s="198"/>
    </row>
    <row r="77" spans="1:21" s="12" customFormat="1" x14ac:dyDescent="0.25">
      <c r="A77" s="214" t="s">
        <v>2429</v>
      </c>
      <c r="B77" s="64">
        <v>3.86</v>
      </c>
      <c r="C77" s="64">
        <v>11.6</v>
      </c>
      <c r="D77" s="64">
        <v>15.45</v>
      </c>
      <c r="E77" s="64">
        <v>0.67</v>
      </c>
      <c r="F77" s="64">
        <v>0.93</v>
      </c>
      <c r="G77" s="64">
        <v>29.29</v>
      </c>
      <c r="H77" s="64">
        <v>9.26</v>
      </c>
      <c r="I77" s="64">
        <v>1.51</v>
      </c>
      <c r="J77" s="64">
        <v>0.05</v>
      </c>
      <c r="K77" s="64">
        <v>18.05</v>
      </c>
      <c r="L77" s="64">
        <v>24.07</v>
      </c>
      <c r="M77" s="64">
        <v>95.08</v>
      </c>
      <c r="N77" s="64">
        <v>43.7</v>
      </c>
      <c r="O77" s="64">
        <v>0</v>
      </c>
      <c r="P77" s="64">
        <v>0.46</v>
      </c>
      <c r="Q77" s="64">
        <v>8.11</v>
      </c>
      <c r="S77" s="198"/>
      <c r="T77" s="198"/>
      <c r="U77" s="198"/>
    </row>
    <row r="78" spans="1:21" s="12" customFormat="1" x14ac:dyDescent="0.25">
      <c r="A78" s="214" t="s">
        <v>2430</v>
      </c>
      <c r="B78" s="64">
        <v>3.85</v>
      </c>
      <c r="C78" s="64">
        <v>11.08</v>
      </c>
      <c r="D78" s="64">
        <v>14.93</v>
      </c>
      <c r="E78" s="64">
        <v>0.39</v>
      </c>
      <c r="F78" s="64">
        <v>1.1499999999999999</v>
      </c>
      <c r="G78" s="64">
        <v>29.72</v>
      </c>
      <c r="H78" s="64">
        <v>8.11</v>
      </c>
      <c r="I78" s="64">
        <v>1.55</v>
      </c>
      <c r="J78" s="64">
        <v>0.16</v>
      </c>
      <c r="K78" s="64">
        <v>28.33</v>
      </c>
      <c r="L78" s="64">
        <v>24.06</v>
      </c>
      <c r="M78" s="64">
        <v>95.85</v>
      </c>
      <c r="N78" s="64">
        <v>26.3</v>
      </c>
      <c r="O78" s="64">
        <v>0</v>
      </c>
      <c r="P78" s="64">
        <v>0.49</v>
      </c>
      <c r="Q78" s="64">
        <v>7.75</v>
      </c>
      <c r="S78" s="198"/>
      <c r="T78" s="198"/>
      <c r="U78" s="198"/>
    </row>
    <row r="79" spans="1:21" s="12" customFormat="1" x14ac:dyDescent="0.25">
      <c r="A79" s="214" t="s">
        <v>2431</v>
      </c>
      <c r="B79" s="64">
        <v>4.17</v>
      </c>
      <c r="C79" s="64">
        <v>11.73</v>
      </c>
      <c r="D79" s="64">
        <v>15.91</v>
      </c>
      <c r="E79" s="64">
        <v>0.74</v>
      </c>
      <c r="F79" s="64">
        <v>0.7</v>
      </c>
      <c r="G79" s="64">
        <v>29.8</v>
      </c>
      <c r="H79" s="64">
        <v>8.11</v>
      </c>
      <c r="I79" s="64">
        <v>1.52</v>
      </c>
      <c r="J79" s="64">
        <v>0.21</v>
      </c>
      <c r="K79" s="64">
        <v>26.51</v>
      </c>
      <c r="L79" s="64">
        <v>23.95</v>
      </c>
      <c r="M79" s="64">
        <v>95.91</v>
      </c>
      <c r="N79" s="64">
        <v>15.7</v>
      </c>
      <c r="O79" s="64">
        <v>0</v>
      </c>
      <c r="P79" s="64">
        <v>0.5</v>
      </c>
      <c r="Q79" s="64">
        <v>8.57</v>
      </c>
      <c r="S79" s="198"/>
      <c r="T79" s="198"/>
      <c r="U79" s="198"/>
    </row>
    <row r="80" spans="1:21" s="12" customFormat="1" x14ac:dyDescent="0.25">
      <c r="A80" s="214" t="s">
        <v>2432</v>
      </c>
      <c r="B80" s="64">
        <v>4.2699999999999996</v>
      </c>
      <c r="C80" s="64">
        <v>11.54</v>
      </c>
      <c r="D80" s="64">
        <v>15.81</v>
      </c>
      <c r="E80" s="64">
        <v>0.33</v>
      </c>
      <c r="F80" s="64">
        <v>1.62</v>
      </c>
      <c r="G80" s="64">
        <v>29.8</v>
      </c>
      <c r="H80" s="64">
        <v>8.11</v>
      </c>
      <c r="I80" s="64">
        <v>1.54</v>
      </c>
      <c r="J80" s="64">
        <v>0.14000000000000001</v>
      </c>
      <c r="K80" s="64">
        <v>20.46</v>
      </c>
      <c r="L80" s="64">
        <v>23.85</v>
      </c>
      <c r="M80" s="64">
        <v>96.7</v>
      </c>
      <c r="N80" s="64">
        <v>10.5</v>
      </c>
      <c r="O80" s="64">
        <v>0</v>
      </c>
      <c r="P80" s="64">
        <v>0.53</v>
      </c>
      <c r="Q80" s="64">
        <v>8.07</v>
      </c>
      <c r="S80" s="198"/>
      <c r="T80" s="198"/>
      <c r="U80" s="198"/>
    </row>
    <row r="81" spans="1:26" s="12" customFormat="1" x14ac:dyDescent="0.25">
      <c r="A81" s="214" t="s">
        <v>2433</v>
      </c>
      <c r="B81" s="64">
        <v>4.13</v>
      </c>
      <c r="C81" s="64">
        <v>18.59</v>
      </c>
      <c r="D81" s="64">
        <v>22.72</v>
      </c>
      <c r="E81" s="64">
        <v>1.44</v>
      </c>
      <c r="F81" s="64">
        <v>5.83</v>
      </c>
      <c r="G81" s="64">
        <v>29.8</v>
      </c>
      <c r="H81" s="64">
        <v>8.11</v>
      </c>
      <c r="I81" s="64">
        <v>1.5</v>
      </c>
      <c r="J81" s="64">
        <v>0.02</v>
      </c>
      <c r="K81" s="64">
        <v>242.19</v>
      </c>
      <c r="L81" s="64">
        <v>23.74</v>
      </c>
      <c r="M81" s="64">
        <v>97.55</v>
      </c>
      <c r="N81" s="64">
        <v>9.8000000000000007</v>
      </c>
      <c r="O81" s="64">
        <v>0</v>
      </c>
      <c r="P81" s="64">
        <v>0.6</v>
      </c>
      <c r="Q81" s="64">
        <v>9.2799999999999994</v>
      </c>
      <c r="S81" s="198"/>
      <c r="T81" s="198"/>
      <c r="U81" s="198"/>
    </row>
    <row r="82" spans="1:26" s="12" customFormat="1" x14ac:dyDescent="0.25">
      <c r="A82" s="214" t="s">
        <v>2434</v>
      </c>
      <c r="B82" s="64">
        <v>5.66</v>
      </c>
      <c r="C82" s="64">
        <v>19.46</v>
      </c>
      <c r="D82" s="64">
        <v>25.12</v>
      </c>
      <c r="E82" s="64">
        <v>1.1200000000000001</v>
      </c>
      <c r="F82" s="64">
        <v>5.95</v>
      </c>
      <c r="G82" s="64">
        <v>34.06</v>
      </c>
      <c r="H82" s="64">
        <v>6.93</v>
      </c>
      <c r="I82" s="64">
        <v>1.47</v>
      </c>
      <c r="J82" s="64">
        <v>0.14000000000000001</v>
      </c>
      <c r="K82" s="64">
        <v>200.06</v>
      </c>
      <c r="L82" s="64">
        <v>23.63</v>
      </c>
      <c r="M82" s="64">
        <v>98.77</v>
      </c>
      <c r="N82" s="64">
        <v>9.6</v>
      </c>
      <c r="O82" s="64">
        <v>0</v>
      </c>
      <c r="P82" s="64">
        <v>0.56000000000000005</v>
      </c>
      <c r="Q82" s="64">
        <v>8.6199999999999992</v>
      </c>
      <c r="S82" s="198"/>
      <c r="T82" s="198"/>
      <c r="U82" s="198"/>
    </row>
    <row r="83" spans="1:26" s="12" customFormat="1" x14ac:dyDescent="0.25">
      <c r="A83" s="214" t="s">
        <v>2435</v>
      </c>
      <c r="B83" s="64">
        <v>6.96</v>
      </c>
      <c r="C83" s="64">
        <v>18.940000000000001</v>
      </c>
      <c r="D83" s="64">
        <v>25.9</v>
      </c>
      <c r="E83" s="64">
        <v>1.33</v>
      </c>
      <c r="F83" s="64">
        <v>4.8</v>
      </c>
      <c r="G83" s="64">
        <v>34.78</v>
      </c>
      <c r="H83" s="64">
        <v>6.93</v>
      </c>
      <c r="I83" s="64">
        <v>1.46</v>
      </c>
      <c r="J83" s="64">
        <v>0.05</v>
      </c>
      <c r="K83" s="64">
        <v>200.27</v>
      </c>
      <c r="L83" s="64">
        <v>23.46</v>
      </c>
      <c r="M83" s="64">
        <v>98.8</v>
      </c>
      <c r="N83" s="64">
        <v>9.6</v>
      </c>
      <c r="O83" s="64">
        <v>0</v>
      </c>
      <c r="P83" s="64">
        <v>0.57999999999999996</v>
      </c>
      <c r="Q83" s="64">
        <v>9.98</v>
      </c>
      <c r="S83" s="198"/>
      <c r="T83" s="198"/>
      <c r="U83" s="198"/>
    </row>
    <row r="84" spans="1:26" s="12" customFormat="1" x14ac:dyDescent="0.25">
      <c r="A84" s="214" t="s">
        <v>2436</v>
      </c>
      <c r="B84" s="64">
        <v>6.23</v>
      </c>
      <c r="C84" s="64">
        <v>19.18</v>
      </c>
      <c r="D84" s="64">
        <v>25.41</v>
      </c>
      <c r="E84" s="64">
        <v>1.28</v>
      </c>
      <c r="F84" s="64">
        <v>5.49</v>
      </c>
      <c r="G84" s="64">
        <v>34.78</v>
      </c>
      <c r="H84" s="64">
        <v>6.93</v>
      </c>
      <c r="I84" s="64">
        <v>1.56</v>
      </c>
      <c r="J84" s="64">
        <v>0.04</v>
      </c>
      <c r="K84" s="64">
        <v>135.30000000000001</v>
      </c>
      <c r="L84" s="64">
        <v>23.5</v>
      </c>
      <c r="M84" s="64">
        <v>98.8</v>
      </c>
      <c r="N84" s="64">
        <v>9.4</v>
      </c>
      <c r="O84" s="64">
        <v>0</v>
      </c>
      <c r="P84" s="64">
        <v>0.53</v>
      </c>
      <c r="Q84" s="64">
        <v>9.61</v>
      </c>
      <c r="S84" s="198"/>
      <c r="T84" s="198"/>
      <c r="U84" s="198"/>
    </row>
    <row r="85" spans="1:26" s="12" customFormat="1" x14ac:dyDescent="0.25">
      <c r="A85" s="214" t="s">
        <v>2437</v>
      </c>
      <c r="B85" s="64">
        <v>5.04</v>
      </c>
      <c r="C85" s="64">
        <v>13.65</v>
      </c>
      <c r="D85" s="64">
        <v>18.68</v>
      </c>
      <c r="E85" s="64">
        <v>1.36</v>
      </c>
      <c r="F85" s="64">
        <v>2.44</v>
      </c>
      <c r="G85" s="64">
        <v>34.78</v>
      </c>
      <c r="H85" s="64">
        <v>6.93</v>
      </c>
      <c r="I85" s="64">
        <v>1.53</v>
      </c>
      <c r="J85" s="64">
        <v>0.17</v>
      </c>
      <c r="K85" s="64">
        <v>182.35</v>
      </c>
      <c r="L85" s="64">
        <v>23.45</v>
      </c>
      <c r="M85" s="64">
        <v>98.8</v>
      </c>
      <c r="N85" s="64">
        <v>9.5</v>
      </c>
      <c r="O85" s="64">
        <v>0</v>
      </c>
      <c r="P85" s="64">
        <v>0.53</v>
      </c>
      <c r="Q85" s="64">
        <v>10.57</v>
      </c>
      <c r="S85" s="198"/>
      <c r="T85" s="198"/>
      <c r="U85" s="198"/>
    </row>
    <row r="86" spans="1:26" s="12" customFormat="1" x14ac:dyDescent="0.25">
      <c r="A86" s="214" t="s">
        <v>2438</v>
      </c>
      <c r="B86" s="64">
        <v>5.12</v>
      </c>
      <c r="C86" s="64">
        <v>12.94</v>
      </c>
      <c r="D86" s="64">
        <v>18.059999999999999</v>
      </c>
      <c r="E86" s="64">
        <v>1.44</v>
      </c>
      <c r="F86" s="64">
        <v>1.31</v>
      </c>
      <c r="G86" s="64">
        <v>33.72</v>
      </c>
      <c r="H86" s="64">
        <v>4.88</v>
      </c>
      <c r="I86" s="64">
        <v>1.47</v>
      </c>
      <c r="J86" s="64">
        <v>0.04</v>
      </c>
      <c r="K86" s="64">
        <v>150.28</v>
      </c>
      <c r="L86" s="64">
        <v>23.34</v>
      </c>
      <c r="M86" s="64">
        <v>98.79</v>
      </c>
      <c r="N86" s="64">
        <v>9.5</v>
      </c>
      <c r="O86" s="64">
        <v>0</v>
      </c>
      <c r="P86" s="64">
        <v>0.55000000000000004</v>
      </c>
      <c r="Q86" s="64">
        <v>10.84</v>
      </c>
      <c r="S86" s="198"/>
      <c r="T86" s="198"/>
      <c r="U86" s="198"/>
    </row>
    <row r="87" spans="1:26" s="12" customFormat="1" x14ac:dyDescent="0.25">
      <c r="A87" s="214" t="s">
        <v>2439</v>
      </c>
      <c r="B87" s="64">
        <v>5.0999999999999996</v>
      </c>
      <c r="C87" s="64">
        <v>11.32</v>
      </c>
      <c r="D87" s="64">
        <v>16.43</v>
      </c>
      <c r="E87" s="64">
        <v>1.1399999999999999</v>
      </c>
      <c r="F87" s="64">
        <v>2.0499999999999998</v>
      </c>
      <c r="G87" s="64">
        <v>33.54</v>
      </c>
      <c r="H87" s="64">
        <v>4.88</v>
      </c>
      <c r="I87" s="64">
        <v>1.47</v>
      </c>
      <c r="J87" s="64">
        <v>0.08</v>
      </c>
      <c r="K87" s="64">
        <v>173.49</v>
      </c>
      <c r="L87" s="64">
        <v>23.3</v>
      </c>
      <c r="M87" s="64">
        <v>98.8</v>
      </c>
      <c r="N87" s="64">
        <v>9.5</v>
      </c>
      <c r="O87" s="64">
        <v>0</v>
      </c>
      <c r="P87" s="64">
        <v>0.55000000000000004</v>
      </c>
      <c r="Q87" s="64">
        <v>11.15</v>
      </c>
      <c r="S87" s="198"/>
      <c r="T87" s="198"/>
      <c r="U87" s="198"/>
    </row>
    <row r="88" spans="1:26" s="12" customFormat="1" x14ac:dyDescent="0.25">
      <c r="A88" s="214" t="s">
        <v>2440</v>
      </c>
      <c r="B88" s="64">
        <v>5.27</v>
      </c>
      <c r="C88" s="64">
        <v>14.53</v>
      </c>
      <c r="D88" s="64">
        <v>19.8</v>
      </c>
      <c r="E88" s="64">
        <v>0.3</v>
      </c>
      <c r="F88" s="64">
        <v>1.45</v>
      </c>
      <c r="G88" s="64">
        <v>33.54</v>
      </c>
      <c r="H88" s="64">
        <v>4.88</v>
      </c>
      <c r="I88" s="64">
        <v>1.55</v>
      </c>
      <c r="J88" s="64">
        <v>0.28999999999999998</v>
      </c>
      <c r="K88" s="64">
        <v>162.16</v>
      </c>
      <c r="L88" s="64">
        <v>23.25</v>
      </c>
      <c r="M88" s="64">
        <v>98.82</v>
      </c>
      <c r="N88" s="64">
        <v>9.5</v>
      </c>
      <c r="O88" s="64">
        <v>0</v>
      </c>
      <c r="P88" s="64">
        <v>0.56999999999999995</v>
      </c>
      <c r="Q88" s="64">
        <v>10.28</v>
      </c>
      <c r="S88" s="198"/>
      <c r="T88" s="198"/>
      <c r="U88" s="198"/>
    </row>
    <row r="89" spans="1:26" s="12" customFormat="1" x14ac:dyDescent="0.25">
      <c r="A89" s="214" t="s">
        <v>2441</v>
      </c>
      <c r="B89" s="64">
        <v>6.4</v>
      </c>
      <c r="C89" s="64">
        <v>12.27</v>
      </c>
      <c r="D89" s="64">
        <v>18.68</v>
      </c>
      <c r="E89" s="64">
        <v>0.43</v>
      </c>
      <c r="F89" s="64">
        <v>0.66</v>
      </c>
      <c r="G89" s="64">
        <v>33.54</v>
      </c>
      <c r="H89" s="64">
        <v>4.88</v>
      </c>
      <c r="I89" s="64">
        <v>1.51</v>
      </c>
      <c r="J89" s="64">
        <v>0.09</v>
      </c>
      <c r="K89" s="64">
        <v>173.13</v>
      </c>
      <c r="L89" s="64">
        <v>23.21</v>
      </c>
      <c r="M89" s="64">
        <v>98.82</v>
      </c>
      <c r="N89" s="64">
        <v>9.5</v>
      </c>
      <c r="O89" s="64">
        <v>0</v>
      </c>
      <c r="P89" s="64">
        <v>0.56999999999999995</v>
      </c>
      <c r="Q89" s="64">
        <v>10.95</v>
      </c>
      <c r="S89" s="198"/>
      <c r="T89" s="198"/>
      <c r="U89" s="198"/>
    </row>
    <row r="90" spans="1:26" s="12" customFormat="1" x14ac:dyDescent="0.25">
      <c r="A90" s="214" t="s">
        <v>2442</v>
      </c>
      <c r="B90" s="64">
        <v>7.31</v>
      </c>
      <c r="C90" s="64">
        <v>15.61</v>
      </c>
      <c r="D90" s="64">
        <v>22.92</v>
      </c>
      <c r="E90" s="64">
        <v>0.41</v>
      </c>
      <c r="F90" s="64">
        <v>1.22</v>
      </c>
      <c r="G90" s="64">
        <v>32.21</v>
      </c>
      <c r="H90" s="64">
        <v>6.4</v>
      </c>
      <c r="I90" s="64">
        <v>1.49</v>
      </c>
      <c r="J90" s="64">
        <v>0.06</v>
      </c>
      <c r="K90" s="64">
        <v>210.16</v>
      </c>
      <c r="L90" s="64">
        <v>23.18</v>
      </c>
      <c r="M90" s="64">
        <v>98.83</v>
      </c>
      <c r="N90" s="64">
        <v>9.5</v>
      </c>
      <c r="O90" s="64">
        <v>0</v>
      </c>
      <c r="P90" s="64">
        <v>0.56000000000000005</v>
      </c>
      <c r="Q90" s="64">
        <v>10.86</v>
      </c>
      <c r="S90" s="198"/>
      <c r="T90" s="198"/>
      <c r="U90" s="198"/>
    </row>
    <row r="91" spans="1:26" s="12" customFormat="1" x14ac:dyDescent="0.25">
      <c r="A91" s="214" t="s">
        <v>2443</v>
      </c>
      <c r="B91" s="64">
        <v>6.56</v>
      </c>
      <c r="C91" s="64">
        <v>12.81</v>
      </c>
      <c r="D91" s="64">
        <v>19.37</v>
      </c>
      <c r="E91" s="64">
        <v>0.56000000000000005</v>
      </c>
      <c r="F91" s="64">
        <v>1.07</v>
      </c>
      <c r="G91" s="64">
        <v>31.98</v>
      </c>
      <c r="H91" s="64">
        <v>6.4</v>
      </c>
      <c r="I91" s="64">
        <v>1.55</v>
      </c>
      <c r="J91" s="64">
        <v>0.15</v>
      </c>
      <c r="K91" s="64">
        <v>169.88</v>
      </c>
      <c r="L91" s="64">
        <v>23.11</v>
      </c>
      <c r="M91" s="64">
        <v>98.83</v>
      </c>
      <c r="N91" s="64">
        <v>9.4</v>
      </c>
      <c r="O91" s="64">
        <v>0</v>
      </c>
      <c r="P91" s="64">
        <v>0.57999999999999996</v>
      </c>
      <c r="Q91" s="64">
        <v>11.3</v>
      </c>
      <c r="S91" s="198"/>
      <c r="T91" s="198"/>
      <c r="U91" s="198"/>
    </row>
    <row r="92" spans="1:26" s="12" customFormat="1" x14ac:dyDescent="0.25">
      <c r="A92" s="214" t="s">
        <v>2444</v>
      </c>
      <c r="B92" s="64">
        <v>8.57</v>
      </c>
      <c r="C92" s="64">
        <v>18.93</v>
      </c>
      <c r="D92" s="64">
        <v>27.5</v>
      </c>
      <c r="E92" s="64">
        <v>0.71</v>
      </c>
      <c r="F92" s="64">
        <v>2.79</v>
      </c>
      <c r="G92" s="64">
        <v>31.98</v>
      </c>
      <c r="H92" s="64">
        <v>6.4</v>
      </c>
      <c r="I92" s="64">
        <v>1.55</v>
      </c>
      <c r="J92" s="64">
        <v>0.1</v>
      </c>
      <c r="K92" s="64">
        <v>184.44</v>
      </c>
      <c r="L92" s="64">
        <v>23.02</v>
      </c>
      <c r="M92" s="64">
        <v>98.83</v>
      </c>
      <c r="N92" s="64">
        <v>9.4</v>
      </c>
      <c r="O92" s="64">
        <v>0</v>
      </c>
      <c r="P92" s="64">
        <v>0.63</v>
      </c>
      <c r="Q92" s="64">
        <v>11.33</v>
      </c>
      <c r="S92" s="198"/>
      <c r="T92" s="198"/>
      <c r="U92" s="198"/>
    </row>
    <row r="93" spans="1:26" s="12" customFormat="1" x14ac:dyDescent="0.25">
      <c r="A93" s="214" t="s">
        <v>2445</v>
      </c>
      <c r="B93" s="64">
        <v>8.19</v>
      </c>
      <c r="C93" s="64">
        <v>20.27</v>
      </c>
      <c r="D93" s="64">
        <v>28.46</v>
      </c>
      <c r="E93" s="64">
        <v>0.28000000000000003</v>
      </c>
      <c r="F93" s="64">
        <v>2.1</v>
      </c>
      <c r="G93" s="64">
        <v>31.98</v>
      </c>
      <c r="H93" s="64">
        <v>6.4</v>
      </c>
      <c r="I93" s="64">
        <v>1.5</v>
      </c>
      <c r="J93" s="64">
        <v>0.11</v>
      </c>
      <c r="K93" s="64">
        <v>187.59</v>
      </c>
      <c r="L93" s="64">
        <v>22.99</v>
      </c>
      <c r="M93" s="64">
        <v>98.85</v>
      </c>
      <c r="N93" s="64">
        <v>9.1999999999999993</v>
      </c>
      <c r="O93" s="64">
        <v>0</v>
      </c>
      <c r="P93" s="64">
        <v>0.62</v>
      </c>
      <c r="Q93" s="64">
        <v>11.85</v>
      </c>
      <c r="S93" s="198"/>
      <c r="T93" s="198"/>
      <c r="U93" s="198"/>
    </row>
    <row r="94" spans="1:26" s="12" customFormat="1" x14ac:dyDescent="0.25">
      <c r="A94" s="214" t="s">
        <v>2446</v>
      </c>
      <c r="B94" s="64">
        <v>10</v>
      </c>
      <c r="C94" s="64">
        <v>17.09</v>
      </c>
      <c r="D94" s="64">
        <v>27.09</v>
      </c>
      <c r="E94" s="64">
        <v>0.87</v>
      </c>
      <c r="F94" s="64">
        <v>2.1800000000000002</v>
      </c>
      <c r="G94" s="64">
        <v>31.24</v>
      </c>
      <c r="H94" s="64">
        <v>5.73</v>
      </c>
      <c r="I94" s="64">
        <v>1.52</v>
      </c>
      <c r="J94" s="64">
        <v>0.16</v>
      </c>
      <c r="K94" s="64">
        <v>181.51</v>
      </c>
      <c r="L94" s="64">
        <v>22.96</v>
      </c>
      <c r="M94" s="64">
        <v>98.85</v>
      </c>
      <c r="N94" s="64">
        <v>9.1999999999999993</v>
      </c>
      <c r="O94" s="64">
        <v>0</v>
      </c>
      <c r="P94" s="64">
        <v>0.55000000000000004</v>
      </c>
      <c r="Q94" s="64">
        <v>12.57</v>
      </c>
      <c r="S94" s="198"/>
      <c r="T94" s="198"/>
      <c r="U94" s="198"/>
    </row>
    <row r="95" spans="1:26" s="12" customFormat="1" x14ac:dyDescent="0.25">
      <c r="A95" s="214" t="s">
        <v>2447</v>
      </c>
      <c r="B95" s="64">
        <v>8.98</v>
      </c>
      <c r="C95" s="64">
        <v>16.04</v>
      </c>
      <c r="D95" s="64">
        <v>25.01</v>
      </c>
      <c r="E95" s="64">
        <v>1.08</v>
      </c>
      <c r="F95" s="64">
        <v>1.97</v>
      </c>
      <c r="G95" s="64">
        <v>31.12</v>
      </c>
      <c r="H95" s="64">
        <v>5.73</v>
      </c>
      <c r="I95" s="64">
        <v>1.52</v>
      </c>
      <c r="J95" s="64">
        <v>0.18</v>
      </c>
      <c r="K95" s="64">
        <v>179.82</v>
      </c>
      <c r="L95" s="64">
        <v>22.95</v>
      </c>
      <c r="M95" s="64">
        <v>98.85</v>
      </c>
      <c r="N95" s="64">
        <v>9.1999999999999993</v>
      </c>
      <c r="O95" s="64">
        <v>0</v>
      </c>
      <c r="P95" s="64">
        <v>0.54</v>
      </c>
      <c r="Q95" s="64">
        <v>12.38</v>
      </c>
      <c r="S95" s="198"/>
      <c r="T95" s="198"/>
      <c r="U95" s="198"/>
    </row>
    <row r="96" spans="1:26" s="12" customFormat="1" x14ac:dyDescent="0.25">
      <c r="A96" s="214" t="s">
        <v>2448</v>
      </c>
      <c r="B96" s="64">
        <v>8.34</v>
      </c>
      <c r="C96" s="64">
        <v>15.7</v>
      </c>
      <c r="D96" s="64">
        <v>24.04</v>
      </c>
      <c r="E96" s="64">
        <v>0.66</v>
      </c>
      <c r="F96" s="64">
        <v>3.36</v>
      </c>
      <c r="G96" s="64">
        <v>31.12</v>
      </c>
      <c r="H96" s="64">
        <v>5.73</v>
      </c>
      <c r="I96" s="64">
        <v>1.46</v>
      </c>
      <c r="J96" s="64">
        <v>0.28999999999999998</v>
      </c>
      <c r="K96" s="64">
        <v>165.69</v>
      </c>
      <c r="L96" s="64">
        <v>22.96</v>
      </c>
      <c r="M96" s="64">
        <v>98.85</v>
      </c>
      <c r="N96" s="64">
        <v>9.3000000000000007</v>
      </c>
      <c r="O96" s="64">
        <v>0</v>
      </c>
      <c r="P96" s="64">
        <v>0.49</v>
      </c>
      <c r="Q96" s="64">
        <v>13.13</v>
      </c>
      <c r="S96" s="198"/>
      <c r="T96" s="198"/>
      <c r="U96" s="198"/>
      <c r="Z96" s="109"/>
    </row>
    <row r="97" spans="1:33" s="12" customFormat="1" x14ac:dyDescent="0.25">
      <c r="A97" s="214" t="s">
        <v>2449</v>
      </c>
      <c r="B97" s="64">
        <v>8.01</v>
      </c>
      <c r="C97" s="64">
        <v>11.14</v>
      </c>
      <c r="D97" s="64">
        <v>19.16</v>
      </c>
      <c r="E97" s="64">
        <v>0.34</v>
      </c>
      <c r="F97" s="64">
        <v>0.81</v>
      </c>
      <c r="G97" s="64">
        <v>31.12</v>
      </c>
      <c r="H97" s="64">
        <v>5.73</v>
      </c>
      <c r="I97" s="64">
        <v>1.52</v>
      </c>
      <c r="J97" s="64">
        <v>0.02</v>
      </c>
      <c r="K97" s="64">
        <v>6.32</v>
      </c>
      <c r="L97" s="64">
        <v>22.94</v>
      </c>
      <c r="M97" s="64">
        <v>98.83</v>
      </c>
      <c r="N97" s="64">
        <v>9.5</v>
      </c>
      <c r="O97" s="64">
        <v>0</v>
      </c>
      <c r="P97" s="64">
        <v>0.56999999999999995</v>
      </c>
      <c r="Q97" s="64">
        <v>12.82</v>
      </c>
      <c r="S97" s="198"/>
      <c r="T97" s="198"/>
      <c r="U97" s="198"/>
    </row>
    <row r="98" spans="1:33" s="12" customFormat="1" x14ac:dyDescent="0.25">
      <c r="A98" s="214" t="s">
        <v>2450</v>
      </c>
      <c r="B98" s="64">
        <v>7.75</v>
      </c>
      <c r="C98" s="64">
        <v>8.7899999999999991</v>
      </c>
      <c r="D98" s="64">
        <v>16.55</v>
      </c>
      <c r="E98" s="64">
        <v>1.2</v>
      </c>
      <c r="F98" s="64">
        <v>0.56000000000000005</v>
      </c>
      <c r="G98" s="64">
        <v>32.659999999999997</v>
      </c>
      <c r="H98" s="64">
        <v>5.22</v>
      </c>
      <c r="I98" s="64">
        <v>1.45</v>
      </c>
      <c r="J98" s="64">
        <v>0.13</v>
      </c>
      <c r="K98" s="64">
        <v>205.45</v>
      </c>
      <c r="L98" s="64">
        <v>22.88</v>
      </c>
      <c r="M98" s="64">
        <v>98.83</v>
      </c>
      <c r="N98" s="64">
        <v>9.5</v>
      </c>
      <c r="O98" s="64">
        <v>0</v>
      </c>
      <c r="P98" s="64">
        <v>0.56000000000000005</v>
      </c>
      <c r="Q98" s="64">
        <v>13.47</v>
      </c>
      <c r="S98" s="198"/>
      <c r="T98" s="198"/>
      <c r="U98" s="198"/>
    </row>
    <row r="99" spans="1:33" s="12" customFormat="1" x14ac:dyDescent="0.25">
      <c r="A99" s="214" t="s">
        <v>2451</v>
      </c>
      <c r="B99" s="64">
        <v>7.5</v>
      </c>
      <c r="C99" s="64">
        <v>8.32</v>
      </c>
      <c r="D99" s="64">
        <v>15.81</v>
      </c>
      <c r="E99" s="64">
        <v>0.55000000000000004</v>
      </c>
      <c r="F99" s="64">
        <v>1.04</v>
      </c>
      <c r="G99" s="64">
        <v>32.92</v>
      </c>
      <c r="H99" s="64">
        <v>5.22</v>
      </c>
      <c r="I99" s="64">
        <v>1.52</v>
      </c>
      <c r="J99" s="64">
        <v>0.08</v>
      </c>
      <c r="K99" s="64">
        <v>182.78</v>
      </c>
      <c r="L99" s="64">
        <v>22.81</v>
      </c>
      <c r="M99" s="64">
        <v>98.83</v>
      </c>
      <c r="N99" s="64">
        <v>9.5</v>
      </c>
      <c r="O99" s="64">
        <v>0</v>
      </c>
      <c r="P99" s="64">
        <v>0.53</v>
      </c>
      <c r="Q99" s="64">
        <v>13.14</v>
      </c>
      <c r="S99" s="198"/>
      <c r="T99" s="198"/>
      <c r="U99" s="198"/>
    </row>
    <row r="100" spans="1:33" s="12" customFormat="1" x14ac:dyDescent="0.25">
      <c r="A100" s="214" t="s">
        <v>2452</v>
      </c>
      <c r="B100" s="64">
        <v>7.24</v>
      </c>
      <c r="C100" s="64">
        <v>8.01</v>
      </c>
      <c r="D100" s="64">
        <v>15.25</v>
      </c>
      <c r="E100" s="64">
        <v>1.07</v>
      </c>
      <c r="F100" s="64">
        <v>0.56999999999999995</v>
      </c>
      <c r="G100" s="64">
        <v>32.92</v>
      </c>
      <c r="H100" s="64">
        <v>5.22</v>
      </c>
      <c r="I100" s="64">
        <v>1.47</v>
      </c>
      <c r="J100" s="64">
        <v>0.13</v>
      </c>
      <c r="K100" s="64">
        <v>171.45</v>
      </c>
      <c r="L100" s="64">
        <v>22.7</v>
      </c>
      <c r="M100" s="64">
        <v>98.85</v>
      </c>
      <c r="N100" s="64">
        <v>9.5</v>
      </c>
      <c r="O100" s="64">
        <v>0</v>
      </c>
      <c r="P100" s="64">
        <v>0.53</v>
      </c>
      <c r="Q100" s="64">
        <v>13.4</v>
      </c>
      <c r="S100" s="198"/>
      <c r="T100" s="198"/>
      <c r="U100" s="198"/>
      <c r="AB100" s="110"/>
      <c r="AG100" s="109"/>
    </row>
    <row r="101" spans="1:33" s="12" customFormat="1" x14ac:dyDescent="0.25">
      <c r="A101" s="214" t="s">
        <v>2453</v>
      </c>
      <c r="B101" s="64">
        <v>6.74</v>
      </c>
      <c r="C101" s="64">
        <v>8.19</v>
      </c>
      <c r="D101" s="64">
        <v>14.92</v>
      </c>
      <c r="E101" s="64">
        <v>1.22</v>
      </c>
      <c r="F101" s="64">
        <v>1.1599999999999999</v>
      </c>
      <c r="G101" s="64">
        <v>32.92</v>
      </c>
      <c r="H101" s="64">
        <v>5.22</v>
      </c>
      <c r="I101" s="64">
        <v>1.45</v>
      </c>
      <c r="J101" s="64">
        <v>0.16</v>
      </c>
      <c r="K101" s="64">
        <v>188.68</v>
      </c>
      <c r="L101" s="64">
        <v>22.67</v>
      </c>
      <c r="M101" s="64">
        <v>98.85</v>
      </c>
      <c r="N101" s="64">
        <v>9.5</v>
      </c>
      <c r="O101" s="64">
        <v>0</v>
      </c>
      <c r="P101" s="64">
        <v>0.51</v>
      </c>
      <c r="Q101" s="64">
        <v>12.93</v>
      </c>
      <c r="S101" s="198"/>
      <c r="T101" s="198"/>
      <c r="U101" s="198"/>
    </row>
    <row r="102" spans="1:33" s="12" customFormat="1" x14ac:dyDescent="0.25">
      <c r="A102" s="214" t="s">
        <v>2454</v>
      </c>
      <c r="B102" s="64">
        <v>6.86</v>
      </c>
      <c r="C102" s="64">
        <v>7.77</v>
      </c>
      <c r="D102" s="64">
        <v>14.64</v>
      </c>
      <c r="E102" s="64">
        <v>0.62</v>
      </c>
      <c r="F102" s="64">
        <v>0.68</v>
      </c>
      <c r="G102" s="64">
        <v>24.26</v>
      </c>
      <c r="H102" s="64">
        <v>6.99</v>
      </c>
      <c r="I102" s="64">
        <v>1.47</v>
      </c>
      <c r="J102" s="64">
        <v>0.13</v>
      </c>
      <c r="K102" s="64">
        <v>191.62</v>
      </c>
      <c r="L102" s="64">
        <v>22.67</v>
      </c>
      <c r="M102" s="64">
        <v>98.85</v>
      </c>
      <c r="N102" s="64">
        <v>9.5</v>
      </c>
      <c r="O102" s="64">
        <v>0</v>
      </c>
      <c r="P102" s="64">
        <v>0.52</v>
      </c>
      <c r="Q102" s="64">
        <v>12.95</v>
      </c>
      <c r="S102" s="198"/>
      <c r="T102" s="198"/>
      <c r="U102" s="198"/>
    </row>
    <row r="103" spans="1:33" s="12" customFormat="1" x14ac:dyDescent="0.25">
      <c r="A103" s="214" t="s">
        <v>2455</v>
      </c>
      <c r="B103" s="64">
        <v>6.55</v>
      </c>
      <c r="C103" s="64">
        <v>8.27</v>
      </c>
      <c r="D103" s="64">
        <v>14.82</v>
      </c>
      <c r="E103" s="64">
        <v>0.63</v>
      </c>
      <c r="F103" s="64">
        <v>1.27</v>
      </c>
      <c r="G103" s="64">
        <v>22.8</v>
      </c>
      <c r="H103" s="64">
        <v>6.99</v>
      </c>
      <c r="I103" s="64">
        <v>1.53</v>
      </c>
      <c r="J103" s="64">
        <v>0.18</v>
      </c>
      <c r="K103" s="64">
        <v>190.85</v>
      </c>
      <c r="L103" s="64">
        <v>22.63</v>
      </c>
      <c r="M103" s="64">
        <v>98.85</v>
      </c>
      <c r="N103" s="64">
        <v>9.5</v>
      </c>
      <c r="O103" s="64">
        <v>0</v>
      </c>
      <c r="P103" s="64">
        <v>0.47</v>
      </c>
      <c r="Q103" s="64">
        <v>13.07</v>
      </c>
      <c r="S103" s="198"/>
      <c r="T103" s="198"/>
      <c r="U103" s="198"/>
    </row>
    <row r="104" spans="1:33" s="12" customFormat="1" x14ac:dyDescent="0.25">
      <c r="A104" s="214" t="s">
        <v>2456</v>
      </c>
      <c r="B104" s="64">
        <v>5.98</v>
      </c>
      <c r="C104" s="64">
        <v>8.31</v>
      </c>
      <c r="D104" s="64">
        <v>14.28</v>
      </c>
      <c r="E104" s="64">
        <v>0.46</v>
      </c>
      <c r="F104" s="64">
        <v>3.34</v>
      </c>
      <c r="G104" s="64">
        <v>22.8</v>
      </c>
      <c r="H104" s="64">
        <v>6.99</v>
      </c>
      <c r="I104" s="64">
        <v>1.54</v>
      </c>
      <c r="J104" s="64">
        <v>0.28999999999999998</v>
      </c>
      <c r="K104" s="64">
        <v>181.15</v>
      </c>
      <c r="L104" s="64">
        <v>22.58</v>
      </c>
      <c r="M104" s="64">
        <v>98.85</v>
      </c>
      <c r="N104" s="64">
        <v>9.5</v>
      </c>
      <c r="O104" s="64">
        <v>0</v>
      </c>
      <c r="P104" s="64">
        <v>0.45</v>
      </c>
      <c r="Q104" s="64">
        <v>13.29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2.74</v>
      </c>
      <c r="C106" s="67">
        <f>MIN(C9:C104)</f>
        <v>7.05</v>
      </c>
      <c r="D106" s="67">
        <f t="shared" ref="D106:Q106" si="0">MIN(D9:D104)</f>
        <v>10.029999999999999</v>
      </c>
      <c r="E106" s="67">
        <f t="shared" si="0"/>
        <v>0.02</v>
      </c>
      <c r="F106" s="67">
        <f t="shared" si="0"/>
        <v>0.01</v>
      </c>
      <c r="G106" s="67">
        <f t="shared" si="0"/>
        <v>8.2799999999999994</v>
      </c>
      <c r="H106" s="67">
        <f t="shared" si="0"/>
        <v>3.14</v>
      </c>
      <c r="I106" s="67">
        <f t="shared" si="0"/>
        <v>1.42</v>
      </c>
      <c r="J106" s="67">
        <f t="shared" si="0"/>
        <v>0</v>
      </c>
      <c r="K106" s="67">
        <f t="shared" si="0"/>
        <v>4.8099999999999996</v>
      </c>
      <c r="L106" s="67">
        <f t="shared" si="0"/>
        <v>21.08</v>
      </c>
      <c r="M106" s="67">
        <f t="shared" si="0"/>
        <v>86.02</v>
      </c>
      <c r="N106" s="67">
        <f t="shared" si="0"/>
        <v>9</v>
      </c>
      <c r="O106" s="67">
        <f t="shared" si="0"/>
        <v>0</v>
      </c>
      <c r="P106" s="67">
        <f t="shared" si="0"/>
        <v>0.25</v>
      </c>
      <c r="Q106" s="67">
        <f t="shared" si="0"/>
        <v>7.75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</v>
      </c>
      <c r="C107" s="66">
        <f t="shared" ref="C107:Q107" si="1">MAX(C9:C104)</f>
        <v>20.27</v>
      </c>
      <c r="D107" s="66">
        <f t="shared" si="1"/>
        <v>28.46</v>
      </c>
      <c r="E107" s="66">
        <f t="shared" si="1"/>
        <v>1.84</v>
      </c>
      <c r="F107" s="66">
        <f t="shared" si="1"/>
        <v>5.95</v>
      </c>
      <c r="G107" s="66">
        <f t="shared" si="1"/>
        <v>34.78</v>
      </c>
      <c r="H107" s="66">
        <f t="shared" si="1"/>
        <v>9.26</v>
      </c>
      <c r="I107" s="66">
        <f t="shared" si="1"/>
        <v>1.59</v>
      </c>
      <c r="J107" s="66">
        <f t="shared" si="1"/>
        <v>0.41</v>
      </c>
      <c r="K107" s="66">
        <f t="shared" si="1"/>
        <v>353.14</v>
      </c>
      <c r="L107" s="66">
        <f t="shared" si="1"/>
        <v>26.01</v>
      </c>
      <c r="M107" s="66">
        <f t="shared" si="1"/>
        <v>98.85</v>
      </c>
      <c r="N107" s="66">
        <f t="shared" si="1"/>
        <v>695.1</v>
      </c>
      <c r="O107" s="66">
        <f t="shared" si="1"/>
        <v>0</v>
      </c>
      <c r="P107" s="66">
        <f t="shared" si="1"/>
        <v>0.63</v>
      </c>
      <c r="Q107" s="66">
        <f t="shared" si="1"/>
        <v>13.47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4.8691666666666684</v>
      </c>
      <c r="C108" s="67">
        <f t="shared" ref="C108:Q108" si="2">AVERAGE(C9:C104)</f>
        <v>11.7475</v>
      </c>
      <c r="D108" s="67">
        <f t="shared" si="2"/>
        <v>16.6171875</v>
      </c>
      <c r="E108" s="67">
        <f t="shared" si="2"/>
        <v>0.88687499999999975</v>
      </c>
      <c r="F108" s="67">
        <f t="shared" si="2"/>
        <v>1.3753125000000004</v>
      </c>
      <c r="G108" s="67">
        <f t="shared" si="2"/>
        <v>20.70604166666666</v>
      </c>
      <c r="H108" s="67">
        <f t="shared" si="2"/>
        <v>6.142500000000001</v>
      </c>
      <c r="I108" s="67">
        <f t="shared" si="2"/>
        <v>1.5043750000000005</v>
      </c>
      <c r="J108" s="67">
        <f t="shared" si="2"/>
        <v>0.20416666666666661</v>
      </c>
      <c r="K108" s="67">
        <f t="shared" si="2"/>
        <v>64.61958333333331</v>
      </c>
      <c r="L108" s="67">
        <f t="shared" si="2"/>
        <v>23.078125000000004</v>
      </c>
      <c r="M108" s="67">
        <f t="shared" si="2"/>
        <v>96.408645833333367</v>
      </c>
      <c r="N108" s="67">
        <f t="shared" si="2"/>
        <v>100.76979166666668</v>
      </c>
      <c r="O108" s="67">
        <f t="shared" si="2"/>
        <v>0</v>
      </c>
      <c r="P108" s="67">
        <f t="shared" si="2"/>
        <v>0.45114583333333336</v>
      </c>
      <c r="Q108" s="67">
        <f t="shared" si="2"/>
        <v>10.402395833333335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1.5732505181891543</v>
      </c>
      <c r="C109" s="67">
        <f t="shared" ref="C109:Q109" si="3">STDEV(C9:C104)</f>
        <v>3.3178391826767744</v>
      </c>
      <c r="D109" s="67">
        <f t="shared" si="3"/>
        <v>4.2420314654593714</v>
      </c>
      <c r="E109" s="67">
        <f t="shared" si="3"/>
        <v>0.42094458317605604</v>
      </c>
      <c r="F109" s="67">
        <f t="shared" si="3"/>
        <v>1.0809790427152011</v>
      </c>
      <c r="G109" s="67">
        <f t="shared" si="3"/>
        <v>8.6661379098148448</v>
      </c>
      <c r="H109" s="67">
        <f t="shared" si="3"/>
        <v>1.8623341324941238</v>
      </c>
      <c r="I109" s="67">
        <f t="shared" si="3"/>
        <v>3.670114009415143E-2</v>
      </c>
      <c r="J109" s="67">
        <f t="shared" si="3"/>
        <v>0.10457600274860961</v>
      </c>
      <c r="K109" s="67">
        <f t="shared" si="3"/>
        <v>76.245181837994053</v>
      </c>
      <c r="L109" s="67">
        <f t="shared" si="3"/>
        <v>1.3725652606476837</v>
      </c>
      <c r="M109" s="67">
        <f t="shared" si="3"/>
        <v>3.7386126387631129</v>
      </c>
      <c r="N109" s="67">
        <f t="shared" si="3"/>
        <v>149.2726104673782</v>
      </c>
      <c r="O109" s="67">
        <f t="shared" si="3"/>
        <v>0</v>
      </c>
      <c r="P109" s="67">
        <f t="shared" si="3"/>
        <v>0.10511016568260428</v>
      </c>
      <c r="Q109" s="67">
        <f t="shared" si="3"/>
        <v>1.3493575428731595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2457</v>
      </c>
      <c r="B9" s="64">
        <v>5.0999999999999996</v>
      </c>
      <c r="C9" s="64">
        <v>8.42</v>
      </c>
      <c r="D9" s="64">
        <v>13.52</v>
      </c>
      <c r="E9" s="64">
        <v>0.98</v>
      </c>
      <c r="F9" s="64">
        <v>4.29</v>
      </c>
      <c r="G9" s="64">
        <v>22.8</v>
      </c>
      <c r="H9" s="64">
        <v>6.99</v>
      </c>
      <c r="I9" s="64">
        <v>1.52</v>
      </c>
      <c r="J9" s="64">
        <v>0.14000000000000001</v>
      </c>
      <c r="K9" s="64">
        <v>184.37</v>
      </c>
      <c r="L9" s="64">
        <v>22.54</v>
      </c>
      <c r="M9" s="64">
        <v>98.85</v>
      </c>
      <c r="N9" s="64">
        <v>9.5</v>
      </c>
      <c r="O9" s="64">
        <v>0</v>
      </c>
      <c r="P9" s="64">
        <v>0.41</v>
      </c>
      <c r="Q9" s="64">
        <v>13.4</v>
      </c>
      <c r="R9" s="198"/>
      <c r="S9" s="198"/>
      <c r="T9" s="198"/>
      <c r="U9" s="198"/>
    </row>
    <row r="10" spans="1:21" s="12" customFormat="1" x14ac:dyDescent="0.25">
      <c r="A10" s="214" t="s">
        <v>2458</v>
      </c>
      <c r="B10" s="64">
        <v>4.96</v>
      </c>
      <c r="C10" s="64">
        <v>8.6300000000000008</v>
      </c>
      <c r="D10" s="64">
        <v>13.59</v>
      </c>
      <c r="E10" s="64">
        <v>1.1200000000000001</v>
      </c>
      <c r="F10" s="64">
        <v>4.5</v>
      </c>
      <c r="G10" s="64">
        <v>22.89</v>
      </c>
      <c r="H10" s="64">
        <v>8.6</v>
      </c>
      <c r="I10" s="64">
        <v>1.43</v>
      </c>
      <c r="J10" s="64">
        <v>0.12</v>
      </c>
      <c r="K10" s="64">
        <v>205.79</v>
      </c>
      <c r="L10" s="64">
        <v>22.48</v>
      </c>
      <c r="M10" s="64">
        <v>98.85</v>
      </c>
      <c r="N10" s="64">
        <v>9.5</v>
      </c>
      <c r="O10" s="64">
        <v>0</v>
      </c>
      <c r="P10" s="64">
        <v>0.36</v>
      </c>
      <c r="Q10" s="64">
        <v>14.24</v>
      </c>
      <c r="R10" s="198"/>
      <c r="S10" s="198"/>
      <c r="T10" s="198"/>
      <c r="U10" s="198"/>
    </row>
    <row r="11" spans="1:21" s="12" customFormat="1" x14ac:dyDescent="0.25">
      <c r="A11" s="214" t="s">
        <v>2459</v>
      </c>
      <c r="B11" s="64">
        <v>5.2</v>
      </c>
      <c r="C11" s="64">
        <v>8.2899999999999991</v>
      </c>
      <c r="D11" s="64">
        <v>13.49</v>
      </c>
      <c r="E11" s="64">
        <v>1.33</v>
      </c>
      <c r="F11" s="64">
        <v>3.6</v>
      </c>
      <c r="G11" s="64">
        <v>22.9</v>
      </c>
      <c r="H11" s="64">
        <v>8.6</v>
      </c>
      <c r="I11" s="64">
        <v>1.54</v>
      </c>
      <c r="J11" s="64">
        <v>0.08</v>
      </c>
      <c r="K11" s="64">
        <v>168.76</v>
      </c>
      <c r="L11" s="64">
        <v>22.4</v>
      </c>
      <c r="M11" s="64">
        <v>98.85</v>
      </c>
      <c r="N11" s="64">
        <v>9.5</v>
      </c>
      <c r="O11" s="64">
        <v>0</v>
      </c>
      <c r="P11" s="64">
        <v>0.43</v>
      </c>
      <c r="Q11" s="64">
        <v>14.29</v>
      </c>
      <c r="R11" s="198"/>
      <c r="S11" s="198"/>
      <c r="T11" s="198"/>
      <c r="U11" s="198"/>
    </row>
    <row r="12" spans="1:21" s="12" customFormat="1" x14ac:dyDescent="0.25">
      <c r="A12" s="214" t="s">
        <v>2460</v>
      </c>
      <c r="B12" s="64">
        <v>4.71</v>
      </c>
      <c r="C12" s="64">
        <v>8.81</v>
      </c>
      <c r="D12" s="64">
        <v>13.52</v>
      </c>
      <c r="E12" s="64">
        <v>0.85</v>
      </c>
      <c r="F12" s="64">
        <v>4.08</v>
      </c>
      <c r="G12" s="64">
        <v>22.9</v>
      </c>
      <c r="H12" s="64">
        <v>8.6</v>
      </c>
      <c r="I12" s="64">
        <v>1.61</v>
      </c>
      <c r="J12" s="64">
        <v>0.09</v>
      </c>
      <c r="K12" s="64">
        <v>206.64</v>
      </c>
      <c r="L12" s="64">
        <v>22.33</v>
      </c>
      <c r="M12" s="64">
        <v>98.85</v>
      </c>
      <c r="N12" s="64">
        <v>9.4</v>
      </c>
      <c r="O12" s="64">
        <v>0</v>
      </c>
      <c r="P12" s="64">
        <v>0.35</v>
      </c>
      <c r="Q12" s="64">
        <v>14.62</v>
      </c>
      <c r="R12" s="198"/>
      <c r="S12" s="198"/>
      <c r="T12" s="198"/>
      <c r="U12" s="198"/>
    </row>
    <row r="13" spans="1:21" s="12" customFormat="1" x14ac:dyDescent="0.25">
      <c r="A13" s="214" t="s">
        <v>2461</v>
      </c>
      <c r="B13" s="64">
        <v>6.08</v>
      </c>
      <c r="C13" s="64">
        <v>7.95</v>
      </c>
      <c r="D13" s="64">
        <v>14.03</v>
      </c>
      <c r="E13" s="64">
        <v>1.43</v>
      </c>
      <c r="F13" s="64">
        <v>1.1000000000000001</v>
      </c>
      <c r="G13" s="64">
        <v>22.9</v>
      </c>
      <c r="H13" s="64">
        <v>8.6</v>
      </c>
      <c r="I13" s="64">
        <v>1.57</v>
      </c>
      <c r="J13" s="64">
        <v>7.0000000000000007E-2</v>
      </c>
      <c r="K13" s="64">
        <v>14.33</v>
      </c>
      <c r="L13" s="64">
        <v>22.26</v>
      </c>
      <c r="M13" s="64">
        <v>98.85</v>
      </c>
      <c r="N13" s="64">
        <v>9.4</v>
      </c>
      <c r="O13" s="64">
        <v>0</v>
      </c>
      <c r="P13" s="64">
        <v>0.43</v>
      </c>
      <c r="Q13" s="64">
        <v>13.56</v>
      </c>
      <c r="R13" s="198"/>
      <c r="S13" s="198"/>
      <c r="T13" s="198"/>
      <c r="U13" s="198"/>
    </row>
    <row r="14" spans="1:21" s="12" customFormat="1" x14ac:dyDescent="0.25">
      <c r="A14" s="214" t="s">
        <v>2462</v>
      </c>
      <c r="B14" s="64">
        <v>6.31</v>
      </c>
      <c r="C14" s="64">
        <v>8.07</v>
      </c>
      <c r="D14" s="64">
        <v>14.38</v>
      </c>
      <c r="E14" s="64">
        <v>1.76</v>
      </c>
      <c r="F14" s="64">
        <v>0.18</v>
      </c>
      <c r="G14" s="64">
        <v>18.41</v>
      </c>
      <c r="H14" s="64">
        <v>9.92</v>
      </c>
      <c r="I14" s="64">
        <v>1.51</v>
      </c>
      <c r="J14" s="64">
        <v>0.12</v>
      </c>
      <c r="K14" s="64">
        <v>28.47</v>
      </c>
      <c r="L14" s="64">
        <v>22.29</v>
      </c>
      <c r="M14" s="64">
        <v>98.85</v>
      </c>
      <c r="N14" s="64">
        <v>9.4</v>
      </c>
      <c r="O14" s="64">
        <v>0</v>
      </c>
      <c r="P14" s="64">
        <v>0.43</v>
      </c>
      <c r="Q14" s="64">
        <v>13.88</v>
      </c>
      <c r="R14" s="198"/>
      <c r="S14" s="198"/>
      <c r="T14" s="198"/>
      <c r="U14" s="198"/>
    </row>
    <row r="15" spans="1:21" s="12" customFormat="1" x14ac:dyDescent="0.25">
      <c r="A15" s="214" t="s">
        <v>2463</v>
      </c>
      <c r="B15" s="64">
        <v>6.15</v>
      </c>
      <c r="C15" s="64">
        <v>7.45</v>
      </c>
      <c r="D15" s="64">
        <v>13.6</v>
      </c>
      <c r="E15" s="64">
        <v>1.1200000000000001</v>
      </c>
      <c r="F15" s="64">
        <v>0.77</v>
      </c>
      <c r="G15" s="64">
        <v>17.59</v>
      </c>
      <c r="H15" s="64">
        <v>9.92</v>
      </c>
      <c r="I15" s="64">
        <v>1.54</v>
      </c>
      <c r="J15" s="64">
        <v>0.04</v>
      </c>
      <c r="K15" s="64">
        <v>338.66</v>
      </c>
      <c r="L15" s="64">
        <v>22.35</v>
      </c>
      <c r="M15" s="64">
        <v>98.85</v>
      </c>
      <c r="N15" s="64">
        <v>9.5</v>
      </c>
      <c r="O15" s="64">
        <v>0</v>
      </c>
      <c r="P15" s="64">
        <v>0.43</v>
      </c>
      <c r="Q15" s="64">
        <v>13.45</v>
      </c>
      <c r="R15" s="198"/>
      <c r="S15" s="198"/>
      <c r="T15" s="198"/>
      <c r="U15" s="198"/>
    </row>
    <row r="16" spans="1:21" s="12" customFormat="1" x14ac:dyDescent="0.25">
      <c r="A16" s="214" t="s">
        <v>2464</v>
      </c>
      <c r="B16" s="64">
        <v>5.95</v>
      </c>
      <c r="C16" s="64">
        <v>7.74</v>
      </c>
      <c r="D16" s="64">
        <v>13.69</v>
      </c>
      <c r="E16" s="64">
        <v>1.32</v>
      </c>
      <c r="F16" s="64">
        <v>0.21</v>
      </c>
      <c r="G16" s="64">
        <v>17.59</v>
      </c>
      <c r="H16" s="64">
        <v>9.92</v>
      </c>
      <c r="I16" s="64">
        <v>1.51</v>
      </c>
      <c r="J16" s="64">
        <v>0.05</v>
      </c>
      <c r="K16" s="64">
        <v>0.61</v>
      </c>
      <c r="L16" s="64">
        <v>22.37</v>
      </c>
      <c r="M16" s="64">
        <v>98.85</v>
      </c>
      <c r="N16" s="64">
        <v>9.5</v>
      </c>
      <c r="O16" s="64">
        <v>0</v>
      </c>
      <c r="P16" s="64">
        <v>0.4</v>
      </c>
      <c r="Q16" s="64">
        <v>13.8</v>
      </c>
      <c r="R16" s="198"/>
      <c r="S16" s="198"/>
      <c r="T16" s="198"/>
      <c r="U16" s="198"/>
    </row>
    <row r="17" spans="1:21" s="12" customFormat="1" x14ac:dyDescent="0.25">
      <c r="A17" s="214" t="s">
        <v>2465</v>
      </c>
      <c r="B17" s="64">
        <v>5.71</v>
      </c>
      <c r="C17" s="64">
        <v>7.22</v>
      </c>
      <c r="D17" s="64">
        <v>12.93</v>
      </c>
      <c r="E17" s="64">
        <v>1.08</v>
      </c>
      <c r="F17" s="64">
        <v>1.03</v>
      </c>
      <c r="G17" s="64">
        <v>17.59</v>
      </c>
      <c r="H17" s="64">
        <v>9.92</v>
      </c>
      <c r="I17" s="64">
        <v>1.52</v>
      </c>
      <c r="J17" s="64">
        <v>0.12</v>
      </c>
      <c r="K17" s="64">
        <v>27.48</v>
      </c>
      <c r="L17" s="64">
        <v>22.34</v>
      </c>
      <c r="M17" s="64">
        <v>98.85</v>
      </c>
      <c r="N17" s="64">
        <v>9.5</v>
      </c>
      <c r="O17" s="64">
        <v>0</v>
      </c>
      <c r="P17" s="64">
        <v>0.4</v>
      </c>
      <c r="Q17" s="64">
        <v>12.91</v>
      </c>
      <c r="R17" s="198"/>
      <c r="S17" s="198"/>
      <c r="T17" s="198"/>
      <c r="U17" s="198"/>
    </row>
    <row r="18" spans="1:21" s="12" customFormat="1" x14ac:dyDescent="0.25">
      <c r="A18" s="214" t="s">
        <v>2466</v>
      </c>
      <c r="B18" s="64">
        <v>5.51</v>
      </c>
      <c r="C18" s="64">
        <v>7.6</v>
      </c>
      <c r="D18" s="64">
        <v>13.11</v>
      </c>
      <c r="E18" s="64">
        <v>0.91</v>
      </c>
      <c r="F18" s="64">
        <v>0.09</v>
      </c>
      <c r="G18" s="64">
        <v>21.36</v>
      </c>
      <c r="H18" s="64">
        <v>11.1</v>
      </c>
      <c r="I18" s="64">
        <v>1.45</v>
      </c>
      <c r="J18" s="64">
        <v>0.14000000000000001</v>
      </c>
      <c r="K18" s="64">
        <v>13.71</v>
      </c>
      <c r="L18" s="64">
        <v>22.37</v>
      </c>
      <c r="M18" s="64">
        <v>98.85</v>
      </c>
      <c r="N18" s="64">
        <v>9.5</v>
      </c>
      <c r="O18" s="64">
        <v>0</v>
      </c>
      <c r="P18" s="64">
        <v>0.39</v>
      </c>
      <c r="Q18" s="64">
        <v>13.39</v>
      </c>
      <c r="R18" s="198"/>
      <c r="S18" s="198"/>
      <c r="T18" s="198"/>
      <c r="U18" s="198"/>
    </row>
    <row r="19" spans="1:21" s="12" customFormat="1" x14ac:dyDescent="0.25">
      <c r="A19" s="214" t="s">
        <v>2467</v>
      </c>
      <c r="B19" s="64">
        <v>5.25</v>
      </c>
      <c r="C19" s="64">
        <v>7.27</v>
      </c>
      <c r="D19" s="64">
        <v>12.52</v>
      </c>
      <c r="E19" s="64">
        <v>1.17</v>
      </c>
      <c r="F19" s="64">
        <v>0.95</v>
      </c>
      <c r="G19" s="64">
        <v>22</v>
      </c>
      <c r="H19" s="64">
        <v>11.1</v>
      </c>
      <c r="I19" s="64">
        <v>1.52</v>
      </c>
      <c r="J19" s="64">
        <v>0.14000000000000001</v>
      </c>
      <c r="K19" s="64">
        <v>20.94</v>
      </c>
      <c r="L19" s="64">
        <v>22.34</v>
      </c>
      <c r="M19" s="64">
        <v>98.85</v>
      </c>
      <c r="N19" s="64">
        <v>9.5</v>
      </c>
      <c r="O19" s="64">
        <v>0</v>
      </c>
      <c r="P19" s="64">
        <v>0.39</v>
      </c>
      <c r="Q19" s="64">
        <v>12.74</v>
      </c>
      <c r="R19" s="198"/>
      <c r="S19" s="198"/>
      <c r="T19" s="198"/>
      <c r="U19" s="198"/>
    </row>
    <row r="20" spans="1:21" s="12" customFormat="1" x14ac:dyDescent="0.25">
      <c r="A20" s="214" t="s">
        <v>2468</v>
      </c>
      <c r="B20" s="64">
        <v>4.82</v>
      </c>
      <c r="C20" s="64">
        <v>7.67</v>
      </c>
      <c r="D20" s="64">
        <v>12.49</v>
      </c>
      <c r="E20" s="64">
        <v>1.05</v>
      </c>
      <c r="F20" s="64">
        <v>0.95</v>
      </c>
      <c r="G20" s="64">
        <v>22</v>
      </c>
      <c r="H20" s="64">
        <v>11.1</v>
      </c>
      <c r="I20" s="64">
        <v>1.52</v>
      </c>
      <c r="J20" s="64">
        <v>7.0000000000000007E-2</v>
      </c>
      <c r="K20" s="64">
        <v>12.79</v>
      </c>
      <c r="L20" s="64">
        <v>22.35</v>
      </c>
      <c r="M20" s="64">
        <v>98.87</v>
      </c>
      <c r="N20" s="64">
        <v>9.5</v>
      </c>
      <c r="O20" s="64">
        <v>0</v>
      </c>
      <c r="P20" s="64">
        <v>0.35</v>
      </c>
      <c r="Q20" s="64">
        <v>13.88</v>
      </c>
      <c r="R20" s="198"/>
      <c r="S20" s="198"/>
      <c r="T20" s="198"/>
      <c r="U20" s="198"/>
    </row>
    <row r="21" spans="1:21" s="12" customFormat="1" x14ac:dyDescent="0.25">
      <c r="A21" s="214" t="s">
        <v>2469</v>
      </c>
      <c r="B21" s="64">
        <v>4.7300000000000004</v>
      </c>
      <c r="C21" s="64">
        <v>7.26</v>
      </c>
      <c r="D21" s="64">
        <v>11.99</v>
      </c>
      <c r="E21" s="64">
        <v>0.96</v>
      </c>
      <c r="F21" s="64">
        <v>1.85</v>
      </c>
      <c r="G21" s="64">
        <v>22</v>
      </c>
      <c r="H21" s="64">
        <v>11.1</v>
      </c>
      <c r="I21" s="64">
        <v>1.55</v>
      </c>
      <c r="J21" s="64">
        <v>0.12</v>
      </c>
      <c r="K21" s="64">
        <v>18.04</v>
      </c>
      <c r="L21" s="64">
        <v>22.35</v>
      </c>
      <c r="M21" s="64">
        <v>98.87</v>
      </c>
      <c r="N21" s="64">
        <v>9.5</v>
      </c>
      <c r="O21" s="64">
        <v>0</v>
      </c>
      <c r="P21" s="64">
        <v>0.35</v>
      </c>
      <c r="Q21" s="64">
        <v>12.5</v>
      </c>
      <c r="R21" s="198"/>
      <c r="S21" s="198"/>
      <c r="T21" s="198"/>
      <c r="U21" s="198"/>
    </row>
    <row r="22" spans="1:21" s="12" customFormat="1" x14ac:dyDescent="0.25">
      <c r="A22" s="214" t="s">
        <v>2470</v>
      </c>
      <c r="B22" s="64">
        <v>4.8499999999999996</v>
      </c>
      <c r="C22" s="64">
        <v>6.99</v>
      </c>
      <c r="D22" s="64">
        <v>11.84</v>
      </c>
      <c r="E22" s="64">
        <v>1.1499999999999999</v>
      </c>
      <c r="F22" s="64">
        <v>1.72</v>
      </c>
      <c r="G22" s="64">
        <v>20.07</v>
      </c>
      <c r="H22" s="64">
        <v>8.84</v>
      </c>
      <c r="I22" s="64">
        <v>1.52</v>
      </c>
      <c r="J22" s="64">
        <v>0.15</v>
      </c>
      <c r="K22" s="64">
        <v>22.22</v>
      </c>
      <c r="L22" s="64">
        <v>22.35</v>
      </c>
      <c r="M22" s="64">
        <v>98.87</v>
      </c>
      <c r="N22" s="64">
        <v>9.5</v>
      </c>
      <c r="O22" s="64">
        <v>0</v>
      </c>
      <c r="P22" s="64">
        <v>0.35</v>
      </c>
      <c r="Q22" s="64">
        <v>13</v>
      </c>
      <c r="R22" s="198"/>
      <c r="S22" s="198"/>
      <c r="T22" s="198"/>
      <c r="U22" s="198"/>
    </row>
    <row r="23" spans="1:21" s="12" customFormat="1" x14ac:dyDescent="0.25">
      <c r="A23" s="214" t="s">
        <v>2471</v>
      </c>
      <c r="B23" s="64">
        <v>4.26</v>
      </c>
      <c r="C23" s="64">
        <v>7.83</v>
      </c>
      <c r="D23" s="64">
        <v>12.09</v>
      </c>
      <c r="E23" s="64">
        <v>0.78</v>
      </c>
      <c r="F23" s="64">
        <v>1.97</v>
      </c>
      <c r="G23" s="64">
        <v>19.75</v>
      </c>
      <c r="H23" s="64">
        <v>8.84</v>
      </c>
      <c r="I23" s="64">
        <v>1.53</v>
      </c>
      <c r="J23" s="64">
        <v>0.12</v>
      </c>
      <c r="K23" s="64">
        <v>11.8</v>
      </c>
      <c r="L23" s="64">
        <v>22.4</v>
      </c>
      <c r="M23" s="64">
        <v>98.86</v>
      </c>
      <c r="N23" s="64">
        <v>9.5</v>
      </c>
      <c r="O23" s="64">
        <v>0</v>
      </c>
      <c r="P23" s="64">
        <v>0.28999999999999998</v>
      </c>
      <c r="Q23" s="64">
        <v>12.96</v>
      </c>
      <c r="R23" s="198"/>
      <c r="S23" s="198"/>
      <c r="T23" s="198"/>
      <c r="U23" s="198"/>
    </row>
    <row r="24" spans="1:21" s="12" customFormat="1" x14ac:dyDescent="0.25">
      <c r="A24" s="214" t="s">
        <v>2472</v>
      </c>
      <c r="B24" s="64">
        <v>4.51</v>
      </c>
      <c r="C24" s="64">
        <v>7.07</v>
      </c>
      <c r="D24" s="64">
        <v>11.57</v>
      </c>
      <c r="E24" s="64">
        <v>1.1100000000000001</v>
      </c>
      <c r="F24" s="64">
        <v>1.24</v>
      </c>
      <c r="G24" s="64">
        <v>19.75</v>
      </c>
      <c r="H24" s="64">
        <v>8.84</v>
      </c>
      <c r="I24" s="64">
        <v>1.52</v>
      </c>
      <c r="J24" s="64">
        <v>0.21</v>
      </c>
      <c r="K24" s="64">
        <v>25.38</v>
      </c>
      <c r="L24" s="64">
        <v>22.49</v>
      </c>
      <c r="M24" s="64">
        <v>98.86</v>
      </c>
      <c r="N24" s="64">
        <v>9.5</v>
      </c>
      <c r="O24" s="64">
        <v>0</v>
      </c>
      <c r="P24" s="64">
        <v>0.34</v>
      </c>
      <c r="Q24" s="64">
        <v>11.99</v>
      </c>
      <c r="R24" s="198"/>
      <c r="S24" s="198"/>
      <c r="T24" s="198"/>
      <c r="U24" s="198"/>
    </row>
    <row r="25" spans="1:21" s="12" customFormat="1" x14ac:dyDescent="0.25">
      <c r="A25" s="214" t="s">
        <v>2473</v>
      </c>
      <c r="B25" s="64">
        <v>4.49</v>
      </c>
      <c r="C25" s="64">
        <v>7.8</v>
      </c>
      <c r="D25" s="64">
        <v>12.29</v>
      </c>
      <c r="E25" s="64">
        <v>1.36</v>
      </c>
      <c r="F25" s="64">
        <v>0.36</v>
      </c>
      <c r="G25" s="64">
        <v>19.75</v>
      </c>
      <c r="H25" s="64">
        <v>8.84</v>
      </c>
      <c r="I25" s="64">
        <v>1.47</v>
      </c>
      <c r="J25" s="64">
        <v>0.04</v>
      </c>
      <c r="K25" s="64">
        <v>356.92</v>
      </c>
      <c r="L25" s="64">
        <v>22.46</v>
      </c>
      <c r="M25" s="64">
        <v>98.86</v>
      </c>
      <c r="N25" s="64">
        <v>9.5</v>
      </c>
      <c r="O25" s="64">
        <v>0</v>
      </c>
      <c r="P25" s="64">
        <v>0.32</v>
      </c>
      <c r="Q25" s="64">
        <v>12.37</v>
      </c>
      <c r="R25" s="198"/>
      <c r="S25" s="198"/>
      <c r="T25" s="198"/>
      <c r="U25" s="198"/>
    </row>
    <row r="26" spans="1:21" s="12" customFormat="1" x14ac:dyDescent="0.25">
      <c r="A26" s="214" t="s">
        <v>2474</v>
      </c>
      <c r="B26" s="64">
        <v>4.34</v>
      </c>
      <c r="C26" s="64">
        <v>7.44</v>
      </c>
      <c r="D26" s="64">
        <v>11.79</v>
      </c>
      <c r="E26" s="64">
        <v>1.19</v>
      </c>
      <c r="F26" s="64">
        <v>1.03</v>
      </c>
      <c r="G26" s="64">
        <v>18.5</v>
      </c>
      <c r="H26" s="64">
        <v>9.26</v>
      </c>
      <c r="I26" s="64">
        <v>1.55</v>
      </c>
      <c r="J26" s="64">
        <v>0.02</v>
      </c>
      <c r="K26" s="64">
        <v>213.13</v>
      </c>
      <c r="L26" s="64">
        <v>22.48</v>
      </c>
      <c r="M26" s="64">
        <v>98.85</v>
      </c>
      <c r="N26" s="64">
        <v>9.5</v>
      </c>
      <c r="O26" s="64">
        <v>0</v>
      </c>
      <c r="P26" s="64">
        <v>0.32</v>
      </c>
      <c r="Q26" s="64">
        <v>11.42</v>
      </c>
      <c r="R26" s="198"/>
      <c r="S26" s="198"/>
      <c r="T26" s="198"/>
      <c r="U26" s="198"/>
    </row>
    <row r="27" spans="1:21" s="12" customFormat="1" x14ac:dyDescent="0.25">
      <c r="A27" s="214" t="s">
        <v>2475</v>
      </c>
      <c r="B27" s="64">
        <v>4.0999999999999996</v>
      </c>
      <c r="C27" s="64">
        <v>7.81</v>
      </c>
      <c r="D27" s="64">
        <v>11.92</v>
      </c>
      <c r="E27" s="64">
        <v>0.72</v>
      </c>
      <c r="F27" s="64">
        <v>0.87</v>
      </c>
      <c r="G27" s="64">
        <v>18.29</v>
      </c>
      <c r="H27" s="64">
        <v>9.26</v>
      </c>
      <c r="I27" s="64">
        <v>1.55</v>
      </c>
      <c r="J27" s="64">
        <v>0.17</v>
      </c>
      <c r="K27" s="64">
        <v>167.38</v>
      </c>
      <c r="L27" s="64">
        <v>22.48</v>
      </c>
      <c r="M27" s="64">
        <v>98.85</v>
      </c>
      <c r="N27" s="64">
        <v>9.5</v>
      </c>
      <c r="O27" s="64">
        <v>0</v>
      </c>
      <c r="P27" s="64">
        <v>0.28999999999999998</v>
      </c>
      <c r="Q27" s="64">
        <v>11.75</v>
      </c>
      <c r="R27" s="198"/>
      <c r="S27" s="198"/>
      <c r="T27" s="198"/>
      <c r="U27" s="198"/>
    </row>
    <row r="28" spans="1:21" s="12" customFormat="1" x14ac:dyDescent="0.25">
      <c r="A28" s="214" t="s">
        <v>2476</v>
      </c>
      <c r="B28" s="64">
        <v>4.17</v>
      </c>
      <c r="C28" s="64">
        <v>7.41</v>
      </c>
      <c r="D28" s="64">
        <v>11.58</v>
      </c>
      <c r="E28" s="64">
        <v>0.5</v>
      </c>
      <c r="F28" s="64">
        <v>0.64</v>
      </c>
      <c r="G28" s="64">
        <v>18.29</v>
      </c>
      <c r="H28" s="64">
        <v>9.26</v>
      </c>
      <c r="I28" s="64">
        <v>1.47</v>
      </c>
      <c r="J28" s="64">
        <v>0.13</v>
      </c>
      <c r="K28" s="64">
        <v>132.91999999999999</v>
      </c>
      <c r="L28" s="64">
        <v>22.52</v>
      </c>
      <c r="M28" s="64">
        <v>98.85</v>
      </c>
      <c r="N28" s="64">
        <v>9.5</v>
      </c>
      <c r="O28" s="64">
        <v>0</v>
      </c>
      <c r="P28" s="64">
        <v>0.31</v>
      </c>
      <c r="Q28" s="64">
        <v>11.11</v>
      </c>
      <c r="R28" s="198"/>
      <c r="S28" s="198"/>
      <c r="T28" s="198"/>
      <c r="U28" s="198"/>
    </row>
    <row r="29" spans="1:21" s="12" customFormat="1" x14ac:dyDescent="0.25">
      <c r="A29" s="214" t="s">
        <v>2477</v>
      </c>
      <c r="B29" s="64">
        <v>4.22</v>
      </c>
      <c r="C29" s="64">
        <v>9.02</v>
      </c>
      <c r="D29" s="64">
        <v>13.24</v>
      </c>
      <c r="E29" s="64">
        <v>0.94</v>
      </c>
      <c r="F29" s="64">
        <v>1.26</v>
      </c>
      <c r="G29" s="64">
        <v>18.29</v>
      </c>
      <c r="H29" s="64">
        <v>9.26</v>
      </c>
      <c r="I29" s="64">
        <v>1.53</v>
      </c>
      <c r="J29" s="64">
        <v>0.13</v>
      </c>
      <c r="K29" s="64">
        <v>164.6</v>
      </c>
      <c r="L29" s="64">
        <v>22.51</v>
      </c>
      <c r="M29" s="64">
        <v>98.85</v>
      </c>
      <c r="N29" s="64">
        <v>9.6</v>
      </c>
      <c r="O29" s="64">
        <v>0</v>
      </c>
      <c r="P29" s="64">
        <v>0.28000000000000003</v>
      </c>
      <c r="Q29" s="64">
        <v>11.61</v>
      </c>
      <c r="R29" s="198"/>
      <c r="S29" s="198"/>
      <c r="T29" s="198"/>
      <c r="U29" s="198"/>
    </row>
    <row r="30" spans="1:21" s="12" customFormat="1" x14ac:dyDescent="0.25">
      <c r="A30" s="214" t="s">
        <v>2478</v>
      </c>
      <c r="B30" s="64">
        <v>4.4400000000000004</v>
      </c>
      <c r="C30" s="64">
        <v>8.17</v>
      </c>
      <c r="D30" s="64">
        <v>12.61</v>
      </c>
      <c r="E30" s="64">
        <v>0.86</v>
      </c>
      <c r="F30" s="64">
        <v>1.45</v>
      </c>
      <c r="G30" s="64">
        <v>19.36</v>
      </c>
      <c r="H30" s="64">
        <v>6.9</v>
      </c>
      <c r="I30" s="64">
        <v>1.49</v>
      </c>
      <c r="J30" s="64">
        <v>0.11</v>
      </c>
      <c r="K30" s="64">
        <v>137.36000000000001</v>
      </c>
      <c r="L30" s="64">
        <v>22.45</v>
      </c>
      <c r="M30" s="64">
        <v>98.85</v>
      </c>
      <c r="N30" s="64">
        <v>9.8000000000000007</v>
      </c>
      <c r="O30" s="64">
        <v>0</v>
      </c>
      <c r="P30" s="64">
        <v>0.3</v>
      </c>
      <c r="Q30" s="64">
        <v>10.92</v>
      </c>
      <c r="R30" s="198"/>
      <c r="S30" s="198"/>
      <c r="T30" s="198"/>
      <c r="U30" s="198"/>
    </row>
    <row r="31" spans="1:21" s="12" customFormat="1" x14ac:dyDescent="0.25">
      <c r="A31" s="214" t="s">
        <v>2479</v>
      </c>
      <c r="B31" s="64">
        <v>4.3099999999999996</v>
      </c>
      <c r="C31" s="64">
        <v>8.19</v>
      </c>
      <c r="D31" s="64">
        <v>12.5</v>
      </c>
      <c r="E31" s="64">
        <v>0.66</v>
      </c>
      <c r="F31" s="64">
        <v>1.08</v>
      </c>
      <c r="G31" s="64">
        <v>19.54</v>
      </c>
      <c r="H31" s="64">
        <v>6.9</v>
      </c>
      <c r="I31" s="64">
        <v>1.52</v>
      </c>
      <c r="J31" s="64">
        <v>0.01</v>
      </c>
      <c r="K31" s="64">
        <v>251.94</v>
      </c>
      <c r="L31" s="64">
        <v>22.37</v>
      </c>
      <c r="M31" s="64">
        <v>98.85</v>
      </c>
      <c r="N31" s="64">
        <v>9.8000000000000007</v>
      </c>
      <c r="O31" s="64">
        <v>0</v>
      </c>
      <c r="P31" s="64">
        <v>0.28000000000000003</v>
      </c>
      <c r="Q31" s="64">
        <v>11.99</v>
      </c>
      <c r="R31" s="198"/>
      <c r="S31" s="198"/>
      <c r="T31" s="198"/>
      <c r="U31" s="198"/>
    </row>
    <row r="32" spans="1:21" s="12" customFormat="1" x14ac:dyDescent="0.25">
      <c r="A32" s="214" t="s">
        <v>2480</v>
      </c>
      <c r="B32" s="64">
        <v>4.99</v>
      </c>
      <c r="C32" s="64">
        <v>13.11</v>
      </c>
      <c r="D32" s="64">
        <v>18.100000000000001</v>
      </c>
      <c r="E32" s="64">
        <v>0.83</v>
      </c>
      <c r="F32" s="64">
        <v>1.92</v>
      </c>
      <c r="G32" s="64">
        <v>19.54</v>
      </c>
      <c r="H32" s="64">
        <v>6.9</v>
      </c>
      <c r="I32" s="64">
        <v>1.46</v>
      </c>
      <c r="J32" s="64">
        <v>7.0000000000000007E-2</v>
      </c>
      <c r="K32" s="64">
        <v>26.37</v>
      </c>
      <c r="L32" s="64">
        <v>22.37</v>
      </c>
      <c r="M32" s="64">
        <v>98.86</v>
      </c>
      <c r="N32" s="64">
        <v>10.199999999999999</v>
      </c>
      <c r="O32" s="64">
        <v>0</v>
      </c>
      <c r="P32" s="64">
        <v>0.28000000000000003</v>
      </c>
      <c r="Q32" s="64">
        <v>12.65</v>
      </c>
      <c r="R32" s="198"/>
      <c r="S32" s="198"/>
      <c r="T32" s="198"/>
      <c r="U32" s="198"/>
    </row>
    <row r="33" spans="1:21" s="12" customFormat="1" x14ac:dyDescent="0.25">
      <c r="A33" s="214" t="s">
        <v>2481</v>
      </c>
      <c r="B33" s="64">
        <v>4.96</v>
      </c>
      <c r="C33" s="64">
        <v>10.73</v>
      </c>
      <c r="D33" s="64">
        <v>15.68</v>
      </c>
      <c r="E33" s="64">
        <v>0.89</v>
      </c>
      <c r="F33" s="64">
        <v>2.3199999999999998</v>
      </c>
      <c r="G33" s="64">
        <v>19.54</v>
      </c>
      <c r="H33" s="64">
        <v>6.9</v>
      </c>
      <c r="I33" s="64">
        <v>1.46</v>
      </c>
      <c r="J33" s="64">
        <v>0.05</v>
      </c>
      <c r="K33" s="64">
        <v>22.29</v>
      </c>
      <c r="L33" s="64">
        <v>22.36</v>
      </c>
      <c r="M33" s="64">
        <v>98.87</v>
      </c>
      <c r="N33" s="64">
        <v>11.7</v>
      </c>
      <c r="O33" s="64">
        <v>0</v>
      </c>
      <c r="P33" s="64">
        <v>0.3</v>
      </c>
      <c r="Q33" s="64">
        <v>12.96</v>
      </c>
      <c r="R33" s="198"/>
      <c r="S33" s="198"/>
      <c r="T33" s="198"/>
      <c r="U33" s="198"/>
    </row>
    <row r="34" spans="1:21" s="12" customFormat="1" x14ac:dyDescent="0.25">
      <c r="A34" s="214" t="s">
        <v>2482</v>
      </c>
      <c r="B34" s="64">
        <v>7.43</v>
      </c>
      <c r="C34" s="64">
        <v>12.77</v>
      </c>
      <c r="D34" s="64">
        <v>20.2</v>
      </c>
      <c r="E34" s="64">
        <v>0.76</v>
      </c>
      <c r="F34" s="64">
        <v>3.67</v>
      </c>
      <c r="G34" s="64">
        <v>18.7</v>
      </c>
      <c r="H34" s="64">
        <v>7.95</v>
      </c>
      <c r="I34" s="64">
        <v>1.54</v>
      </c>
      <c r="J34" s="64">
        <v>0.28999999999999998</v>
      </c>
      <c r="K34" s="64">
        <v>348.27</v>
      </c>
      <c r="L34" s="64">
        <v>22.41</v>
      </c>
      <c r="M34" s="64">
        <v>98.86</v>
      </c>
      <c r="N34" s="64">
        <v>12.7</v>
      </c>
      <c r="O34" s="64">
        <v>0</v>
      </c>
      <c r="P34" s="64">
        <v>0.34</v>
      </c>
      <c r="Q34" s="64">
        <v>13.19</v>
      </c>
      <c r="R34" s="198"/>
      <c r="S34" s="198"/>
      <c r="T34" s="198"/>
      <c r="U34" s="198"/>
    </row>
    <row r="35" spans="1:21" s="12" customFormat="1" x14ac:dyDescent="0.25">
      <c r="A35" s="214" t="s">
        <v>2483</v>
      </c>
      <c r="B35" s="64">
        <v>10.65</v>
      </c>
      <c r="C35" s="64">
        <v>11.49</v>
      </c>
      <c r="D35" s="64">
        <v>22.14</v>
      </c>
      <c r="E35" s="64">
        <v>1.71</v>
      </c>
      <c r="F35" s="64">
        <v>2.85</v>
      </c>
      <c r="G35" s="64">
        <v>18.55</v>
      </c>
      <c r="H35" s="64">
        <v>7.95</v>
      </c>
      <c r="I35" s="64">
        <v>1.46</v>
      </c>
      <c r="J35" s="64">
        <v>0.77</v>
      </c>
      <c r="K35" s="64">
        <v>346.74</v>
      </c>
      <c r="L35" s="64">
        <v>22.51</v>
      </c>
      <c r="M35" s="64">
        <v>98.86</v>
      </c>
      <c r="N35" s="64">
        <v>14.1</v>
      </c>
      <c r="O35" s="64">
        <v>0</v>
      </c>
      <c r="P35" s="64">
        <v>0.33</v>
      </c>
      <c r="Q35" s="64">
        <v>13.81</v>
      </c>
      <c r="R35" s="198"/>
      <c r="S35" s="198"/>
      <c r="T35" s="198"/>
      <c r="U35" s="198"/>
    </row>
    <row r="36" spans="1:21" s="12" customFormat="1" x14ac:dyDescent="0.25">
      <c r="A36" s="214" t="s">
        <v>2484</v>
      </c>
      <c r="B36" s="64">
        <v>7.92</v>
      </c>
      <c r="C36" s="64">
        <v>8.56</v>
      </c>
      <c r="D36" s="64">
        <v>16.48</v>
      </c>
      <c r="E36" s="64">
        <v>1.34</v>
      </c>
      <c r="F36" s="64">
        <v>1.85</v>
      </c>
      <c r="G36" s="64">
        <v>18.55</v>
      </c>
      <c r="H36" s="64">
        <v>7.95</v>
      </c>
      <c r="I36" s="64">
        <v>1.45</v>
      </c>
      <c r="J36" s="64">
        <v>0.71</v>
      </c>
      <c r="K36" s="64">
        <v>341.92</v>
      </c>
      <c r="L36" s="64">
        <v>22.48</v>
      </c>
      <c r="M36" s="64">
        <v>98.87</v>
      </c>
      <c r="N36" s="64">
        <v>15.7</v>
      </c>
      <c r="O36" s="64">
        <v>0</v>
      </c>
      <c r="P36" s="64">
        <v>0.33</v>
      </c>
      <c r="Q36" s="64">
        <v>13.29</v>
      </c>
      <c r="R36" s="198"/>
      <c r="S36" s="198"/>
      <c r="T36" s="198"/>
      <c r="U36" s="198"/>
    </row>
    <row r="37" spans="1:21" s="12" customFormat="1" x14ac:dyDescent="0.25">
      <c r="A37" s="214" t="s">
        <v>2485</v>
      </c>
      <c r="B37" s="64">
        <v>8</v>
      </c>
      <c r="C37" s="64">
        <v>8.81</v>
      </c>
      <c r="D37" s="64">
        <v>16.809999999999999</v>
      </c>
      <c r="E37" s="64">
        <v>0.79</v>
      </c>
      <c r="F37" s="64">
        <v>0.62</v>
      </c>
      <c r="G37" s="64">
        <v>18.55</v>
      </c>
      <c r="H37" s="64">
        <v>7.95</v>
      </c>
      <c r="I37" s="64">
        <v>1.48</v>
      </c>
      <c r="J37" s="64">
        <v>0.25</v>
      </c>
      <c r="K37" s="64">
        <v>329.18</v>
      </c>
      <c r="L37" s="64">
        <v>21.89</v>
      </c>
      <c r="M37" s="64">
        <v>98.87</v>
      </c>
      <c r="N37" s="64">
        <v>19.8</v>
      </c>
      <c r="O37" s="64">
        <v>0</v>
      </c>
      <c r="P37" s="64">
        <v>0.36</v>
      </c>
      <c r="Q37" s="64">
        <v>13.7</v>
      </c>
      <c r="R37" s="198"/>
      <c r="S37" s="198"/>
      <c r="T37" s="198"/>
      <c r="U37" s="198"/>
    </row>
    <row r="38" spans="1:21" s="12" customFormat="1" x14ac:dyDescent="0.25">
      <c r="A38" s="214" t="s">
        <v>2486</v>
      </c>
      <c r="B38" s="64">
        <v>8.35</v>
      </c>
      <c r="C38" s="64">
        <v>9.3000000000000007</v>
      </c>
      <c r="D38" s="64">
        <v>17.649999999999999</v>
      </c>
      <c r="E38" s="64">
        <v>0.87</v>
      </c>
      <c r="F38" s="64">
        <v>1.18</v>
      </c>
      <c r="G38" s="64">
        <v>14.1</v>
      </c>
      <c r="H38" s="64">
        <v>6.86</v>
      </c>
      <c r="I38" s="64">
        <v>1.49</v>
      </c>
      <c r="J38" s="64">
        <v>0.18</v>
      </c>
      <c r="K38" s="64">
        <v>311.35000000000002</v>
      </c>
      <c r="L38" s="64">
        <v>21.62</v>
      </c>
      <c r="M38" s="64">
        <v>98.87</v>
      </c>
      <c r="N38" s="64">
        <v>24.2</v>
      </c>
      <c r="O38" s="64">
        <v>0</v>
      </c>
      <c r="P38" s="64">
        <v>0.4</v>
      </c>
      <c r="Q38" s="64">
        <v>13.62</v>
      </c>
      <c r="R38" s="198"/>
      <c r="S38" s="198"/>
      <c r="T38" s="198"/>
      <c r="U38" s="198"/>
    </row>
    <row r="39" spans="1:21" s="12" customFormat="1" x14ac:dyDescent="0.25">
      <c r="A39" s="214" t="s">
        <v>2487</v>
      </c>
      <c r="B39" s="64">
        <v>8.56</v>
      </c>
      <c r="C39" s="64">
        <v>9.6199999999999992</v>
      </c>
      <c r="D39" s="64">
        <v>18.190000000000001</v>
      </c>
      <c r="E39" s="64">
        <v>1.1599999999999999</v>
      </c>
      <c r="F39" s="64">
        <v>0.37</v>
      </c>
      <c r="G39" s="64">
        <v>13.35</v>
      </c>
      <c r="H39" s="64">
        <v>6.86</v>
      </c>
      <c r="I39" s="64">
        <v>1.48</v>
      </c>
      <c r="J39" s="64">
        <v>0.06</v>
      </c>
      <c r="K39" s="64">
        <v>2.84</v>
      </c>
      <c r="L39" s="64">
        <v>21.43</v>
      </c>
      <c r="M39" s="64">
        <v>98.87</v>
      </c>
      <c r="N39" s="64">
        <v>27.4</v>
      </c>
      <c r="O39" s="64">
        <v>0</v>
      </c>
      <c r="P39" s="64">
        <v>0.4</v>
      </c>
      <c r="Q39" s="64">
        <v>13.82</v>
      </c>
      <c r="R39" s="198"/>
      <c r="S39" s="198"/>
      <c r="T39" s="198"/>
      <c r="U39" s="198"/>
    </row>
    <row r="40" spans="1:21" s="12" customFormat="1" x14ac:dyDescent="0.25">
      <c r="A40" s="214" t="s">
        <v>2488</v>
      </c>
      <c r="B40" s="64">
        <v>8.44</v>
      </c>
      <c r="C40" s="64">
        <v>9.76</v>
      </c>
      <c r="D40" s="64">
        <v>18.2</v>
      </c>
      <c r="E40" s="64">
        <v>0</v>
      </c>
      <c r="F40" s="64">
        <v>0.92</v>
      </c>
      <c r="G40" s="64">
        <v>13.35</v>
      </c>
      <c r="H40" s="64">
        <v>6.86</v>
      </c>
      <c r="I40" s="64">
        <v>1.57</v>
      </c>
      <c r="J40" s="64">
        <v>0.11</v>
      </c>
      <c r="K40" s="64">
        <v>14.4</v>
      </c>
      <c r="L40" s="64">
        <v>21.58</v>
      </c>
      <c r="M40" s="64">
        <v>98.87</v>
      </c>
      <c r="N40" s="64">
        <v>30.4</v>
      </c>
      <c r="O40" s="64">
        <v>0</v>
      </c>
      <c r="P40" s="64">
        <v>0.42</v>
      </c>
      <c r="Q40" s="64">
        <v>13.3</v>
      </c>
      <c r="R40" s="198"/>
      <c r="S40" s="198"/>
      <c r="T40" s="198"/>
      <c r="U40" s="198"/>
    </row>
    <row r="41" spans="1:21" s="12" customFormat="1" x14ac:dyDescent="0.25">
      <c r="A41" s="214" t="s">
        <v>2489</v>
      </c>
      <c r="B41" s="64">
        <v>8.18</v>
      </c>
      <c r="C41" s="64">
        <v>10.81</v>
      </c>
      <c r="D41" s="64">
        <v>18.989999999999998</v>
      </c>
      <c r="E41" s="64">
        <v>0.19</v>
      </c>
      <c r="F41" s="64">
        <v>0.09</v>
      </c>
      <c r="G41" s="64">
        <v>13.35</v>
      </c>
      <c r="H41" s="64">
        <v>6.86</v>
      </c>
      <c r="I41" s="64">
        <v>1.6</v>
      </c>
      <c r="J41" s="64">
        <v>0.05</v>
      </c>
      <c r="K41" s="64">
        <v>242.96</v>
      </c>
      <c r="L41" s="64">
        <v>21.84</v>
      </c>
      <c r="M41" s="64">
        <v>98.87</v>
      </c>
      <c r="N41" s="64">
        <v>33.1</v>
      </c>
      <c r="O41" s="64">
        <v>0</v>
      </c>
      <c r="P41" s="64">
        <v>0.44</v>
      </c>
      <c r="Q41" s="64">
        <v>13.6</v>
      </c>
      <c r="R41" s="198"/>
      <c r="S41" s="198"/>
      <c r="T41" s="198"/>
      <c r="U41" s="198"/>
    </row>
    <row r="42" spans="1:21" s="12" customFormat="1" x14ac:dyDescent="0.25">
      <c r="A42" s="214" t="s">
        <v>2490</v>
      </c>
      <c r="B42" s="64">
        <v>8.1</v>
      </c>
      <c r="C42" s="64">
        <v>10.24</v>
      </c>
      <c r="D42" s="64">
        <v>18.34</v>
      </c>
      <c r="E42" s="64">
        <v>0.11</v>
      </c>
      <c r="F42" s="64">
        <v>0.73</v>
      </c>
      <c r="G42" s="64">
        <v>14.46</v>
      </c>
      <c r="H42" s="64">
        <v>7.72</v>
      </c>
      <c r="I42" s="64">
        <v>1.54</v>
      </c>
      <c r="J42" s="64">
        <v>0.12</v>
      </c>
      <c r="K42" s="64">
        <v>146.29</v>
      </c>
      <c r="L42" s="64">
        <v>22.18</v>
      </c>
      <c r="M42" s="64">
        <v>98.86</v>
      </c>
      <c r="N42" s="64">
        <v>36.6</v>
      </c>
      <c r="O42" s="64">
        <v>0</v>
      </c>
      <c r="P42" s="64">
        <v>0.45</v>
      </c>
      <c r="Q42" s="64">
        <v>12.98</v>
      </c>
      <c r="R42" s="198"/>
      <c r="S42" s="198"/>
      <c r="T42" s="198"/>
      <c r="U42" s="198"/>
    </row>
    <row r="43" spans="1:21" s="12" customFormat="1" x14ac:dyDescent="0.25">
      <c r="A43" s="214" t="s">
        <v>2491</v>
      </c>
      <c r="B43" s="64">
        <v>8.1</v>
      </c>
      <c r="C43" s="64">
        <v>10.4</v>
      </c>
      <c r="D43" s="64">
        <v>18.5</v>
      </c>
      <c r="E43" s="64">
        <v>0.26</v>
      </c>
      <c r="F43" s="64">
        <v>0.4</v>
      </c>
      <c r="G43" s="64">
        <v>14.67</v>
      </c>
      <c r="H43" s="64">
        <v>7.72</v>
      </c>
      <c r="I43" s="64">
        <v>1.56</v>
      </c>
      <c r="J43" s="64">
        <v>7.0000000000000007E-2</v>
      </c>
      <c r="K43" s="64">
        <v>3.85</v>
      </c>
      <c r="L43" s="64">
        <v>22.37</v>
      </c>
      <c r="M43" s="64">
        <v>98.87</v>
      </c>
      <c r="N43" s="64">
        <v>45.7</v>
      </c>
      <c r="O43" s="64">
        <v>0</v>
      </c>
      <c r="P43" s="64">
        <v>0.45</v>
      </c>
      <c r="Q43" s="64">
        <v>13.86</v>
      </c>
      <c r="R43" s="198"/>
      <c r="S43" s="198"/>
      <c r="T43" s="198"/>
      <c r="U43" s="198"/>
    </row>
    <row r="44" spans="1:21" s="12" customFormat="1" x14ac:dyDescent="0.25">
      <c r="A44" s="214" t="s">
        <v>2492</v>
      </c>
      <c r="B44" s="64">
        <v>7.89</v>
      </c>
      <c r="C44" s="64">
        <v>10.050000000000001</v>
      </c>
      <c r="D44" s="64">
        <v>17.93</v>
      </c>
      <c r="E44" s="64">
        <v>0.16</v>
      </c>
      <c r="F44" s="64">
        <v>0.94</v>
      </c>
      <c r="G44" s="64">
        <v>14.67</v>
      </c>
      <c r="H44" s="64">
        <v>7.72</v>
      </c>
      <c r="I44" s="64">
        <v>1.52</v>
      </c>
      <c r="J44" s="64">
        <v>0.1</v>
      </c>
      <c r="K44" s="64">
        <v>19.149999999999999</v>
      </c>
      <c r="L44" s="64">
        <v>22.46</v>
      </c>
      <c r="M44" s="64">
        <v>98.87</v>
      </c>
      <c r="N44" s="64">
        <v>54.1</v>
      </c>
      <c r="O44" s="64">
        <v>0</v>
      </c>
      <c r="P44" s="64">
        <v>0.43</v>
      </c>
      <c r="Q44" s="64">
        <v>13.84</v>
      </c>
      <c r="R44" s="198"/>
      <c r="S44" s="198"/>
      <c r="T44" s="198"/>
      <c r="U44" s="198"/>
    </row>
    <row r="45" spans="1:21" s="12" customFormat="1" x14ac:dyDescent="0.25">
      <c r="A45" s="214" t="s">
        <v>2493</v>
      </c>
      <c r="B45" s="64">
        <v>7.76</v>
      </c>
      <c r="C45" s="64">
        <v>10.26</v>
      </c>
      <c r="D45" s="64">
        <v>18.02</v>
      </c>
      <c r="E45" s="64">
        <v>0.02</v>
      </c>
      <c r="F45" s="64">
        <v>1.71</v>
      </c>
      <c r="G45" s="64">
        <v>14.67</v>
      </c>
      <c r="H45" s="64">
        <v>7.72</v>
      </c>
      <c r="I45" s="64">
        <v>1.44</v>
      </c>
      <c r="J45" s="64">
        <v>0.09</v>
      </c>
      <c r="K45" s="64">
        <v>0.53</v>
      </c>
      <c r="L45" s="64">
        <v>22.52</v>
      </c>
      <c r="M45" s="64">
        <v>98.88</v>
      </c>
      <c r="N45" s="64">
        <v>51.3</v>
      </c>
      <c r="O45" s="64">
        <v>0</v>
      </c>
      <c r="P45" s="64">
        <v>0.45</v>
      </c>
      <c r="Q45" s="64">
        <v>13.97</v>
      </c>
      <c r="R45" s="198"/>
      <c r="S45" s="198"/>
      <c r="T45" s="198"/>
      <c r="U45" s="198"/>
    </row>
    <row r="46" spans="1:21" s="12" customFormat="1" x14ac:dyDescent="0.25">
      <c r="A46" s="214" t="s">
        <v>2494</v>
      </c>
      <c r="B46" s="64">
        <v>7.81</v>
      </c>
      <c r="C46" s="64">
        <v>9.9700000000000006</v>
      </c>
      <c r="D46" s="64">
        <v>17.78</v>
      </c>
      <c r="E46" s="64">
        <v>0.03</v>
      </c>
      <c r="F46" s="64">
        <v>2.73</v>
      </c>
      <c r="G46" s="64">
        <v>16.32</v>
      </c>
      <c r="H46" s="64">
        <v>10.52</v>
      </c>
      <c r="I46" s="64">
        <v>1.47</v>
      </c>
      <c r="J46" s="64">
        <v>0.16</v>
      </c>
      <c r="K46" s="64">
        <v>23.21</v>
      </c>
      <c r="L46" s="64">
        <v>22.57</v>
      </c>
      <c r="M46" s="64">
        <v>98.87</v>
      </c>
      <c r="N46" s="64">
        <v>79.3</v>
      </c>
      <c r="O46" s="64">
        <v>0</v>
      </c>
      <c r="P46" s="64">
        <v>0.45</v>
      </c>
      <c r="Q46" s="64">
        <v>13.65</v>
      </c>
      <c r="R46" s="198"/>
      <c r="S46" s="198"/>
      <c r="T46" s="198"/>
      <c r="U46" s="198"/>
    </row>
    <row r="47" spans="1:21" s="12" customFormat="1" x14ac:dyDescent="0.25">
      <c r="A47" s="214" t="s">
        <v>2495</v>
      </c>
      <c r="B47" s="64">
        <v>9.2100000000000009</v>
      </c>
      <c r="C47" s="64">
        <v>11.98</v>
      </c>
      <c r="D47" s="64">
        <v>21.19</v>
      </c>
      <c r="E47" s="64">
        <v>0.33</v>
      </c>
      <c r="F47" s="64">
        <v>0.72</v>
      </c>
      <c r="G47" s="64">
        <v>16.59</v>
      </c>
      <c r="H47" s="64">
        <v>10.52</v>
      </c>
      <c r="I47" s="64">
        <v>1.55</v>
      </c>
      <c r="J47" s="64">
        <v>0.16</v>
      </c>
      <c r="K47" s="64">
        <v>26.13</v>
      </c>
      <c r="L47" s="64">
        <v>22.9</v>
      </c>
      <c r="M47" s="64">
        <v>98.87</v>
      </c>
      <c r="N47" s="64">
        <v>127.8</v>
      </c>
      <c r="O47" s="64">
        <v>0</v>
      </c>
      <c r="P47" s="64">
        <v>0.46</v>
      </c>
      <c r="Q47" s="64">
        <v>13.93</v>
      </c>
      <c r="R47" s="198"/>
      <c r="S47" s="198"/>
      <c r="T47" s="198"/>
      <c r="U47" s="198"/>
    </row>
    <row r="48" spans="1:21" s="12" customFormat="1" x14ac:dyDescent="0.25">
      <c r="A48" s="214" t="s">
        <v>2496</v>
      </c>
      <c r="B48" s="64">
        <v>9.2100000000000009</v>
      </c>
      <c r="C48" s="64">
        <v>9.94</v>
      </c>
      <c r="D48" s="64">
        <v>19.149999999999999</v>
      </c>
      <c r="E48" s="64">
        <v>0.27</v>
      </c>
      <c r="F48" s="64">
        <v>1.19</v>
      </c>
      <c r="G48" s="64">
        <v>16.59</v>
      </c>
      <c r="H48" s="64">
        <v>10.52</v>
      </c>
      <c r="I48" s="64">
        <v>1.61</v>
      </c>
      <c r="J48" s="64">
        <v>0.18</v>
      </c>
      <c r="K48" s="64">
        <v>19.510000000000002</v>
      </c>
      <c r="L48" s="64">
        <v>23.12</v>
      </c>
      <c r="M48" s="64">
        <v>98.86</v>
      </c>
      <c r="N48" s="64">
        <v>173.2</v>
      </c>
      <c r="O48" s="64">
        <v>0</v>
      </c>
      <c r="P48" s="64">
        <v>0.48</v>
      </c>
      <c r="Q48" s="64">
        <v>13.05</v>
      </c>
      <c r="R48" s="198"/>
      <c r="S48" s="198"/>
      <c r="T48" s="198"/>
      <c r="U48" s="198"/>
    </row>
    <row r="49" spans="1:21" s="12" customFormat="1" x14ac:dyDescent="0.25">
      <c r="A49" s="214" t="s">
        <v>2497</v>
      </c>
      <c r="B49" s="64">
        <v>9.0500000000000007</v>
      </c>
      <c r="C49" s="64">
        <v>10.08</v>
      </c>
      <c r="D49" s="64">
        <v>19.13</v>
      </c>
      <c r="E49" s="64">
        <v>0.44</v>
      </c>
      <c r="F49" s="64">
        <v>0.18</v>
      </c>
      <c r="G49" s="64">
        <v>16.59</v>
      </c>
      <c r="H49" s="64">
        <v>10.52</v>
      </c>
      <c r="I49" s="64">
        <v>1.45</v>
      </c>
      <c r="J49" s="64">
        <v>0.21</v>
      </c>
      <c r="K49" s="64">
        <v>27.74</v>
      </c>
      <c r="L49" s="64">
        <v>23.51</v>
      </c>
      <c r="M49" s="64">
        <v>98.84</v>
      </c>
      <c r="N49" s="64">
        <v>190.2</v>
      </c>
      <c r="O49" s="64">
        <v>0</v>
      </c>
      <c r="P49" s="64">
        <v>0.49</v>
      </c>
      <c r="Q49" s="64">
        <v>13.3</v>
      </c>
      <c r="R49" s="198"/>
      <c r="S49" s="198"/>
      <c r="T49" s="198"/>
      <c r="U49" s="198"/>
    </row>
    <row r="50" spans="1:21" s="12" customFormat="1" x14ac:dyDescent="0.25">
      <c r="A50" s="214" t="s">
        <v>2498</v>
      </c>
      <c r="B50" s="64">
        <v>9.07</v>
      </c>
      <c r="C50" s="64">
        <v>9.83</v>
      </c>
      <c r="D50" s="64">
        <v>18.899999999999999</v>
      </c>
      <c r="E50" s="64">
        <v>0.3</v>
      </c>
      <c r="F50" s="64">
        <v>0.78</v>
      </c>
      <c r="G50" s="64">
        <v>18.21</v>
      </c>
      <c r="H50" s="64">
        <v>9.33</v>
      </c>
      <c r="I50" s="64">
        <v>1.51</v>
      </c>
      <c r="J50" s="64">
        <v>0.15</v>
      </c>
      <c r="K50" s="64">
        <v>22.93</v>
      </c>
      <c r="L50" s="64">
        <v>23.6</v>
      </c>
      <c r="M50" s="64">
        <v>98.83</v>
      </c>
      <c r="N50" s="64">
        <v>251.7</v>
      </c>
      <c r="O50" s="64">
        <v>0</v>
      </c>
      <c r="P50" s="64">
        <v>0.51</v>
      </c>
      <c r="Q50" s="64">
        <v>12.77</v>
      </c>
      <c r="R50" s="198"/>
      <c r="S50" s="198"/>
      <c r="T50" s="198"/>
      <c r="U50" s="198"/>
    </row>
    <row r="51" spans="1:21" s="12" customFormat="1" x14ac:dyDescent="0.25">
      <c r="A51" s="214" t="s">
        <v>2499</v>
      </c>
      <c r="B51" s="64">
        <v>8.6999999999999993</v>
      </c>
      <c r="C51" s="64">
        <v>10.28</v>
      </c>
      <c r="D51" s="64">
        <v>18.989999999999998</v>
      </c>
      <c r="E51" s="64">
        <v>0.22</v>
      </c>
      <c r="F51" s="64">
        <v>0.05</v>
      </c>
      <c r="G51" s="64">
        <v>18.48</v>
      </c>
      <c r="H51" s="64">
        <v>9.33</v>
      </c>
      <c r="I51" s="64">
        <v>1.53</v>
      </c>
      <c r="J51" s="64">
        <v>0.27</v>
      </c>
      <c r="K51" s="64">
        <v>17.579999999999998</v>
      </c>
      <c r="L51" s="64">
        <v>23.84</v>
      </c>
      <c r="M51" s="64">
        <v>98.82</v>
      </c>
      <c r="N51" s="64">
        <v>399.5</v>
      </c>
      <c r="O51" s="64">
        <v>0</v>
      </c>
      <c r="P51" s="64">
        <v>0.52</v>
      </c>
      <c r="Q51" s="64">
        <v>13.04</v>
      </c>
      <c r="R51" s="198"/>
      <c r="S51" s="198"/>
      <c r="T51" s="198"/>
      <c r="U51" s="198"/>
    </row>
    <row r="52" spans="1:21" s="12" customFormat="1" x14ac:dyDescent="0.25">
      <c r="A52" s="214" t="s">
        <v>2500</v>
      </c>
      <c r="B52" s="64">
        <v>8.2899999999999991</v>
      </c>
      <c r="C52" s="64">
        <v>10.49</v>
      </c>
      <c r="D52" s="64">
        <v>18.78</v>
      </c>
      <c r="E52" s="64">
        <v>0.32</v>
      </c>
      <c r="F52" s="64">
        <v>0.95</v>
      </c>
      <c r="G52" s="64">
        <v>18.48</v>
      </c>
      <c r="H52" s="64">
        <v>9.33</v>
      </c>
      <c r="I52" s="64">
        <v>1.51</v>
      </c>
      <c r="J52" s="64">
        <v>0.18</v>
      </c>
      <c r="K52" s="64">
        <v>22.95</v>
      </c>
      <c r="L52" s="64">
        <v>24.94</v>
      </c>
      <c r="M52" s="64">
        <v>98.25</v>
      </c>
      <c r="N52" s="64">
        <v>568.9</v>
      </c>
      <c r="O52" s="64">
        <v>0</v>
      </c>
      <c r="P52" s="64">
        <v>0.56000000000000005</v>
      </c>
      <c r="Q52" s="64">
        <v>12.33</v>
      </c>
      <c r="R52" s="198"/>
      <c r="S52" s="198"/>
      <c r="T52" s="198"/>
      <c r="U52" s="198"/>
    </row>
    <row r="53" spans="1:21" s="12" customFormat="1" x14ac:dyDescent="0.25">
      <c r="A53" s="214" t="s">
        <v>2501</v>
      </c>
      <c r="B53" s="64">
        <v>8.1</v>
      </c>
      <c r="C53" s="64">
        <v>11.26</v>
      </c>
      <c r="D53" s="64">
        <v>19.37</v>
      </c>
      <c r="E53" s="64">
        <v>0.08</v>
      </c>
      <c r="F53" s="64">
        <v>0.4</v>
      </c>
      <c r="G53" s="64">
        <v>18.48</v>
      </c>
      <c r="H53" s="64">
        <v>9.33</v>
      </c>
      <c r="I53" s="64">
        <v>1.39</v>
      </c>
      <c r="J53" s="64">
        <v>0.26</v>
      </c>
      <c r="K53" s="64">
        <v>3.98</v>
      </c>
      <c r="L53" s="64">
        <v>25.7</v>
      </c>
      <c r="M53" s="64">
        <v>95.69</v>
      </c>
      <c r="N53" s="64">
        <v>642.5</v>
      </c>
      <c r="O53" s="64">
        <v>0</v>
      </c>
      <c r="P53" s="64">
        <v>0.62</v>
      </c>
      <c r="Q53" s="64">
        <v>12.65</v>
      </c>
      <c r="R53" s="198"/>
      <c r="S53" s="198"/>
      <c r="T53" s="198"/>
      <c r="U53" s="198"/>
    </row>
    <row r="54" spans="1:21" s="12" customFormat="1" x14ac:dyDescent="0.25">
      <c r="A54" s="214" t="s">
        <v>2502</v>
      </c>
      <c r="B54" s="64">
        <v>7.65</v>
      </c>
      <c r="C54" s="64">
        <v>11.77</v>
      </c>
      <c r="D54" s="64">
        <v>19.420000000000002</v>
      </c>
      <c r="E54" s="64">
        <v>0.01</v>
      </c>
      <c r="F54" s="64">
        <v>1.1399999999999999</v>
      </c>
      <c r="G54" s="64">
        <v>21.83</v>
      </c>
      <c r="H54" s="64">
        <v>11.24</v>
      </c>
      <c r="I54" s="64">
        <v>1.5</v>
      </c>
      <c r="J54" s="64">
        <v>0.24</v>
      </c>
      <c r="K54" s="64">
        <v>344.53</v>
      </c>
      <c r="L54" s="64">
        <v>26.63</v>
      </c>
      <c r="M54" s="64">
        <v>90.57</v>
      </c>
      <c r="N54" s="64">
        <v>888.2</v>
      </c>
      <c r="O54" s="64">
        <v>0</v>
      </c>
      <c r="P54" s="64">
        <v>0.68</v>
      </c>
      <c r="Q54" s="64">
        <v>11.95</v>
      </c>
      <c r="R54" s="198"/>
      <c r="S54" s="198"/>
      <c r="T54" s="198"/>
      <c r="U54" s="198"/>
    </row>
    <row r="55" spans="1:21" s="12" customFormat="1" x14ac:dyDescent="0.25">
      <c r="A55" s="214" t="s">
        <v>2503</v>
      </c>
      <c r="B55" s="64">
        <v>7.41</v>
      </c>
      <c r="C55" s="64">
        <v>12.77</v>
      </c>
      <c r="D55" s="64">
        <v>20.18</v>
      </c>
      <c r="E55" s="64">
        <v>0.05</v>
      </c>
      <c r="F55" s="64">
        <v>1.05</v>
      </c>
      <c r="G55" s="64">
        <v>22.39</v>
      </c>
      <c r="H55" s="64">
        <v>11.24</v>
      </c>
      <c r="I55" s="64">
        <v>1.46</v>
      </c>
      <c r="J55" s="64">
        <v>0.5</v>
      </c>
      <c r="K55" s="64">
        <v>324.77</v>
      </c>
      <c r="L55" s="64">
        <v>28.69</v>
      </c>
      <c r="M55" s="64">
        <v>81.91</v>
      </c>
      <c r="N55" s="64">
        <v>751</v>
      </c>
      <c r="O55" s="64">
        <v>0</v>
      </c>
      <c r="P55" s="64">
        <v>0.71</v>
      </c>
      <c r="Q55" s="64">
        <v>13.11</v>
      </c>
      <c r="R55" s="198"/>
      <c r="S55" s="198"/>
      <c r="T55" s="198"/>
      <c r="U55" s="198"/>
    </row>
    <row r="56" spans="1:21" s="12" customFormat="1" x14ac:dyDescent="0.25">
      <c r="A56" s="214" t="s">
        <v>2504</v>
      </c>
      <c r="B56" s="64">
        <v>7.58</v>
      </c>
      <c r="C56" s="64">
        <v>12.64</v>
      </c>
      <c r="D56" s="64">
        <v>20.22</v>
      </c>
      <c r="E56" s="64">
        <v>0.64</v>
      </c>
      <c r="F56" s="64">
        <v>1.37</v>
      </c>
      <c r="G56" s="64">
        <v>22.39</v>
      </c>
      <c r="H56" s="64">
        <v>11.24</v>
      </c>
      <c r="I56" s="64">
        <v>1.54</v>
      </c>
      <c r="J56" s="64">
        <v>0.21</v>
      </c>
      <c r="K56" s="64">
        <v>21.57</v>
      </c>
      <c r="L56" s="64">
        <v>27.95</v>
      </c>
      <c r="M56" s="64">
        <v>81.69</v>
      </c>
      <c r="N56" s="64">
        <v>926.7</v>
      </c>
      <c r="O56" s="64">
        <v>0</v>
      </c>
      <c r="P56" s="64">
        <v>0.71</v>
      </c>
      <c r="Q56" s="64">
        <v>12.17</v>
      </c>
      <c r="R56" s="198"/>
      <c r="S56" s="198"/>
      <c r="T56" s="198"/>
      <c r="U56" s="198"/>
    </row>
    <row r="57" spans="1:21" s="12" customFormat="1" x14ac:dyDescent="0.25">
      <c r="A57" s="214" t="s">
        <v>2505</v>
      </c>
      <c r="B57" s="64">
        <v>7.69</v>
      </c>
      <c r="C57" s="64">
        <v>12.43</v>
      </c>
      <c r="D57" s="64">
        <v>20.11</v>
      </c>
      <c r="E57" s="64">
        <v>1.48</v>
      </c>
      <c r="F57" s="64">
        <v>1.79</v>
      </c>
      <c r="G57" s="64">
        <v>22.39</v>
      </c>
      <c r="H57" s="64">
        <v>11.24</v>
      </c>
      <c r="I57" s="64">
        <v>1.45</v>
      </c>
      <c r="J57" s="64">
        <v>0.31</v>
      </c>
      <c r="K57" s="64">
        <v>338.21</v>
      </c>
      <c r="L57" s="64">
        <v>28.17</v>
      </c>
      <c r="M57" s="64">
        <v>79.739999999999995</v>
      </c>
      <c r="N57" s="64">
        <v>942.1</v>
      </c>
      <c r="O57" s="64">
        <v>0</v>
      </c>
      <c r="P57" s="64">
        <v>0.72</v>
      </c>
      <c r="Q57" s="64">
        <v>11.47</v>
      </c>
      <c r="R57" s="198"/>
      <c r="S57" s="198"/>
      <c r="T57" s="198"/>
      <c r="U57" s="198"/>
    </row>
    <row r="58" spans="1:21" s="12" customFormat="1" x14ac:dyDescent="0.25">
      <c r="A58" s="214" t="s">
        <v>2506</v>
      </c>
      <c r="B58" s="64">
        <v>7.34</v>
      </c>
      <c r="C58" s="64">
        <v>14.12</v>
      </c>
      <c r="D58" s="64">
        <v>21.46</v>
      </c>
      <c r="E58" s="64">
        <v>1.47</v>
      </c>
      <c r="F58" s="64">
        <v>0.76</v>
      </c>
      <c r="G58" s="64">
        <v>49.02</v>
      </c>
      <c r="H58" s="64">
        <v>15.14</v>
      </c>
      <c r="I58" s="64">
        <v>1.42</v>
      </c>
      <c r="J58" s="64">
        <v>0.25</v>
      </c>
      <c r="K58" s="64">
        <v>341.75</v>
      </c>
      <c r="L58" s="64">
        <v>28.34</v>
      </c>
      <c r="M58" s="64">
        <v>77.150000000000006</v>
      </c>
      <c r="N58" s="64">
        <v>897.7</v>
      </c>
      <c r="O58" s="64">
        <v>0</v>
      </c>
      <c r="P58" s="64">
        <v>0.69</v>
      </c>
      <c r="Q58" s="64">
        <v>12.3</v>
      </c>
      <c r="R58" s="198"/>
      <c r="S58" s="198"/>
      <c r="T58" s="198"/>
      <c r="U58" s="198"/>
    </row>
    <row r="59" spans="1:21" s="12" customFormat="1" x14ac:dyDescent="0.25">
      <c r="A59" s="214" t="s">
        <v>2507</v>
      </c>
      <c r="B59" s="64">
        <v>6.47</v>
      </c>
      <c r="C59" s="64">
        <v>14.19</v>
      </c>
      <c r="D59" s="64">
        <v>20.66</v>
      </c>
      <c r="E59" s="64">
        <v>0.94</v>
      </c>
      <c r="F59" s="64">
        <v>1.59</v>
      </c>
      <c r="G59" s="64">
        <v>53.51</v>
      </c>
      <c r="H59" s="64">
        <v>15.14</v>
      </c>
      <c r="I59" s="64">
        <v>1.47</v>
      </c>
      <c r="J59" s="64">
        <v>0.28000000000000003</v>
      </c>
      <c r="K59" s="64">
        <v>15.38</v>
      </c>
      <c r="L59" s="64">
        <v>28.61</v>
      </c>
      <c r="M59" s="64">
        <v>76.03</v>
      </c>
      <c r="N59" s="64">
        <v>831.5</v>
      </c>
      <c r="O59" s="64">
        <v>0</v>
      </c>
      <c r="P59" s="64">
        <v>0.69</v>
      </c>
      <c r="Q59" s="64">
        <v>10.99</v>
      </c>
      <c r="R59" s="198"/>
      <c r="S59" s="198"/>
      <c r="T59" s="198"/>
      <c r="U59" s="198"/>
    </row>
    <row r="60" spans="1:21" s="12" customFormat="1" x14ac:dyDescent="0.25">
      <c r="A60" s="214" t="s">
        <v>2508</v>
      </c>
      <c r="B60" s="64">
        <v>5.78</v>
      </c>
      <c r="C60" s="64">
        <v>15.33</v>
      </c>
      <c r="D60" s="64">
        <v>21.11</v>
      </c>
      <c r="E60" s="64">
        <v>0.82</v>
      </c>
      <c r="F60" s="64">
        <v>1.22</v>
      </c>
      <c r="G60" s="64">
        <v>53.51</v>
      </c>
      <c r="H60" s="64">
        <v>15.14</v>
      </c>
      <c r="I60" s="64">
        <v>1.58</v>
      </c>
      <c r="J60" s="64">
        <v>0.18</v>
      </c>
      <c r="K60" s="64">
        <v>338.82</v>
      </c>
      <c r="L60" s="64">
        <v>28.52</v>
      </c>
      <c r="M60" s="64">
        <v>76.08</v>
      </c>
      <c r="N60" s="64">
        <v>847.2</v>
      </c>
      <c r="O60" s="64">
        <v>0</v>
      </c>
      <c r="P60" s="64">
        <v>0.68</v>
      </c>
      <c r="Q60" s="64">
        <v>11.18</v>
      </c>
      <c r="R60" s="198"/>
      <c r="S60" s="198"/>
      <c r="T60" s="198"/>
      <c r="U60" s="198"/>
    </row>
    <row r="61" spans="1:21" s="12" customFormat="1" x14ac:dyDescent="0.25">
      <c r="A61" s="214" t="s">
        <v>2509</v>
      </c>
      <c r="B61" s="64">
        <v>5.31</v>
      </c>
      <c r="C61" s="64">
        <v>15.49</v>
      </c>
      <c r="D61" s="64">
        <v>20.8</v>
      </c>
      <c r="E61" s="64">
        <v>0.68</v>
      </c>
      <c r="F61" s="64">
        <v>1.2</v>
      </c>
      <c r="G61" s="64">
        <v>53.51</v>
      </c>
      <c r="H61" s="64">
        <v>15.14</v>
      </c>
      <c r="I61" s="64">
        <v>1.43</v>
      </c>
      <c r="J61" s="64">
        <v>0.26</v>
      </c>
      <c r="K61" s="64">
        <v>325.63</v>
      </c>
      <c r="L61" s="64">
        <v>29.22</v>
      </c>
      <c r="M61" s="64">
        <v>72.08</v>
      </c>
      <c r="N61" s="64">
        <v>700.3</v>
      </c>
      <c r="O61" s="64">
        <v>0</v>
      </c>
      <c r="P61" s="64">
        <v>0.56000000000000005</v>
      </c>
      <c r="Q61" s="64">
        <v>10.75</v>
      </c>
      <c r="R61" s="198"/>
      <c r="S61" s="198"/>
      <c r="T61" s="198"/>
      <c r="U61" s="198"/>
    </row>
    <row r="62" spans="1:21" s="12" customFormat="1" x14ac:dyDescent="0.25">
      <c r="A62" s="214" t="s">
        <v>2510</v>
      </c>
      <c r="B62" s="64">
        <v>4.82</v>
      </c>
      <c r="C62" s="64">
        <v>15.29</v>
      </c>
      <c r="D62" s="64">
        <v>20.12</v>
      </c>
      <c r="E62" s="64">
        <v>0.84</v>
      </c>
      <c r="F62" s="64">
        <v>1.05</v>
      </c>
      <c r="G62" s="64">
        <v>55.49</v>
      </c>
      <c r="H62" s="64">
        <v>14.81</v>
      </c>
      <c r="I62" s="64">
        <v>1.48</v>
      </c>
      <c r="J62" s="64">
        <v>0.1</v>
      </c>
      <c r="K62" s="64">
        <v>347.56</v>
      </c>
      <c r="L62" s="64">
        <v>28.27</v>
      </c>
      <c r="M62" s="64">
        <v>73.819999999999993</v>
      </c>
      <c r="N62" s="64">
        <v>517.20000000000005</v>
      </c>
      <c r="O62" s="64">
        <v>0</v>
      </c>
      <c r="P62" s="64">
        <v>0.59</v>
      </c>
      <c r="Q62" s="64">
        <v>10.84</v>
      </c>
      <c r="R62" s="198"/>
      <c r="S62" s="198"/>
      <c r="T62" s="198"/>
      <c r="U62" s="198"/>
    </row>
    <row r="63" spans="1:21" s="12" customFormat="1" x14ac:dyDescent="0.25">
      <c r="A63" s="214" t="s">
        <v>2511</v>
      </c>
      <c r="B63" s="64">
        <v>4.2699999999999996</v>
      </c>
      <c r="C63" s="64">
        <v>15.19</v>
      </c>
      <c r="D63" s="64">
        <v>19.46</v>
      </c>
      <c r="E63" s="64">
        <v>1.3</v>
      </c>
      <c r="F63" s="64">
        <v>1.1100000000000001</v>
      </c>
      <c r="G63" s="64">
        <v>55.82</v>
      </c>
      <c r="H63" s="64">
        <v>14.81</v>
      </c>
      <c r="I63" s="64">
        <v>1.52</v>
      </c>
      <c r="J63" s="64">
        <v>0.16</v>
      </c>
      <c r="K63" s="64">
        <v>357.23</v>
      </c>
      <c r="L63" s="64">
        <v>28.04</v>
      </c>
      <c r="M63" s="64">
        <v>77.75</v>
      </c>
      <c r="N63" s="64">
        <v>527.1</v>
      </c>
      <c r="O63" s="64">
        <v>0</v>
      </c>
      <c r="P63" s="64">
        <v>0.56999999999999995</v>
      </c>
      <c r="Q63" s="64">
        <v>10.35</v>
      </c>
      <c r="R63" s="198"/>
      <c r="S63" s="198"/>
      <c r="T63" s="198"/>
      <c r="U63" s="198"/>
    </row>
    <row r="64" spans="1:21" s="12" customFormat="1" x14ac:dyDescent="0.25">
      <c r="A64" s="214" t="s">
        <v>2512</v>
      </c>
      <c r="B64" s="64">
        <v>3.92</v>
      </c>
      <c r="C64" s="64">
        <v>15.69</v>
      </c>
      <c r="D64" s="64">
        <v>19.600000000000001</v>
      </c>
      <c r="E64" s="64">
        <v>0.77</v>
      </c>
      <c r="F64" s="64">
        <v>2.99</v>
      </c>
      <c r="G64" s="64">
        <v>55.82</v>
      </c>
      <c r="H64" s="64">
        <v>14.81</v>
      </c>
      <c r="I64" s="64">
        <v>1.5</v>
      </c>
      <c r="J64" s="64">
        <v>0.24</v>
      </c>
      <c r="K64" s="64">
        <v>139.16999999999999</v>
      </c>
      <c r="L64" s="64">
        <v>27.61</v>
      </c>
      <c r="M64" s="64">
        <v>80.040000000000006</v>
      </c>
      <c r="N64" s="64">
        <v>334.5</v>
      </c>
      <c r="O64" s="64">
        <v>0</v>
      </c>
      <c r="P64" s="64">
        <v>0.57999999999999996</v>
      </c>
      <c r="Q64" s="64">
        <v>9.17</v>
      </c>
      <c r="R64" s="198"/>
      <c r="S64" s="198"/>
      <c r="T64" s="198"/>
      <c r="U64" s="198"/>
    </row>
    <row r="65" spans="1:21" s="12" customFormat="1" x14ac:dyDescent="0.25">
      <c r="A65" s="214" t="s">
        <v>2513</v>
      </c>
      <c r="B65" s="64">
        <v>3.57</v>
      </c>
      <c r="C65" s="64">
        <v>16.399999999999999</v>
      </c>
      <c r="D65" s="64">
        <v>19.97</v>
      </c>
      <c r="E65" s="64">
        <v>0.6</v>
      </c>
      <c r="F65" s="64">
        <v>1.74</v>
      </c>
      <c r="G65" s="64">
        <v>55.82</v>
      </c>
      <c r="H65" s="64">
        <v>14.81</v>
      </c>
      <c r="I65" s="64">
        <v>1.41</v>
      </c>
      <c r="J65" s="64">
        <v>0.09</v>
      </c>
      <c r="K65" s="64">
        <v>11.15</v>
      </c>
      <c r="L65" s="64">
        <v>27.13</v>
      </c>
      <c r="M65" s="64">
        <v>82.6</v>
      </c>
      <c r="N65" s="64">
        <v>217.8</v>
      </c>
      <c r="O65" s="64">
        <v>0</v>
      </c>
      <c r="P65" s="64">
        <v>0.59</v>
      </c>
      <c r="Q65" s="64">
        <v>9.56</v>
      </c>
      <c r="R65" s="198"/>
      <c r="S65" s="198"/>
      <c r="T65" s="198"/>
      <c r="U65" s="198"/>
    </row>
    <row r="66" spans="1:21" s="12" customFormat="1" x14ac:dyDescent="0.25">
      <c r="A66" s="214" t="s">
        <v>2514</v>
      </c>
      <c r="B66" s="64">
        <v>3.47</v>
      </c>
      <c r="C66" s="64">
        <v>16.05</v>
      </c>
      <c r="D66" s="64">
        <v>19.52</v>
      </c>
      <c r="E66" s="64">
        <v>0.81</v>
      </c>
      <c r="F66" s="64">
        <v>2.4300000000000002</v>
      </c>
      <c r="G66" s="64">
        <v>58.16</v>
      </c>
      <c r="H66" s="64">
        <v>17.420000000000002</v>
      </c>
      <c r="I66" s="64">
        <v>1.45</v>
      </c>
      <c r="J66" s="64">
        <v>0.12</v>
      </c>
      <c r="K66" s="64">
        <v>68.989999999999995</v>
      </c>
      <c r="L66" s="64">
        <v>27.54</v>
      </c>
      <c r="M66" s="64">
        <v>79.11</v>
      </c>
      <c r="N66" s="64">
        <v>294.39999999999998</v>
      </c>
      <c r="O66" s="64">
        <v>0</v>
      </c>
      <c r="P66" s="64">
        <v>0.57999999999999996</v>
      </c>
      <c r="Q66" s="64">
        <v>9.4700000000000006</v>
      </c>
      <c r="R66" s="198"/>
      <c r="S66" s="198"/>
      <c r="T66" s="198"/>
      <c r="U66" s="198"/>
    </row>
    <row r="67" spans="1:21" s="12" customFormat="1" x14ac:dyDescent="0.25">
      <c r="A67" s="214" t="s">
        <v>2515</v>
      </c>
      <c r="B67" s="64">
        <v>3.45</v>
      </c>
      <c r="C67" s="64">
        <v>16.23</v>
      </c>
      <c r="D67" s="64">
        <v>19.68</v>
      </c>
      <c r="E67" s="64">
        <v>1.1499999999999999</v>
      </c>
      <c r="F67" s="64">
        <v>7.19</v>
      </c>
      <c r="G67" s="64">
        <v>58.56</v>
      </c>
      <c r="H67" s="64">
        <v>17.420000000000002</v>
      </c>
      <c r="I67" s="64">
        <v>1.49</v>
      </c>
      <c r="J67" s="64">
        <v>0.15</v>
      </c>
      <c r="K67" s="64">
        <v>134.99</v>
      </c>
      <c r="L67" s="64">
        <v>27.54</v>
      </c>
      <c r="M67" s="64">
        <v>80.400000000000006</v>
      </c>
      <c r="N67" s="64">
        <v>227.8</v>
      </c>
      <c r="O67" s="64">
        <v>0</v>
      </c>
      <c r="P67" s="64">
        <v>0.57999999999999996</v>
      </c>
      <c r="Q67" s="64">
        <v>10.029999999999999</v>
      </c>
      <c r="R67" s="198"/>
      <c r="S67" s="198"/>
      <c r="T67" s="198"/>
      <c r="U67" s="198"/>
    </row>
    <row r="68" spans="1:21" s="12" customFormat="1" x14ac:dyDescent="0.25">
      <c r="A68" s="214" t="s">
        <v>2516</v>
      </c>
      <c r="B68" s="64">
        <v>3.08</v>
      </c>
      <c r="C68" s="64">
        <v>14.54</v>
      </c>
      <c r="D68" s="64">
        <v>17.61</v>
      </c>
      <c r="E68" s="64">
        <v>1.03</v>
      </c>
      <c r="F68" s="64">
        <v>5.09</v>
      </c>
      <c r="G68" s="64">
        <v>58.56</v>
      </c>
      <c r="H68" s="64">
        <v>17.420000000000002</v>
      </c>
      <c r="I68" s="64">
        <v>1.47</v>
      </c>
      <c r="J68" s="64">
        <v>0.16</v>
      </c>
      <c r="K68" s="64">
        <v>206.22</v>
      </c>
      <c r="L68" s="64">
        <v>26.95</v>
      </c>
      <c r="M68" s="64">
        <v>80.8</v>
      </c>
      <c r="N68" s="64">
        <v>195.8</v>
      </c>
      <c r="O68" s="64">
        <v>0</v>
      </c>
      <c r="P68" s="64">
        <v>0.56999999999999995</v>
      </c>
      <c r="Q68" s="64">
        <v>9.48</v>
      </c>
      <c r="R68" s="198"/>
      <c r="S68" s="198"/>
      <c r="T68" s="198"/>
      <c r="U68" s="198"/>
    </row>
    <row r="69" spans="1:21" s="12" customFormat="1" x14ac:dyDescent="0.25">
      <c r="A69" s="214" t="s">
        <v>2517</v>
      </c>
      <c r="B69" s="64">
        <v>2.92</v>
      </c>
      <c r="C69" s="64">
        <v>14.5</v>
      </c>
      <c r="D69" s="64">
        <v>17.420000000000002</v>
      </c>
      <c r="E69" s="64">
        <v>1.41</v>
      </c>
      <c r="F69" s="64">
        <v>4.5999999999999996</v>
      </c>
      <c r="G69" s="64">
        <v>58.56</v>
      </c>
      <c r="H69" s="64">
        <v>17.420000000000002</v>
      </c>
      <c r="I69" s="64">
        <v>1.43</v>
      </c>
      <c r="J69" s="64">
        <v>0.18</v>
      </c>
      <c r="K69" s="64">
        <v>163.81</v>
      </c>
      <c r="L69" s="64">
        <v>27.06</v>
      </c>
      <c r="M69" s="64">
        <v>81.150000000000006</v>
      </c>
      <c r="N69" s="64">
        <v>164.8</v>
      </c>
      <c r="O69" s="64">
        <v>0</v>
      </c>
      <c r="P69" s="64">
        <v>0.61</v>
      </c>
      <c r="Q69" s="64">
        <v>9.94</v>
      </c>
      <c r="R69" s="198"/>
      <c r="S69" s="198"/>
      <c r="T69" s="198"/>
      <c r="U69" s="198"/>
    </row>
    <row r="70" spans="1:21" s="12" customFormat="1" x14ac:dyDescent="0.25">
      <c r="A70" s="214" t="s">
        <v>2518</v>
      </c>
      <c r="B70" s="64">
        <v>4.0199999999999996</v>
      </c>
      <c r="C70" s="64">
        <v>23.57</v>
      </c>
      <c r="D70" s="64">
        <v>27.59</v>
      </c>
      <c r="E70" s="64">
        <v>1.49</v>
      </c>
      <c r="F70" s="64">
        <v>14.05</v>
      </c>
      <c r="G70" s="64">
        <v>49.8</v>
      </c>
      <c r="H70" s="64">
        <v>14.48</v>
      </c>
      <c r="I70" s="64">
        <v>1.52</v>
      </c>
      <c r="J70" s="64">
        <v>0.17</v>
      </c>
      <c r="K70" s="64">
        <v>162.76</v>
      </c>
      <c r="L70" s="64">
        <v>26.91</v>
      </c>
      <c r="M70" s="64">
        <v>80.94</v>
      </c>
      <c r="N70" s="64">
        <v>133.5</v>
      </c>
      <c r="O70" s="64">
        <v>0</v>
      </c>
      <c r="P70" s="64">
        <v>0.69</v>
      </c>
      <c r="Q70" s="64">
        <v>10.19</v>
      </c>
      <c r="R70" s="198"/>
      <c r="S70" s="198"/>
      <c r="T70" s="198"/>
      <c r="U70" s="198"/>
    </row>
    <row r="71" spans="1:21" s="12" customFormat="1" x14ac:dyDescent="0.25">
      <c r="A71" s="214" t="s">
        <v>2519</v>
      </c>
      <c r="B71" s="64">
        <v>3.64</v>
      </c>
      <c r="C71" s="64">
        <v>16.72</v>
      </c>
      <c r="D71" s="64">
        <v>20.36</v>
      </c>
      <c r="E71" s="64">
        <v>1.77</v>
      </c>
      <c r="F71" s="64">
        <v>3.63</v>
      </c>
      <c r="G71" s="64">
        <v>48.32</v>
      </c>
      <c r="H71" s="64">
        <v>14.48</v>
      </c>
      <c r="I71" s="64">
        <v>1.59</v>
      </c>
      <c r="J71" s="64">
        <v>0.03</v>
      </c>
      <c r="K71" s="64">
        <v>51.16</v>
      </c>
      <c r="L71" s="64">
        <v>27.06</v>
      </c>
      <c r="M71" s="64">
        <v>82.12</v>
      </c>
      <c r="N71" s="64">
        <v>127.8</v>
      </c>
      <c r="O71" s="64">
        <v>0</v>
      </c>
      <c r="P71" s="64">
        <v>0.6</v>
      </c>
      <c r="Q71" s="64">
        <v>9.6300000000000008</v>
      </c>
      <c r="R71" s="198"/>
      <c r="S71" s="198"/>
      <c r="T71" s="198"/>
      <c r="U71" s="198"/>
    </row>
    <row r="72" spans="1:21" s="12" customFormat="1" x14ac:dyDescent="0.25">
      <c r="A72" s="214" t="s">
        <v>2520</v>
      </c>
      <c r="B72" s="64">
        <v>3.18</v>
      </c>
      <c r="C72" s="64">
        <v>13.03</v>
      </c>
      <c r="D72" s="64">
        <v>16.22</v>
      </c>
      <c r="E72" s="64">
        <v>0.44</v>
      </c>
      <c r="F72" s="64">
        <v>1.95</v>
      </c>
      <c r="G72" s="64">
        <v>48.32</v>
      </c>
      <c r="H72" s="64">
        <v>14.48</v>
      </c>
      <c r="I72" s="64">
        <v>1.47</v>
      </c>
      <c r="J72" s="64">
        <v>0.18</v>
      </c>
      <c r="K72" s="64">
        <v>194.04</v>
      </c>
      <c r="L72" s="64">
        <v>26.78</v>
      </c>
      <c r="M72" s="64">
        <v>81.27</v>
      </c>
      <c r="N72" s="64">
        <v>113.9</v>
      </c>
      <c r="O72" s="64">
        <v>0</v>
      </c>
      <c r="P72" s="64">
        <v>0.6</v>
      </c>
      <c r="Q72" s="64">
        <v>10.41</v>
      </c>
      <c r="R72" s="198"/>
      <c r="S72" s="198"/>
      <c r="T72" s="198"/>
      <c r="U72" s="198"/>
    </row>
    <row r="73" spans="1:21" s="12" customFormat="1" x14ac:dyDescent="0.25">
      <c r="A73" s="214" t="s">
        <v>2521</v>
      </c>
      <c r="B73" s="64">
        <v>2.78</v>
      </c>
      <c r="C73" s="64">
        <v>12.75</v>
      </c>
      <c r="D73" s="64">
        <v>15.53</v>
      </c>
      <c r="E73" s="64">
        <v>1.53</v>
      </c>
      <c r="F73" s="64">
        <v>5.7</v>
      </c>
      <c r="G73" s="64">
        <v>48.32</v>
      </c>
      <c r="H73" s="64">
        <v>14.48</v>
      </c>
      <c r="I73" s="64">
        <v>1.55</v>
      </c>
      <c r="J73" s="64">
        <v>0.06</v>
      </c>
      <c r="K73" s="64">
        <v>181.43</v>
      </c>
      <c r="L73" s="64">
        <v>26.7</v>
      </c>
      <c r="M73" s="64">
        <v>81.86</v>
      </c>
      <c r="N73" s="64">
        <v>86.3</v>
      </c>
      <c r="O73" s="64">
        <v>0</v>
      </c>
      <c r="P73" s="64">
        <v>0.57999999999999996</v>
      </c>
      <c r="Q73" s="64">
        <v>9.92</v>
      </c>
      <c r="R73" s="198"/>
      <c r="S73" s="198"/>
      <c r="T73" s="198"/>
      <c r="U73" s="198"/>
    </row>
    <row r="74" spans="1:21" s="12" customFormat="1" x14ac:dyDescent="0.25">
      <c r="A74" s="214" t="s">
        <v>2522</v>
      </c>
      <c r="B74" s="64">
        <v>2.5499999999999998</v>
      </c>
      <c r="C74" s="64">
        <v>11.65</v>
      </c>
      <c r="D74" s="64">
        <v>14.21</v>
      </c>
      <c r="E74" s="64">
        <v>1.18</v>
      </c>
      <c r="F74" s="64">
        <v>3.19</v>
      </c>
      <c r="G74" s="64">
        <v>50.27</v>
      </c>
      <c r="H74" s="64">
        <v>15.35</v>
      </c>
      <c r="I74" s="64">
        <v>1.58</v>
      </c>
      <c r="J74" s="64">
        <v>0.1</v>
      </c>
      <c r="K74" s="64">
        <v>186.86</v>
      </c>
      <c r="L74" s="64">
        <v>26.31</v>
      </c>
      <c r="M74" s="64">
        <v>86</v>
      </c>
      <c r="N74" s="64">
        <v>65.900000000000006</v>
      </c>
      <c r="O74" s="64">
        <v>0</v>
      </c>
      <c r="P74" s="64">
        <v>0.56999999999999995</v>
      </c>
      <c r="Q74" s="64">
        <v>8.9700000000000006</v>
      </c>
      <c r="R74" s="198"/>
      <c r="S74" s="198"/>
      <c r="T74" s="198"/>
      <c r="U74" s="198"/>
    </row>
    <row r="75" spans="1:21" s="12" customFormat="1" x14ac:dyDescent="0.25">
      <c r="A75" s="214" t="s">
        <v>2523</v>
      </c>
      <c r="B75" s="64">
        <v>2.67</v>
      </c>
      <c r="C75" s="64">
        <v>13.4</v>
      </c>
      <c r="D75" s="64">
        <v>16.07</v>
      </c>
      <c r="E75" s="64">
        <v>1.41</v>
      </c>
      <c r="F75" s="64">
        <v>5.75</v>
      </c>
      <c r="G75" s="64">
        <v>50.6</v>
      </c>
      <c r="H75" s="64">
        <v>15.35</v>
      </c>
      <c r="I75" s="64">
        <v>1.54</v>
      </c>
      <c r="J75" s="64">
        <v>0.18</v>
      </c>
      <c r="K75" s="64">
        <v>173.74</v>
      </c>
      <c r="L75" s="64">
        <v>26</v>
      </c>
      <c r="M75" s="64">
        <v>89.55</v>
      </c>
      <c r="N75" s="64">
        <v>52.1</v>
      </c>
      <c r="O75" s="64">
        <v>0</v>
      </c>
      <c r="P75" s="64">
        <v>0.52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14" t="s">
        <v>2524</v>
      </c>
      <c r="B76" s="64">
        <v>2.76</v>
      </c>
      <c r="C76" s="64">
        <v>14.52</v>
      </c>
      <c r="D76" s="64">
        <v>17.28</v>
      </c>
      <c r="E76" s="64">
        <v>1.28</v>
      </c>
      <c r="F76" s="64">
        <v>3.85</v>
      </c>
      <c r="G76" s="64">
        <v>50.6</v>
      </c>
      <c r="H76" s="64">
        <v>15.35</v>
      </c>
      <c r="I76" s="64">
        <v>1.56</v>
      </c>
      <c r="J76" s="64">
        <v>0.18</v>
      </c>
      <c r="K76" s="64">
        <v>183.24</v>
      </c>
      <c r="L76" s="64">
        <v>25.81</v>
      </c>
      <c r="M76" s="64">
        <v>90.3</v>
      </c>
      <c r="N76" s="64">
        <v>42.9</v>
      </c>
      <c r="O76" s="64">
        <v>0</v>
      </c>
      <c r="P76" s="64">
        <v>0.5</v>
      </c>
      <c r="Q76" s="64">
        <v>8.84</v>
      </c>
      <c r="R76" s="198"/>
      <c r="S76" s="198"/>
      <c r="T76" s="198"/>
      <c r="U76" s="198"/>
    </row>
    <row r="77" spans="1:21" s="12" customFormat="1" x14ac:dyDescent="0.25">
      <c r="A77" s="214" t="s">
        <v>2525</v>
      </c>
      <c r="B77" s="64">
        <v>2.64</v>
      </c>
      <c r="C77" s="64">
        <v>11.93</v>
      </c>
      <c r="D77" s="64">
        <v>14.57</v>
      </c>
      <c r="E77" s="64">
        <v>1.33</v>
      </c>
      <c r="F77" s="64">
        <v>5.0999999999999996</v>
      </c>
      <c r="G77" s="64">
        <v>50.6</v>
      </c>
      <c r="H77" s="64">
        <v>15.35</v>
      </c>
      <c r="I77" s="64">
        <v>1.5</v>
      </c>
      <c r="J77" s="64">
        <v>0.01</v>
      </c>
      <c r="K77" s="64">
        <v>62.99</v>
      </c>
      <c r="L77" s="64">
        <v>25.65</v>
      </c>
      <c r="M77" s="64">
        <v>90.71</v>
      </c>
      <c r="N77" s="64">
        <v>33.1</v>
      </c>
      <c r="O77" s="64">
        <v>0</v>
      </c>
      <c r="P77" s="64">
        <v>0.51</v>
      </c>
      <c r="Q77" s="64">
        <v>8.7100000000000009</v>
      </c>
      <c r="R77" s="198"/>
      <c r="S77" s="198"/>
      <c r="T77" s="198"/>
      <c r="U77" s="198"/>
    </row>
    <row r="78" spans="1:21" s="12" customFormat="1" x14ac:dyDescent="0.25">
      <c r="A78" s="214" t="s">
        <v>2526</v>
      </c>
      <c r="B78" s="64">
        <v>2.58</v>
      </c>
      <c r="C78" s="64">
        <v>14.79</v>
      </c>
      <c r="D78" s="64">
        <v>17.36</v>
      </c>
      <c r="E78" s="64">
        <v>1.49</v>
      </c>
      <c r="F78" s="64">
        <v>13.08</v>
      </c>
      <c r="G78" s="64">
        <v>43.57</v>
      </c>
      <c r="H78" s="64">
        <v>15.34</v>
      </c>
      <c r="I78" s="64">
        <v>1.47</v>
      </c>
      <c r="J78" s="64">
        <v>0.1</v>
      </c>
      <c r="K78" s="64">
        <v>198.47</v>
      </c>
      <c r="L78" s="64">
        <v>25.48</v>
      </c>
      <c r="M78" s="64">
        <v>91.49</v>
      </c>
      <c r="N78" s="64">
        <v>24</v>
      </c>
      <c r="O78" s="64">
        <v>0</v>
      </c>
      <c r="P78" s="64">
        <v>0.48</v>
      </c>
      <c r="Q78" s="64">
        <v>9.58</v>
      </c>
      <c r="R78" s="198"/>
      <c r="S78" s="198"/>
      <c r="T78" s="198"/>
      <c r="U78" s="198"/>
    </row>
    <row r="79" spans="1:21" s="12" customFormat="1" x14ac:dyDescent="0.25">
      <c r="A79" s="214" t="s">
        <v>2527</v>
      </c>
      <c r="B79" s="64">
        <v>2.48</v>
      </c>
      <c r="C79" s="64">
        <v>19.95</v>
      </c>
      <c r="D79" s="64">
        <v>22.43</v>
      </c>
      <c r="E79" s="64">
        <v>1.58</v>
      </c>
      <c r="F79" s="64">
        <v>18.489999999999998</v>
      </c>
      <c r="G79" s="64">
        <v>42.38</v>
      </c>
      <c r="H79" s="64">
        <v>15.34</v>
      </c>
      <c r="I79" s="64">
        <v>1.53</v>
      </c>
      <c r="J79" s="64">
        <v>0.08</v>
      </c>
      <c r="K79" s="64">
        <v>217.52</v>
      </c>
      <c r="L79" s="64">
        <v>25.31</v>
      </c>
      <c r="M79" s="64">
        <v>93.04</v>
      </c>
      <c r="N79" s="64">
        <v>15.3</v>
      </c>
      <c r="O79" s="64">
        <v>0</v>
      </c>
      <c r="P79" s="64">
        <v>0.43</v>
      </c>
      <c r="Q79" s="64">
        <v>10.06</v>
      </c>
      <c r="R79" s="198"/>
      <c r="S79" s="198"/>
      <c r="T79" s="198"/>
      <c r="U79" s="198"/>
    </row>
    <row r="80" spans="1:21" s="12" customFormat="1" x14ac:dyDescent="0.25">
      <c r="A80" s="214" t="s">
        <v>2528</v>
      </c>
      <c r="B80" s="64">
        <v>2.6</v>
      </c>
      <c r="C80" s="64">
        <v>15.71</v>
      </c>
      <c r="D80" s="64">
        <v>18.3</v>
      </c>
      <c r="E80" s="64">
        <v>1.33</v>
      </c>
      <c r="F80" s="64">
        <v>5.26</v>
      </c>
      <c r="G80" s="64">
        <v>42.38</v>
      </c>
      <c r="H80" s="64">
        <v>15.34</v>
      </c>
      <c r="I80" s="64">
        <v>1.56</v>
      </c>
      <c r="J80" s="64">
        <v>0.04</v>
      </c>
      <c r="K80" s="64">
        <v>226.25</v>
      </c>
      <c r="L80" s="64">
        <v>25.08</v>
      </c>
      <c r="M80" s="64">
        <v>96.58</v>
      </c>
      <c r="N80" s="64">
        <v>10.3</v>
      </c>
      <c r="O80" s="64">
        <v>0</v>
      </c>
      <c r="P80" s="64">
        <v>0.48</v>
      </c>
      <c r="Q80" s="64">
        <v>10.119999999999999</v>
      </c>
      <c r="R80" s="198"/>
      <c r="S80" s="198"/>
      <c r="T80" s="198"/>
      <c r="U80" s="198"/>
    </row>
    <row r="81" spans="1:26" s="12" customFormat="1" x14ac:dyDescent="0.25">
      <c r="A81" s="214" t="s">
        <v>2529</v>
      </c>
      <c r="B81" s="64">
        <v>4.21</v>
      </c>
      <c r="C81" s="64">
        <v>15.03</v>
      </c>
      <c r="D81" s="64">
        <v>19.239999999999998</v>
      </c>
      <c r="E81" s="64">
        <v>1.57</v>
      </c>
      <c r="F81" s="64">
        <v>6.84</v>
      </c>
      <c r="G81" s="64">
        <v>42.38</v>
      </c>
      <c r="H81" s="64">
        <v>15.34</v>
      </c>
      <c r="I81" s="64">
        <v>1.52</v>
      </c>
      <c r="J81" s="64">
        <v>0.06</v>
      </c>
      <c r="K81" s="64">
        <v>340.53</v>
      </c>
      <c r="L81" s="64">
        <v>24.79</v>
      </c>
      <c r="M81" s="64">
        <v>97.78</v>
      </c>
      <c r="N81" s="64">
        <v>9.5</v>
      </c>
      <c r="O81" s="64">
        <v>0</v>
      </c>
      <c r="P81" s="64">
        <v>0.49</v>
      </c>
      <c r="Q81" s="64">
        <v>10.75</v>
      </c>
      <c r="R81" s="198"/>
      <c r="S81" s="198"/>
      <c r="T81" s="198"/>
      <c r="U81" s="198"/>
    </row>
    <row r="82" spans="1:26" s="12" customFormat="1" x14ac:dyDescent="0.25">
      <c r="A82" s="214" t="s">
        <v>2530</v>
      </c>
      <c r="B82" s="64">
        <v>4.96</v>
      </c>
      <c r="C82" s="64">
        <v>17.079999999999998</v>
      </c>
      <c r="D82" s="64">
        <v>22.04</v>
      </c>
      <c r="E82" s="64">
        <v>1.6</v>
      </c>
      <c r="F82" s="64">
        <v>3.11</v>
      </c>
      <c r="G82" s="64">
        <v>41.68</v>
      </c>
      <c r="H82" s="64">
        <v>16.13</v>
      </c>
      <c r="I82" s="64">
        <v>1.41</v>
      </c>
      <c r="J82" s="64">
        <v>0.05</v>
      </c>
      <c r="K82" s="64">
        <v>4.46</v>
      </c>
      <c r="L82" s="64">
        <v>24.58</v>
      </c>
      <c r="M82" s="64">
        <v>97.59</v>
      </c>
      <c r="N82" s="64">
        <v>9.5</v>
      </c>
      <c r="O82" s="64">
        <v>0</v>
      </c>
      <c r="P82" s="64">
        <v>0.53</v>
      </c>
      <c r="Q82" s="64">
        <v>10.29</v>
      </c>
      <c r="R82" s="198"/>
      <c r="S82" s="198"/>
      <c r="T82" s="198"/>
      <c r="U82" s="198"/>
    </row>
    <row r="83" spans="1:26" s="12" customFormat="1" x14ac:dyDescent="0.25">
      <c r="A83" s="214" t="s">
        <v>2531</v>
      </c>
      <c r="B83" s="64">
        <v>3.57</v>
      </c>
      <c r="C83" s="64">
        <v>11.31</v>
      </c>
      <c r="D83" s="64">
        <v>14.88</v>
      </c>
      <c r="E83" s="64">
        <v>1.55</v>
      </c>
      <c r="F83" s="64">
        <v>0.77</v>
      </c>
      <c r="G83" s="64">
        <v>41.57</v>
      </c>
      <c r="H83" s="64">
        <v>16.13</v>
      </c>
      <c r="I83" s="64">
        <v>1.53</v>
      </c>
      <c r="J83" s="64">
        <v>0.13</v>
      </c>
      <c r="K83" s="64">
        <v>28.5</v>
      </c>
      <c r="L83" s="64">
        <v>24.42</v>
      </c>
      <c r="M83" s="64">
        <v>97.39</v>
      </c>
      <c r="N83" s="64">
        <v>9.5</v>
      </c>
      <c r="O83" s="64">
        <v>0</v>
      </c>
      <c r="P83" s="64">
        <v>0.52</v>
      </c>
      <c r="Q83" s="64">
        <v>11.34</v>
      </c>
      <c r="R83" s="198"/>
      <c r="S83" s="198"/>
      <c r="T83" s="198"/>
      <c r="U83" s="198"/>
    </row>
    <row r="84" spans="1:26" s="12" customFormat="1" x14ac:dyDescent="0.25">
      <c r="A84" s="214" t="s">
        <v>2532</v>
      </c>
      <c r="B84" s="64">
        <v>3.16</v>
      </c>
      <c r="C84" s="64">
        <v>10.93</v>
      </c>
      <c r="D84" s="64">
        <v>14.09</v>
      </c>
      <c r="E84" s="64">
        <v>1.99</v>
      </c>
      <c r="F84" s="64">
        <v>3.54</v>
      </c>
      <c r="G84" s="64">
        <v>41.57</v>
      </c>
      <c r="H84" s="64">
        <v>16.13</v>
      </c>
      <c r="I84" s="64">
        <v>1.51</v>
      </c>
      <c r="J84" s="64">
        <v>0.09</v>
      </c>
      <c r="K84" s="64">
        <v>59.82</v>
      </c>
      <c r="L84" s="64">
        <v>24.17</v>
      </c>
      <c r="M84" s="64">
        <v>95.08</v>
      </c>
      <c r="N84" s="64">
        <v>9.5</v>
      </c>
      <c r="O84" s="64">
        <v>0</v>
      </c>
      <c r="P84" s="64">
        <v>0.5</v>
      </c>
      <c r="Q84" s="64">
        <v>10.74</v>
      </c>
      <c r="R84" s="198"/>
      <c r="S84" s="198"/>
      <c r="T84" s="198"/>
      <c r="U84" s="198"/>
    </row>
    <row r="85" spans="1:26" s="12" customFormat="1" x14ac:dyDescent="0.25">
      <c r="A85" s="214" t="s">
        <v>2533</v>
      </c>
      <c r="B85" s="64">
        <v>3.42</v>
      </c>
      <c r="C85" s="64">
        <v>9.8000000000000007</v>
      </c>
      <c r="D85" s="64">
        <v>13.22</v>
      </c>
      <c r="E85" s="64">
        <v>1.64</v>
      </c>
      <c r="F85" s="64">
        <v>1.33</v>
      </c>
      <c r="G85" s="64">
        <v>41.57</v>
      </c>
      <c r="H85" s="64">
        <v>16.13</v>
      </c>
      <c r="I85" s="64">
        <v>1.52</v>
      </c>
      <c r="J85" s="64">
        <v>0.19</v>
      </c>
      <c r="K85" s="64">
        <v>12.75</v>
      </c>
      <c r="L85" s="64">
        <v>23.66</v>
      </c>
      <c r="M85" s="64">
        <v>93.89</v>
      </c>
      <c r="N85" s="64">
        <v>9.9</v>
      </c>
      <c r="O85" s="64">
        <v>0</v>
      </c>
      <c r="P85" s="64">
        <v>0.52</v>
      </c>
      <c r="Q85" s="64">
        <v>9.93</v>
      </c>
      <c r="R85" s="198"/>
      <c r="S85" s="198"/>
      <c r="T85" s="198"/>
      <c r="U85" s="198"/>
    </row>
    <row r="86" spans="1:26" s="12" customFormat="1" x14ac:dyDescent="0.25">
      <c r="A86" s="214" t="s">
        <v>2534</v>
      </c>
      <c r="B86" s="64">
        <v>3.56</v>
      </c>
      <c r="C86" s="64">
        <v>10.74</v>
      </c>
      <c r="D86" s="64">
        <v>14.3</v>
      </c>
      <c r="E86" s="64">
        <v>1.81</v>
      </c>
      <c r="F86" s="64">
        <v>1.03</v>
      </c>
      <c r="G86" s="64">
        <v>40.07</v>
      </c>
      <c r="H86" s="64">
        <v>14.24</v>
      </c>
      <c r="I86" s="64">
        <v>1.61</v>
      </c>
      <c r="J86" s="64">
        <v>0.08</v>
      </c>
      <c r="K86" s="64">
        <v>3.01</v>
      </c>
      <c r="L86" s="64">
        <v>23.27</v>
      </c>
      <c r="M86" s="64">
        <v>93.67</v>
      </c>
      <c r="N86" s="64">
        <v>9.5</v>
      </c>
      <c r="O86" s="64">
        <v>0</v>
      </c>
      <c r="P86" s="64">
        <v>0.55000000000000004</v>
      </c>
      <c r="Q86" s="64">
        <v>10.29</v>
      </c>
      <c r="R86" s="198"/>
      <c r="S86" s="198"/>
      <c r="T86" s="198"/>
      <c r="U86" s="198"/>
    </row>
    <row r="87" spans="1:26" s="12" customFormat="1" x14ac:dyDescent="0.25">
      <c r="A87" s="214" t="s">
        <v>2535</v>
      </c>
      <c r="B87" s="64">
        <v>3.52</v>
      </c>
      <c r="C87" s="64">
        <v>10.29</v>
      </c>
      <c r="D87" s="64">
        <v>13.81</v>
      </c>
      <c r="E87" s="64">
        <v>1.24</v>
      </c>
      <c r="F87" s="64">
        <v>1.32</v>
      </c>
      <c r="G87" s="64">
        <v>39.81</v>
      </c>
      <c r="H87" s="64">
        <v>14.24</v>
      </c>
      <c r="I87" s="64">
        <v>1.47</v>
      </c>
      <c r="J87" s="64">
        <v>0.15</v>
      </c>
      <c r="K87" s="64">
        <v>22.87</v>
      </c>
      <c r="L87" s="64">
        <v>23.15</v>
      </c>
      <c r="M87" s="64">
        <v>93.45</v>
      </c>
      <c r="N87" s="64">
        <v>9.5</v>
      </c>
      <c r="O87" s="64">
        <v>0</v>
      </c>
      <c r="P87" s="64">
        <v>0.56999999999999995</v>
      </c>
      <c r="Q87" s="64">
        <v>9.68</v>
      </c>
      <c r="R87" s="198"/>
      <c r="S87" s="198"/>
      <c r="T87" s="198"/>
      <c r="U87" s="198"/>
    </row>
    <row r="88" spans="1:26" s="12" customFormat="1" x14ac:dyDescent="0.25">
      <c r="A88" s="214" t="s">
        <v>2536</v>
      </c>
      <c r="B88" s="64">
        <v>7.01</v>
      </c>
      <c r="C88" s="64">
        <v>13.56</v>
      </c>
      <c r="D88" s="64">
        <v>20.57</v>
      </c>
      <c r="E88" s="64">
        <v>1.1200000000000001</v>
      </c>
      <c r="F88" s="64">
        <v>0.64</v>
      </c>
      <c r="G88" s="64">
        <v>39.81</v>
      </c>
      <c r="H88" s="64">
        <v>14.24</v>
      </c>
      <c r="I88" s="64">
        <v>1.5</v>
      </c>
      <c r="J88" s="64">
        <v>0.03</v>
      </c>
      <c r="K88" s="64">
        <v>47.24</v>
      </c>
      <c r="L88" s="64">
        <v>23.12</v>
      </c>
      <c r="M88" s="64">
        <v>92.27</v>
      </c>
      <c r="N88" s="64">
        <v>9.1999999999999993</v>
      </c>
      <c r="O88" s="64">
        <v>0</v>
      </c>
      <c r="P88" s="64">
        <v>0.61</v>
      </c>
      <c r="Q88" s="64">
        <v>10.59</v>
      </c>
      <c r="R88" s="198"/>
      <c r="S88" s="198"/>
      <c r="T88" s="198"/>
      <c r="U88" s="198"/>
    </row>
    <row r="89" spans="1:26" s="12" customFormat="1" x14ac:dyDescent="0.25">
      <c r="A89" s="214" t="s">
        <v>2537</v>
      </c>
      <c r="B89" s="64">
        <v>4.66</v>
      </c>
      <c r="C89" s="64">
        <v>13.37</v>
      </c>
      <c r="D89" s="64">
        <v>18.02</v>
      </c>
      <c r="E89" s="64">
        <v>0.94</v>
      </c>
      <c r="F89" s="64">
        <v>1.46</v>
      </c>
      <c r="G89" s="64">
        <v>39.81</v>
      </c>
      <c r="H89" s="64">
        <v>14.24</v>
      </c>
      <c r="I89" s="64">
        <v>1.51</v>
      </c>
      <c r="J89" s="64">
        <v>0.04</v>
      </c>
      <c r="K89" s="64">
        <v>204.42</v>
      </c>
      <c r="L89" s="64">
        <v>23.09</v>
      </c>
      <c r="M89" s="64">
        <v>92.29</v>
      </c>
      <c r="N89" s="64">
        <v>9.1999999999999993</v>
      </c>
      <c r="O89" s="64">
        <v>0</v>
      </c>
      <c r="P89" s="64">
        <v>0.61</v>
      </c>
      <c r="Q89" s="64">
        <v>9.99</v>
      </c>
      <c r="R89" s="198"/>
      <c r="S89" s="198"/>
      <c r="T89" s="198"/>
      <c r="U89" s="198"/>
    </row>
    <row r="90" spans="1:26" s="12" customFormat="1" x14ac:dyDescent="0.25">
      <c r="A90" s="214" t="s">
        <v>2538</v>
      </c>
      <c r="B90" s="64">
        <v>4.13</v>
      </c>
      <c r="C90" s="64">
        <v>22.55</v>
      </c>
      <c r="D90" s="64">
        <v>26.68</v>
      </c>
      <c r="E90" s="64">
        <v>1.22</v>
      </c>
      <c r="F90" s="64">
        <v>3.28</v>
      </c>
      <c r="G90" s="64">
        <v>44.23</v>
      </c>
      <c r="H90" s="64">
        <v>13.06</v>
      </c>
      <c r="I90" s="64">
        <v>1.46</v>
      </c>
      <c r="J90" s="64">
        <v>0.14000000000000001</v>
      </c>
      <c r="K90" s="64">
        <v>177.61</v>
      </c>
      <c r="L90" s="64">
        <v>22.83</v>
      </c>
      <c r="M90" s="64">
        <v>96.15</v>
      </c>
      <c r="N90" s="64">
        <v>9.4</v>
      </c>
      <c r="O90" s="64">
        <v>0</v>
      </c>
      <c r="P90" s="64">
        <v>0.64</v>
      </c>
      <c r="Q90" s="64">
        <v>11.07</v>
      </c>
      <c r="R90" s="198"/>
      <c r="S90" s="198"/>
      <c r="T90" s="198"/>
      <c r="U90" s="198"/>
    </row>
    <row r="91" spans="1:26" s="12" customFormat="1" x14ac:dyDescent="0.25">
      <c r="A91" s="214" t="s">
        <v>2539</v>
      </c>
      <c r="B91" s="64">
        <v>4.59</v>
      </c>
      <c r="C91" s="64">
        <v>25.1</v>
      </c>
      <c r="D91" s="64">
        <v>29.69</v>
      </c>
      <c r="E91" s="64">
        <v>1.66</v>
      </c>
      <c r="F91" s="64">
        <v>2.38</v>
      </c>
      <c r="G91" s="64">
        <v>44.97</v>
      </c>
      <c r="H91" s="64">
        <v>13.06</v>
      </c>
      <c r="I91" s="64">
        <v>1.48</v>
      </c>
      <c r="J91" s="64">
        <v>0.19</v>
      </c>
      <c r="K91" s="64">
        <v>141.38999999999999</v>
      </c>
      <c r="L91" s="64">
        <v>22.67</v>
      </c>
      <c r="M91" s="64">
        <v>97.78</v>
      </c>
      <c r="N91" s="64">
        <v>9.3000000000000007</v>
      </c>
      <c r="O91" s="64">
        <v>0</v>
      </c>
      <c r="P91" s="64">
        <v>0.79</v>
      </c>
      <c r="Q91" s="64">
        <v>11.37</v>
      </c>
      <c r="R91" s="198"/>
      <c r="S91" s="198"/>
      <c r="T91" s="198"/>
      <c r="U91" s="198"/>
    </row>
    <row r="92" spans="1:26" s="12" customFormat="1" x14ac:dyDescent="0.25">
      <c r="A92" s="214" t="s">
        <v>2540</v>
      </c>
      <c r="B92" s="64">
        <v>5.73</v>
      </c>
      <c r="C92" s="64">
        <v>26.93</v>
      </c>
      <c r="D92" s="64">
        <v>32.659999999999997</v>
      </c>
      <c r="E92" s="64">
        <v>1.42</v>
      </c>
      <c r="F92" s="64">
        <v>2.78</v>
      </c>
      <c r="G92" s="64">
        <v>44.97</v>
      </c>
      <c r="H92" s="64">
        <v>13.06</v>
      </c>
      <c r="I92" s="64">
        <v>1.48</v>
      </c>
      <c r="J92" s="64">
        <v>0.14000000000000001</v>
      </c>
      <c r="K92" s="64">
        <v>209.66</v>
      </c>
      <c r="L92" s="64">
        <v>22.7</v>
      </c>
      <c r="M92" s="64">
        <v>98.44</v>
      </c>
      <c r="N92" s="64">
        <v>9.1</v>
      </c>
      <c r="O92" s="64">
        <v>0</v>
      </c>
      <c r="P92" s="64">
        <v>0.94</v>
      </c>
      <c r="Q92" s="64">
        <v>11.74</v>
      </c>
      <c r="R92" s="198"/>
      <c r="S92" s="198"/>
      <c r="T92" s="198"/>
      <c r="U92" s="198"/>
    </row>
    <row r="93" spans="1:26" s="12" customFormat="1" x14ac:dyDescent="0.25">
      <c r="A93" s="214" t="s">
        <v>2541</v>
      </c>
      <c r="B93" s="64">
        <v>16.059999999999999</v>
      </c>
      <c r="C93" s="64">
        <v>26.58</v>
      </c>
      <c r="D93" s="64">
        <v>42.64</v>
      </c>
      <c r="E93" s="64">
        <v>2.23</v>
      </c>
      <c r="F93" s="64">
        <v>2.64</v>
      </c>
      <c r="G93" s="64">
        <v>44.97</v>
      </c>
      <c r="H93" s="64">
        <v>13.06</v>
      </c>
      <c r="I93" s="64">
        <v>1.5</v>
      </c>
      <c r="J93" s="64">
        <v>0.04</v>
      </c>
      <c r="K93" s="64">
        <v>21.56</v>
      </c>
      <c r="L93" s="64">
        <v>22.72</v>
      </c>
      <c r="M93" s="64">
        <v>98.78</v>
      </c>
      <c r="N93" s="64">
        <v>9.1999999999999993</v>
      </c>
      <c r="O93" s="64">
        <v>0</v>
      </c>
      <c r="P93" s="64">
        <v>1.28</v>
      </c>
      <c r="Q93" s="64">
        <v>10.85</v>
      </c>
      <c r="R93" s="198"/>
      <c r="S93" s="198"/>
      <c r="T93" s="198"/>
      <c r="U93" s="198"/>
    </row>
    <row r="94" spans="1:26" s="12" customFormat="1" x14ac:dyDescent="0.25">
      <c r="A94" s="214" t="s">
        <v>2542</v>
      </c>
      <c r="B94" s="64">
        <v>6.46</v>
      </c>
      <c r="C94" s="64">
        <v>23.73</v>
      </c>
      <c r="D94" s="64">
        <v>30.2</v>
      </c>
      <c r="E94" s="64">
        <v>1.76</v>
      </c>
      <c r="F94" s="64">
        <v>3.32</v>
      </c>
      <c r="G94" s="64">
        <v>53.96</v>
      </c>
      <c r="H94" s="64">
        <v>11.98</v>
      </c>
      <c r="I94" s="64">
        <v>1.45</v>
      </c>
      <c r="J94" s="64">
        <v>0.1</v>
      </c>
      <c r="K94" s="64">
        <v>216.07</v>
      </c>
      <c r="L94" s="64">
        <v>22.69</v>
      </c>
      <c r="M94" s="64">
        <v>98.8</v>
      </c>
      <c r="N94" s="64">
        <v>9.1</v>
      </c>
      <c r="O94" s="64">
        <v>0</v>
      </c>
      <c r="P94" s="64">
        <v>0.94</v>
      </c>
      <c r="Q94" s="64">
        <v>10.92</v>
      </c>
      <c r="R94" s="198"/>
      <c r="S94" s="198"/>
      <c r="T94" s="198"/>
      <c r="U94" s="198"/>
    </row>
    <row r="95" spans="1:26" s="12" customFormat="1" x14ac:dyDescent="0.25">
      <c r="A95" s="214" t="s">
        <v>2543</v>
      </c>
      <c r="B95" s="64">
        <v>6.31</v>
      </c>
      <c r="C95" s="64">
        <v>12.65</v>
      </c>
      <c r="D95" s="64">
        <v>18.96</v>
      </c>
      <c r="E95" s="64">
        <v>1.76</v>
      </c>
      <c r="F95" s="64">
        <v>0.89</v>
      </c>
      <c r="G95" s="64">
        <v>55.48</v>
      </c>
      <c r="H95" s="64">
        <v>11.98</v>
      </c>
      <c r="I95" s="64">
        <v>1.5</v>
      </c>
      <c r="J95" s="64">
        <v>0.27</v>
      </c>
      <c r="K95" s="64">
        <v>171.98</v>
      </c>
      <c r="L95" s="64">
        <v>22.64</v>
      </c>
      <c r="M95" s="64">
        <v>98.82</v>
      </c>
      <c r="N95" s="64">
        <v>9</v>
      </c>
      <c r="O95" s="64">
        <v>0</v>
      </c>
      <c r="P95" s="64">
        <v>0.76</v>
      </c>
      <c r="Q95" s="64">
        <v>12.76</v>
      </c>
      <c r="R95" s="198"/>
      <c r="S95" s="198"/>
      <c r="T95" s="198"/>
      <c r="U95" s="198"/>
    </row>
    <row r="96" spans="1:26" s="12" customFormat="1" x14ac:dyDescent="0.25">
      <c r="A96" s="214" t="s">
        <v>2544</v>
      </c>
      <c r="B96" s="64">
        <v>6.17</v>
      </c>
      <c r="C96" s="64">
        <v>10.64</v>
      </c>
      <c r="D96" s="64">
        <v>16.809999999999999</v>
      </c>
      <c r="E96" s="64">
        <v>1.91</v>
      </c>
      <c r="F96" s="64">
        <v>1.23</v>
      </c>
      <c r="G96" s="64">
        <v>55.48</v>
      </c>
      <c r="H96" s="64">
        <v>11.98</v>
      </c>
      <c r="I96" s="64">
        <v>1.51</v>
      </c>
      <c r="J96" s="64">
        <v>0.13</v>
      </c>
      <c r="K96" s="64">
        <v>167.78</v>
      </c>
      <c r="L96" s="64">
        <v>22.54</v>
      </c>
      <c r="M96" s="64">
        <v>98.83</v>
      </c>
      <c r="N96" s="64">
        <v>9.1999999999999993</v>
      </c>
      <c r="O96" s="64">
        <v>0</v>
      </c>
      <c r="P96" s="64">
        <v>0.75</v>
      </c>
      <c r="Q96" s="64">
        <v>12.76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2545</v>
      </c>
      <c r="B97" s="64">
        <v>6.17</v>
      </c>
      <c r="C97" s="64">
        <v>9.16</v>
      </c>
      <c r="D97" s="64">
        <v>15.33</v>
      </c>
      <c r="E97" s="64">
        <v>1.61</v>
      </c>
      <c r="F97" s="64">
        <v>0.91</v>
      </c>
      <c r="G97" s="64">
        <v>55.48</v>
      </c>
      <c r="H97" s="64">
        <v>11.98</v>
      </c>
      <c r="I97" s="64">
        <v>1.56</v>
      </c>
      <c r="J97" s="64">
        <v>0.05</v>
      </c>
      <c r="K97" s="64">
        <v>188.33</v>
      </c>
      <c r="L97" s="64">
        <v>22.45</v>
      </c>
      <c r="M97" s="64">
        <v>98.83</v>
      </c>
      <c r="N97" s="64">
        <v>9.1</v>
      </c>
      <c r="O97" s="64">
        <v>0</v>
      </c>
      <c r="P97" s="64">
        <v>0.76</v>
      </c>
      <c r="Q97" s="64">
        <v>12.35</v>
      </c>
      <c r="R97" s="198"/>
      <c r="S97" s="198"/>
      <c r="T97" s="198"/>
      <c r="U97" s="198"/>
    </row>
    <row r="98" spans="1:33" s="12" customFormat="1" x14ac:dyDescent="0.25">
      <c r="A98" s="214" t="s">
        <v>2546</v>
      </c>
      <c r="B98" s="64">
        <v>6.04</v>
      </c>
      <c r="C98" s="64">
        <v>9.4700000000000006</v>
      </c>
      <c r="D98" s="64">
        <v>15.51</v>
      </c>
      <c r="E98" s="64">
        <v>1.1299999999999999</v>
      </c>
      <c r="F98" s="64">
        <v>1.29</v>
      </c>
      <c r="G98" s="64">
        <v>45.3</v>
      </c>
      <c r="H98" s="64">
        <v>10.86</v>
      </c>
      <c r="I98" s="64">
        <v>1.49</v>
      </c>
      <c r="J98" s="64">
        <v>0.11</v>
      </c>
      <c r="K98" s="64">
        <v>159.69</v>
      </c>
      <c r="L98" s="64">
        <v>22.37</v>
      </c>
      <c r="M98" s="64">
        <v>98.83</v>
      </c>
      <c r="N98" s="64">
        <v>9</v>
      </c>
      <c r="O98" s="64">
        <v>0</v>
      </c>
      <c r="P98" s="64">
        <v>0.72</v>
      </c>
      <c r="Q98" s="64">
        <v>12.29</v>
      </c>
      <c r="R98" s="198"/>
      <c r="S98" s="198"/>
      <c r="T98" s="198"/>
      <c r="U98" s="198"/>
    </row>
    <row r="99" spans="1:33" s="12" customFormat="1" x14ac:dyDescent="0.25">
      <c r="A99" s="214" t="s">
        <v>2547</v>
      </c>
      <c r="B99" s="64">
        <v>6.62</v>
      </c>
      <c r="C99" s="64">
        <v>9.08</v>
      </c>
      <c r="D99" s="64">
        <v>15.7</v>
      </c>
      <c r="E99" s="64">
        <v>1.82</v>
      </c>
      <c r="F99" s="64">
        <v>0.87</v>
      </c>
      <c r="G99" s="64">
        <v>43.58</v>
      </c>
      <c r="H99" s="64">
        <v>10.86</v>
      </c>
      <c r="I99" s="64">
        <v>1.47</v>
      </c>
      <c r="J99" s="64">
        <v>7.0000000000000007E-2</v>
      </c>
      <c r="K99" s="64">
        <v>341.25</v>
      </c>
      <c r="L99" s="64">
        <v>22.36</v>
      </c>
      <c r="M99" s="64">
        <v>98.83</v>
      </c>
      <c r="N99" s="64">
        <v>9.1</v>
      </c>
      <c r="O99" s="64">
        <v>0</v>
      </c>
      <c r="P99" s="64">
        <v>0.74</v>
      </c>
      <c r="Q99" s="64">
        <v>11.58</v>
      </c>
      <c r="R99" s="198"/>
      <c r="S99" s="198"/>
      <c r="T99" s="198"/>
      <c r="U99" s="198"/>
    </row>
    <row r="100" spans="1:33" s="12" customFormat="1" x14ac:dyDescent="0.25">
      <c r="A100" s="214" t="s">
        <v>2548</v>
      </c>
      <c r="B100" s="64">
        <v>7.71</v>
      </c>
      <c r="C100" s="64">
        <v>9.49</v>
      </c>
      <c r="D100" s="64">
        <v>17.2</v>
      </c>
      <c r="E100" s="64">
        <v>2.0499999999999998</v>
      </c>
      <c r="F100" s="64">
        <v>0.62</v>
      </c>
      <c r="G100" s="64">
        <v>43.58</v>
      </c>
      <c r="H100" s="64">
        <v>10.86</v>
      </c>
      <c r="I100" s="64">
        <v>1.5</v>
      </c>
      <c r="J100" s="64">
        <v>0.02</v>
      </c>
      <c r="K100" s="64">
        <v>340.23</v>
      </c>
      <c r="L100" s="64">
        <v>22.34</v>
      </c>
      <c r="M100" s="64">
        <v>98.83</v>
      </c>
      <c r="N100" s="64">
        <v>9.1</v>
      </c>
      <c r="O100" s="64">
        <v>0</v>
      </c>
      <c r="P100" s="64">
        <v>0.72</v>
      </c>
      <c r="Q100" s="64">
        <v>11.74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2549</v>
      </c>
      <c r="B101" s="64">
        <v>6.79</v>
      </c>
      <c r="C101" s="64">
        <v>8.9</v>
      </c>
      <c r="D101" s="64">
        <v>15.7</v>
      </c>
      <c r="E101" s="64">
        <v>1.51</v>
      </c>
      <c r="F101" s="64">
        <v>1.02</v>
      </c>
      <c r="G101" s="64">
        <v>43.58</v>
      </c>
      <c r="H101" s="64">
        <v>10.86</v>
      </c>
      <c r="I101" s="64">
        <v>1.51</v>
      </c>
      <c r="J101" s="64">
        <v>0.04</v>
      </c>
      <c r="K101" s="64">
        <v>23.89</v>
      </c>
      <c r="L101" s="64">
        <v>22.36</v>
      </c>
      <c r="M101" s="64">
        <v>98.83</v>
      </c>
      <c r="N101" s="64">
        <v>9.1</v>
      </c>
      <c r="O101" s="64">
        <v>0</v>
      </c>
      <c r="P101" s="64">
        <v>0.72</v>
      </c>
      <c r="Q101" s="64">
        <v>11.44</v>
      </c>
      <c r="R101" s="198"/>
      <c r="S101" s="198"/>
      <c r="T101" s="198"/>
      <c r="U101" s="198"/>
    </row>
    <row r="102" spans="1:33" s="12" customFormat="1" x14ac:dyDescent="0.25">
      <c r="A102" s="214" t="s">
        <v>2550</v>
      </c>
      <c r="B102" s="64">
        <v>5.22</v>
      </c>
      <c r="C102" s="64">
        <v>12.14</v>
      </c>
      <c r="D102" s="64">
        <v>17.36</v>
      </c>
      <c r="E102" s="64">
        <v>1.91</v>
      </c>
      <c r="F102" s="64">
        <v>8.26</v>
      </c>
      <c r="G102" s="64">
        <v>41.88</v>
      </c>
      <c r="H102" s="64">
        <v>13.55</v>
      </c>
      <c r="I102" s="64">
        <v>1.47</v>
      </c>
      <c r="J102" s="64">
        <v>0.16</v>
      </c>
      <c r="K102" s="64">
        <v>133.13999999999999</v>
      </c>
      <c r="L102" s="64">
        <v>22.29</v>
      </c>
      <c r="M102" s="64">
        <v>98.83</v>
      </c>
      <c r="N102" s="64">
        <v>9</v>
      </c>
      <c r="O102" s="64">
        <v>0</v>
      </c>
      <c r="P102" s="64">
        <v>0.46</v>
      </c>
      <c r="Q102" s="64">
        <v>12.81</v>
      </c>
      <c r="R102" s="198"/>
      <c r="S102" s="198"/>
      <c r="T102" s="198"/>
      <c r="U102" s="198"/>
    </row>
    <row r="103" spans="1:33" s="12" customFormat="1" x14ac:dyDescent="0.25">
      <c r="A103" s="214" t="s">
        <v>2551</v>
      </c>
      <c r="B103" s="64">
        <v>5.05</v>
      </c>
      <c r="C103" s="64">
        <v>12.21</v>
      </c>
      <c r="D103" s="64">
        <v>17.260000000000002</v>
      </c>
      <c r="E103" s="64">
        <v>1.96</v>
      </c>
      <c r="F103" s="64">
        <v>4.4400000000000004</v>
      </c>
      <c r="G103" s="64">
        <v>41.59</v>
      </c>
      <c r="H103" s="64">
        <v>13.55</v>
      </c>
      <c r="I103" s="64">
        <v>1.52</v>
      </c>
      <c r="J103" s="64">
        <v>0.17</v>
      </c>
      <c r="K103" s="64">
        <v>187.88</v>
      </c>
      <c r="L103" s="64">
        <v>22.17</v>
      </c>
      <c r="M103" s="64">
        <v>98.84</v>
      </c>
      <c r="N103" s="64">
        <v>9.1</v>
      </c>
      <c r="O103" s="64">
        <v>0</v>
      </c>
      <c r="P103" s="64">
        <v>0.56000000000000005</v>
      </c>
      <c r="Q103" s="64">
        <v>12.7</v>
      </c>
      <c r="R103" s="198"/>
      <c r="S103" s="198"/>
      <c r="T103" s="198"/>
      <c r="U103" s="198"/>
    </row>
    <row r="104" spans="1:33" s="12" customFormat="1" x14ac:dyDescent="0.25">
      <c r="A104" s="214" t="s">
        <v>2552</v>
      </c>
      <c r="B104" s="64">
        <v>4.8099999999999996</v>
      </c>
      <c r="C104" s="64">
        <v>12.97</v>
      </c>
      <c r="D104" s="64">
        <v>17.78</v>
      </c>
      <c r="E104" s="64">
        <v>1.1200000000000001</v>
      </c>
      <c r="F104" s="64">
        <v>5.82</v>
      </c>
      <c r="G104" s="64">
        <v>41.59</v>
      </c>
      <c r="H104" s="64">
        <v>13.55</v>
      </c>
      <c r="I104" s="64">
        <v>1.49</v>
      </c>
      <c r="J104" s="64">
        <v>0.06</v>
      </c>
      <c r="K104" s="64">
        <v>192.96</v>
      </c>
      <c r="L104" s="64">
        <v>22.11</v>
      </c>
      <c r="M104" s="64">
        <v>98.85</v>
      </c>
      <c r="N104" s="64">
        <v>9.1</v>
      </c>
      <c r="O104" s="64">
        <v>0</v>
      </c>
      <c r="P104" s="64">
        <v>0.47</v>
      </c>
      <c r="Q104" s="64">
        <v>13.49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2.48</v>
      </c>
      <c r="C106" s="67">
        <f>MIN(C9:C104)</f>
        <v>6.99</v>
      </c>
      <c r="D106" s="67">
        <f t="shared" ref="D106:Q106" si="0">MIN(D9:D104)</f>
        <v>11.57</v>
      </c>
      <c r="E106" s="67">
        <f t="shared" si="0"/>
        <v>0</v>
      </c>
      <c r="F106" s="67">
        <f t="shared" si="0"/>
        <v>0.05</v>
      </c>
      <c r="G106" s="67">
        <f t="shared" si="0"/>
        <v>13.35</v>
      </c>
      <c r="H106" s="67">
        <f t="shared" si="0"/>
        <v>6.86</v>
      </c>
      <c r="I106" s="67">
        <f t="shared" si="0"/>
        <v>1.39</v>
      </c>
      <c r="J106" s="67">
        <f t="shared" si="0"/>
        <v>0.01</v>
      </c>
      <c r="K106" s="67">
        <f t="shared" si="0"/>
        <v>0.53</v>
      </c>
      <c r="L106" s="67">
        <f t="shared" si="0"/>
        <v>21.43</v>
      </c>
      <c r="M106" s="67">
        <f t="shared" si="0"/>
        <v>72.08</v>
      </c>
      <c r="N106" s="67">
        <f t="shared" si="0"/>
        <v>9</v>
      </c>
      <c r="O106" s="67">
        <f t="shared" si="0"/>
        <v>0</v>
      </c>
      <c r="P106" s="67">
        <f t="shared" si="0"/>
        <v>0.28000000000000003</v>
      </c>
      <c r="Q106" s="67">
        <f t="shared" si="0"/>
        <v>8.7100000000000009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16.059999999999999</v>
      </c>
      <c r="C107" s="66">
        <f t="shared" ref="C107:Q107" si="1">MAX(C9:C104)</f>
        <v>26.93</v>
      </c>
      <c r="D107" s="66">
        <f t="shared" si="1"/>
        <v>42.64</v>
      </c>
      <c r="E107" s="66">
        <f t="shared" si="1"/>
        <v>2.23</v>
      </c>
      <c r="F107" s="66">
        <f t="shared" si="1"/>
        <v>18.489999999999998</v>
      </c>
      <c r="G107" s="66">
        <f t="shared" si="1"/>
        <v>58.56</v>
      </c>
      <c r="H107" s="66">
        <f t="shared" si="1"/>
        <v>17.420000000000002</v>
      </c>
      <c r="I107" s="66">
        <f t="shared" si="1"/>
        <v>1.61</v>
      </c>
      <c r="J107" s="66">
        <f t="shared" si="1"/>
        <v>0.77</v>
      </c>
      <c r="K107" s="66">
        <f t="shared" si="1"/>
        <v>357.23</v>
      </c>
      <c r="L107" s="66">
        <f t="shared" si="1"/>
        <v>29.22</v>
      </c>
      <c r="M107" s="66">
        <f t="shared" si="1"/>
        <v>98.88</v>
      </c>
      <c r="N107" s="66">
        <f t="shared" si="1"/>
        <v>942.1</v>
      </c>
      <c r="O107" s="66">
        <f t="shared" si="1"/>
        <v>0</v>
      </c>
      <c r="P107" s="66">
        <f t="shared" si="1"/>
        <v>1.28</v>
      </c>
      <c r="Q107" s="66">
        <f t="shared" si="1"/>
        <v>14.62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5.6822916666666652</v>
      </c>
      <c r="C108" s="67">
        <f t="shared" ref="C108:Q108" si="2">AVERAGE(C9:C104)</f>
        <v>12.023020833333334</v>
      </c>
      <c r="D108" s="67">
        <f t="shared" si="2"/>
        <v>17.705416666666661</v>
      </c>
      <c r="E108" s="67">
        <f t="shared" si="2"/>
        <v>1.0707291666666663</v>
      </c>
      <c r="F108" s="67">
        <f t="shared" si="2"/>
        <v>2.4786458333333328</v>
      </c>
      <c r="G108" s="67">
        <f t="shared" si="2"/>
        <v>33.122083333333329</v>
      </c>
      <c r="H108" s="67">
        <f t="shared" si="2"/>
        <v>11.623333333333326</v>
      </c>
      <c r="I108" s="67">
        <f t="shared" si="2"/>
        <v>1.5046875000000002</v>
      </c>
      <c r="J108" s="67">
        <f t="shared" si="2"/>
        <v>0.14531249999999993</v>
      </c>
      <c r="K108" s="67">
        <f t="shared" si="2"/>
        <v>143.32989583333327</v>
      </c>
      <c r="L108" s="67">
        <f t="shared" si="2"/>
        <v>23.961770833333333</v>
      </c>
      <c r="M108" s="67">
        <f t="shared" si="2"/>
        <v>93.86749999999995</v>
      </c>
      <c r="N108" s="67">
        <f t="shared" si="2"/>
        <v>137.81666666666666</v>
      </c>
      <c r="O108" s="67">
        <f t="shared" si="2"/>
        <v>0</v>
      </c>
      <c r="P108" s="67">
        <f t="shared" si="2"/>
        <v>0.51968749999999986</v>
      </c>
      <c r="Q108" s="67">
        <f t="shared" si="2"/>
        <v>11.8890625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2.2408285493806352</v>
      </c>
      <c r="C109" s="67">
        <f t="shared" ref="C109:Q109" si="3">STDEV(C9:C104)</f>
        <v>4.3778990682966858</v>
      </c>
      <c r="D109" s="67">
        <f t="shared" si="3"/>
        <v>4.8372044812042665</v>
      </c>
      <c r="E109" s="67">
        <f t="shared" si="3"/>
        <v>0.5480208309365181</v>
      </c>
      <c r="F109" s="67">
        <f t="shared" si="3"/>
        <v>2.9134438366021551</v>
      </c>
      <c r="G109" s="67">
        <f t="shared" si="3"/>
        <v>15.489991330001102</v>
      </c>
      <c r="H109" s="67">
        <f t="shared" si="3"/>
        <v>3.1527266951061965</v>
      </c>
      <c r="I109" s="67">
        <f t="shared" si="3"/>
        <v>4.6947969520579537E-2</v>
      </c>
      <c r="J109" s="67">
        <f t="shared" si="3"/>
        <v>0.11859664613168545</v>
      </c>
      <c r="K109" s="67">
        <f t="shared" si="3"/>
        <v>121.33706980313193</v>
      </c>
      <c r="L109" s="67">
        <f t="shared" si="3"/>
        <v>2.2000277485291511</v>
      </c>
      <c r="M109" s="67">
        <f t="shared" si="3"/>
        <v>7.8168850977597799</v>
      </c>
      <c r="N109" s="67">
        <f t="shared" si="3"/>
        <v>251.76035960148019</v>
      </c>
      <c r="O109" s="67">
        <f t="shared" si="3"/>
        <v>0</v>
      </c>
      <c r="P109" s="67">
        <f t="shared" si="3"/>
        <v>0.16858827533060364</v>
      </c>
      <c r="Q109" s="67">
        <f t="shared" si="3"/>
        <v>1.5473801819952462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2553</v>
      </c>
      <c r="B9" s="64">
        <v>5.98</v>
      </c>
      <c r="C9" s="64">
        <v>10.83</v>
      </c>
      <c r="D9" s="64">
        <v>16.8</v>
      </c>
      <c r="E9" s="64">
        <v>1.65</v>
      </c>
      <c r="F9" s="64">
        <v>3.65</v>
      </c>
      <c r="G9" s="64">
        <v>41.59</v>
      </c>
      <c r="H9" s="64">
        <v>13.55</v>
      </c>
      <c r="I9" s="64">
        <v>1.52</v>
      </c>
      <c r="J9" s="64">
        <v>0.01</v>
      </c>
      <c r="K9" s="64">
        <v>229.58</v>
      </c>
      <c r="L9" s="64">
        <v>22.02</v>
      </c>
      <c r="M9" s="64">
        <v>98.85</v>
      </c>
      <c r="N9" s="64">
        <v>9.1</v>
      </c>
      <c r="O9" s="64">
        <v>0</v>
      </c>
      <c r="P9" s="64">
        <v>0.56000000000000005</v>
      </c>
      <c r="Q9" s="64">
        <v>13.64</v>
      </c>
      <c r="R9" s="198"/>
      <c r="S9" s="198"/>
      <c r="T9" s="198"/>
      <c r="U9" s="198"/>
    </row>
    <row r="10" spans="1:21" s="12" customFormat="1" x14ac:dyDescent="0.25">
      <c r="A10" s="214" t="s">
        <v>2554</v>
      </c>
      <c r="B10" s="64">
        <v>6.69</v>
      </c>
      <c r="C10" s="64">
        <v>11.65</v>
      </c>
      <c r="D10" s="64">
        <v>18.34</v>
      </c>
      <c r="E10" s="64">
        <v>1.62</v>
      </c>
      <c r="F10" s="64">
        <v>3.55</v>
      </c>
      <c r="G10" s="64">
        <v>36.049999999999997</v>
      </c>
      <c r="H10" s="64">
        <v>11.92</v>
      </c>
      <c r="I10" s="64">
        <v>1.49</v>
      </c>
      <c r="J10" s="64">
        <v>0.05</v>
      </c>
      <c r="K10" s="64">
        <v>174.76</v>
      </c>
      <c r="L10" s="64">
        <v>21.93</v>
      </c>
      <c r="M10" s="64">
        <v>98.85</v>
      </c>
      <c r="N10" s="64">
        <v>9.1</v>
      </c>
      <c r="O10" s="64">
        <v>0</v>
      </c>
      <c r="P10" s="64">
        <v>0.56000000000000005</v>
      </c>
      <c r="Q10" s="64">
        <v>13.66</v>
      </c>
      <c r="R10" s="198"/>
      <c r="S10" s="198"/>
      <c r="T10" s="198"/>
      <c r="U10" s="198"/>
    </row>
    <row r="11" spans="1:21" s="12" customFormat="1" x14ac:dyDescent="0.25">
      <c r="A11" s="214" t="s">
        <v>2555</v>
      </c>
      <c r="B11" s="64">
        <v>6.63</v>
      </c>
      <c r="C11" s="64">
        <v>8.51</v>
      </c>
      <c r="D11" s="64">
        <v>15.14</v>
      </c>
      <c r="E11" s="64">
        <v>1.52</v>
      </c>
      <c r="F11" s="64">
        <v>0.83</v>
      </c>
      <c r="G11" s="64">
        <v>35.11</v>
      </c>
      <c r="H11" s="64">
        <v>11.92</v>
      </c>
      <c r="I11" s="64">
        <v>1.54</v>
      </c>
      <c r="J11" s="64">
        <v>0.02</v>
      </c>
      <c r="K11" s="64">
        <v>324.02999999999997</v>
      </c>
      <c r="L11" s="64">
        <v>21.86</v>
      </c>
      <c r="M11" s="64">
        <v>98.87</v>
      </c>
      <c r="N11" s="64">
        <v>9.1</v>
      </c>
      <c r="O11" s="64">
        <v>0</v>
      </c>
      <c r="P11" s="64">
        <v>0.64</v>
      </c>
      <c r="Q11" s="64">
        <v>13.51</v>
      </c>
      <c r="R11" s="198"/>
      <c r="S11" s="198"/>
      <c r="T11" s="198"/>
      <c r="U11" s="198"/>
    </row>
    <row r="12" spans="1:21" s="12" customFormat="1" x14ac:dyDescent="0.25">
      <c r="A12" s="214" t="s">
        <v>2556</v>
      </c>
      <c r="B12" s="64">
        <v>6.74</v>
      </c>
      <c r="C12" s="64">
        <v>8.3699999999999992</v>
      </c>
      <c r="D12" s="64">
        <v>15.1</v>
      </c>
      <c r="E12" s="64">
        <v>2.11</v>
      </c>
      <c r="F12" s="64">
        <v>0.42</v>
      </c>
      <c r="G12" s="64">
        <v>35.11</v>
      </c>
      <c r="H12" s="64">
        <v>11.92</v>
      </c>
      <c r="I12" s="64">
        <v>1.44</v>
      </c>
      <c r="J12" s="64">
        <v>0</v>
      </c>
      <c r="K12" s="64">
        <v>125</v>
      </c>
      <c r="L12" s="64">
        <v>21.87</v>
      </c>
      <c r="M12" s="64">
        <v>98.83</v>
      </c>
      <c r="N12" s="64">
        <v>8.9</v>
      </c>
      <c r="O12" s="64">
        <v>0</v>
      </c>
      <c r="P12" s="64">
        <v>0.6</v>
      </c>
      <c r="Q12" s="64">
        <v>13.62</v>
      </c>
      <c r="R12" s="198"/>
      <c r="S12" s="198"/>
      <c r="T12" s="198"/>
      <c r="U12" s="198"/>
    </row>
    <row r="13" spans="1:21" s="12" customFormat="1" x14ac:dyDescent="0.25">
      <c r="A13" s="214" t="s">
        <v>2557</v>
      </c>
      <c r="B13" s="64">
        <v>6.48</v>
      </c>
      <c r="C13" s="64">
        <v>7.89</v>
      </c>
      <c r="D13" s="64">
        <v>14.37</v>
      </c>
      <c r="E13" s="64">
        <v>1.79</v>
      </c>
      <c r="F13" s="64">
        <v>0.91</v>
      </c>
      <c r="G13" s="64">
        <v>35.11</v>
      </c>
      <c r="H13" s="64">
        <v>11.92</v>
      </c>
      <c r="I13" s="64">
        <v>1.51</v>
      </c>
      <c r="J13" s="64">
        <v>0.04</v>
      </c>
      <c r="K13" s="64">
        <v>186.83</v>
      </c>
      <c r="L13" s="64">
        <v>21.85</v>
      </c>
      <c r="M13" s="64">
        <v>98.84</v>
      </c>
      <c r="N13" s="64">
        <v>8.9</v>
      </c>
      <c r="O13" s="64">
        <v>0</v>
      </c>
      <c r="P13" s="64">
        <v>0.59</v>
      </c>
      <c r="Q13" s="64">
        <v>13.14</v>
      </c>
      <c r="R13" s="198"/>
      <c r="S13" s="198"/>
      <c r="T13" s="198"/>
      <c r="U13" s="198"/>
    </row>
    <row r="14" spans="1:21" s="12" customFormat="1" x14ac:dyDescent="0.25">
      <c r="A14" s="214" t="s">
        <v>2558</v>
      </c>
      <c r="B14" s="64">
        <v>5.82</v>
      </c>
      <c r="C14" s="64">
        <v>8.3699999999999992</v>
      </c>
      <c r="D14" s="64">
        <v>14.19</v>
      </c>
      <c r="E14" s="64">
        <v>1.58</v>
      </c>
      <c r="F14" s="64">
        <v>1.64</v>
      </c>
      <c r="G14" s="64">
        <v>25.58</v>
      </c>
      <c r="H14" s="64">
        <v>9.94</v>
      </c>
      <c r="I14" s="64">
        <v>1.48</v>
      </c>
      <c r="J14" s="64">
        <v>0.14000000000000001</v>
      </c>
      <c r="K14" s="64">
        <v>142.71</v>
      </c>
      <c r="L14" s="64">
        <v>21.75</v>
      </c>
      <c r="M14" s="64">
        <v>98.86</v>
      </c>
      <c r="N14" s="64">
        <v>9.1</v>
      </c>
      <c r="O14" s="64">
        <v>0</v>
      </c>
      <c r="P14" s="64">
        <v>0.53</v>
      </c>
      <c r="Q14" s="64">
        <v>13.25</v>
      </c>
      <c r="R14" s="198"/>
      <c r="S14" s="198"/>
      <c r="T14" s="198"/>
      <c r="U14" s="198"/>
    </row>
    <row r="15" spans="1:21" s="12" customFormat="1" x14ac:dyDescent="0.25">
      <c r="A15" s="214" t="s">
        <v>2559</v>
      </c>
      <c r="B15" s="64">
        <v>5.86</v>
      </c>
      <c r="C15" s="64">
        <v>7.87</v>
      </c>
      <c r="D15" s="64">
        <v>13.73</v>
      </c>
      <c r="E15" s="64">
        <v>1.5</v>
      </c>
      <c r="F15" s="64">
        <v>1.01</v>
      </c>
      <c r="G15" s="64">
        <v>23.97</v>
      </c>
      <c r="H15" s="64">
        <v>9.94</v>
      </c>
      <c r="I15" s="64">
        <v>1.52</v>
      </c>
      <c r="J15" s="64">
        <v>0.08</v>
      </c>
      <c r="K15" s="64">
        <v>143.38</v>
      </c>
      <c r="L15" s="64">
        <v>21.66</v>
      </c>
      <c r="M15" s="64">
        <v>98.88</v>
      </c>
      <c r="N15" s="64">
        <v>9.1</v>
      </c>
      <c r="O15" s="64">
        <v>0</v>
      </c>
      <c r="P15" s="64">
        <v>0.56000000000000005</v>
      </c>
      <c r="Q15" s="64">
        <v>12.89</v>
      </c>
      <c r="R15" s="198"/>
      <c r="S15" s="198"/>
      <c r="T15" s="198"/>
      <c r="U15" s="198"/>
    </row>
    <row r="16" spans="1:21" s="12" customFormat="1" x14ac:dyDescent="0.25">
      <c r="A16" s="214" t="s">
        <v>2560</v>
      </c>
      <c r="B16" s="64">
        <v>5.65</v>
      </c>
      <c r="C16" s="64">
        <v>7.77</v>
      </c>
      <c r="D16" s="64">
        <v>13.43</v>
      </c>
      <c r="E16" s="64">
        <v>1.57</v>
      </c>
      <c r="F16" s="64">
        <v>0.9</v>
      </c>
      <c r="G16" s="64">
        <v>23.97</v>
      </c>
      <c r="H16" s="64">
        <v>9.94</v>
      </c>
      <c r="I16" s="64">
        <v>1.44</v>
      </c>
      <c r="J16" s="64">
        <v>0.13</v>
      </c>
      <c r="K16" s="64">
        <v>207.28</v>
      </c>
      <c r="L16" s="64">
        <v>21.62</v>
      </c>
      <c r="M16" s="64">
        <v>98.88</v>
      </c>
      <c r="N16" s="64">
        <v>9.1</v>
      </c>
      <c r="O16" s="64">
        <v>0</v>
      </c>
      <c r="P16" s="64">
        <v>0.52</v>
      </c>
      <c r="Q16" s="64">
        <v>12.66</v>
      </c>
      <c r="R16" s="198"/>
      <c r="S16" s="198"/>
      <c r="T16" s="198"/>
      <c r="U16" s="198"/>
    </row>
    <row r="17" spans="1:21" s="12" customFormat="1" x14ac:dyDescent="0.25">
      <c r="A17" s="214" t="s">
        <v>2561</v>
      </c>
      <c r="B17" s="64">
        <v>5.42</v>
      </c>
      <c r="C17" s="64">
        <v>7.52</v>
      </c>
      <c r="D17" s="64">
        <v>12.94</v>
      </c>
      <c r="E17" s="64">
        <v>1.08</v>
      </c>
      <c r="F17" s="64">
        <v>1.63</v>
      </c>
      <c r="G17" s="64">
        <v>23.97</v>
      </c>
      <c r="H17" s="64">
        <v>9.94</v>
      </c>
      <c r="I17" s="64">
        <v>1.56</v>
      </c>
      <c r="J17" s="64">
        <v>0.04</v>
      </c>
      <c r="K17" s="64">
        <v>62.69</v>
      </c>
      <c r="L17" s="64">
        <v>21.54</v>
      </c>
      <c r="M17" s="64">
        <v>98.88</v>
      </c>
      <c r="N17" s="64">
        <v>9.1</v>
      </c>
      <c r="O17" s="64">
        <v>0</v>
      </c>
      <c r="P17" s="64">
        <v>0.5</v>
      </c>
      <c r="Q17" s="64">
        <v>12.53</v>
      </c>
      <c r="R17" s="198"/>
      <c r="S17" s="198"/>
      <c r="T17" s="198"/>
      <c r="U17" s="198"/>
    </row>
    <row r="18" spans="1:21" s="12" customFormat="1" x14ac:dyDescent="0.25">
      <c r="A18" s="214" t="s">
        <v>2562</v>
      </c>
      <c r="B18" s="64">
        <v>4.12</v>
      </c>
      <c r="C18" s="64">
        <v>8.84</v>
      </c>
      <c r="D18" s="64">
        <v>12.96</v>
      </c>
      <c r="E18" s="64">
        <v>1.49</v>
      </c>
      <c r="F18" s="64">
        <v>6.02</v>
      </c>
      <c r="G18" s="64">
        <v>27.83</v>
      </c>
      <c r="H18" s="64">
        <v>10.01</v>
      </c>
      <c r="I18" s="64">
        <v>1.52</v>
      </c>
      <c r="J18" s="64">
        <v>0.05</v>
      </c>
      <c r="K18" s="64">
        <v>135.28</v>
      </c>
      <c r="L18" s="64">
        <v>21.42</v>
      </c>
      <c r="M18" s="64">
        <v>98.88</v>
      </c>
      <c r="N18" s="64">
        <v>9.1999999999999993</v>
      </c>
      <c r="O18" s="64">
        <v>0</v>
      </c>
      <c r="P18" s="64">
        <v>0.34</v>
      </c>
      <c r="Q18" s="64">
        <v>13.69</v>
      </c>
      <c r="R18" s="198"/>
      <c r="S18" s="198"/>
      <c r="T18" s="198"/>
      <c r="U18" s="198"/>
    </row>
    <row r="19" spans="1:21" s="12" customFormat="1" x14ac:dyDescent="0.25">
      <c r="A19" s="214" t="s">
        <v>2563</v>
      </c>
      <c r="B19" s="64">
        <v>4.51</v>
      </c>
      <c r="C19" s="64">
        <v>8.34</v>
      </c>
      <c r="D19" s="64">
        <v>12.85</v>
      </c>
      <c r="E19" s="64">
        <v>1.56</v>
      </c>
      <c r="F19" s="64">
        <v>3.86</v>
      </c>
      <c r="G19" s="64">
        <v>28.48</v>
      </c>
      <c r="H19" s="64">
        <v>10.01</v>
      </c>
      <c r="I19" s="64">
        <v>1.55</v>
      </c>
      <c r="J19" s="64">
        <v>0.16</v>
      </c>
      <c r="K19" s="64">
        <v>175.96</v>
      </c>
      <c r="L19" s="64">
        <v>21.38</v>
      </c>
      <c r="M19" s="64">
        <v>98.88</v>
      </c>
      <c r="N19" s="64">
        <v>9.1</v>
      </c>
      <c r="O19" s="64">
        <v>0</v>
      </c>
      <c r="P19" s="64">
        <v>0.41</v>
      </c>
      <c r="Q19" s="64">
        <v>14</v>
      </c>
      <c r="R19" s="198"/>
      <c r="S19" s="198"/>
      <c r="T19" s="198"/>
      <c r="U19" s="198"/>
    </row>
    <row r="20" spans="1:21" s="12" customFormat="1" x14ac:dyDescent="0.25">
      <c r="A20" s="214" t="s">
        <v>2564</v>
      </c>
      <c r="B20" s="64">
        <v>4.46</v>
      </c>
      <c r="C20" s="64">
        <v>8.27</v>
      </c>
      <c r="D20" s="64">
        <v>12.73</v>
      </c>
      <c r="E20" s="64">
        <v>2.16</v>
      </c>
      <c r="F20" s="64">
        <v>4.0999999999999996</v>
      </c>
      <c r="G20" s="64">
        <v>28.48</v>
      </c>
      <c r="H20" s="64">
        <v>10.01</v>
      </c>
      <c r="I20" s="64">
        <v>1.51</v>
      </c>
      <c r="J20" s="64">
        <v>0.26</v>
      </c>
      <c r="K20" s="64">
        <v>146.66</v>
      </c>
      <c r="L20" s="64">
        <v>21.36</v>
      </c>
      <c r="M20" s="64">
        <v>98.88</v>
      </c>
      <c r="N20" s="64">
        <v>9.1</v>
      </c>
      <c r="O20" s="64">
        <v>0</v>
      </c>
      <c r="P20" s="64">
        <v>0.43</v>
      </c>
      <c r="Q20" s="64">
        <v>14.19</v>
      </c>
      <c r="R20" s="198"/>
      <c r="S20" s="198"/>
      <c r="T20" s="198"/>
      <c r="U20" s="198"/>
    </row>
    <row r="21" spans="1:21" s="12" customFormat="1" x14ac:dyDescent="0.25">
      <c r="A21" s="214" t="s">
        <v>2565</v>
      </c>
      <c r="B21" s="64">
        <v>4.54</v>
      </c>
      <c r="C21" s="64">
        <v>7.8</v>
      </c>
      <c r="D21" s="64">
        <v>12.34</v>
      </c>
      <c r="E21" s="64">
        <v>2.37</v>
      </c>
      <c r="F21" s="64">
        <v>5.05</v>
      </c>
      <c r="G21" s="64">
        <v>28.48</v>
      </c>
      <c r="H21" s="64">
        <v>10.01</v>
      </c>
      <c r="I21" s="64">
        <v>1.53</v>
      </c>
      <c r="J21" s="64">
        <v>0.19</v>
      </c>
      <c r="K21" s="64">
        <v>146.19999999999999</v>
      </c>
      <c r="L21" s="64">
        <v>21.32</v>
      </c>
      <c r="M21" s="64">
        <v>98.88</v>
      </c>
      <c r="N21" s="64">
        <v>9</v>
      </c>
      <c r="O21" s="64">
        <v>0</v>
      </c>
      <c r="P21" s="64">
        <v>0.38</v>
      </c>
      <c r="Q21" s="64">
        <v>14.74</v>
      </c>
      <c r="R21" s="198"/>
      <c r="S21" s="198"/>
      <c r="T21" s="198"/>
      <c r="U21" s="198"/>
    </row>
    <row r="22" spans="1:21" s="12" customFormat="1" x14ac:dyDescent="0.25">
      <c r="A22" s="214" t="s">
        <v>2566</v>
      </c>
      <c r="B22" s="64">
        <v>5.16</v>
      </c>
      <c r="C22" s="64">
        <v>7.2</v>
      </c>
      <c r="D22" s="64">
        <v>12.36</v>
      </c>
      <c r="E22" s="64">
        <v>2.2400000000000002</v>
      </c>
      <c r="F22" s="64">
        <v>2.21</v>
      </c>
      <c r="G22" s="64">
        <v>22.51</v>
      </c>
      <c r="H22" s="64">
        <v>7.36</v>
      </c>
      <c r="I22" s="64">
        <v>1.44</v>
      </c>
      <c r="J22" s="64">
        <v>0.04</v>
      </c>
      <c r="K22" s="64">
        <v>190.06</v>
      </c>
      <c r="L22" s="64">
        <v>21.33</v>
      </c>
      <c r="M22" s="64">
        <v>98.88</v>
      </c>
      <c r="N22" s="64">
        <v>9.1</v>
      </c>
      <c r="O22" s="64">
        <v>0</v>
      </c>
      <c r="P22" s="64">
        <v>0.45</v>
      </c>
      <c r="Q22" s="64">
        <v>14.47</v>
      </c>
      <c r="R22" s="198"/>
      <c r="S22" s="198"/>
      <c r="T22" s="198"/>
      <c r="U22" s="198"/>
    </row>
    <row r="23" spans="1:21" s="12" customFormat="1" x14ac:dyDescent="0.25">
      <c r="A23" s="214" t="s">
        <v>2567</v>
      </c>
      <c r="B23" s="64">
        <v>5.59</v>
      </c>
      <c r="C23" s="64">
        <v>7.64</v>
      </c>
      <c r="D23" s="64">
        <v>13.23</v>
      </c>
      <c r="E23" s="64">
        <v>1.65</v>
      </c>
      <c r="F23" s="64">
        <v>0.5</v>
      </c>
      <c r="G23" s="64">
        <v>21.5</v>
      </c>
      <c r="H23" s="64">
        <v>7.36</v>
      </c>
      <c r="I23" s="64">
        <v>1.51</v>
      </c>
      <c r="J23" s="64">
        <v>0.14000000000000001</v>
      </c>
      <c r="K23" s="64">
        <v>131.72999999999999</v>
      </c>
      <c r="L23" s="64">
        <v>21.28</v>
      </c>
      <c r="M23" s="64">
        <v>98.88</v>
      </c>
      <c r="N23" s="64">
        <v>9.1</v>
      </c>
      <c r="O23" s="64">
        <v>0</v>
      </c>
      <c r="P23" s="64">
        <v>0.45</v>
      </c>
      <c r="Q23" s="64">
        <v>14.66</v>
      </c>
      <c r="R23" s="198"/>
      <c r="S23" s="198"/>
      <c r="T23" s="198"/>
      <c r="U23" s="198"/>
    </row>
    <row r="24" spans="1:21" s="12" customFormat="1" x14ac:dyDescent="0.25">
      <c r="A24" s="214" t="s">
        <v>2568</v>
      </c>
      <c r="B24" s="64">
        <v>5.51</v>
      </c>
      <c r="C24" s="64">
        <v>7.22</v>
      </c>
      <c r="D24" s="64">
        <v>12.73</v>
      </c>
      <c r="E24" s="64">
        <v>1.05</v>
      </c>
      <c r="F24" s="64">
        <v>1.44</v>
      </c>
      <c r="G24" s="64">
        <v>21.5</v>
      </c>
      <c r="H24" s="64">
        <v>7.36</v>
      </c>
      <c r="I24" s="64">
        <v>1.5</v>
      </c>
      <c r="J24" s="64">
        <v>0.06</v>
      </c>
      <c r="K24" s="64">
        <v>199.82</v>
      </c>
      <c r="L24" s="64">
        <v>21.27</v>
      </c>
      <c r="M24" s="64">
        <v>98.88</v>
      </c>
      <c r="N24" s="64">
        <v>9.1</v>
      </c>
      <c r="O24" s="64">
        <v>0</v>
      </c>
      <c r="P24" s="64">
        <v>0.44</v>
      </c>
      <c r="Q24" s="64">
        <v>14.02</v>
      </c>
      <c r="R24" s="198"/>
      <c r="S24" s="198"/>
      <c r="T24" s="198"/>
      <c r="U24" s="198"/>
    </row>
    <row r="25" spans="1:21" s="12" customFormat="1" x14ac:dyDescent="0.25">
      <c r="A25" s="214" t="s">
        <v>2569</v>
      </c>
      <c r="B25" s="64">
        <v>5.42</v>
      </c>
      <c r="C25" s="64">
        <v>7.34</v>
      </c>
      <c r="D25" s="64">
        <v>12.76</v>
      </c>
      <c r="E25" s="64">
        <v>1.85</v>
      </c>
      <c r="F25" s="64">
        <v>0.69</v>
      </c>
      <c r="G25" s="64">
        <v>21.5</v>
      </c>
      <c r="H25" s="64">
        <v>7.36</v>
      </c>
      <c r="I25" s="64">
        <v>1.48</v>
      </c>
      <c r="J25" s="64">
        <v>0.04</v>
      </c>
      <c r="K25" s="64">
        <v>176.28</v>
      </c>
      <c r="L25" s="64">
        <v>21.16</v>
      </c>
      <c r="M25" s="64">
        <v>98.88</v>
      </c>
      <c r="N25" s="64">
        <v>9.1</v>
      </c>
      <c r="O25" s="64">
        <v>0</v>
      </c>
      <c r="P25" s="64">
        <v>0.43</v>
      </c>
      <c r="Q25" s="64">
        <v>14.19</v>
      </c>
      <c r="R25" s="198"/>
      <c r="S25" s="198"/>
      <c r="T25" s="198"/>
      <c r="U25" s="198"/>
    </row>
    <row r="26" spans="1:21" s="12" customFormat="1" x14ac:dyDescent="0.25">
      <c r="A26" s="214" t="s">
        <v>2570</v>
      </c>
      <c r="B26" s="64">
        <v>5.27</v>
      </c>
      <c r="C26" s="64">
        <v>7.29</v>
      </c>
      <c r="D26" s="64">
        <v>12.55</v>
      </c>
      <c r="E26" s="64">
        <v>1.65</v>
      </c>
      <c r="F26" s="64">
        <v>0.78</v>
      </c>
      <c r="G26" s="64">
        <v>20.81</v>
      </c>
      <c r="H26" s="64">
        <v>7.21</v>
      </c>
      <c r="I26" s="64">
        <v>1.46</v>
      </c>
      <c r="J26" s="64">
        <v>0.09</v>
      </c>
      <c r="K26" s="64">
        <v>211.55</v>
      </c>
      <c r="L26" s="64">
        <v>21.08</v>
      </c>
      <c r="M26" s="64">
        <v>98.88</v>
      </c>
      <c r="N26" s="64">
        <v>9.1</v>
      </c>
      <c r="O26" s="64">
        <v>0</v>
      </c>
      <c r="P26" s="64">
        <v>0.43</v>
      </c>
      <c r="Q26" s="64">
        <v>13.84</v>
      </c>
      <c r="R26" s="198"/>
      <c r="S26" s="198"/>
      <c r="T26" s="198"/>
      <c r="U26" s="198"/>
    </row>
    <row r="27" spans="1:21" s="12" customFormat="1" x14ac:dyDescent="0.25">
      <c r="A27" s="214" t="s">
        <v>2571</v>
      </c>
      <c r="B27" s="64">
        <v>5.28</v>
      </c>
      <c r="C27" s="64">
        <v>7.63</v>
      </c>
      <c r="D27" s="64">
        <v>12.92</v>
      </c>
      <c r="E27" s="64">
        <v>1.72</v>
      </c>
      <c r="F27" s="64">
        <v>0.28999999999999998</v>
      </c>
      <c r="G27" s="64">
        <v>20.69</v>
      </c>
      <c r="H27" s="64">
        <v>7.21</v>
      </c>
      <c r="I27" s="64">
        <v>1.52</v>
      </c>
      <c r="J27" s="64">
        <v>0.02</v>
      </c>
      <c r="K27" s="64">
        <v>201.4</v>
      </c>
      <c r="L27" s="64">
        <v>20.99</v>
      </c>
      <c r="M27" s="64">
        <v>98.88</v>
      </c>
      <c r="N27" s="64">
        <v>9.1</v>
      </c>
      <c r="O27" s="64">
        <v>0</v>
      </c>
      <c r="P27" s="64">
        <v>0.41</v>
      </c>
      <c r="Q27" s="64">
        <v>13.99</v>
      </c>
      <c r="R27" s="198"/>
      <c r="S27" s="198"/>
      <c r="T27" s="198"/>
      <c r="U27" s="198"/>
    </row>
    <row r="28" spans="1:21" s="12" customFormat="1" x14ac:dyDescent="0.25">
      <c r="A28" s="214" t="s">
        <v>2572</v>
      </c>
      <c r="B28" s="64">
        <v>5.26</v>
      </c>
      <c r="C28" s="64">
        <v>7.24</v>
      </c>
      <c r="D28" s="64">
        <v>12.5</v>
      </c>
      <c r="E28" s="64">
        <v>1.81</v>
      </c>
      <c r="F28" s="64">
        <v>0.91</v>
      </c>
      <c r="G28" s="64">
        <v>20.69</v>
      </c>
      <c r="H28" s="64">
        <v>7.21</v>
      </c>
      <c r="I28" s="64">
        <v>1.54</v>
      </c>
      <c r="J28" s="64">
        <v>7.0000000000000007E-2</v>
      </c>
      <c r="K28" s="64">
        <v>196.11</v>
      </c>
      <c r="L28" s="64">
        <v>21</v>
      </c>
      <c r="M28" s="64">
        <v>98.88</v>
      </c>
      <c r="N28" s="64">
        <v>9</v>
      </c>
      <c r="O28" s="64">
        <v>0</v>
      </c>
      <c r="P28" s="64">
        <v>0.4</v>
      </c>
      <c r="Q28" s="64">
        <v>13.3</v>
      </c>
      <c r="R28" s="198"/>
      <c r="S28" s="198"/>
      <c r="T28" s="198"/>
      <c r="U28" s="198"/>
    </row>
    <row r="29" spans="1:21" s="12" customFormat="1" x14ac:dyDescent="0.25">
      <c r="A29" s="214" t="s">
        <v>2573</v>
      </c>
      <c r="B29" s="64">
        <v>6.29</v>
      </c>
      <c r="C29" s="64">
        <v>10.92</v>
      </c>
      <c r="D29" s="64">
        <v>17.22</v>
      </c>
      <c r="E29" s="64">
        <v>1.45</v>
      </c>
      <c r="F29" s="64">
        <v>0.48</v>
      </c>
      <c r="G29" s="64">
        <v>20.69</v>
      </c>
      <c r="H29" s="64">
        <v>7.21</v>
      </c>
      <c r="I29" s="64">
        <v>1.5</v>
      </c>
      <c r="J29" s="64">
        <v>0.05</v>
      </c>
      <c r="K29" s="64">
        <v>314.07</v>
      </c>
      <c r="L29" s="64">
        <v>21.05</v>
      </c>
      <c r="M29" s="64">
        <v>98.88</v>
      </c>
      <c r="N29" s="64">
        <v>9.1</v>
      </c>
      <c r="O29" s="64">
        <v>0</v>
      </c>
      <c r="P29" s="64">
        <v>0.39</v>
      </c>
      <c r="Q29" s="64">
        <v>13.98</v>
      </c>
      <c r="R29" s="198"/>
      <c r="S29" s="198"/>
      <c r="T29" s="198"/>
      <c r="U29" s="198"/>
    </row>
    <row r="30" spans="1:21" s="12" customFormat="1" x14ac:dyDescent="0.25">
      <c r="A30" s="214" t="s">
        <v>2574</v>
      </c>
      <c r="B30" s="64">
        <v>6.42</v>
      </c>
      <c r="C30" s="64">
        <v>12</v>
      </c>
      <c r="D30" s="64">
        <v>18.420000000000002</v>
      </c>
      <c r="E30" s="64">
        <v>1.63</v>
      </c>
      <c r="F30" s="64">
        <v>2.85</v>
      </c>
      <c r="G30" s="64">
        <v>23.58</v>
      </c>
      <c r="H30" s="64">
        <v>6.7</v>
      </c>
      <c r="I30" s="64">
        <v>1.49</v>
      </c>
      <c r="J30" s="64">
        <v>0</v>
      </c>
      <c r="K30" s="64">
        <v>224.05</v>
      </c>
      <c r="L30" s="64">
        <v>21.05</v>
      </c>
      <c r="M30" s="64">
        <v>98.88</v>
      </c>
      <c r="N30" s="64">
        <v>9.1</v>
      </c>
      <c r="O30" s="64">
        <v>0</v>
      </c>
      <c r="P30" s="64">
        <v>0.35</v>
      </c>
      <c r="Q30" s="64">
        <v>14.11</v>
      </c>
      <c r="R30" s="198"/>
      <c r="S30" s="198"/>
      <c r="T30" s="198"/>
      <c r="U30" s="198"/>
    </row>
    <row r="31" spans="1:21" s="12" customFormat="1" x14ac:dyDescent="0.25">
      <c r="A31" s="214" t="s">
        <v>2575</v>
      </c>
      <c r="B31" s="64">
        <v>8.48</v>
      </c>
      <c r="C31" s="64">
        <v>14.22</v>
      </c>
      <c r="D31" s="64">
        <v>22.7</v>
      </c>
      <c r="E31" s="64">
        <v>2.09</v>
      </c>
      <c r="F31" s="64">
        <v>2</v>
      </c>
      <c r="G31" s="64">
        <v>24.07</v>
      </c>
      <c r="H31" s="64">
        <v>6.7</v>
      </c>
      <c r="I31" s="64">
        <v>1.44</v>
      </c>
      <c r="J31" s="64">
        <v>0.06</v>
      </c>
      <c r="K31" s="64">
        <v>277.17</v>
      </c>
      <c r="L31" s="64">
        <v>21</v>
      </c>
      <c r="M31" s="64">
        <v>98.88</v>
      </c>
      <c r="N31" s="64">
        <v>10.1</v>
      </c>
      <c r="O31" s="64">
        <v>0</v>
      </c>
      <c r="P31" s="64">
        <v>0.37</v>
      </c>
      <c r="Q31" s="64">
        <v>14.16</v>
      </c>
      <c r="R31" s="198"/>
      <c r="S31" s="198"/>
      <c r="T31" s="198"/>
      <c r="U31" s="198"/>
    </row>
    <row r="32" spans="1:21" s="12" customFormat="1" x14ac:dyDescent="0.25">
      <c r="A32" s="214" t="s">
        <v>2576</v>
      </c>
      <c r="B32" s="64">
        <v>6.51</v>
      </c>
      <c r="C32" s="64">
        <v>10.5</v>
      </c>
      <c r="D32" s="64">
        <v>17.010000000000002</v>
      </c>
      <c r="E32" s="64">
        <v>1.38</v>
      </c>
      <c r="F32" s="64">
        <v>1.0900000000000001</v>
      </c>
      <c r="G32" s="64">
        <v>24.07</v>
      </c>
      <c r="H32" s="64">
        <v>6.7</v>
      </c>
      <c r="I32" s="64">
        <v>1.39</v>
      </c>
      <c r="J32" s="64">
        <v>0.04</v>
      </c>
      <c r="K32" s="64">
        <v>32.64</v>
      </c>
      <c r="L32" s="64">
        <v>21.07</v>
      </c>
      <c r="M32" s="64">
        <v>98.88</v>
      </c>
      <c r="N32" s="64">
        <v>15</v>
      </c>
      <c r="O32" s="64">
        <v>0</v>
      </c>
      <c r="P32" s="64">
        <v>0.38</v>
      </c>
      <c r="Q32" s="64">
        <v>14.28</v>
      </c>
      <c r="R32" s="198"/>
      <c r="S32" s="198"/>
      <c r="T32" s="198"/>
      <c r="U32" s="198"/>
    </row>
    <row r="33" spans="1:21" s="12" customFormat="1" x14ac:dyDescent="0.25">
      <c r="A33" s="214" t="s">
        <v>2577</v>
      </c>
      <c r="B33" s="64">
        <v>5.96</v>
      </c>
      <c r="C33" s="64">
        <v>10</v>
      </c>
      <c r="D33" s="64">
        <v>15.96</v>
      </c>
      <c r="E33" s="64">
        <v>1.49</v>
      </c>
      <c r="F33" s="64">
        <v>1.92</v>
      </c>
      <c r="G33" s="64">
        <v>24.07</v>
      </c>
      <c r="H33" s="64">
        <v>6.7</v>
      </c>
      <c r="I33" s="64">
        <v>1.6</v>
      </c>
      <c r="J33" s="64">
        <v>0.04</v>
      </c>
      <c r="K33" s="64">
        <v>6.56</v>
      </c>
      <c r="L33" s="64">
        <v>21.15</v>
      </c>
      <c r="M33" s="64">
        <v>98.88</v>
      </c>
      <c r="N33" s="64">
        <v>29.8</v>
      </c>
      <c r="O33" s="64">
        <v>0</v>
      </c>
      <c r="P33" s="64">
        <v>0.37</v>
      </c>
      <c r="Q33" s="64">
        <v>14.39</v>
      </c>
      <c r="R33" s="198"/>
      <c r="S33" s="198"/>
      <c r="T33" s="198"/>
      <c r="U33" s="198"/>
    </row>
    <row r="34" spans="1:21" s="12" customFormat="1" x14ac:dyDescent="0.25">
      <c r="A34" s="214" t="s">
        <v>2578</v>
      </c>
      <c r="B34" s="64">
        <v>6.18</v>
      </c>
      <c r="C34" s="64">
        <v>8.25</v>
      </c>
      <c r="D34" s="64">
        <v>14.43</v>
      </c>
      <c r="E34" s="64">
        <v>1.73</v>
      </c>
      <c r="F34" s="64">
        <v>1.38</v>
      </c>
      <c r="G34" s="64">
        <v>21.66</v>
      </c>
      <c r="H34" s="64">
        <v>7.24</v>
      </c>
      <c r="I34" s="64">
        <v>1.52</v>
      </c>
      <c r="J34" s="64">
        <v>0.12</v>
      </c>
      <c r="K34" s="64">
        <v>178.91</v>
      </c>
      <c r="L34" s="64">
        <v>21.36</v>
      </c>
      <c r="M34" s="64">
        <v>98.87</v>
      </c>
      <c r="N34" s="64">
        <v>64.400000000000006</v>
      </c>
      <c r="O34" s="64">
        <v>0</v>
      </c>
      <c r="P34" s="64">
        <v>0.39</v>
      </c>
      <c r="Q34" s="64">
        <v>13.88</v>
      </c>
      <c r="R34" s="198"/>
      <c r="S34" s="198"/>
      <c r="T34" s="198"/>
      <c r="U34" s="198"/>
    </row>
    <row r="35" spans="1:21" s="12" customFormat="1" x14ac:dyDescent="0.25">
      <c r="A35" s="214" t="s">
        <v>2579</v>
      </c>
      <c r="B35" s="64">
        <v>6.33</v>
      </c>
      <c r="C35" s="64">
        <v>8.3800000000000008</v>
      </c>
      <c r="D35" s="64">
        <v>14.71</v>
      </c>
      <c r="E35" s="64">
        <v>2.25</v>
      </c>
      <c r="F35" s="64">
        <v>0.03</v>
      </c>
      <c r="G35" s="64">
        <v>21.25</v>
      </c>
      <c r="H35" s="64">
        <v>7.24</v>
      </c>
      <c r="I35" s="64">
        <v>1.5</v>
      </c>
      <c r="J35" s="64">
        <v>0</v>
      </c>
      <c r="K35" s="64">
        <v>162.93</v>
      </c>
      <c r="L35" s="64">
        <v>21.98</v>
      </c>
      <c r="M35" s="64">
        <v>98.83</v>
      </c>
      <c r="N35" s="64">
        <v>104.7</v>
      </c>
      <c r="O35" s="64">
        <v>0</v>
      </c>
      <c r="P35" s="64">
        <v>0.37</v>
      </c>
      <c r="Q35" s="64">
        <v>14.17</v>
      </c>
      <c r="R35" s="198"/>
      <c r="S35" s="198"/>
      <c r="T35" s="198"/>
      <c r="U35" s="198"/>
    </row>
    <row r="36" spans="1:21" s="12" customFormat="1" x14ac:dyDescent="0.25">
      <c r="A36" s="214" t="s">
        <v>2580</v>
      </c>
      <c r="B36" s="64">
        <v>6.46</v>
      </c>
      <c r="C36" s="64">
        <v>7.99</v>
      </c>
      <c r="D36" s="64">
        <v>14.45</v>
      </c>
      <c r="E36" s="64">
        <v>1.96</v>
      </c>
      <c r="F36" s="64">
        <v>0.73</v>
      </c>
      <c r="G36" s="64">
        <v>21.25</v>
      </c>
      <c r="H36" s="64">
        <v>7.24</v>
      </c>
      <c r="I36" s="64">
        <v>1.52</v>
      </c>
      <c r="J36" s="64">
        <v>0.16</v>
      </c>
      <c r="K36" s="64">
        <v>21.94</v>
      </c>
      <c r="L36" s="64">
        <v>22.42</v>
      </c>
      <c r="M36" s="64">
        <v>98.81</v>
      </c>
      <c r="N36" s="64">
        <v>131.6</v>
      </c>
      <c r="O36" s="64">
        <v>0</v>
      </c>
      <c r="P36" s="64">
        <v>0.38</v>
      </c>
      <c r="Q36" s="64">
        <v>13.54</v>
      </c>
      <c r="R36" s="198"/>
      <c r="S36" s="198"/>
      <c r="T36" s="198"/>
      <c r="U36" s="198"/>
    </row>
    <row r="37" spans="1:21" s="12" customFormat="1" x14ac:dyDescent="0.25">
      <c r="A37" s="214" t="s">
        <v>2581</v>
      </c>
      <c r="B37" s="64">
        <v>6.61</v>
      </c>
      <c r="C37" s="64">
        <v>8.69</v>
      </c>
      <c r="D37" s="64">
        <v>15.3</v>
      </c>
      <c r="E37" s="64">
        <v>2</v>
      </c>
      <c r="F37" s="64">
        <v>0.03</v>
      </c>
      <c r="G37" s="64">
        <v>21.25</v>
      </c>
      <c r="H37" s="64">
        <v>7.24</v>
      </c>
      <c r="I37" s="64">
        <v>1.51</v>
      </c>
      <c r="J37" s="64">
        <v>0.13</v>
      </c>
      <c r="K37" s="64">
        <v>25.85</v>
      </c>
      <c r="L37" s="64">
        <v>22.74</v>
      </c>
      <c r="M37" s="64">
        <v>98.8</v>
      </c>
      <c r="N37" s="64">
        <v>148.30000000000001</v>
      </c>
      <c r="O37" s="64">
        <v>0</v>
      </c>
      <c r="P37" s="64">
        <v>0.39</v>
      </c>
      <c r="Q37" s="64">
        <v>13.79</v>
      </c>
      <c r="R37" s="198"/>
      <c r="S37" s="198"/>
      <c r="T37" s="198"/>
      <c r="U37" s="198"/>
    </row>
    <row r="38" spans="1:21" s="12" customFormat="1" x14ac:dyDescent="0.25">
      <c r="A38" s="214" t="s">
        <v>2582</v>
      </c>
      <c r="B38" s="64">
        <v>6.88</v>
      </c>
      <c r="C38" s="64">
        <v>8.6999999999999993</v>
      </c>
      <c r="D38" s="64">
        <v>15.58</v>
      </c>
      <c r="E38" s="64">
        <v>1.78</v>
      </c>
      <c r="F38" s="64">
        <v>0.63</v>
      </c>
      <c r="G38" s="64">
        <v>30.55</v>
      </c>
      <c r="H38" s="64">
        <v>8.4</v>
      </c>
      <c r="I38" s="64">
        <v>1.46</v>
      </c>
      <c r="J38" s="64">
        <v>0.04</v>
      </c>
      <c r="K38" s="64">
        <v>346.62</v>
      </c>
      <c r="L38" s="64">
        <v>22.78</v>
      </c>
      <c r="M38" s="64">
        <v>98.8</v>
      </c>
      <c r="N38" s="64">
        <v>168</v>
      </c>
      <c r="O38" s="64">
        <v>0</v>
      </c>
      <c r="P38" s="64">
        <v>0.44</v>
      </c>
      <c r="Q38" s="64">
        <v>13.08</v>
      </c>
      <c r="R38" s="198"/>
      <c r="S38" s="198"/>
      <c r="T38" s="198"/>
      <c r="U38" s="198"/>
    </row>
    <row r="39" spans="1:21" s="12" customFormat="1" x14ac:dyDescent="0.25">
      <c r="A39" s="214" t="s">
        <v>2583</v>
      </c>
      <c r="B39" s="64">
        <v>7.03</v>
      </c>
      <c r="C39" s="64">
        <v>9.02</v>
      </c>
      <c r="D39" s="64">
        <v>16.05</v>
      </c>
      <c r="E39" s="64">
        <v>2</v>
      </c>
      <c r="F39" s="64">
        <v>0.09</v>
      </c>
      <c r="G39" s="64">
        <v>32.130000000000003</v>
      </c>
      <c r="H39" s="64">
        <v>8.4</v>
      </c>
      <c r="I39" s="64">
        <v>1.5</v>
      </c>
      <c r="J39" s="64">
        <v>0.16</v>
      </c>
      <c r="K39" s="64">
        <v>165.33</v>
      </c>
      <c r="L39" s="64">
        <v>22.88</v>
      </c>
      <c r="M39" s="64">
        <v>98.8</v>
      </c>
      <c r="N39" s="64">
        <v>193.3</v>
      </c>
      <c r="O39" s="64">
        <v>0</v>
      </c>
      <c r="P39" s="64">
        <v>0.44</v>
      </c>
      <c r="Q39" s="64">
        <v>13.33</v>
      </c>
      <c r="R39" s="198"/>
      <c r="S39" s="198"/>
      <c r="T39" s="198"/>
      <c r="U39" s="198"/>
    </row>
    <row r="40" spans="1:21" s="12" customFormat="1" x14ac:dyDescent="0.25">
      <c r="A40" s="214" t="s">
        <v>2584</v>
      </c>
      <c r="B40" s="64">
        <v>7.18</v>
      </c>
      <c r="C40" s="64">
        <v>8.7200000000000006</v>
      </c>
      <c r="D40" s="64">
        <v>15.9</v>
      </c>
      <c r="E40" s="64">
        <v>0.76</v>
      </c>
      <c r="F40" s="64">
        <v>0.92</v>
      </c>
      <c r="G40" s="64">
        <v>32.130000000000003</v>
      </c>
      <c r="H40" s="64">
        <v>8.4</v>
      </c>
      <c r="I40" s="64">
        <v>1.54</v>
      </c>
      <c r="J40" s="64">
        <v>0.19</v>
      </c>
      <c r="K40" s="64">
        <v>340.47</v>
      </c>
      <c r="L40" s="64">
        <v>23.9</v>
      </c>
      <c r="M40" s="64">
        <v>97.42</v>
      </c>
      <c r="N40" s="64">
        <v>239.1</v>
      </c>
      <c r="O40" s="64">
        <v>0</v>
      </c>
      <c r="P40" s="64">
        <v>0.46</v>
      </c>
      <c r="Q40" s="64">
        <v>12.73</v>
      </c>
      <c r="R40" s="198"/>
      <c r="S40" s="198"/>
      <c r="T40" s="198"/>
      <c r="U40" s="198"/>
    </row>
    <row r="41" spans="1:21" s="12" customFormat="1" x14ac:dyDescent="0.25">
      <c r="A41" s="214" t="s">
        <v>2585</v>
      </c>
      <c r="B41" s="64">
        <v>9.6199999999999992</v>
      </c>
      <c r="C41" s="64">
        <v>11.55</v>
      </c>
      <c r="D41" s="64">
        <v>21.17</v>
      </c>
      <c r="E41" s="64">
        <v>1.0900000000000001</v>
      </c>
      <c r="F41" s="64">
        <v>0.93</v>
      </c>
      <c r="G41" s="64">
        <v>32.130000000000003</v>
      </c>
      <c r="H41" s="64">
        <v>8.4</v>
      </c>
      <c r="I41" s="64">
        <v>1.48</v>
      </c>
      <c r="J41" s="64">
        <v>0.2</v>
      </c>
      <c r="K41" s="64">
        <v>355.32</v>
      </c>
      <c r="L41" s="64">
        <v>25.14</v>
      </c>
      <c r="M41" s="64">
        <v>91.98</v>
      </c>
      <c r="N41" s="64">
        <v>336.3</v>
      </c>
      <c r="O41" s="64">
        <v>0</v>
      </c>
      <c r="P41" s="64">
        <v>0.54</v>
      </c>
      <c r="Q41" s="64">
        <v>13.76</v>
      </c>
      <c r="R41" s="198"/>
      <c r="S41" s="198"/>
      <c r="T41" s="198"/>
      <c r="U41" s="198"/>
    </row>
    <row r="42" spans="1:21" s="12" customFormat="1" x14ac:dyDescent="0.25">
      <c r="A42" s="214" t="s">
        <v>2586</v>
      </c>
      <c r="B42" s="64">
        <v>9.48</v>
      </c>
      <c r="C42" s="64">
        <v>12.74</v>
      </c>
      <c r="D42" s="64">
        <v>22.22</v>
      </c>
      <c r="E42" s="64">
        <v>1.74</v>
      </c>
      <c r="F42" s="64">
        <v>1.5</v>
      </c>
      <c r="G42" s="64">
        <v>42.88</v>
      </c>
      <c r="H42" s="64">
        <v>10.49</v>
      </c>
      <c r="I42" s="64">
        <v>1.49</v>
      </c>
      <c r="J42" s="64">
        <v>0.28000000000000003</v>
      </c>
      <c r="K42" s="64">
        <v>348.51</v>
      </c>
      <c r="L42" s="64">
        <v>26.19</v>
      </c>
      <c r="M42" s="64">
        <v>86.92</v>
      </c>
      <c r="N42" s="64">
        <v>354.7</v>
      </c>
      <c r="O42" s="64">
        <v>0</v>
      </c>
      <c r="P42" s="64">
        <v>0.51</v>
      </c>
      <c r="Q42" s="64">
        <v>13.38</v>
      </c>
      <c r="R42" s="198"/>
      <c r="S42" s="198"/>
      <c r="T42" s="198"/>
      <c r="U42" s="198"/>
    </row>
    <row r="43" spans="1:21" s="12" customFormat="1" x14ac:dyDescent="0.25">
      <c r="A43" s="214" t="s">
        <v>2587</v>
      </c>
      <c r="B43" s="64">
        <v>9.9600000000000009</v>
      </c>
      <c r="C43" s="64">
        <v>12.64</v>
      </c>
      <c r="D43" s="64">
        <v>22.61</v>
      </c>
      <c r="E43" s="64">
        <v>1.18</v>
      </c>
      <c r="F43" s="64">
        <v>3.99</v>
      </c>
      <c r="G43" s="64">
        <v>44.7</v>
      </c>
      <c r="H43" s="64">
        <v>10.49</v>
      </c>
      <c r="I43" s="64">
        <v>1.52</v>
      </c>
      <c r="J43" s="64">
        <v>0.37</v>
      </c>
      <c r="K43" s="64">
        <v>347.15</v>
      </c>
      <c r="L43" s="64">
        <v>26.82</v>
      </c>
      <c r="M43" s="64">
        <v>84.32</v>
      </c>
      <c r="N43" s="64">
        <v>328</v>
      </c>
      <c r="O43" s="64">
        <v>0</v>
      </c>
      <c r="P43" s="64">
        <v>0.61</v>
      </c>
      <c r="Q43" s="64">
        <v>13.54</v>
      </c>
      <c r="R43" s="198"/>
      <c r="S43" s="198"/>
      <c r="T43" s="198"/>
      <c r="U43" s="198"/>
    </row>
    <row r="44" spans="1:21" s="12" customFormat="1" x14ac:dyDescent="0.25">
      <c r="A44" s="214" t="s">
        <v>2588</v>
      </c>
      <c r="B44" s="64">
        <v>11.27</v>
      </c>
      <c r="C44" s="64">
        <v>13.3</v>
      </c>
      <c r="D44" s="64">
        <v>24.57</v>
      </c>
      <c r="E44" s="64">
        <v>1.49</v>
      </c>
      <c r="F44" s="64">
        <v>2.83</v>
      </c>
      <c r="G44" s="64">
        <v>44.7</v>
      </c>
      <c r="H44" s="64">
        <v>10.49</v>
      </c>
      <c r="I44" s="64">
        <v>1.48</v>
      </c>
      <c r="J44" s="64">
        <v>0.56999999999999995</v>
      </c>
      <c r="K44" s="64">
        <v>337.14</v>
      </c>
      <c r="L44" s="64">
        <v>27.24</v>
      </c>
      <c r="M44" s="64">
        <v>82.39</v>
      </c>
      <c r="N44" s="64">
        <v>282.2</v>
      </c>
      <c r="O44" s="64">
        <v>0</v>
      </c>
      <c r="P44" s="64">
        <v>0.59</v>
      </c>
      <c r="Q44" s="64">
        <v>13.39</v>
      </c>
      <c r="R44" s="198"/>
      <c r="S44" s="198"/>
      <c r="T44" s="198"/>
      <c r="U44" s="198"/>
    </row>
    <row r="45" spans="1:21" s="12" customFormat="1" x14ac:dyDescent="0.25">
      <c r="A45" s="214" t="s">
        <v>2589</v>
      </c>
      <c r="B45" s="64">
        <v>13.03</v>
      </c>
      <c r="C45" s="64">
        <v>14.24</v>
      </c>
      <c r="D45" s="64">
        <v>27.27</v>
      </c>
      <c r="E45" s="64">
        <v>1.24</v>
      </c>
      <c r="F45" s="64">
        <v>2.67</v>
      </c>
      <c r="G45" s="64">
        <v>44.7</v>
      </c>
      <c r="H45" s="64">
        <v>10.49</v>
      </c>
      <c r="I45" s="64">
        <v>1.53</v>
      </c>
      <c r="J45" s="64">
        <v>0.36</v>
      </c>
      <c r="K45" s="64">
        <v>337.67</v>
      </c>
      <c r="L45" s="64">
        <v>27.45</v>
      </c>
      <c r="M45" s="64">
        <v>82.2</v>
      </c>
      <c r="N45" s="64">
        <v>330.8</v>
      </c>
      <c r="O45" s="64">
        <v>0</v>
      </c>
      <c r="P45" s="64">
        <v>0.6</v>
      </c>
      <c r="Q45" s="64">
        <v>13.58</v>
      </c>
      <c r="R45" s="198"/>
      <c r="S45" s="198"/>
      <c r="T45" s="198"/>
      <c r="U45" s="198"/>
    </row>
    <row r="46" spans="1:21" s="12" customFormat="1" x14ac:dyDescent="0.25">
      <c r="A46" s="214" t="s">
        <v>2590</v>
      </c>
      <c r="B46" s="64">
        <v>11.2</v>
      </c>
      <c r="C46" s="64">
        <v>10.85</v>
      </c>
      <c r="D46" s="64">
        <v>22.05</v>
      </c>
      <c r="E46" s="64">
        <v>1.1299999999999999</v>
      </c>
      <c r="F46" s="64">
        <v>1.05</v>
      </c>
      <c r="G46" s="64">
        <v>62.8</v>
      </c>
      <c r="H46" s="64">
        <v>13.17</v>
      </c>
      <c r="I46" s="64">
        <v>1.5</v>
      </c>
      <c r="J46" s="64">
        <v>0.43</v>
      </c>
      <c r="K46" s="64">
        <v>338.28</v>
      </c>
      <c r="L46" s="64">
        <v>27.53</v>
      </c>
      <c r="M46" s="64">
        <v>81.02</v>
      </c>
      <c r="N46" s="64">
        <v>272.3</v>
      </c>
      <c r="O46" s="64">
        <v>0</v>
      </c>
      <c r="P46" s="64">
        <v>0.59</v>
      </c>
      <c r="Q46" s="64">
        <v>13.29</v>
      </c>
      <c r="R46" s="198"/>
      <c r="S46" s="198"/>
      <c r="T46" s="198"/>
      <c r="U46" s="198"/>
    </row>
    <row r="47" spans="1:21" s="12" customFormat="1" x14ac:dyDescent="0.25">
      <c r="A47" s="214" t="s">
        <v>2591</v>
      </c>
      <c r="B47" s="64">
        <v>11.64</v>
      </c>
      <c r="C47" s="64">
        <v>10.95</v>
      </c>
      <c r="D47" s="64">
        <v>22.59</v>
      </c>
      <c r="E47" s="64">
        <v>1.43</v>
      </c>
      <c r="F47" s="64">
        <v>0.32</v>
      </c>
      <c r="G47" s="64">
        <v>65.849999999999994</v>
      </c>
      <c r="H47" s="64">
        <v>13.17</v>
      </c>
      <c r="I47" s="64">
        <v>1.52</v>
      </c>
      <c r="J47" s="64">
        <v>0.43</v>
      </c>
      <c r="K47" s="64">
        <v>340.53</v>
      </c>
      <c r="L47" s="64">
        <v>27.59</v>
      </c>
      <c r="M47" s="64">
        <v>81.819999999999993</v>
      </c>
      <c r="N47" s="64">
        <v>341.8</v>
      </c>
      <c r="O47" s="64">
        <v>0</v>
      </c>
      <c r="P47" s="64">
        <v>0.62</v>
      </c>
      <c r="Q47" s="64">
        <v>13.66</v>
      </c>
      <c r="R47" s="198"/>
      <c r="S47" s="198"/>
      <c r="T47" s="198"/>
      <c r="U47" s="198"/>
    </row>
    <row r="48" spans="1:21" s="12" customFormat="1" x14ac:dyDescent="0.25">
      <c r="A48" s="214" t="s">
        <v>2592</v>
      </c>
      <c r="B48" s="64">
        <v>11.88</v>
      </c>
      <c r="C48" s="64">
        <v>10.68</v>
      </c>
      <c r="D48" s="64">
        <v>22.56</v>
      </c>
      <c r="E48" s="64">
        <v>1.3</v>
      </c>
      <c r="F48" s="64">
        <v>1.1100000000000001</v>
      </c>
      <c r="G48" s="64">
        <v>65.849999999999994</v>
      </c>
      <c r="H48" s="64">
        <v>13.17</v>
      </c>
      <c r="I48" s="64">
        <v>1.49</v>
      </c>
      <c r="J48" s="64">
        <v>0.71</v>
      </c>
      <c r="K48" s="64">
        <v>334.57</v>
      </c>
      <c r="L48" s="64">
        <v>28.37</v>
      </c>
      <c r="M48" s="64">
        <v>78.56</v>
      </c>
      <c r="N48" s="64">
        <v>350.5</v>
      </c>
      <c r="O48" s="64">
        <v>0</v>
      </c>
      <c r="P48" s="64">
        <v>0.65</v>
      </c>
      <c r="Q48" s="64">
        <v>13.1</v>
      </c>
      <c r="R48" s="198"/>
      <c r="S48" s="198"/>
      <c r="T48" s="198"/>
      <c r="U48" s="198"/>
    </row>
    <row r="49" spans="1:21" s="12" customFormat="1" x14ac:dyDescent="0.25">
      <c r="A49" s="214" t="s">
        <v>2593</v>
      </c>
      <c r="B49" s="64">
        <v>12.89</v>
      </c>
      <c r="C49" s="64">
        <v>12.1</v>
      </c>
      <c r="D49" s="64">
        <v>24.99</v>
      </c>
      <c r="E49" s="64">
        <v>1.34</v>
      </c>
      <c r="F49" s="64">
        <v>0.8</v>
      </c>
      <c r="G49" s="64">
        <v>65.849999999999994</v>
      </c>
      <c r="H49" s="64">
        <v>13.17</v>
      </c>
      <c r="I49" s="64">
        <v>1.5</v>
      </c>
      <c r="J49" s="64">
        <v>0.65</v>
      </c>
      <c r="K49" s="64">
        <v>340.6</v>
      </c>
      <c r="L49" s="64">
        <v>29.17</v>
      </c>
      <c r="M49" s="64">
        <v>76.28</v>
      </c>
      <c r="N49" s="64">
        <v>456.5</v>
      </c>
      <c r="O49" s="64">
        <v>0</v>
      </c>
      <c r="P49" s="64">
        <v>0.71</v>
      </c>
      <c r="Q49" s="64">
        <v>13.63</v>
      </c>
      <c r="R49" s="198"/>
      <c r="S49" s="198"/>
      <c r="T49" s="198"/>
      <c r="U49" s="198"/>
    </row>
    <row r="50" spans="1:21" s="12" customFormat="1" x14ac:dyDescent="0.25">
      <c r="A50" s="214" t="s">
        <v>2594</v>
      </c>
      <c r="B50" s="64">
        <v>14.03</v>
      </c>
      <c r="C50" s="64">
        <v>15.51</v>
      </c>
      <c r="D50" s="64">
        <v>29.54</v>
      </c>
      <c r="E50" s="64">
        <v>1.19</v>
      </c>
      <c r="F50" s="64">
        <v>2.15</v>
      </c>
      <c r="G50" s="64">
        <v>73.2</v>
      </c>
      <c r="H50" s="64">
        <v>17.36</v>
      </c>
      <c r="I50" s="64">
        <v>1.52</v>
      </c>
      <c r="J50" s="64">
        <v>0.57999999999999996</v>
      </c>
      <c r="K50" s="64">
        <v>335.76</v>
      </c>
      <c r="L50" s="64">
        <v>29.38</v>
      </c>
      <c r="M50" s="64">
        <v>73.23</v>
      </c>
      <c r="N50" s="64">
        <v>326.5</v>
      </c>
      <c r="O50" s="64">
        <v>0</v>
      </c>
      <c r="P50" s="64">
        <v>0.76</v>
      </c>
      <c r="Q50" s="64">
        <v>13.06</v>
      </c>
      <c r="R50" s="198"/>
      <c r="S50" s="198"/>
      <c r="T50" s="198"/>
      <c r="U50" s="198"/>
    </row>
    <row r="51" spans="1:21" s="12" customFormat="1" x14ac:dyDescent="0.25">
      <c r="A51" s="214" t="s">
        <v>2595</v>
      </c>
      <c r="B51" s="64">
        <v>13.13</v>
      </c>
      <c r="C51" s="64">
        <v>23.73</v>
      </c>
      <c r="D51" s="64">
        <v>36.86</v>
      </c>
      <c r="E51" s="64">
        <v>1.21</v>
      </c>
      <c r="F51" s="64">
        <v>3.39</v>
      </c>
      <c r="G51" s="64">
        <v>74.44</v>
      </c>
      <c r="H51" s="64">
        <v>17.36</v>
      </c>
      <c r="I51" s="64">
        <v>1.55</v>
      </c>
      <c r="J51" s="64">
        <v>0.49</v>
      </c>
      <c r="K51" s="64">
        <v>334.7</v>
      </c>
      <c r="L51" s="64">
        <v>29.11</v>
      </c>
      <c r="M51" s="64">
        <v>75.260000000000005</v>
      </c>
      <c r="N51" s="64">
        <v>418.2</v>
      </c>
      <c r="O51" s="64">
        <v>0</v>
      </c>
      <c r="P51" s="64">
        <v>0.88</v>
      </c>
      <c r="Q51" s="64">
        <v>13.46</v>
      </c>
      <c r="R51" s="198"/>
      <c r="S51" s="198"/>
      <c r="T51" s="198"/>
      <c r="U51" s="198"/>
    </row>
    <row r="52" spans="1:21" s="12" customFormat="1" x14ac:dyDescent="0.25">
      <c r="A52" s="214" t="s">
        <v>2596</v>
      </c>
      <c r="B52" s="64">
        <v>8.5399999999999991</v>
      </c>
      <c r="C52" s="64">
        <v>35.89</v>
      </c>
      <c r="D52" s="64">
        <v>44.43</v>
      </c>
      <c r="E52" s="64">
        <v>0.44</v>
      </c>
      <c r="F52" s="64">
        <v>7.73</v>
      </c>
      <c r="G52" s="64">
        <v>74.44</v>
      </c>
      <c r="H52" s="64">
        <v>17.36</v>
      </c>
      <c r="I52" s="64">
        <v>1.46</v>
      </c>
      <c r="J52" s="64">
        <v>0.33</v>
      </c>
      <c r="K52" s="64">
        <v>353.4</v>
      </c>
      <c r="L52" s="64">
        <v>29.58</v>
      </c>
      <c r="M52" s="64">
        <v>72.290000000000006</v>
      </c>
      <c r="N52" s="64">
        <v>509.6</v>
      </c>
      <c r="O52" s="64">
        <v>0</v>
      </c>
      <c r="P52" s="64">
        <v>0.97</v>
      </c>
      <c r="Q52" s="64">
        <v>13.45</v>
      </c>
      <c r="R52" s="198"/>
      <c r="S52" s="198"/>
      <c r="T52" s="198"/>
      <c r="U52" s="198"/>
    </row>
    <row r="53" spans="1:21" s="12" customFormat="1" x14ac:dyDescent="0.25">
      <c r="A53" s="214" t="s">
        <v>2597</v>
      </c>
      <c r="B53" s="64">
        <v>6.76</v>
      </c>
      <c r="C53" s="64">
        <v>33.200000000000003</v>
      </c>
      <c r="D53" s="64">
        <v>39.96</v>
      </c>
      <c r="E53" s="64">
        <v>0.75</v>
      </c>
      <c r="F53" s="64">
        <v>15.87</v>
      </c>
      <c r="G53" s="64">
        <v>74.44</v>
      </c>
      <c r="H53" s="64">
        <v>17.36</v>
      </c>
      <c r="I53" s="64">
        <v>1.52</v>
      </c>
      <c r="J53" s="64">
        <v>0.16</v>
      </c>
      <c r="K53" s="64">
        <v>20.99</v>
      </c>
      <c r="L53" s="64">
        <v>28.8</v>
      </c>
      <c r="M53" s="64">
        <v>74.239999999999995</v>
      </c>
      <c r="N53" s="64">
        <v>375.7</v>
      </c>
      <c r="O53" s="64">
        <v>0</v>
      </c>
      <c r="P53" s="64">
        <v>0.92</v>
      </c>
      <c r="Q53" s="64">
        <v>13.31</v>
      </c>
      <c r="R53" s="198"/>
      <c r="S53" s="198"/>
      <c r="T53" s="198"/>
      <c r="U53" s="198"/>
    </row>
    <row r="54" spans="1:21" s="12" customFormat="1" x14ac:dyDescent="0.25">
      <c r="A54" s="214" t="s">
        <v>2598</v>
      </c>
      <c r="B54" s="64">
        <v>4.01</v>
      </c>
      <c r="C54" s="64">
        <v>25.6</v>
      </c>
      <c r="D54" s="64">
        <v>29.61</v>
      </c>
      <c r="E54" s="64">
        <v>1.19</v>
      </c>
      <c r="F54" s="64">
        <v>31.21</v>
      </c>
      <c r="G54" s="64">
        <v>69.48</v>
      </c>
      <c r="H54" s="64">
        <v>17.45</v>
      </c>
      <c r="I54" s="64">
        <v>1.59</v>
      </c>
      <c r="J54" s="64">
        <v>0.52</v>
      </c>
      <c r="K54" s="64">
        <v>101.73</v>
      </c>
      <c r="L54" s="64">
        <v>26.91</v>
      </c>
      <c r="M54" s="64">
        <v>82.11</v>
      </c>
      <c r="N54" s="64">
        <v>376.3</v>
      </c>
      <c r="O54" s="64">
        <v>0</v>
      </c>
      <c r="P54" s="64">
        <v>0.65</v>
      </c>
      <c r="Q54" s="64">
        <v>13.59</v>
      </c>
      <c r="R54" s="198"/>
      <c r="S54" s="198"/>
      <c r="T54" s="198"/>
      <c r="U54" s="198"/>
    </row>
    <row r="55" spans="1:21" s="12" customFormat="1" x14ac:dyDescent="0.25">
      <c r="A55" s="214" t="s">
        <v>2599</v>
      </c>
      <c r="B55" s="64">
        <v>9.1300000000000008</v>
      </c>
      <c r="C55" s="64">
        <v>36.81</v>
      </c>
      <c r="D55" s="64">
        <v>45.94</v>
      </c>
      <c r="E55" s="64">
        <v>1.31</v>
      </c>
      <c r="F55" s="64">
        <v>17.809999999999999</v>
      </c>
      <c r="G55" s="64">
        <v>68.650000000000006</v>
      </c>
      <c r="H55" s="64">
        <v>17.45</v>
      </c>
      <c r="I55" s="64">
        <v>1.45</v>
      </c>
      <c r="J55" s="64">
        <v>0.56999999999999995</v>
      </c>
      <c r="K55" s="64">
        <v>334.98</v>
      </c>
      <c r="L55" s="64">
        <v>28.78</v>
      </c>
      <c r="M55" s="64">
        <v>76.430000000000007</v>
      </c>
      <c r="N55" s="64">
        <v>453.9</v>
      </c>
      <c r="O55" s="64">
        <v>0</v>
      </c>
      <c r="P55" s="64">
        <v>1.01</v>
      </c>
      <c r="Q55" s="64">
        <v>12.23</v>
      </c>
      <c r="R55" s="198"/>
      <c r="S55" s="198"/>
      <c r="T55" s="198"/>
      <c r="U55" s="198"/>
    </row>
    <row r="56" spans="1:21" s="12" customFormat="1" x14ac:dyDescent="0.25">
      <c r="A56" s="214" t="s">
        <v>2600</v>
      </c>
      <c r="B56" s="64">
        <v>5.34</v>
      </c>
      <c r="C56" s="64">
        <v>26.25</v>
      </c>
      <c r="D56" s="64">
        <v>31.59</v>
      </c>
      <c r="E56" s="64">
        <v>1.64</v>
      </c>
      <c r="F56" s="64">
        <v>35.450000000000003</v>
      </c>
      <c r="G56" s="64">
        <v>68.650000000000006</v>
      </c>
      <c r="H56" s="64">
        <v>17.45</v>
      </c>
      <c r="I56" s="64">
        <v>1.55</v>
      </c>
      <c r="J56" s="64">
        <v>0.3</v>
      </c>
      <c r="K56" s="64">
        <v>100.67</v>
      </c>
      <c r="L56" s="64">
        <v>29.02</v>
      </c>
      <c r="M56" s="64">
        <v>73.739999999999995</v>
      </c>
      <c r="N56" s="64">
        <v>285.2</v>
      </c>
      <c r="O56" s="64">
        <v>0</v>
      </c>
      <c r="P56" s="64">
        <v>0.73</v>
      </c>
      <c r="Q56" s="64">
        <v>12.95</v>
      </c>
      <c r="R56" s="198"/>
      <c r="S56" s="198"/>
      <c r="T56" s="198"/>
      <c r="U56" s="198"/>
    </row>
    <row r="57" spans="1:21" s="12" customFormat="1" x14ac:dyDescent="0.25">
      <c r="A57" s="214" t="s">
        <v>2601</v>
      </c>
      <c r="B57" s="64">
        <v>4.92</v>
      </c>
      <c r="C57" s="64">
        <v>24.25</v>
      </c>
      <c r="D57" s="64">
        <v>29.17</v>
      </c>
      <c r="E57" s="64">
        <v>2.6</v>
      </c>
      <c r="F57" s="64">
        <v>13.22</v>
      </c>
      <c r="G57" s="64">
        <v>68.650000000000006</v>
      </c>
      <c r="H57" s="64">
        <v>17.45</v>
      </c>
      <c r="I57" s="64">
        <v>1.49</v>
      </c>
      <c r="J57" s="64">
        <v>0.18</v>
      </c>
      <c r="K57" s="64">
        <v>123.94</v>
      </c>
      <c r="L57" s="64">
        <v>27.81</v>
      </c>
      <c r="M57" s="64">
        <v>79.02</v>
      </c>
      <c r="N57" s="64">
        <v>442</v>
      </c>
      <c r="O57" s="64">
        <v>0</v>
      </c>
      <c r="P57" s="64">
        <v>0.85</v>
      </c>
      <c r="Q57" s="64">
        <v>14.54</v>
      </c>
      <c r="R57" s="198"/>
      <c r="S57" s="198"/>
      <c r="T57" s="198"/>
      <c r="U57" s="198"/>
    </row>
    <row r="58" spans="1:21" s="12" customFormat="1" x14ac:dyDescent="0.25">
      <c r="A58" s="214" t="s">
        <v>2602</v>
      </c>
      <c r="B58" s="64">
        <v>3.51</v>
      </c>
      <c r="C58" s="64">
        <v>22.11</v>
      </c>
      <c r="D58" s="64">
        <v>25.63</v>
      </c>
      <c r="E58" s="64">
        <v>2.08</v>
      </c>
      <c r="F58" s="64">
        <v>8.9700000000000006</v>
      </c>
      <c r="G58" s="64">
        <v>84.5</v>
      </c>
      <c r="H58" s="64">
        <v>23.37</v>
      </c>
      <c r="I58" s="64">
        <v>1.52</v>
      </c>
      <c r="J58" s="64">
        <v>0.39</v>
      </c>
      <c r="K58" s="64">
        <v>338.3</v>
      </c>
      <c r="L58" s="64">
        <v>29.65</v>
      </c>
      <c r="M58" s="64">
        <v>73.5</v>
      </c>
      <c r="N58" s="64">
        <v>803.6</v>
      </c>
      <c r="O58" s="64">
        <v>0</v>
      </c>
      <c r="P58" s="64">
        <v>0.82</v>
      </c>
      <c r="Q58" s="64">
        <v>13.58</v>
      </c>
      <c r="R58" s="198"/>
      <c r="S58" s="198"/>
      <c r="T58" s="198"/>
      <c r="U58" s="198"/>
    </row>
    <row r="59" spans="1:21" s="12" customFormat="1" x14ac:dyDescent="0.25">
      <c r="A59" s="214" t="s">
        <v>2603</v>
      </c>
      <c r="B59" s="64">
        <v>4.21</v>
      </c>
      <c r="C59" s="64">
        <v>24.15</v>
      </c>
      <c r="D59" s="64">
        <v>28.36</v>
      </c>
      <c r="E59" s="64">
        <v>1.51</v>
      </c>
      <c r="F59" s="64">
        <v>13.5</v>
      </c>
      <c r="G59" s="64">
        <v>87.18</v>
      </c>
      <c r="H59" s="64">
        <v>23.37</v>
      </c>
      <c r="I59" s="64">
        <v>1.54</v>
      </c>
      <c r="J59" s="64">
        <v>0.18</v>
      </c>
      <c r="K59" s="64">
        <v>28.92</v>
      </c>
      <c r="L59" s="64">
        <v>30.96</v>
      </c>
      <c r="M59" s="64">
        <v>66.56</v>
      </c>
      <c r="N59" s="64">
        <v>751.2</v>
      </c>
      <c r="O59" s="64">
        <v>0</v>
      </c>
      <c r="P59" s="64">
        <v>0.75</v>
      </c>
      <c r="Q59" s="64">
        <v>12.99</v>
      </c>
      <c r="R59" s="198"/>
      <c r="S59" s="198"/>
      <c r="T59" s="198"/>
      <c r="U59" s="198"/>
    </row>
    <row r="60" spans="1:21" s="12" customFormat="1" x14ac:dyDescent="0.25">
      <c r="A60" s="214" t="s">
        <v>2604</v>
      </c>
      <c r="B60" s="64">
        <v>3.63</v>
      </c>
      <c r="C60" s="64">
        <v>23.21</v>
      </c>
      <c r="D60" s="64">
        <v>26.84</v>
      </c>
      <c r="E60" s="64">
        <v>1.45</v>
      </c>
      <c r="F60" s="64">
        <v>7.82</v>
      </c>
      <c r="G60" s="64">
        <v>87.18</v>
      </c>
      <c r="H60" s="64">
        <v>23.37</v>
      </c>
      <c r="I60" s="64">
        <v>1.43</v>
      </c>
      <c r="J60" s="64">
        <v>0.11</v>
      </c>
      <c r="K60" s="64">
        <v>359.41</v>
      </c>
      <c r="L60" s="64">
        <v>29.58</v>
      </c>
      <c r="M60" s="64">
        <v>71.260000000000005</v>
      </c>
      <c r="N60" s="64">
        <v>441.9</v>
      </c>
      <c r="O60" s="64">
        <v>0</v>
      </c>
      <c r="P60" s="64">
        <v>0.76</v>
      </c>
      <c r="Q60" s="64">
        <v>12.51</v>
      </c>
      <c r="R60" s="198"/>
      <c r="S60" s="198"/>
      <c r="T60" s="198"/>
      <c r="U60" s="198"/>
    </row>
    <row r="61" spans="1:21" s="12" customFormat="1" x14ac:dyDescent="0.25">
      <c r="A61" s="214" t="s">
        <v>2605</v>
      </c>
      <c r="B61" s="64">
        <v>5.54</v>
      </c>
      <c r="C61" s="64">
        <v>32.01</v>
      </c>
      <c r="D61" s="64">
        <v>35.76</v>
      </c>
      <c r="E61" s="64">
        <v>1.96</v>
      </c>
      <c r="F61" s="64">
        <v>18.25</v>
      </c>
      <c r="G61" s="64">
        <v>87.18</v>
      </c>
      <c r="H61" s="64">
        <v>23.37</v>
      </c>
      <c r="I61" s="64">
        <v>1.44</v>
      </c>
      <c r="J61" s="64">
        <v>0.96</v>
      </c>
      <c r="K61" s="64">
        <v>338.04</v>
      </c>
      <c r="L61" s="64">
        <v>30.38</v>
      </c>
      <c r="M61" s="64">
        <v>68.86</v>
      </c>
      <c r="N61" s="64">
        <v>291.89999999999998</v>
      </c>
      <c r="O61" s="64">
        <v>0</v>
      </c>
      <c r="P61" s="64">
        <v>0.8</v>
      </c>
      <c r="Q61" s="64">
        <v>11.51</v>
      </c>
      <c r="R61" s="198"/>
      <c r="S61" s="198"/>
      <c r="T61" s="198"/>
      <c r="U61" s="198"/>
    </row>
    <row r="62" spans="1:21" s="12" customFormat="1" x14ac:dyDescent="0.25">
      <c r="A62" s="214" t="s">
        <v>2606</v>
      </c>
      <c r="B62" s="64">
        <v>8.1999999999999993</v>
      </c>
      <c r="C62" s="64">
        <v>39.92</v>
      </c>
      <c r="D62" s="64">
        <v>29.9</v>
      </c>
      <c r="E62" s="64">
        <v>2.39</v>
      </c>
      <c r="F62" s="64">
        <v>11.6</v>
      </c>
      <c r="G62" s="64">
        <v>71.290000000000006</v>
      </c>
      <c r="H62" s="64">
        <v>24.38</v>
      </c>
      <c r="I62" s="64">
        <v>1.52</v>
      </c>
      <c r="J62" s="64">
        <v>0.75</v>
      </c>
      <c r="K62" s="64">
        <v>337.06</v>
      </c>
      <c r="L62" s="64">
        <v>29.67</v>
      </c>
      <c r="M62" s="64">
        <v>72.510000000000005</v>
      </c>
      <c r="N62" s="64">
        <v>145.6</v>
      </c>
      <c r="O62" s="64">
        <v>0</v>
      </c>
      <c r="P62" s="64">
        <v>1.02</v>
      </c>
      <c r="Q62" s="64">
        <v>11.28</v>
      </c>
      <c r="R62" s="198"/>
      <c r="S62" s="198"/>
      <c r="T62" s="198"/>
      <c r="U62" s="198"/>
    </row>
    <row r="63" spans="1:21" s="12" customFormat="1" x14ac:dyDescent="0.25">
      <c r="A63" s="214" t="s">
        <v>2607</v>
      </c>
      <c r="B63" s="64">
        <v>9.92</v>
      </c>
      <c r="C63" s="64">
        <v>60.21</v>
      </c>
      <c r="D63" s="64">
        <v>42.48</v>
      </c>
      <c r="E63" s="64">
        <v>4.7699999999999996</v>
      </c>
      <c r="F63" s="64">
        <v>20.170000000000002</v>
      </c>
      <c r="G63" s="64">
        <v>68.61</v>
      </c>
      <c r="H63" s="64">
        <v>24.38</v>
      </c>
      <c r="I63" s="64">
        <v>1.5</v>
      </c>
      <c r="J63" s="64">
        <v>0.79</v>
      </c>
      <c r="K63" s="64">
        <v>343.81</v>
      </c>
      <c r="L63" s="64">
        <v>28.68</v>
      </c>
      <c r="M63" s="64">
        <v>74.08</v>
      </c>
      <c r="N63" s="64">
        <v>149</v>
      </c>
      <c r="O63" s="64">
        <v>0</v>
      </c>
      <c r="P63" s="64">
        <v>1.1200000000000001</v>
      </c>
      <c r="Q63" s="64">
        <v>10.53</v>
      </c>
      <c r="R63" s="198"/>
      <c r="S63" s="198"/>
      <c r="T63" s="198"/>
      <c r="U63" s="198"/>
    </row>
    <row r="64" spans="1:21" s="12" customFormat="1" x14ac:dyDescent="0.25">
      <c r="A64" s="214" t="s">
        <v>2608</v>
      </c>
      <c r="B64" s="64">
        <v>20.57</v>
      </c>
      <c r="C64" s="64">
        <v>72.48</v>
      </c>
      <c r="D64" s="64">
        <v>57.79</v>
      </c>
      <c r="E64" s="64">
        <v>2.29</v>
      </c>
      <c r="F64" s="64">
        <v>11.77</v>
      </c>
      <c r="G64" s="64">
        <v>68.61</v>
      </c>
      <c r="H64" s="64">
        <v>24.38</v>
      </c>
      <c r="I64" s="64">
        <v>1.49</v>
      </c>
      <c r="J64" s="64">
        <v>0.49</v>
      </c>
      <c r="K64" s="64">
        <v>334.81</v>
      </c>
      <c r="L64" s="64">
        <v>28.23</v>
      </c>
      <c r="M64" s="64">
        <v>77.06</v>
      </c>
      <c r="N64" s="64">
        <v>198.1</v>
      </c>
      <c r="O64" s="64">
        <v>0</v>
      </c>
      <c r="P64" s="64">
        <v>1.29</v>
      </c>
      <c r="Q64" s="64">
        <v>13.5</v>
      </c>
      <c r="R64" s="198"/>
      <c r="S64" s="198"/>
      <c r="T64" s="198"/>
      <c r="U64" s="198"/>
    </row>
    <row r="65" spans="1:21" s="12" customFormat="1" x14ac:dyDescent="0.25">
      <c r="A65" s="214" t="s">
        <v>2609</v>
      </c>
      <c r="B65" s="64">
        <v>9.6300000000000008</v>
      </c>
      <c r="C65" s="64">
        <v>56.27</v>
      </c>
      <c r="D65" s="64">
        <v>40.07</v>
      </c>
      <c r="E65" s="64">
        <v>2.27</v>
      </c>
      <c r="F65" s="64">
        <v>23.23</v>
      </c>
      <c r="G65" s="64">
        <v>68.61</v>
      </c>
      <c r="H65" s="64">
        <v>24.38</v>
      </c>
      <c r="I65" s="64">
        <v>1.52</v>
      </c>
      <c r="J65" s="64">
        <v>0.27</v>
      </c>
      <c r="K65" s="64">
        <v>115.51</v>
      </c>
      <c r="L65" s="64">
        <v>27.48</v>
      </c>
      <c r="M65" s="64">
        <v>80.209999999999994</v>
      </c>
      <c r="N65" s="64">
        <v>152.80000000000001</v>
      </c>
      <c r="O65" s="64">
        <v>0</v>
      </c>
      <c r="P65" s="64">
        <v>1.1399999999999999</v>
      </c>
      <c r="Q65" s="64">
        <v>15.76</v>
      </c>
      <c r="R65" s="198"/>
      <c r="S65" s="198"/>
      <c r="T65" s="198"/>
      <c r="U65" s="198"/>
    </row>
    <row r="66" spans="1:21" s="12" customFormat="1" x14ac:dyDescent="0.25">
      <c r="A66" s="214" t="s">
        <v>2610</v>
      </c>
      <c r="B66" s="64">
        <v>5.91</v>
      </c>
      <c r="C66" s="64">
        <v>44.72</v>
      </c>
      <c r="D66" s="64">
        <v>30.71</v>
      </c>
      <c r="E66" s="64">
        <v>2.19</v>
      </c>
      <c r="F66" s="64">
        <v>27.03</v>
      </c>
      <c r="G66" s="64">
        <v>97.2</v>
      </c>
      <c r="H66" s="64">
        <v>28.18</v>
      </c>
      <c r="I66" s="64">
        <v>1.46</v>
      </c>
      <c r="J66" s="64">
        <v>0.39</v>
      </c>
      <c r="K66" s="64">
        <v>124.64</v>
      </c>
      <c r="L66" s="64">
        <v>26.76</v>
      </c>
      <c r="M66" s="64">
        <v>82.1</v>
      </c>
      <c r="N66" s="64">
        <v>104.5</v>
      </c>
      <c r="O66" s="64">
        <v>0</v>
      </c>
      <c r="P66" s="64">
        <v>0.94</v>
      </c>
      <c r="Q66" s="64">
        <v>16.28</v>
      </c>
      <c r="R66" s="198"/>
      <c r="S66" s="198"/>
      <c r="T66" s="198"/>
      <c r="U66" s="198"/>
    </row>
    <row r="67" spans="1:21" s="12" customFormat="1" x14ac:dyDescent="0.25">
      <c r="A67" s="214" t="s">
        <v>2611</v>
      </c>
      <c r="B67" s="64">
        <v>11.07</v>
      </c>
      <c r="C67" s="64">
        <v>46.32</v>
      </c>
      <c r="D67" s="64">
        <v>35.729999999999997</v>
      </c>
      <c r="E67" s="64">
        <v>1.77</v>
      </c>
      <c r="F67" s="64">
        <v>3.75</v>
      </c>
      <c r="G67" s="64">
        <v>102.03</v>
      </c>
      <c r="H67" s="64">
        <v>28.18</v>
      </c>
      <c r="I67" s="64">
        <v>1.52</v>
      </c>
      <c r="J67" s="64">
        <v>0.78</v>
      </c>
      <c r="K67" s="64">
        <v>166.25</v>
      </c>
      <c r="L67" s="64">
        <v>24.91</v>
      </c>
      <c r="M67" s="64">
        <v>83.97</v>
      </c>
      <c r="N67" s="64">
        <v>79.7</v>
      </c>
      <c r="O67" s="64">
        <v>0</v>
      </c>
      <c r="P67" s="64">
        <v>1.19</v>
      </c>
      <c r="Q67" s="64">
        <v>14.9</v>
      </c>
      <c r="R67" s="198"/>
      <c r="S67" s="198"/>
      <c r="T67" s="198"/>
      <c r="U67" s="198"/>
    </row>
    <row r="68" spans="1:21" s="12" customFormat="1" x14ac:dyDescent="0.25">
      <c r="A68" s="214" t="s">
        <v>2612</v>
      </c>
      <c r="B68" s="64">
        <v>9.75</v>
      </c>
      <c r="C68" s="64">
        <v>37.74</v>
      </c>
      <c r="D68" s="64">
        <v>29.94</v>
      </c>
      <c r="E68" s="64">
        <v>1.9</v>
      </c>
      <c r="F68" s="64">
        <v>3.36</v>
      </c>
      <c r="G68" s="64">
        <v>102.03</v>
      </c>
      <c r="H68" s="64">
        <v>28.18</v>
      </c>
      <c r="I68" s="64">
        <v>1.51</v>
      </c>
      <c r="J68" s="64">
        <v>0.47</v>
      </c>
      <c r="K68" s="64">
        <v>144.80000000000001</v>
      </c>
      <c r="L68" s="64">
        <v>23.91</v>
      </c>
      <c r="M68" s="64">
        <v>88.43</v>
      </c>
      <c r="N68" s="64">
        <v>81.2</v>
      </c>
      <c r="O68" s="64">
        <v>0</v>
      </c>
      <c r="P68" s="64">
        <v>1.1200000000000001</v>
      </c>
      <c r="Q68" s="64">
        <v>14.78</v>
      </c>
      <c r="R68" s="198"/>
      <c r="S68" s="198"/>
      <c r="T68" s="198"/>
      <c r="U68" s="198"/>
    </row>
    <row r="69" spans="1:21" s="12" customFormat="1" x14ac:dyDescent="0.25">
      <c r="A69" s="214" t="s">
        <v>2613</v>
      </c>
      <c r="B69" s="64">
        <v>8.1999999999999993</v>
      </c>
      <c r="C69" s="64">
        <v>31.66</v>
      </c>
      <c r="D69" s="64">
        <v>25.34</v>
      </c>
      <c r="E69" s="64">
        <v>0.97</v>
      </c>
      <c r="F69" s="64">
        <v>3.14</v>
      </c>
      <c r="G69" s="64">
        <v>102.03</v>
      </c>
      <c r="H69" s="64">
        <v>28.18</v>
      </c>
      <c r="I69" s="64">
        <v>1.5</v>
      </c>
      <c r="J69" s="64">
        <v>0.45</v>
      </c>
      <c r="K69" s="64">
        <v>159.65</v>
      </c>
      <c r="L69" s="64">
        <v>23.58</v>
      </c>
      <c r="M69" s="64">
        <v>91.39</v>
      </c>
      <c r="N69" s="64">
        <v>67.599999999999994</v>
      </c>
      <c r="O69" s="64">
        <v>0</v>
      </c>
      <c r="P69" s="64">
        <v>1.07</v>
      </c>
      <c r="Q69" s="64">
        <v>13.63</v>
      </c>
      <c r="R69" s="198"/>
      <c r="S69" s="198"/>
      <c r="T69" s="198"/>
      <c r="U69" s="198"/>
    </row>
    <row r="70" spans="1:21" s="12" customFormat="1" x14ac:dyDescent="0.25">
      <c r="A70" s="214" t="s">
        <v>2614</v>
      </c>
      <c r="B70" s="64">
        <v>7.04</v>
      </c>
      <c r="C70" s="64">
        <v>26.61</v>
      </c>
      <c r="D70" s="64">
        <v>21.63</v>
      </c>
      <c r="E70" s="64">
        <v>1.48</v>
      </c>
      <c r="F70" s="64">
        <v>2.56</v>
      </c>
      <c r="G70" s="64">
        <v>92.03</v>
      </c>
      <c r="H70" s="64">
        <v>23.6</v>
      </c>
      <c r="I70" s="64">
        <v>1.55</v>
      </c>
      <c r="J70" s="64">
        <v>0.69</v>
      </c>
      <c r="K70" s="64">
        <v>154.99</v>
      </c>
      <c r="L70" s="64">
        <v>23.64</v>
      </c>
      <c r="M70" s="64">
        <v>93.12</v>
      </c>
      <c r="N70" s="64">
        <v>77.5</v>
      </c>
      <c r="O70" s="64">
        <v>0</v>
      </c>
      <c r="P70" s="64">
        <v>1.01</v>
      </c>
      <c r="Q70" s="64">
        <v>13.28</v>
      </c>
      <c r="R70" s="198"/>
      <c r="S70" s="198"/>
      <c r="T70" s="198"/>
      <c r="U70" s="198"/>
    </row>
    <row r="71" spans="1:21" s="12" customFormat="1" x14ac:dyDescent="0.25">
      <c r="A71" s="214" t="s">
        <v>2615</v>
      </c>
      <c r="B71" s="64">
        <v>6.36</v>
      </c>
      <c r="C71" s="64">
        <v>25.09</v>
      </c>
      <c r="D71" s="64">
        <v>20.239999999999998</v>
      </c>
      <c r="E71" s="64">
        <v>1.91</v>
      </c>
      <c r="F71" s="64">
        <v>5.62</v>
      </c>
      <c r="G71" s="64">
        <v>90.34</v>
      </c>
      <c r="H71" s="64">
        <v>23.6</v>
      </c>
      <c r="I71" s="64">
        <v>1.53</v>
      </c>
      <c r="J71" s="64">
        <v>0.02</v>
      </c>
      <c r="K71" s="64">
        <v>154.94999999999999</v>
      </c>
      <c r="L71" s="64">
        <v>23.9</v>
      </c>
      <c r="M71" s="64">
        <v>91.47</v>
      </c>
      <c r="N71" s="64">
        <v>79</v>
      </c>
      <c r="O71" s="64">
        <v>0</v>
      </c>
      <c r="P71" s="64">
        <v>0.88</v>
      </c>
      <c r="Q71" s="64">
        <v>12.49</v>
      </c>
      <c r="R71" s="198"/>
      <c r="S71" s="198"/>
      <c r="T71" s="198"/>
      <c r="U71" s="198"/>
    </row>
    <row r="72" spans="1:21" s="12" customFormat="1" x14ac:dyDescent="0.25">
      <c r="A72" s="214" t="s">
        <v>2616</v>
      </c>
      <c r="B72" s="64">
        <v>6.55</v>
      </c>
      <c r="C72" s="64">
        <v>21.16</v>
      </c>
      <c r="D72" s="64">
        <v>18.22</v>
      </c>
      <c r="E72" s="64">
        <v>1.48</v>
      </c>
      <c r="F72" s="64">
        <v>1.28</v>
      </c>
      <c r="G72" s="64">
        <v>90.34</v>
      </c>
      <c r="H72" s="64">
        <v>23.6</v>
      </c>
      <c r="I72" s="64">
        <v>1.56</v>
      </c>
      <c r="J72" s="64">
        <v>7.0000000000000007E-2</v>
      </c>
      <c r="K72" s="64">
        <v>309.83</v>
      </c>
      <c r="L72" s="64">
        <v>24.31</v>
      </c>
      <c r="M72" s="64">
        <v>85.94</v>
      </c>
      <c r="N72" s="64">
        <v>71.900000000000006</v>
      </c>
      <c r="O72" s="64">
        <v>0</v>
      </c>
      <c r="P72" s="64">
        <v>0.99</v>
      </c>
      <c r="Q72" s="64">
        <v>12.05</v>
      </c>
      <c r="R72" s="198"/>
      <c r="S72" s="198"/>
      <c r="T72" s="198"/>
      <c r="U72" s="198"/>
    </row>
    <row r="73" spans="1:21" s="12" customFormat="1" x14ac:dyDescent="0.25">
      <c r="A73" s="214" t="s">
        <v>2617</v>
      </c>
      <c r="B73" s="64">
        <v>10.07</v>
      </c>
      <c r="C73" s="64">
        <v>23.67</v>
      </c>
      <c r="D73" s="64">
        <v>22.43</v>
      </c>
      <c r="E73" s="64">
        <v>2.31</v>
      </c>
      <c r="F73" s="64">
        <v>2.46</v>
      </c>
      <c r="G73" s="64">
        <v>90.34</v>
      </c>
      <c r="H73" s="64">
        <v>23.6</v>
      </c>
      <c r="I73" s="64">
        <v>1.51</v>
      </c>
      <c r="J73" s="64">
        <v>0.48</v>
      </c>
      <c r="K73" s="64">
        <v>338.38</v>
      </c>
      <c r="L73" s="64">
        <v>24.7</v>
      </c>
      <c r="M73" s="64">
        <v>84.94</v>
      </c>
      <c r="N73" s="64">
        <v>56.7</v>
      </c>
      <c r="O73" s="64">
        <v>0</v>
      </c>
      <c r="P73" s="64">
        <v>0.97</v>
      </c>
      <c r="Q73" s="64">
        <v>12.65</v>
      </c>
      <c r="R73" s="198"/>
      <c r="S73" s="198"/>
      <c r="T73" s="198"/>
      <c r="U73" s="198"/>
    </row>
    <row r="74" spans="1:21" s="12" customFormat="1" x14ac:dyDescent="0.25">
      <c r="A74" s="214" t="s">
        <v>2618</v>
      </c>
      <c r="B74" s="64">
        <v>12.37</v>
      </c>
      <c r="C74" s="64">
        <v>21.02</v>
      </c>
      <c r="D74" s="64">
        <v>22.81</v>
      </c>
      <c r="E74" s="64">
        <v>2.2999999999999998</v>
      </c>
      <c r="F74" s="64">
        <v>2.97</v>
      </c>
      <c r="G74" s="64">
        <v>81.39</v>
      </c>
      <c r="H74" s="64">
        <v>22.5</v>
      </c>
      <c r="I74" s="64">
        <v>1.48</v>
      </c>
      <c r="J74" s="64">
        <v>1.06</v>
      </c>
      <c r="K74" s="64">
        <v>340.24</v>
      </c>
      <c r="L74" s="64">
        <v>24.92</v>
      </c>
      <c r="M74" s="64">
        <v>84.87</v>
      </c>
      <c r="N74" s="64">
        <v>78.2</v>
      </c>
      <c r="O74" s="64">
        <v>0</v>
      </c>
      <c r="P74" s="64">
        <v>0.99</v>
      </c>
      <c r="Q74" s="64">
        <v>11.77</v>
      </c>
      <c r="R74" s="198"/>
      <c r="S74" s="198"/>
      <c r="T74" s="198"/>
      <c r="U74" s="198"/>
    </row>
    <row r="75" spans="1:21" s="12" customFormat="1" x14ac:dyDescent="0.25">
      <c r="A75" s="214" t="s">
        <v>2619</v>
      </c>
      <c r="B75" s="64">
        <v>9.4600000000000009</v>
      </c>
      <c r="C75" s="64">
        <v>18.329999999999998</v>
      </c>
      <c r="D75" s="64">
        <v>18.989999999999998</v>
      </c>
      <c r="E75" s="64">
        <v>2.16</v>
      </c>
      <c r="F75" s="64">
        <v>1.02</v>
      </c>
      <c r="G75" s="64">
        <v>79.88</v>
      </c>
      <c r="H75" s="64">
        <v>22.5</v>
      </c>
      <c r="I75" s="64">
        <v>1.49</v>
      </c>
      <c r="J75" s="64">
        <v>1.18</v>
      </c>
      <c r="K75" s="64">
        <v>336.48</v>
      </c>
      <c r="L75" s="64">
        <v>24.76</v>
      </c>
      <c r="M75" s="64">
        <v>84.98</v>
      </c>
      <c r="N75" s="64">
        <v>63.9</v>
      </c>
      <c r="O75" s="64">
        <v>0</v>
      </c>
      <c r="P75" s="64">
        <v>0.98</v>
      </c>
      <c r="Q75" s="64">
        <v>12.5</v>
      </c>
      <c r="R75" s="198"/>
      <c r="S75" s="198"/>
      <c r="T75" s="198"/>
      <c r="U75" s="198"/>
    </row>
    <row r="76" spans="1:21" s="12" customFormat="1" x14ac:dyDescent="0.25">
      <c r="A76" s="214" t="s">
        <v>2620</v>
      </c>
      <c r="B76" s="64">
        <v>11.94</v>
      </c>
      <c r="C76" s="64">
        <v>19.79</v>
      </c>
      <c r="D76" s="64">
        <v>21.79</v>
      </c>
      <c r="E76" s="64">
        <v>2.16</v>
      </c>
      <c r="F76" s="64">
        <v>1.44</v>
      </c>
      <c r="G76" s="64">
        <v>79.88</v>
      </c>
      <c r="H76" s="64">
        <v>22.5</v>
      </c>
      <c r="I76" s="64">
        <v>1.51</v>
      </c>
      <c r="J76" s="64">
        <v>1.05</v>
      </c>
      <c r="K76" s="64">
        <v>330.94</v>
      </c>
      <c r="L76" s="64">
        <v>24.6</v>
      </c>
      <c r="M76" s="64">
        <v>85.94</v>
      </c>
      <c r="N76" s="64">
        <v>58.4</v>
      </c>
      <c r="O76" s="64">
        <v>0</v>
      </c>
      <c r="P76" s="64">
        <v>0.98</v>
      </c>
      <c r="Q76" s="64">
        <v>12.91</v>
      </c>
      <c r="R76" s="198"/>
      <c r="S76" s="198"/>
      <c r="T76" s="198"/>
      <c r="U76" s="198"/>
    </row>
    <row r="77" spans="1:21" s="12" customFormat="1" x14ac:dyDescent="0.25">
      <c r="A77" s="214" t="s">
        <v>2621</v>
      </c>
      <c r="B77" s="64">
        <v>11.73</v>
      </c>
      <c r="C77" s="64">
        <v>23.24</v>
      </c>
      <c r="D77" s="64">
        <v>23.53</v>
      </c>
      <c r="E77" s="64">
        <v>2.61</v>
      </c>
      <c r="F77" s="64">
        <v>2.4</v>
      </c>
      <c r="G77" s="64">
        <v>79.88</v>
      </c>
      <c r="H77" s="64">
        <v>22.5</v>
      </c>
      <c r="I77" s="64">
        <v>1.49</v>
      </c>
      <c r="J77" s="64">
        <v>0.65</v>
      </c>
      <c r="K77" s="64">
        <v>325.18</v>
      </c>
      <c r="L77" s="64">
        <v>24.47</v>
      </c>
      <c r="M77" s="64">
        <v>86.99</v>
      </c>
      <c r="N77" s="64">
        <v>34.4</v>
      </c>
      <c r="O77" s="64">
        <v>0</v>
      </c>
      <c r="P77" s="64">
        <v>1.01</v>
      </c>
      <c r="Q77" s="64">
        <v>12.61</v>
      </c>
      <c r="R77" s="198"/>
      <c r="S77" s="198"/>
      <c r="T77" s="198"/>
      <c r="U77" s="198"/>
    </row>
    <row r="78" spans="1:21" s="12" customFormat="1" x14ac:dyDescent="0.25">
      <c r="A78" s="214" t="s">
        <v>2622</v>
      </c>
      <c r="B78" s="64">
        <v>18.239999999999998</v>
      </c>
      <c r="C78" s="64">
        <v>28.31</v>
      </c>
      <c r="D78" s="64">
        <v>31.54</v>
      </c>
      <c r="E78" s="64">
        <v>2.69</v>
      </c>
      <c r="F78" s="64">
        <v>2.87</v>
      </c>
      <c r="G78" s="64">
        <v>84.24</v>
      </c>
      <c r="H78" s="64">
        <v>23.17</v>
      </c>
      <c r="I78" s="64">
        <v>1.5</v>
      </c>
      <c r="J78" s="64">
        <v>0.43</v>
      </c>
      <c r="K78" s="64">
        <v>329.93</v>
      </c>
      <c r="L78" s="64">
        <v>24.28</v>
      </c>
      <c r="M78" s="64">
        <v>88.2</v>
      </c>
      <c r="N78" s="64">
        <v>19.100000000000001</v>
      </c>
      <c r="O78" s="64">
        <v>0</v>
      </c>
      <c r="P78" s="64">
        <v>1.1299999999999999</v>
      </c>
      <c r="Q78" s="64">
        <v>12.67</v>
      </c>
      <c r="R78" s="198"/>
      <c r="S78" s="198"/>
      <c r="T78" s="198"/>
      <c r="U78" s="198"/>
    </row>
    <row r="79" spans="1:21" s="12" customFormat="1" x14ac:dyDescent="0.25">
      <c r="A79" s="214" t="s">
        <v>2623</v>
      </c>
      <c r="B79" s="64">
        <v>18.87</v>
      </c>
      <c r="C79" s="64">
        <v>34.090000000000003</v>
      </c>
      <c r="D79" s="64">
        <v>35.229999999999997</v>
      </c>
      <c r="E79" s="64">
        <v>3.02</v>
      </c>
      <c r="F79" s="64">
        <v>4.5</v>
      </c>
      <c r="G79" s="64">
        <v>84.97</v>
      </c>
      <c r="H79" s="64">
        <v>23.17</v>
      </c>
      <c r="I79" s="64">
        <v>1.51</v>
      </c>
      <c r="J79" s="64">
        <v>0.41</v>
      </c>
      <c r="K79" s="64">
        <v>321.49</v>
      </c>
      <c r="L79" s="64">
        <v>24.16</v>
      </c>
      <c r="M79" s="64">
        <v>89.09</v>
      </c>
      <c r="N79" s="64">
        <v>12.4</v>
      </c>
      <c r="O79" s="64">
        <v>0</v>
      </c>
      <c r="P79" s="64">
        <v>1.17</v>
      </c>
      <c r="Q79" s="64">
        <v>11.33</v>
      </c>
      <c r="R79" s="198"/>
      <c r="S79" s="198"/>
      <c r="T79" s="198"/>
      <c r="U79" s="198"/>
    </row>
    <row r="80" spans="1:21" s="12" customFormat="1" x14ac:dyDescent="0.25">
      <c r="A80" s="214" t="s">
        <v>2624</v>
      </c>
      <c r="B80" s="64">
        <v>19.510000000000002</v>
      </c>
      <c r="C80" s="64">
        <v>30.21</v>
      </c>
      <c r="D80" s="64">
        <v>33.61</v>
      </c>
      <c r="E80" s="64">
        <v>2.4700000000000002</v>
      </c>
      <c r="F80" s="64">
        <v>2.79</v>
      </c>
      <c r="G80" s="64">
        <v>84.97</v>
      </c>
      <c r="H80" s="64">
        <v>23.17</v>
      </c>
      <c r="I80" s="64">
        <v>1.49</v>
      </c>
      <c r="J80" s="64">
        <v>0.2</v>
      </c>
      <c r="K80" s="64">
        <v>334.45</v>
      </c>
      <c r="L80" s="64">
        <v>23.95</v>
      </c>
      <c r="M80" s="64">
        <v>87.56</v>
      </c>
      <c r="N80" s="64">
        <v>10</v>
      </c>
      <c r="O80" s="64">
        <v>0</v>
      </c>
      <c r="P80" s="64">
        <v>1.1599999999999999</v>
      </c>
      <c r="Q80" s="64">
        <v>12.26</v>
      </c>
      <c r="R80" s="198"/>
      <c r="S80" s="198"/>
      <c r="T80" s="198"/>
      <c r="U80" s="198"/>
    </row>
    <row r="81" spans="1:26" s="12" customFormat="1" x14ac:dyDescent="0.25">
      <c r="A81" s="214" t="s">
        <v>2625</v>
      </c>
      <c r="B81" s="64">
        <v>13.34</v>
      </c>
      <c r="C81" s="64">
        <v>17.68</v>
      </c>
      <c r="D81" s="64">
        <v>21.74</v>
      </c>
      <c r="E81" s="64">
        <v>2.79</v>
      </c>
      <c r="F81" s="64">
        <v>0.67</v>
      </c>
      <c r="G81" s="64">
        <v>84.97</v>
      </c>
      <c r="H81" s="64">
        <v>23.17</v>
      </c>
      <c r="I81" s="64">
        <v>1.54</v>
      </c>
      <c r="J81" s="64">
        <v>0.15</v>
      </c>
      <c r="K81" s="64">
        <v>204.22</v>
      </c>
      <c r="L81" s="64">
        <v>23.7</v>
      </c>
      <c r="M81" s="64">
        <v>90.14</v>
      </c>
      <c r="N81" s="64">
        <v>9.6</v>
      </c>
      <c r="O81" s="64">
        <v>0</v>
      </c>
      <c r="P81" s="64">
        <v>1.06</v>
      </c>
      <c r="Q81" s="64">
        <v>12.71</v>
      </c>
      <c r="R81" s="198"/>
      <c r="S81" s="198"/>
      <c r="T81" s="198"/>
      <c r="U81" s="198"/>
    </row>
    <row r="82" spans="1:26" s="12" customFormat="1" x14ac:dyDescent="0.25">
      <c r="A82" s="214" t="s">
        <v>2626</v>
      </c>
      <c r="B82" s="64">
        <v>13.3</v>
      </c>
      <c r="C82" s="64">
        <v>16.79</v>
      </c>
      <c r="D82" s="64">
        <v>21.23</v>
      </c>
      <c r="E82" s="64">
        <v>2.56</v>
      </c>
      <c r="F82" s="64">
        <v>0.69</v>
      </c>
      <c r="G82" s="64">
        <v>93.95</v>
      </c>
      <c r="H82" s="64">
        <v>23.72</v>
      </c>
      <c r="I82" s="64">
        <v>1.49</v>
      </c>
      <c r="J82" s="64">
        <v>7.0000000000000007E-2</v>
      </c>
      <c r="K82" s="64">
        <v>96.88</v>
      </c>
      <c r="L82" s="64">
        <v>23.25</v>
      </c>
      <c r="M82" s="64">
        <v>98.32</v>
      </c>
      <c r="N82" s="64">
        <v>9.9</v>
      </c>
      <c r="O82" s="64">
        <v>0</v>
      </c>
      <c r="P82" s="64">
        <v>1.04</v>
      </c>
      <c r="Q82" s="64">
        <v>13.44</v>
      </c>
      <c r="R82" s="198"/>
      <c r="S82" s="198"/>
      <c r="T82" s="198"/>
      <c r="U82" s="198"/>
    </row>
    <row r="83" spans="1:26" s="12" customFormat="1" x14ac:dyDescent="0.25">
      <c r="A83" s="214" t="s">
        <v>2627</v>
      </c>
      <c r="B83" s="64">
        <v>12.95</v>
      </c>
      <c r="C83" s="64">
        <v>16.78</v>
      </c>
      <c r="D83" s="64">
        <v>20.93</v>
      </c>
      <c r="E83" s="64">
        <v>2.87</v>
      </c>
      <c r="F83" s="64">
        <v>0.83</v>
      </c>
      <c r="G83" s="64">
        <v>95.46</v>
      </c>
      <c r="H83" s="64">
        <v>23.72</v>
      </c>
      <c r="I83" s="64">
        <v>1.5</v>
      </c>
      <c r="J83" s="64">
        <v>0.06</v>
      </c>
      <c r="K83" s="64">
        <v>179.65</v>
      </c>
      <c r="L83" s="64">
        <v>23.17</v>
      </c>
      <c r="M83" s="64">
        <v>98.81</v>
      </c>
      <c r="N83" s="64">
        <v>9.5</v>
      </c>
      <c r="O83" s="64">
        <v>0</v>
      </c>
      <c r="P83" s="64">
        <v>1.08</v>
      </c>
      <c r="Q83" s="64">
        <v>13.14</v>
      </c>
      <c r="R83" s="198"/>
      <c r="S83" s="198"/>
      <c r="T83" s="198"/>
      <c r="U83" s="198"/>
    </row>
    <row r="84" spans="1:26" s="12" customFormat="1" x14ac:dyDescent="0.25">
      <c r="A84" s="214" t="s">
        <v>2628</v>
      </c>
      <c r="B84" s="64">
        <v>12.4</v>
      </c>
      <c r="C84" s="64">
        <v>19.760000000000002</v>
      </c>
      <c r="D84" s="64">
        <v>22.14</v>
      </c>
      <c r="E84" s="64">
        <v>2.3199999999999998</v>
      </c>
      <c r="F84" s="64">
        <v>1.42</v>
      </c>
      <c r="G84" s="64">
        <v>95.46</v>
      </c>
      <c r="H84" s="64">
        <v>23.72</v>
      </c>
      <c r="I84" s="64">
        <v>1.54</v>
      </c>
      <c r="J84" s="64">
        <v>0.03</v>
      </c>
      <c r="K84" s="64">
        <v>63.34</v>
      </c>
      <c r="L84" s="64">
        <v>23.09</v>
      </c>
      <c r="M84" s="64">
        <v>98.81</v>
      </c>
      <c r="N84" s="64">
        <v>9.5</v>
      </c>
      <c r="O84" s="64">
        <v>0</v>
      </c>
      <c r="P84" s="64">
        <v>1.07</v>
      </c>
      <c r="Q84" s="64">
        <v>13.08</v>
      </c>
      <c r="R84" s="198"/>
      <c r="S84" s="198"/>
      <c r="T84" s="198"/>
      <c r="U84" s="198"/>
    </row>
    <row r="85" spans="1:26" s="12" customFormat="1" x14ac:dyDescent="0.25">
      <c r="A85" s="214" t="s">
        <v>2629</v>
      </c>
      <c r="B85" s="64">
        <v>12.99</v>
      </c>
      <c r="C85" s="64">
        <v>15.84</v>
      </c>
      <c r="D85" s="64">
        <v>20.45</v>
      </c>
      <c r="E85" s="64">
        <v>1.85</v>
      </c>
      <c r="F85" s="64">
        <v>0.96</v>
      </c>
      <c r="G85" s="64">
        <v>95.46</v>
      </c>
      <c r="H85" s="64">
        <v>23.72</v>
      </c>
      <c r="I85" s="64">
        <v>1.43</v>
      </c>
      <c r="J85" s="64">
        <v>0.13</v>
      </c>
      <c r="K85" s="64">
        <v>197.89</v>
      </c>
      <c r="L85" s="64">
        <v>23.02</v>
      </c>
      <c r="M85" s="64">
        <v>98.83</v>
      </c>
      <c r="N85" s="64">
        <v>9.1999999999999993</v>
      </c>
      <c r="O85" s="64">
        <v>0</v>
      </c>
      <c r="P85" s="64">
        <v>1.08</v>
      </c>
      <c r="Q85" s="64">
        <v>12.66</v>
      </c>
      <c r="R85" s="198"/>
      <c r="S85" s="198"/>
      <c r="T85" s="198"/>
      <c r="U85" s="198"/>
    </row>
    <row r="86" spans="1:26" s="12" customFormat="1" x14ac:dyDescent="0.25">
      <c r="A86" s="214" t="s">
        <v>2630</v>
      </c>
      <c r="B86" s="64">
        <v>13.24</v>
      </c>
      <c r="C86" s="64">
        <v>17.559999999999999</v>
      </c>
      <c r="D86" s="64">
        <v>21.6</v>
      </c>
      <c r="E86" s="64">
        <v>2.9</v>
      </c>
      <c r="F86" s="64">
        <v>0.33</v>
      </c>
      <c r="G86" s="64">
        <v>91.22</v>
      </c>
      <c r="H86" s="64">
        <v>22.15</v>
      </c>
      <c r="I86" s="64">
        <v>1.5</v>
      </c>
      <c r="J86" s="64">
        <v>0.1</v>
      </c>
      <c r="K86" s="64">
        <v>178.98</v>
      </c>
      <c r="L86" s="64">
        <v>22.98</v>
      </c>
      <c r="M86" s="64">
        <v>98.83</v>
      </c>
      <c r="N86" s="64">
        <v>9.4</v>
      </c>
      <c r="O86" s="64">
        <v>0</v>
      </c>
      <c r="P86" s="64">
        <v>1.1299999999999999</v>
      </c>
      <c r="Q86" s="64">
        <v>13.21</v>
      </c>
      <c r="R86" s="198"/>
      <c r="S86" s="198"/>
      <c r="T86" s="198"/>
      <c r="U86" s="198"/>
    </row>
    <row r="87" spans="1:26" s="12" customFormat="1" x14ac:dyDescent="0.25">
      <c r="A87" s="214" t="s">
        <v>2631</v>
      </c>
      <c r="B87" s="64">
        <v>13.54</v>
      </c>
      <c r="C87" s="64">
        <v>14.8</v>
      </c>
      <c r="D87" s="64">
        <v>20.32</v>
      </c>
      <c r="E87" s="64">
        <v>2.0499999999999998</v>
      </c>
      <c r="F87" s="64">
        <v>0.57999999999999996</v>
      </c>
      <c r="G87" s="64">
        <v>90.51</v>
      </c>
      <c r="H87" s="64">
        <v>22.15</v>
      </c>
      <c r="I87" s="64">
        <v>1.48</v>
      </c>
      <c r="J87" s="64">
        <v>0.31</v>
      </c>
      <c r="K87" s="64">
        <v>154.88</v>
      </c>
      <c r="L87" s="64">
        <v>22.89</v>
      </c>
      <c r="M87" s="64">
        <v>98.83</v>
      </c>
      <c r="N87" s="64">
        <v>9.3000000000000007</v>
      </c>
      <c r="O87" s="64">
        <v>0</v>
      </c>
      <c r="P87" s="64">
        <v>1.1200000000000001</v>
      </c>
      <c r="Q87" s="64">
        <v>13.08</v>
      </c>
      <c r="R87" s="198"/>
      <c r="S87" s="198"/>
      <c r="T87" s="198"/>
      <c r="U87" s="198"/>
    </row>
    <row r="88" spans="1:26" s="12" customFormat="1" x14ac:dyDescent="0.25">
      <c r="A88" s="214" t="s">
        <v>2632</v>
      </c>
      <c r="B88" s="64">
        <v>10.47</v>
      </c>
      <c r="C88" s="64">
        <v>21.5</v>
      </c>
      <c r="D88" s="64">
        <v>21.55</v>
      </c>
      <c r="E88" s="64">
        <v>1.71</v>
      </c>
      <c r="F88" s="64">
        <v>3.9</v>
      </c>
      <c r="G88" s="64">
        <v>90.51</v>
      </c>
      <c r="H88" s="64">
        <v>22.15</v>
      </c>
      <c r="I88" s="64">
        <v>1.53</v>
      </c>
      <c r="J88" s="64">
        <v>0.1</v>
      </c>
      <c r="K88" s="64">
        <v>196.36</v>
      </c>
      <c r="L88" s="64">
        <v>22.73</v>
      </c>
      <c r="M88" s="64">
        <v>98.85</v>
      </c>
      <c r="N88" s="64">
        <v>9.5</v>
      </c>
      <c r="O88" s="64">
        <v>0</v>
      </c>
      <c r="P88" s="64">
        <v>0.92</v>
      </c>
      <c r="Q88" s="64">
        <v>13.83</v>
      </c>
      <c r="R88" s="198"/>
      <c r="S88" s="198"/>
      <c r="T88" s="198"/>
      <c r="U88" s="198"/>
    </row>
    <row r="89" spans="1:26" s="12" customFormat="1" x14ac:dyDescent="0.25">
      <c r="A89" s="214" t="s">
        <v>2633</v>
      </c>
      <c r="B89" s="64">
        <v>15.84</v>
      </c>
      <c r="C89" s="64">
        <v>21.52</v>
      </c>
      <c r="D89" s="64">
        <v>25.87</v>
      </c>
      <c r="E89" s="64">
        <v>2.65</v>
      </c>
      <c r="F89" s="64">
        <v>1.08</v>
      </c>
      <c r="G89" s="64">
        <v>90.51</v>
      </c>
      <c r="H89" s="64">
        <v>22.15</v>
      </c>
      <c r="I89" s="64">
        <v>1.42</v>
      </c>
      <c r="J89" s="64">
        <v>0.14000000000000001</v>
      </c>
      <c r="K89" s="64">
        <v>321.55</v>
      </c>
      <c r="L89" s="64">
        <v>22.76</v>
      </c>
      <c r="M89" s="64">
        <v>98.84</v>
      </c>
      <c r="N89" s="64">
        <v>9.4</v>
      </c>
      <c r="O89" s="64">
        <v>0</v>
      </c>
      <c r="P89" s="64">
        <v>1.1599999999999999</v>
      </c>
      <c r="Q89" s="64">
        <v>13.2</v>
      </c>
      <c r="R89" s="198"/>
      <c r="S89" s="198"/>
      <c r="T89" s="198"/>
      <c r="U89" s="198"/>
    </row>
    <row r="90" spans="1:26" s="12" customFormat="1" x14ac:dyDescent="0.25">
      <c r="A90" s="214" t="s">
        <v>2634</v>
      </c>
      <c r="B90" s="64">
        <v>19.940000000000001</v>
      </c>
      <c r="C90" s="64">
        <v>28.07</v>
      </c>
      <c r="D90" s="64">
        <v>32.770000000000003</v>
      </c>
      <c r="E90" s="64">
        <v>2.6</v>
      </c>
      <c r="F90" s="64">
        <v>1.45</v>
      </c>
      <c r="G90" s="64">
        <v>81.510000000000005</v>
      </c>
      <c r="H90" s="64">
        <v>21.87</v>
      </c>
      <c r="I90" s="64">
        <v>1.51</v>
      </c>
      <c r="J90" s="64">
        <v>0.09</v>
      </c>
      <c r="K90" s="64">
        <v>339.75</v>
      </c>
      <c r="L90" s="64">
        <v>22.81</v>
      </c>
      <c r="M90" s="64">
        <v>98.83</v>
      </c>
      <c r="N90" s="64">
        <v>9.3000000000000007</v>
      </c>
      <c r="O90" s="64">
        <v>0</v>
      </c>
      <c r="P90" s="64">
        <v>1.4</v>
      </c>
      <c r="Q90" s="64">
        <v>13.22</v>
      </c>
      <c r="R90" s="198"/>
      <c r="S90" s="198"/>
      <c r="T90" s="198"/>
      <c r="U90" s="198"/>
    </row>
    <row r="91" spans="1:26" s="12" customFormat="1" x14ac:dyDescent="0.25">
      <c r="A91" s="214" t="s">
        <v>2635</v>
      </c>
      <c r="B91" s="64">
        <v>16.32</v>
      </c>
      <c r="C91" s="64">
        <v>16.78</v>
      </c>
      <c r="D91" s="64">
        <v>23.64</v>
      </c>
      <c r="E91" s="64">
        <v>2.8</v>
      </c>
      <c r="F91" s="64">
        <v>1.44</v>
      </c>
      <c r="G91" s="64">
        <v>79.989999999999995</v>
      </c>
      <c r="H91" s="64">
        <v>21.87</v>
      </c>
      <c r="I91" s="64">
        <v>1.51</v>
      </c>
      <c r="J91" s="64">
        <v>0.14000000000000001</v>
      </c>
      <c r="K91" s="64">
        <v>336.02</v>
      </c>
      <c r="L91" s="64">
        <v>22.77</v>
      </c>
      <c r="M91" s="64">
        <v>98.83</v>
      </c>
      <c r="N91" s="64">
        <v>9.3000000000000007</v>
      </c>
      <c r="O91" s="64">
        <v>0</v>
      </c>
      <c r="P91" s="64">
        <v>1.1299999999999999</v>
      </c>
      <c r="Q91" s="64">
        <v>13.55</v>
      </c>
      <c r="R91" s="198"/>
      <c r="S91" s="198"/>
      <c r="T91" s="198"/>
      <c r="U91" s="198"/>
    </row>
    <row r="92" spans="1:26" s="12" customFormat="1" x14ac:dyDescent="0.25">
      <c r="A92" s="214" t="s">
        <v>2636</v>
      </c>
      <c r="B92" s="64">
        <v>20.399999999999999</v>
      </c>
      <c r="C92" s="64">
        <v>27.19</v>
      </c>
      <c r="D92" s="64">
        <v>32.659999999999997</v>
      </c>
      <c r="E92" s="64">
        <v>3.2</v>
      </c>
      <c r="F92" s="64">
        <v>1.1299999999999999</v>
      </c>
      <c r="G92" s="64">
        <v>79.989999999999995</v>
      </c>
      <c r="H92" s="64">
        <v>21.87</v>
      </c>
      <c r="I92" s="64">
        <v>1.57</v>
      </c>
      <c r="J92" s="64">
        <v>0.09</v>
      </c>
      <c r="K92" s="64">
        <v>343.16</v>
      </c>
      <c r="L92" s="64">
        <v>22.79</v>
      </c>
      <c r="M92" s="64">
        <v>98.83</v>
      </c>
      <c r="N92" s="64">
        <v>9.5</v>
      </c>
      <c r="O92" s="64">
        <v>0</v>
      </c>
      <c r="P92" s="64">
        <v>1.33</v>
      </c>
      <c r="Q92" s="64">
        <v>13.57</v>
      </c>
      <c r="R92" s="198"/>
      <c r="S92" s="198"/>
      <c r="T92" s="198"/>
      <c r="U92" s="198"/>
    </row>
    <row r="93" spans="1:26" s="12" customFormat="1" x14ac:dyDescent="0.25">
      <c r="A93" s="214" t="s">
        <v>2637</v>
      </c>
      <c r="B93" s="64">
        <v>16.899999999999999</v>
      </c>
      <c r="C93" s="64">
        <v>15.34</v>
      </c>
      <c r="D93" s="64">
        <v>23.31</v>
      </c>
      <c r="E93" s="64">
        <v>2.67</v>
      </c>
      <c r="F93" s="64">
        <v>0.47</v>
      </c>
      <c r="G93" s="64">
        <v>79.989999999999995</v>
      </c>
      <c r="H93" s="64">
        <v>21.87</v>
      </c>
      <c r="I93" s="64">
        <v>1.54</v>
      </c>
      <c r="J93" s="64">
        <v>0.1</v>
      </c>
      <c r="K93" s="64">
        <v>345.19</v>
      </c>
      <c r="L93" s="64">
        <v>22.79</v>
      </c>
      <c r="M93" s="64">
        <v>98.83</v>
      </c>
      <c r="N93" s="64">
        <v>9.4</v>
      </c>
      <c r="O93" s="64">
        <v>0</v>
      </c>
      <c r="P93" s="64">
        <v>1.19</v>
      </c>
      <c r="Q93" s="64">
        <v>13.73</v>
      </c>
      <c r="R93" s="198"/>
      <c r="S93" s="198"/>
      <c r="T93" s="198"/>
      <c r="U93" s="198"/>
    </row>
    <row r="94" spans="1:26" s="12" customFormat="1" x14ac:dyDescent="0.25">
      <c r="A94" s="214" t="s">
        <v>2638</v>
      </c>
      <c r="B94" s="64">
        <v>19.84</v>
      </c>
      <c r="C94" s="64">
        <v>18.32</v>
      </c>
      <c r="D94" s="64">
        <v>27.31</v>
      </c>
      <c r="E94" s="64">
        <v>3.37</v>
      </c>
      <c r="F94" s="64">
        <v>1.24</v>
      </c>
      <c r="G94" s="64">
        <v>82.14</v>
      </c>
      <c r="H94" s="64">
        <v>20</v>
      </c>
      <c r="I94" s="64">
        <v>1.49</v>
      </c>
      <c r="J94" s="64">
        <v>0.16</v>
      </c>
      <c r="K94" s="64">
        <v>326.14</v>
      </c>
      <c r="L94" s="64">
        <v>22.78</v>
      </c>
      <c r="M94" s="64">
        <v>98.83</v>
      </c>
      <c r="N94" s="64">
        <v>9.3000000000000007</v>
      </c>
      <c r="O94" s="64">
        <v>0</v>
      </c>
      <c r="P94" s="64">
        <v>1.22</v>
      </c>
      <c r="Q94" s="64">
        <v>14</v>
      </c>
      <c r="R94" s="198"/>
      <c r="S94" s="198"/>
      <c r="T94" s="198"/>
      <c r="U94" s="198"/>
    </row>
    <row r="95" spans="1:26" s="12" customFormat="1" x14ac:dyDescent="0.25">
      <c r="A95" s="214" t="s">
        <v>2639</v>
      </c>
      <c r="B95" s="64">
        <v>19.079999999999998</v>
      </c>
      <c r="C95" s="64">
        <v>13.69</v>
      </c>
      <c r="D95" s="64">
        <v>24.15</v>
      </c>
      <c r="E95" s="64">
        <v>2.97</v>
      </c>
      <c r="F95" s="64">
        <v>1.0900000000000001</v>
      </c>
      <c r="G95" s="64">
        <v>82.51</v>
      </c>
      <c r="H95" s="64">
        <v>20</v>
      </c>
      <c r="I95" s="64">
        <v>1.49</v>
      </c>
      <c r="J95" s="64">
        <v>0.03</v>
      </c>
      <c r="K95" s="64">
        <v>326.82</v>
      </c>
      <c r="L95" s="64">
        <v>22.8</v>
      </c>
      <c r="M95" s="64">
        <v>98.8</v>
      </c>
      <c r="N95" s="64">
        <v>9.3000000000000007</v>
      </c>
      <c r="O95" s="64">
        <v>0</v>
      </c>
      <c r="P95" s="64">
        <v>1.23</v>
      </c>
      <c r="Q95" s="64">
        <v>13.73</v>
      </c>
      <c r="R95" s="198"/>
      <c r="S95" s="198"/>
      <c r="T95" s="198"/>
      <c r="U95" s="198"/>
    </row>
    <row r="96" spans="1:26" s="12" customFormat="1" x14ac:dyDescent="0.25">
      <c r="A96" s="214" t="s">
        <v>2640</v>
      </c>
      <c r="B96" s="64">
        <v>17.25</v>
      </c>
      <c r="C96" s="64">
        <v>15.2</v>
      </c>
      <c r="D96" s="64">
        <v>23.51</v>
      </c>
      <c r="E96" s="64">
        <v>3.36</v>
      </c>
      <c r="F96" s="64">
        <v>0.91</v>
      </c>
      <c r="G96" s="64">
        <v>82.51</v>
      </c>
      <c r="H96" s="64">
        <v>20</v>
      </c>
      <c r="I96" s="64">
        <v>1.52</v>
      </c>
      <c r="J96" s="64">
        <v>0.01</v>
      </c>
      <c r="K96" s="64">
        <v>222.72</v>
      </c>
      <c r="L96" s="64">
        <v>22.69</v>
      </c>
      <c r="M96" s="64">
        <v>98.84</v>
      </c>
      <c r="N96" s="64">
        <v>9.1999999999999993</v>
      </c>
      <c r="O96" s="64">
        <v>0</v>
      </c>
      <c r="P96" s="64">
        <v>1.1399999999999999</v>
      </c>
      <c r="Q96" s="64">
        <v>14.11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2641</v>
      </c>
      <c r="B97" s="64">
        <v>18.170000000000002</v>
      </c>
      <c r="C97" s="64">
        <v>13.84</v>
      </c>
      <c r="D97" s="64">
        <v>23.5</v>
      </c>
      <c r="E97" s="64">
        <v>2.5499999999999998</v>
      </c>
      <c r="F97" s="64">
        <v>0.8</v>
      </c>
      <c r="G97" s="64">
        <v>82.51</v>
      </c>
      <c r="H97" s="64">
        <v>20</v>
      </c>
      <c r="I97" s="64">
        <v>1.53</v>
      </c>
      <c r="J97" s="64">
        <v>0.2</v>
      </c>
      <c r="K97" s="64">
        <v>329.15</v>
      </c>
      <c r="L97" s="64">
        <v>22.63</v>
      </c>
      <c r="M97" s="64">
        <v>98.85</v>
      </c>
      <c r="N97" s="64">
        <v>9.3000000000000007</v>
      </c>
      <c r="O97" s="64">
        <v>0</v>
      </c>
      <c r="P97" s="64">
        <v>1.21</v>
      </c>
      <c r="Q97" s="64">
        <v>13.6</v>
      </c>
      <c r="R97" s="198"/>
      <c r="S97" s="198"/>
      <c r="T97" s="198"/>
      <c r="U97" s="198"/>
    </row>
    <row r="98" spans="1:33" s="12" customFormat="1" x14ac:dyDescent="0.25">
      <c r="A98" s="214" t="s">
        <v>2642</v>
      </c>
      <c r="B98" s="64">
        <v>19.55</v>
      </c>
      <c r="C98" s="64">
        <v>13.81</v>
      </c>
      <c r="D98" s="64">
        <v>24.59</v>
      </c>
      <c r="E98" s="64">
        <v>3.03</v>
      </c>
      <c r="F98" s="64">
        <v>0.34</v>
      </c>
      <c r="G98" s="64">
        <v>81.540000000000006</v>
      </c>
      <c r="H98" s="64">
        <v>17.89</v>
      </c>
      <c r="I98" s="64">
        <v>1.48</v>
      </c>
      <c r="J98" s="64">
        <v>0.48</v>
      </c>
      <c r="K98" s="64">
        <v>332.01</v>
      </c>
      <c r="L98" s="64">
        <v>22.6</v>
      </c>
      <c r="M98" s="64">
        <v>98.83</v>
      </c>
      <c r="N98" s="64">
        <v>9.1</v>
      </c>
      <c r="O98" s="64">
        <v>0</v>
      </c>
      <c r="P98" s="64">
        <v>1.2</v>
      </c>
      <c r="Q98" s="64">
        <v>13.93</v>
      </c>
      <c r="R98" s="198"/>
      <c r="S98" s="198"/>
      <c r="T98" s="198"/>
      <c r="U98" s="198"/>
    </row>
    <row r="99" spans="1:33" s="12" customFormat="1" x14ac:dyDescent="0.25">
      <c r="A99" s="214" t="s">
        <v>2643</v>
      </c>
      <c r="B99" s="64">
        <v>19.36</v>
      </c>
      <c r="C99" s="64">
        <v>12.24</v>
      </c>
      <c r="D99" s="64">
        <v>23.57</v>
      </c>
      <c r="E99" s="64">
        <v>2.5499999999999998</v>
      </c>
      <c r="F99" s="64">
        <v>1.1200000000000001</v>
      </c>
      <c r="G99" s="64">
        <v>81.37</v>
      </c>
      <c r="H99" s="64">
        <v>17.89</v>
      </c>
      <c r="I99" s="64">
        <v>1.5</v>
      </c>
      <c r="J99" s="64">
        <v>0.42</v>
      </c>
      <c r="K99" s="64">
        <v>338.99</v>
      </c>
      <c r="L99" s="64">
        <v>22.57</v>
      </c>
      <c r="M99" s="64">
        <v>98.83</v>
      </c>
      <c r="N99" s="64">
        <v>9.4</v>
      </c>
      <c r="O99" s="64">
        <v>0</v>
      </c>
      <c r="P99" s="64">
        <v>1.21</v>
      </c>
      <c r="Q99" s="64">
        <v>13.53</v>
      </c>
      <c r="R99" s="198"/>
      <c r="S99" s="198"/>
      <c r="T99" s="198"/>
      <c r="U99" s="198"/>
    </row>
    <row r="100" spans="1:33" s="12" customFormat="1" x14ac:dyDescent="0.25">
      <c r="A100" s="214" t="s">
        <v>2644</v>
      </c>
      <c r="B100" s="64">
        <v>18.93</v>
      </c>
      <c r="C100" s="64">
        <v>20.85</v>
      </c>
      <c r="D100" s="64">
        <v>27.98</v>
      </c>
      <c r="E100" s="64">
        <v>2.61</v>
      </c>
      <c r="F100" s="64">
        <v>4.75</v>
      </c>
      <c r="G100" s="64">
        <v>81.37</v>
      </c>
      <c r="H100" s="64">
        <v>17.89</v>
      </c>
      <c r="I100" s="64">
        <v>1.5</v>
      </c>
      <c r="J100" s="64">
        <v>0.26</v>
      </c>
      <c r="K100" s="64">
        <v>325.02999999999997</v>
      </c>
      <c r="L100" s="64">
        <v>22.46</v>
      </c>
      <c r="M100" s="64">
        <v>98.83</v>
      </c>
      <c r="N100" s="64">
        <v>9.5</v>
      </c>
      <c r="O100" s="64">
        <v>0</v>
      </c>
      <c r="P100" s="64">
        <v>1.04</v>
      </c>
      <c r="Q100" s="64">
        <v>14.76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2645</v>
      </c>
      <c r="B101" s="64">
        <v>23</v>
      </c>
      <c r="C101" s="64">
        <v>17.2</v>
      </c>
      <c r="D101" s="64">
        <v>29.22</v>
      </c>
      <c r="E101" s="64">
        <v>2.92</v>
      </c>
      <c r="F101" s="64">
        <v>3.59</v>
      </c>
      <c r="G101" s="64">
        <v>81.37</v>
      </c>
      <c r="H101" s="64">
        <v>17.89</v>
      </c>
      <c r="I101" s="64">
        <v>1.52</v>
      </c>
      <c r="J101" s="64">
        <v>0.28000000000000003</v>
      </c>
      <c r="K101" s="64">
        <v>330.71</v>
      </c>
      <c r="L101" s="64">
        <v>22.35</v>
      </c>
      <c r="M101" s="64">
        <v>98.83</v>
      </c>
      <c r="N101" s="64">
        <v>9.3000000000000007</v>
      </c>
      <c r="O101" s="64">
        <v>0</v>
      </c>
      <c r="P101" s="64">
        <v>1.1399999999999999</v>
      </c>
      <c r="Q101" s="64">
        <v>13.82</v>
      </c>
      <c r="R101" s="198"/>
      <c r="S101" s="198"/>
      <c r="T101" s="198"/>
      <c r="U101" s="198"/>
    </row>
    <row r="102" spans="1:33" s="12" customFormat="1" x14ac:dyDescent="0.25">
      <c r="A102" s="214" t="s">
        <v>2646</v>
      </c>
      <c r="B102" s="64">
        <v>16.940000000000001</v>
      </c>
      <c r="C102" s="64">
        <v>24.14</v>
      </c>
      <c r="D102" s="64">
        <v>28.2</v>
      </c>
      <c r="E102" s="64">
        <v>3.29</v>
      </c>
      <c r="F102" s="64">
        <v>4.7</v>
      </c>
      <c r="G102" s="64">
        <v>77.489999999999995</v>
      </c>
      <c r="H102" s="64">
        <v>17.52</v>
      </c>
      <c r="I102" s="64">
        <v>1.55</v>
      </c>
      <c r="J102" s="64">
        <v>7.0000000000000007E-2</v>
      </c>
      <c r="K102" s="64">
        <v>348.7</v>
      </c>
      <c r="L102" s="64">
        <v>22.22</v>
      </c>
      <c r="M102" s="64">
        <v>98.83</v>
      </c>
      <c r="N102" s="64">
        <v>9.5</v>
      </c>
      <c r="O102" s="64">
        <v>0</v>
      </c>
      <c r="P102" s="64">
        <v>0.95</v>
      </c>
      <c r="Q102" s="64">
        <v>14.85</v>
      </c>
      <c r="R102" s="198"/>
      <c r="S102" s="198"/>
      <c r="T102" s="198"/>
      <c r="U102" s="198"/>
    </row>
    <row r="103" spans="1:33" s="12" customFormat="1" x14ac:dyDescent="0.25">
      <c r="A103" s="214" t="s">
        <v>2647</v>
      </c>
      <c r="B103" s="64">
        <v>17.07</v>
      </c>
      <c r="C103" s="64">
        <v>23.36</v>
      </c>
      <c r="D103" s="64">
        <v>27.87</v>
      </c>
      <c r="E103" s="64">
        <v>2.33</v>
      </c>
      <c r="F103" s="64">
        <v>3.45</v>
      </c>
      <c r="G103" s="64">
        <v>76.77</v>
      </c>
      <c r="H103" s="64">
        <v>17.52</v>
      </c>
      <c r="I103" s="64">
        <v>1.52</v>
      </c>
      <c r="J103" s="64">
        <v>0.05</v>
      </c>
      <c r="K103" s="64">
        <v>346.14</v>
      </c>
      <c r="L103" s="64">
        <v>22.09</v>
      </c>
      <c r="M103" s="64">
        <v>98.85</v>
      </c>
      <c r="N103" s="64">
        <v>9.4</v>
      </c>
      <c r="O103" s="64">
        <v>0</v>
      </c>
      <c r="P103" s="64">
        <v>1.05</v>
      </c>
      <c r="Q103" s="64">
        <v>14.99</v>
      </c>
      <c r="R103" s="198"/>
      <c r="S103" s="198"/>
      <c r="T103" s="198"/>
      <c r="U103" s="198"/>
    </row>
    <row r="104" spans="1:33" s="12" customFormat="1" x14ac:dyDescent="0.25">
      <c r="A104" s="214" t="s">
        <v>2648</v>
      </c>
      <c r="B104" s="64">
        <v>16.22</v>
      </c>
      <c r="C104" s="64">
        <v>18.809999999999999</v>
      </c>
      <c r="D104" s="64">
        <v>24.68</v>
      </c>
      <c r="E104" s="64">
        <v>0.9</v>
      </c>
      <c r="F104" s="64">
        <v>1.68</v>
      </c>
      <c r="G104" s="64">
        <v>76.77</v>
      </c>
      <c r="H104" s="64">
        <v>17.52</v>
      </c>
      <c r="I104" s="64">
        <v>1.55</v>
      </c>
      <c r="J104" s="64">
        <v>0</v>
      </c>
      <c r="K104" s="64">
        <v>49.22</v>
      </c>
      <c r="L104" s="64">
        <v>21.98</v>
      </c>
      <c r="M104" s="64">
        <v>98.85</v>
      </c>
      <c r="N104" s="64">
        <v>9.3000000000000007</v>
      </c>
      <c r="O104" s="64">
        <v>0</v>
      </c>
      <c r="P104" s="64">
        <v>1.05</v>
      </c>
      <c r="Q104" s="64">
        <v>15.3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3.51</v>
      </c>
      <c r="C106" s="67">
        <f>MIN(C9:C104)</f>
        <v>7.2</v>
      </c>
      <c r="D106" s="67">
        <f t="shared" ref="D106:Q106" si="0">MIN(D9:D104)</f>
        <v>12.34</v>
      </c>
      <c r="E106" s="67">
        <f t="shared" si="0"/>
        <v>0.44</v>
      </c>
      <c r="F106" s="67">
        <f t="shared" si="0"/>
        <v>0.03</v>
      </c>
      <c r="G106" s="67">
        <f t="shared" si="0"/>
        <v>20.69</v>
      </c>
      <c r="H106" s="67">
        <f t="shared" si="0"/>
        <v>6.7</v>
      </c>
      <c r="I106" s="67">
        <f t="shared" si="0"/>
        <v>1.39</v>
      </c>
      <c r="J106" s="67">
        <f t="shared" si="0"/>
        <v>0</v>
      </c>
      <c r="K106" s="67">
        <f t="shared" si="0"/>
        <v>6.56</v>
      </c>
      <c r="L106" s="67">
        <f t="shared" si="0"/>
        <v>20.99</v>
      </c>
      <c r="M106" s="67">
        <f t="shared" si="0"/>
        <v>66.56</v>
      </c>
      <c r="N106" s="67">
        <f t="shared" si="0"/>
        <v>8.9</v>
      </c>
      <c r="O106" s="67">
        <f t="shared" si="0"/>
        <v>0</v>
      </c>
      <c r="P106" s="67">
        <f t="shared" si="0"/>
        <v>0.34</v>
      </c>
      <c r="Q106" s="67">
        <f t="shared" si="0"/>
        <v>10.53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</v>
      </c>
      <c r="C107" s="66">
        <f t="shared" ref="C107:Q107" si="1">MAX(C9:C104)</f>
        <v>72.48</v>
      </c>
      <c r="D107" s="66">
        <f t="shared" si="1"/>
        <v>57.79</v>
      </c>
      <c r="E107" s="66">
        <f t="shared" si="1"/>
        <v>4.7699999999999996</v>
      </c>
      <c r="F107" s="66">
        <f t="shared" si="1"/>
        <v>35.450000000000003</v>
      </c>
      <c r="G107" s="66">
        <f t="shared" si="1"/>
        <v>102.03</v>
      </c>
      <c r="H107" s="66">
        <f t="shared" si="1"/>
        <v>28.18</v>
      </c>
      <c r="I107" s="66">
        <f t="shared" si="1"/>
        <v>1.6</v>
      </c>
      <c r="J107" s="66">
        <f t="shared" si="1"/>
        <v>1.18</v>
      </c>
      <c r="K107" s="66">
        <f t="shared" si="1"/>
        <v>359.41</v>
      </c>
      <c r="L107" s="66">
        <f t="shared" si="1"/>
        <v>30.96</v>
      </c>
      <c r="M107" s="66">
        <f t="shared" si="1"/>
        <v>98.88</v>
      </c>
      <c r="N107" s="66">
        <f t="shared" si="1"/>
        <v>803.6</v>
      </c>
      <c r="O107" s="66">
        <f t="shared" si="1"/>
        <v>0</v>
      </c>
      <c r="P107" s="66">
        <f t="shared" si="1"/>
        <v>1.4</v>
      </c>
      <c r="Q107" s="66">
        <f t="shared" si="1"/>
        <v>16.28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10.279895833333336</v>
      </c>
      <c r="C108" s="67">
        <f t="shared" ref="C108:Q108" si="2">AVERAGE(C9:C104)</f>
        <v>18.902708333333326</v>
      </c>
      <c r="D108" s="67">
        <f t="shared" si="2"/>
        <v>23.335312499999997</v>
      </c>
      <c r="E108" s="67">
        <f t="shared" si="2"/>
        <v>1.9765625000000007</v>
      </c>
      <c r="F108" s="67">
        <f t="shared" si="2"/>
        <v>4.3301041666666649</v>
      </c>
      <c r="G108" s="67">
        <f t="shared" si="2"/>
        <v>61.266979166666694</v>
      </c>
      <c r="H108" s="67">
        <f t="shared" si="2"/>
        <v>16.441979166666673</v>
      </c>
      <c r="I108" s="67">
        <f t="shared" si="2"/>
        <v>1.5046875000000008</v>
      </c>
      <c r="J108" s="67">
        <f t="shared" si="2"/>
        <v>0.26552083333333337</v>
      </c>
      <c r="K108" s="67">
        <f t="shared" si="2"/>
        <v>236.36822916666668</v>
      </c>
      <c r="L108" s="67">
        <f t="shared" si="2"/>
        <v>24.11833333333335</v>
      </c>
      <c r="M108" s="67">
        <f t="shared" si="2"/>
        <v>91.351458333333383</v>
      </c>
      <c r="N108" s="67">
        <f t="shared" si="2"/>
        <v>120.8177083333333</v>
      </c>
      <c r="O108" s="67">
        <f t="shared" si="2"/>
        <v>0</v>
      </c>
      <c r="P108" s="67">
        <f t="shared" si="2"/>
        <v>0.80197916666666658</v>
      </c>
      <c r="Q108" s="67">
        <f t="shared" si="2"/>
        <v>13.480833333333328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5.1372301557595801</v>
      </c>
      <c r="C109" s="67">
        <f t="shared" ref="C109:Q109" si="3">STDEV(C9:C104)</f>
        <v>12.291809894497082</v>
      </c>
      <c r="D109" s="67">
        <f t="shared" si="3"/>
        <v>8.7040664366085174</v>
      </c>
      <c r="E109" s="67">
        <f t="shared" si="3"/>
        <v>0.70482222935999772</v>
      </c>
      <c r="F109" s="67">
        <f t="shared" si="3"/>
        <v>6.7223726223146558</v>
      </c>
      <c r="G109" s="67">
        <f t="shared" si="3"/>
        <v>27.74541100490562</v>
      </c>
      <c r="H109" s="67">
        <f t="shared" si="3"/>
        <v>6.7396083940259075</v>
      </c>
      <c r="I109" s="67">
        <f t="shared" si="3"/>
        <v>3.6388347614384267E-2</v>
      </c>
      <c r="J109" s="67">
        <f t="shared" si="3"/>
        <v>0.26796649355220997</v>
      </c>
      <c r="K109" s="67">
        <f t="shared" si="3"/>
        <v>106.77444381789411</v>
      </c>
      <c r="L109" s="67">
        <f t="shared" si="3"/>
        <v>2.8371622837900254</v>
      </c>
      <c r="M109" s="67">
        <f t="shared" si="3"/>
        <v>9.7921301353539842</v>
      </c>
      <c r="N109" s="67">
        <f t="shared" si="3"/>
        <v>171.87779624200672</v>
      </c>
      <c r="O109" s="67">
        <f t="shared" si="3"/>
        <v>0</v>
      </c>
      <c r="P109" s="67">
        <f t="shared" si="3"/>
        <v>0.30871761851643015</v>
      </c>
      <c r="Q109" s="67">
        <f t="shared" si="3"/>
        <v>0.91143110911723157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2649</v>
      </c>
      <c r="B9" s="64">
        <v>17.89</v>
      </c>
      <c r="C9" s="64">
        <v>14.13</v>
      </c>
      <c r="D9" s="64">
        <v>23.44</v>
      </c>
      <c r="E9" s="64">
        <v>1.84</v>
      </c>
      <c r="F9" s="64">
        <v>0.81</v>
      </c>
      <c r="G9" s="64">
        <v>76.77</v>
      </c>
      <c r="H9" s="64">
        <v>17.52</v>
      </c>
      <c r="I9" s="64">
        <v>1.56</v>
      </c>
      <c r="J9" s="64">
        <v>0.09</v>
      </c>
      <c r="K9" s="64">
        <v>38.03</v>
      </c>
      <c r="L9" s="64">
        <v>21.97</v>
      </c>
      <c r="M9" s="64">
        <v>98.85</v>
      </c>
      <c r="N9" s="64">
        <v>9.1999999999999993</v>
      </c>
      <c r="O9" s="64">
        <v>0</v>
      </c>
      <c r="P9" s="64">
        <v>1.1000000000000001</v>
      </c>
      <c r="Q9" s="64">
        <v>15.21</v>
      </c>
      <c r="R9" s="198"/>
      <c r="S9" s="198"/>
      <c r="T9" s="198"/>
      <c r="U9" s="198"/>
    </row>
    <row r="10" spans="1:21" s="12" customFormat="1" x14ac:dyDescent="0.25">
      <c r="A10" s="214" t="s">
        <v>2650</v>
      </c>
      <c r="B10" s="64">
        <v>17.59</v>
      </c>
      <c r="C10" s="64">
        <v>12.82</v>
      </c>
      <c r="D10" s="64">
        <v>22.48</v>
      </c>
      <c r="E10" s="64">
        <v>1.1200000000000001</v>
      </c>
      <c r="F10" s="64">
        <v>1.19</v>
      </c>
      <c r="G10" s="64">
        <v>73.239999999999995</v>
      </c>
      <c r="H10" s="64">
        <v>15.81</v>
      </c>
      <c r="I10" s="64">
        <v>1.53</v>
      </c>
      <c r="J10" s="64">
        <v>0.04</v>
      </c>
      <c r="K10" s="64">
        <v>161.68</v>
      </c>
      <c r="L10" s="64">
        <v>21.91</v>
      </c>
      <c r="M10" s="64">
        <v>98.85</v>
      </c>
      <c r="N10" s="64">
        <v>9.3000000000000007</v>
      </c>
      <c r="O10" s="64">
        <v>0</v>
      </c>
      <c r="P10" s="64">
        <v>1.1299999999999999</v>
      </c>
      <c r="Q10" s="64">
        <v>14.78</v>
      </c>
      <c r="R10" s="198"/>
      <c r="S10" s="198"/>
      <c r="T10" s="198"/>
      <c r="U10" s="198"/>
    </row>
    <row r="11" spans="1:21" s="12" customFormat="1" x14ac:dyDescent="0.25">
      <c r="A11" s="214" t="s">
        <v>2651</v>
      </c>
      <c r="B11" s="64">
        <v>17.29</v>
      </c>
      <c r="C11" s="64">
        <v>12.49</v>
      </c>
      <c r="D11" s="64">
        <v>22.05</v>
      </c>
      <c r="E11" s="64">
        <v>1.35</v>
      </c>
      <c r="F11" s="64">
        <v>0.56999999999999995</v>
      </c>
      <c r="G11" s="64">
        <v>72.64</v>
      </c>
      <c r="H11" s="64">
        <v>15.81</v>
      </c>
      <c r="I11" s="64">
        <v>1.5</v>
      </c>
      <c r="J11" s="64">
        <v>0.04</v>
      </c>
      <c r="K11" s="64">
        <v>153.96</v>
      </c>
      <c r="L11" s="64">
        <v>21.81</v>
      </c>
      <c r="M11" s="64">
        <v>98.85</v>
      </c>
      <c r="N11" s="64">
        <v>9.1999999999999993</v>
      </c>
      <c r="O11" s="64">
        <v>0</v>
      </c>
      <c r="P11" s="64">
        <v>1.08</v>
      </c>
      <c r="Q11" s="64">
        <v>14.9</v>
      </c>
      <c r="R11" s="198"/>
      <c r="S11" s="198"/>
      <c r="T11" s="198"/>
      <c r="U11" s="198"/>
    </row>
    <row r="12" spans="1:21" s="12" customFormat="1" x14ac:dyDescent="0.25">
      <c r="A12" s="214" t="s">
        <v>2652</v>
      </c>
      <c r="B12" s="64">
        <v>16.61</v>
      </c>
      <c r="C12" s="64">
        <v>12.08</v>
      </c>
      <c r="D12" s="64">
        <v>21.28</v>
      </c>
      <c r="E12" s="64">
        <v>1.8</v>
      </c>
      <c r="F12" s="64">
        <v>1.08</v>
      </c>
      <c r="G12" s="64">
        <v>72.64</v>
      </c>
      <c r="H12" s="64">
        <v>15.81</v>
      </c>
      <c r="I12" s="64">
        <v>1.52</v>
      </c>
      <c r="J12" s="64">
        <v>0.05</v>
      </c>
      <c r="K12" s="64">
        <v>113.23</v>
      </c>
      <c r="L12" s="64">
        <v>21.94</v>
      </c>
      <c r="M12" s="64">
        <v>98.85</v>
      </c>
      <c r="N12" s="64">
        <v>9.1999999999999993</v>
      </c>
      <c r="O12" s="64">
        <v>0</v>
      </c>
      <c r="P12" s="64">
        <v>1.07</v>
      </c>
      <c r="Q12" s="64">
        <v>14.46</v>
      </c>
      <c r="R12" s="198"/>
      <c r="S12" s="198"/>
      <c r="T12" s="198"/>
      <c r="U12" s="198"/>
    </row>
    <row r="13" spans="1:21" s="12" customFormat="1" x14ac:dyDescent="0.25">
      <c r="A13" s="214" t="s">
        <v>2653</v>
      </c>
      <c r="B13" s="64">
        <v>16.12</v>
      </c>
      <c r="C13" s="64">
        <v>11.34</v>
      </c>
      <c r="D13" s="64">
        <v>20.48</v>
      </c>
      <c r="E13" s="64">
        <v>1.67</v>
      </c>
      <c r="F13" s="64">
        <v>0.32</v>
      </c>
      <c r="G13" s="64">
        <v>72.64</v>
      </c>
      <c r="H13" s="64">
        <v>15.81</v>
      </c>
      <c r="I13" s="64">
        <v>1.51</v>
      </c>
      <c r="J13" s="64">
        <v>0.26</v>
      </c>
      <c r="K13" s="64">
        <v>338.12</v>
      </c>
      <c r="L13" s="64">
        <v>22.06</v>
      </c>
      <c r="M13" s="64">
        <v>98.85</v>
      </c>
      <c r="N13" s="64">
        <v>9.1999999999999993</v>
      </c>
      <c r="O13" s="64">
        <v>0</v>
      </c>
      <c r="P13" s="64">
        <v>0.99</v>
      </c>
      <c r="Q13" s="64">
        <v>14.63</v>
      </c>
      <c r="R13" s="198"/>
      <c r="S13" s="198"/>
      <c r="T13" s="198"/>
      <c r="U13" s="198"/>
    </row>
    <row r="14" spans="1:21" s="12" customFormat="1" x14ac:dyDescent="0.25">
      <c r="A14" s="214" t="s">
        <v>2654</v>
      </c>
      <c r="B14" s="64">
        <v>15.37</v>
      </c>
      <c r="C14" s="64">
        <v>10.9</v>
      </c>
      <c r="D14" s="64">
        <v>19.64</v>
      </c>
      <c r="E14" s="64">
        <v>1.87</v>
      </c>
      <c r="F14" s="64">
        <v>1.24</v>
      </c>
      <c r="G14" s="64">
        <v>65.709999999999994</v>
      </c>
      <c r="H14" s="64">
        <v>15.24</v>
      </c>
      <c r="I14" s="64">
        <v>1.53</v>
      </c>
      <c r="J14" s="64">
        <v>0.28000000000000003</v>
      </c>
      <c r="K14" s="64">
        <v>329.05</v>
      </c>
      <c r="L14" s="64">
        <v>22.08</v>
      </c>
      <c r="M14" s="64">
        <v>98.85</v>
      </c>
      <c r="N14" s="64">
        <v>9.1999999999999993</v>
      </c>
      <c r="O14" s="64">
        <v>0</v>
      </c>
      <c r="P14" s="64">
        <v>0.99</v>
      </c>
      <c r="Q14" s="64">
        <v>14.25</v>
      </c>
      <c r="R14" s="198"/>
      <c r="S14" s="198"/>
      <c r="T14" s="198"/>
      <c r="U14" s="198"/>
    </row>
    <row r="15" spans="1:21" s="12" customFormat="1" x14ac:dyDescent="0.25">
      <c r="A15" s="214" t="s">
        <v>2655</v>
      </c>
      <c r="B15" s="64">
        <v>13.92</v>
      </c>
      <c r="C15" s="64">
        <v>12.22</v>
      </c>
      <c r="D15" s="64">
        <v>19.2</v>
      </c>
      <c r="E15" s="64">
        <v>1.35</v>
      </c>
      <c r="F15" s="64">
        <v>1.79</v>
      </c>
      <c r="G15" s="64">
        <v>64.540000000000006</v>
      </c>
      <c r="H15" s="64">
        <v>15.24</v>
      </c>
      <c r="I15" s="64">
        <v>1.55</v>
      </c>
      <c r="J15" s="64">
        <v>0.13</v>
      </c>
      <c r="K15" s="64">
        <v>312.41000000000003</v>
      </c>
      <c r="L15" s="64">
        <v>22.09</v>
      </c>
      <c r="M15" s="64">
        <v>98.85</v>
      </c>
      <c r="N15" s="64">
        <v>9.4</v>
      </c>
      <c r="O15" s="64">
        <v>0</v>
      </c>
      <c r="P15" s="64">
        <v>0.87</v>
      </c>
      <c r="Q15" s="64">
        <v>14.83</v>
      </c>
      <c r="R15" s="198"/>
      <c r="S15" s="198"/>
      <c r="T15" s="198"/>
      <c r="U15" s="198"/>
    </row>
    <row r="16" spans="1:21" s="12" customFormat="1" x14ac:dyDescent="0.25">
      <c r="A16" s="214" t="s">
        <v>2656</v>
      </c>
      <c r="B16" s="64">
        <v>11.37</v>
      </c>
      <c r="C16" s="64">
        <v>15.47</v>
      </c>
      <c r="D16" s="64">
        <v>18.95</v>
      </c>
      <c r="E16" s="64">
        <v>1.04</v>
      </c>
      <c r="F16" s="64">
        <v>3.14</v>
      </c>
      <c r="G16" s="64">
        <v>64.540000000000006</v>
      </c>
      <c r="H16" s="64">
        <v>15.24</v>
      </c>
      <c r="I16" s="64">
        <v>1.49</v>
      </c>
      <c r="J16" s="64">
        <v>0.24</v>
      </c>
      <c r="K16" s="64">
        <v>314.49</v>
      </c>
      <c r="L16" s="64">
        <v>22.09</v>
      </c>
      <c r="M16" s="64">
        <v>98.85</v>
      </c>
      <c r="N16" s="64">
        <v>9.3000000000000007</v>
      </c>
      <c r="O16" s="64">
        <v>0</v>
      </c>
      <c r="P16" s="64">
        <v>0.84</v>
      </c>
      <c r="Q16" s="64">
        <v>15.16</v>
      </c>
      <c r="R16" s="198"/>
      <c r="S16" s="198"/>
      <c r="T16" s="198"/>
      <c r="U16" s="198"/>
    </row>
    <row r="17" spans="1:21" s="12" customFormat="1" x14ac:dyDescent="0.25">
      <c r="A17" s="214" t="s">
        <v>2657</v>
      </c>
      <c r="B17" s="64">
        <v>12.43</v>
      </c>
      <c r="C17" s="64">
        <v>13.5</v>
      </c>
      <c r="D17" s="64">
        <v>18.71</v>
      </c>
      <c r="E17" s="64">
        <v>1.35</v>
      </c>
      <c r="F17" s="64">
        <v>1.87</v>
      </c>
      <c r="G17" s="64">
        <v>64.540000000000006</v>
      </c>
      <c r="H17" s="64">
        <v>15.24</v>
      </c>
      <c r="I17" s="64">
        <v>1.61</v>
      </c>
      <c r="J17" s="64">
        <v>0.06</v>
      </c>
      <c r="K17" s="64">
        <v>12.06</v>
      </c>
      <c r="L17" s="64">
        <v>22.09</v>
      </c>
      <c r="M17" s="64">
        <v>98.85</v>
      </c>
      <c r="N17" s="64">
        <v>9.4</v>
      </c>
      <c r="O17" s="64">
        <v>0</v>
      </c>
      <c r="P17" s="64">
        <v>0.8</v>
      </c>
      <c r="Q17" s="64">
        <v>15.24</v>
      </c>
      <c r="R17" s="198"/>
      <c r="S17" s="198"/>
      <c r="T17" s="198"/>
      <c r="U17" s="198"/>
    </row>
    <row r="18" spans="1:21" s="12" customFormat="1" x14ac:dyDescent="0.25">
      <c r="A18" s="214" t="s">
        <v>2658</v>
      </c>
      <c r="B18" s="64">
        <v>10.36</v>
      </c>
      <c r="C18" s="64">
        <v>16.440000000000001</v>
      </c>
      <c r="D18" s="64">
        <v>18.670000000000002</v>
      </c>
      <c r="E18" s="64">
        <v>1.17</v>
      </c>
      <c r="F18" s="64">
        <v>2.62</v>
      </c>
      <c r="G18" s="64">
        <v>61.19</v>
      </c>
      <c r="H18" s="64">
        <v>14.49</v>
      </c>
      <c r="I18" s="64">
        <v>1.5</v>
      </c>
      <c r="J18" s="64">
        <v>0.05</v>
      </c>
      <c r="K18" s="64">
        <v>7.17</v>
      </c>
      <c r="L18" s="64">
        <v>22.1</v>
      </c>
      <c r="M18" s="64">
        <v>98.85</v>
      </c>
      <c r="N18" s="64">
        <v>9.1999999999999993</v>
      </c>
      <c r="O18" s="64">
        <v>0</v>
      </c>
      <c r="P18" s="64">
        <v>0.79</v>
      </c>
      <c r="Q18" s="64">
        <v>15.16</v>
      </c>
      <c r="R18" s="198"/>
      <c r="S18" s="198"/>
      <c r="T18" s="198"/>
      <c r="U18" s="198"/>
    </row>
    <row r="19" spans="1:21" s="12" customFormat="1" x14ac:dyDescent="0.25">
      <c r="A19" s="214" t="s">
        <v>2659</v>
      </c>
      <c r="B19" s="64">
        <v>10.42</v>
      </c>
      <c r="C19" s="64">
        <v>17.64</v>
      </c>
      <c r="D19" s="64">
        <v>19.38</v>
      </c>
      <c r="E19" s="64">
        <v>1.52</v>
      </c>
      <c r="F19" s="64">
        <v>2.81</v>
      </c>
      <c r="G19" s="64">
        <v>60.58</v>
      </c>
      <c r="H19" s="64">
        <v>14.49</v>
      </c>
      <c r="I19" s="64">
        <v>1.55</v>
      </c>
      <c r="J19" s="64">
        <v>0.03</v>
      </c>
      <c r="K19" s="64">
        <v>284.5</v>
      </c>
      <c r="L19" s="64">
        <v>21.97</v>
      </c>
      <c r="M19" s="64">
        <v>98.85</v>
      </c>
      <c r="N19" s="64">
        <v>9.3000000000000007</v>
      </c>
      <c r="O19" s="64">
        <v>0</v>
      </c>
      <c r="P19" s="64">
        <v>0.61</v>
      </c>
      <c r="Q19" s="64">
        <v>15.47</v>
      </c>
      <c r="R19" s="198"/>
      <c r="S19" s="198"/>
      <c r="T19" s="198"/>
      <c r="U19" s="198"/>
    </row>
    <row r="20" spans="1:21" s="12" customFormat="1" x14ac:dyDescent="0.25">
      <c r="A20" s="214" t="s">
        <v>2660</v>
      </c>
      <c r="B20" s="64">
        <v>11.78</v>
      </c>
      <c r="C20" s="64">
        <v>14.11</v>
      </c>
      <c r="D20" s="64">
        <v>18.53</v>
      </c>
      <c r="E20" s="64">
        <v>1.51</v>
      </c>
      <c r="F20" s="64">
        <v>0.79</v>
      </c>
      <c r="G20" s="64">
        <v>60.58</v>
      </c>
      <c r="H20" s="64">
        <v>14.49</v>
      </c>
      <c r="I20" s="64">
        <v>1.52</v>
      </c>
      <c r="J20" s="64">
        <v>0.08</v>
      </c>
      <c r="K20" s="64">
        <v>142</v>
      </c>
      <c r="L20" s="64">
        <v>21.84</v>
      </c>
      <c r="M20" s="64">
        <v>98.88</v>
      </c>
      <c r="N20" s="64">
        <v>9.4</v>
      </c>
      <c r="O20" s="64">
        <v>0</v>
      </c>
      <c r="P20" s="64">
        <v>0.88</v>
      </c>
      <c r="Q20" s="64">
        <v>14.9</v>
      </c>
      <c r="R20" s="198"/>
      <c r="S20" s="198"/>
      <c r="T20" s="198"/>
      <c r="U20" s="198"/>
    </row>
    <row r="21" spans="1:21" s="12" customFormat="1" x14ac:dyDescent="0.25">
      <c r="A21" s="214" t="s">
        <v>2661</v>
      </c>
      <c r="B21" s="64">
        <v>11.86</v>
      </c>
      <c r="C21" s="64">
        <v>12.46</v>
      </c>
      <c r="D21" s="64">
        <v>17.68</v>
      </c>
      <c r="E21" s="64">
        <v>1.47</v>
      </c>
      <c r="F21" s="64">
        <v>0.31</v>
      </c>
      <c r="G21" s="64">
        <v>60.58</v>
      </c>
      <c r="H21" s="64">
        <v>14.49</v>
      </c>
      <c r="I21" s="64">
        <v>1.52</v>
      </c>
      <c r="J21" s="64">
        <v>0.13</v>
      </c>
      <c r="K21" s="64">
        <v>182.75</v>
      </c>
      <c r="L21" s="64">
        <v>21.78</v>
      </c>
      <c r="M21" s="64">
        <v>98.88</v>
      </c>
      <c r="N21" s="64">
        <v>9.1</v>
      </c>
      <c r="O21" s="64">
        <v>0</v>
      </c>
      <c r="P21" s="64">
        <v>0.78</v>
      </c>
      <c r="Q21" s="64">
        <v>15.18</v>
      </c>
      <c r="R21" s="198"/>
      <c r="S21" s="198"/>
      <c r="T21" s="198"/>
      <c r="U21" s="198"/>
    </row>
    <row r="22" spans="1:21" s="12" customFormat="1" x14ac:dyDescent="0.25">
      <c r="A22" s="214" t="s">
        <v>2662</v>
      </c>
      <c r="B22" s="64">
        <v>11.89</v>
      </c>
      <c r="C22" s="64">
        <v>11.18</v>
      </c>
      <c r="D22" s="64">
        <v>17</v>
      </c>
      <c r="E22" s="64">
        <v>1.5</v>
      </c>
      <c r="F22" s="64">
        <v>0.74</v>
      </c>
      <c r="G22" s="64">
        <v>54.3</v>
      </c>
      <c r="H22" s="64">
        <v>14.71</v>
      </c>
      <c r="I22" s="64">
        <v>1.46</v>
      </c>
      <c r="J22" s="64">
        <v>7.0000000000000007E-2</v>
      </c>
      <c r="K22" s="64">
        <v>190.76</v>
      </c>
      <c r="L22" s="64">
        <v>21.79</v>
      </c>
      <c r="M22" s="64">
        <v>98.88</v>
      </c>
      <c r="N22" s="64">
        <v>9.1999999999999993</v>
      </c>
      <c r="O22" s="64">
        <v>0</v>
      </c>
      <c r="P22" s="64">
        <v>0.82</v>
      </c>
      <c r="Q22" s="64">
        <v>14.49</v>
      </c>
      <c r="R22" s="198"/>
      <c r="S22" s="198"/>
      <c r="T22" s="198"/>
      <c r="U22" s="198"/>
    </row>
    <row r="23" spans="1:21" s="12" customFormat="1" x14ac:dyDescent="0.25">
      <c r="A23" s="214" t="s">
        <v>2663</v>
      </c>
      <c r="B23" s="64">
        <v>11.91</v>
      </c>
      <c r="C23" s="64">
        <v>10.37</v>
      </c>
      <c r="D23" s="64">
        <v>16.57</v>
      </c>
      <c r="E23" s="64">
        <v>1.55</v>
      </c>
      <c r="F23" s="64">
        <v>0.17</v>
      </c>
      <c r="G23" s="64">
        <v>53.24</v>
      </c>
      <c r="H23" s="64">
        <v>14.71</v>
      </c>
      <c r="I23" s="64">
        <v>1.55</v>
      </c>
      <c r="J23" s="64">
        <v>7.0000000000000007E-2</v>
      </c>
      <c r="K23" s="64">
        <v>213.45</v>
      </c>
      <c r="L23" s="64">
        <v>21.75</v>
      </c>
      <c r="M23" s="64">
        <v>98.88</v>
      </c>
      <c r="N23" s="64">
        <v>9.1999999999999993</v>
      </c>
      <c r="O23" s="64">
        <v>0</v>
      </c>
      <c r="P23" s="64">
        <v>0.78</v>
      </c>
      <c r="Q23" s="64">
        <v>14.69</v>
      </c>
      <c r="R23" s="198"/>
      <c r="S23" s="198"/>
      <c r="T23" s="198"/>
      <c r="U23" s="198"/>
    </row>
    <row r="24" spans="1:21" s="12" customFormat="1" x14ac:dyDescent="0.25">
      <c r="A24" s="214" t="s">
        <v>2664</v>
      </c>
      <c r="B24" s="64">
        <v>11.73</v>
      </c>
      <c r="C24" s="64">
        <v>9.41</v>
      </c>
      <c r="D24" s="64">
        <v>15.89</v>
      </c>
      <c r="E24" s="64">
        <v>0.36</v>
      </c>
      <c r="F24" s="64">
        <v>0.86</v>
      </c>
      <c r="G24" s="64">
        <v>53.24</v>
      </c>
      <c r="H24" s="64">
        <v>14.71</v>
      </c>
      <c r="I24" s="64">
        <v>1.46</v>
      </c>
      <c r="J24" s="64">
        <v>7.0000000000000007E-2</v>
      </c>
      <c r="K24" s="64">
        <v>156.94</v>
      </c>
      <c r="L24" s="64">
        <v>21.73</v>
      </c>
      <c r="M24" s="64">
        <v>98.88</v>
      </c>
      <c r="N24" s="64">
        <v>9.1</v>
      </c>
      <c r="O24" s="64">
        <v>0</v>
      </c>
      <c r="P24" s="64">
        <v>0.79</v>
      </c>
      <c r="Q24" s="64">
        <v>14.1</v>
      </c>
      <c r="R24" s="198"/>
      <c r="S24" s="198"/>
      <c r="T24" s="198"/>
      <c r="U24" s="198"/>
    </row>
    <row r="25" spans="1:21" s="12" customFormat="1" x14ac:dyDescent="0.25">
      <c r="A25" s="214" t="s">
        <v>2665</v>
      </c>
      <c r="B25" s="64">
        <v>11.37</v>
      </c>
      <c r="C25" s="64">
        <v>9.94</v>
      </c>
      <c r="D25" s="64">
        <v>15.89</v>
      </c>
      <c r="E25" s="64">
        <v>0.92</v>
      </c>
      <c r="F25" s="64">
        <v>0.38</v>
      </c>
      <c r="G25" s="64">
        <v>53.24</v>
      </c>
      <c r="H25" s="64">
        <v>14.71</v>
      </c>
      <c r="I25" s="64">
        <v>1.44</v>
      </c>
      <c r="J25" s="64">
        <v>0.04</v>
      </c>
      <c r="K25" s="64">
        <v>196.39</v>
      </c>
      <c r="L25" s="64">
        <v>21.79</v>
      </c>
      <c r="M25" s="64">
        <v>98.88</v>
      </c>
      <c r="N25" s="64">
        <v>9.1999999999999993</v>
      </c>
      <c r="O25" s="64">
        <v>0</v>
      </c>
      <c r="P25" s="64">
        <v>0.75</v>
      </c>
      <c r="Q25" s="64">
        <v>14.55</v>
      </c>
      <c r="R25" s="198"/>
      <c r="S25" s="198"/>
      <c r="T25" s="198"/>
      <c r="U25" s="198"/>
    </row>
    <row r="26" spans="1:21" s="12" customFormat="1" x14ac:dyDescent="0.25">
      <c r="A26" s="214" t="s">
        <v>2666</v>
      </c>
      <c r="B26" s="64">
        <v>10.93</v>
      </c>
      <c r="C26" s="64">
        <v>10.08</v>
      </c>
      <c r="D26" s="64">
        <v>15.62</v>
      </c>
      <c r="E26" s="64">
        <v>1.31</v>
      </c>
      <c r="F26" s="64">
        <v>0.46</v>
      </c>
      <c r="G26" s="64">
        <v>48.55</v>
      </c>
      <c r="H26" s="64">
        <v>13.73</v>
      </c>
      <c r="I26" s="64">
        <v>1.52</v>
      </c>
      <c r="J26" s="64">
        <v>0.05</v>
      </c>
      <c r="K26" s="64">
        <v>286.2</v>
      </c>
      <c r="L26" s="64">
        <v>21.83</v>
      </c>
      <c r="M26" s="64">
        <v>98.88</v>
      </c>
      <c r="N26" s="64">
        <v>9.3000000000000007</v>
      </c>
      <c r="O26" s="64">
        <v>0</v>
      </c>
      <c r="P26" s="64">
        <v>0.74</v>
      </c>
      <c r="Q26" s="64">
        <v>13.86</v>
      </c>
      <c r="R26" s="198"/>
      <c r="S26" s="198"/>
      <c r="T26" s="198"/>
      <c r="U26" s="198"/>
    </row>
    <row r="27" spans="1:21" s="12" customFormat="1" x14ac:dyDescent="0.25">
      <c r="A27" s="214" t="s">
        <v>2667</v>
      </c>
      <c r="B27" s="64">
        <v>10.41</v>
      </c>
      <c r="C27" s="64">
        <v>11.58</v>
      </c>
      <c r="D27" s="64">
        <v>16.03</v>
      </c>
      <c r="E27" s="64">
        <v>0.55000000000000004</v>
      </c>
      <c r="F27" s="64">
        <v>0.94</v>
      </c>
      <c r="G27" s="64">
        <v>47.76</v>
      </c>
      <c r="H27" s="64">
        <v>13.73</v>
      </c>
      <c r="I27" s="64">
        <v>1.46</v>
      </c>
      <c r="J27" s="64">
        <v>0.05</v>
      </c>
      <c r="K27" s="64">
        <v>286.2</v>
      </c>
      <c r="L27" s="64">
        <v>21.88</v>
      </c>
      <c r="M27" s="64">
        <v>98.89</v>
      </c>
      <c r="N27" s="64">
        <v>9.1999999999999993</v>
      </c>
      <c r="O27" s="64">
        <v>0</v>
      </c>
      <c r="P27" s="64">
        <v>0.68</v>
      </c>
      <c r="Q27" s="64">
        <v>14.96</v>
      </c>
      <c r="R27" s="198"/>
      <c r="S27" s="198"/>
      <c r="T27" s="198"/>
      <c r="U27" s="198"/>
    </row>
    <row r="28" spans="1:21" s="12" customFormat="1" x14ac:dyDescent="0.25">
      <c r="A28" s="214" t="s">
        <v>2668</v>
      </c>
      <c r="B28" s="64">
        <v>13.48</v>
      </c>
      <c r="C28" s="64">
        <v>19.34</v>
      </c>
      <c r="D28" s="64">
        <v>22.78</v>
      </c>
      <c r="E28" s="64">
        <v>0.28000000000000003</v>
      </c>
      <c r="F28" s="64">
        <v>1.74</v>
      </c>
      <c r="G28" s="64">
        <v>47.76</v>
      </c>
      <c r="H28" s="64">
        <v>13.73</v>
      </c>
      <c r="I28" s="64">
        <v>1.46</v>
      </c>
      <c r="J28" s="64">
        <v>0.06</v>
      </c>
      <c r="K28" s="64">
        <v>301.45</v>
      </c>
      <c r="L28" s="64">
        <v>21.92</v>
      </c>
      <c r="M28" s="64">
        <v>98.89</v>
      </c>
      <c r="N28" s="64">
        <v>9.1</v>
      </c>
      <c r="O28" s="64">
        <v>0</v>
      </c>
      <c r="P28" s="64">
        <v>0.63</v>
      </c>
      <c r="Q28" s="64">
        <v>14.98</v>
      </c>
      <c r="R28" s="198"/>
      <c r="S28" s="198"/>
      <c r="T28" s="198"/>
      <c r="U28" s="198"/>
    </row>
    <row r="29" spans="1:21" s="12" customFormat="1" x14ac:dyDescent="0.25">
      <c r="A29" s="214" t="s">
        <v>2669</v>
      </c>
      <c r="B29" s="64">
        <v>11.14</v>
      </c>
      <c r="C29" s="64">
        <v>13.41</v>
      </c>
      <c r="D29" s="64">
        <v>17.63</v>
      </c>
      <c r="E29" s="64">
        <v>1.1499999999999999</v>
      </c>
      <c r="F29" s="64">
        <v>1.4</v>
      </c>
      <c r="G29" s="64">
        <v>47.76</v>
      </c>
      <c r="H29" s="64">
        <v>13.73</v>
      </c>
      <c r="I29" s="64">
        <v>1.51</v>
      </c>
      <c r="J29" s="64">
        <v>0.16</v>
      </c>
      <c r="K29" s="64">
        <v>112.55</v>
      </c>
      <c r="L29" s="64">
        <v>21.97</v>
      </c>
      <c r="M29" s="64">
        <v>98.9</v>
      </c>
      <c r="N29" s="64">
        <v>9.3000000000000007</v>
      </c>
      <c r="O29" s="64">
        <v>0</v>
      </c>
      <c r="P29" s="64">
        <v>0.69</v>
      </c>
      <c r="Q29" s="64">
        <v>15.51</v>
      </c>
      <c r="R29" s="198"/>
      <c r="S29" s="198"/>
      <c r="T29" s="198"/>
      <c r="U29" s="198"/>
    </row>
    <row r="30" spans="1:21" s="12" customFormat="1" x14ac:dyDescent="0.25">
      <c r="A30" s="214" t="s">
        <v>2670</v>
      </c>
      <c r="B30" s="64">
        <v>7.88</v>
      </c>
      <c r="C30" s="64">
        <v>16.920000000000002</v>
      </c>
      <c r="D30" s="64">
        <v>16.95</v>
      </c>
      <c r="E30" s="64">
        <v>0.93</v>
      </c>
      <c r="F30" s="64">
        <v>1.8</v>
      </c>
      <c r="G30" s="64">
        <v>47.74</v>
      </c>
      <c r="H30" s="64">
        <v>14.81</v>
      </c>
      <c r="I30" s="64">
        <v>1.45</v>
      </c>
      <c r="J30" s="64">
        <v>7.0000000000000007E-2</v>
      </c>
      <c r="K30" s="64">
        <v>214.37</v>
      </c>
      <c r="L30" s="64">
        <v>21.92</v>
      </c>
      <c r="M30" s="64">
        <v>98.88</v>
      </c>
      <c r="N30" s="64">
        <v>9.3000000000000007</v>
      </c>
      <c r="O30" s="64">
        <v>0</v>
      </c>
      <c r="P30" s="64">
        <v>0.62</v>
      </c>
      <c r="Q30" s="64">
        <v>15.82</v>
      </c>
      <c r="R30" s="198"/>
      <c r="S30" s="198"/>
      <c r="T30" s="198"/>
      <c r="U30" s="198"/>
    </row>
    <row r="31" spans="1:21" s="12" customFormat="1" x14ac:dyDescent="0.25">
      <c r="A31" s="214" t="s">
        <v>2671</v>
      </c>
      <c r="B31" s="64">
        <v>9.48</v>
      </c>
      <c r="C31" s="64">
        <v>15.58</v>
      </c>
      <c r="D31" s="64">
        <v>17.5</v>
      </c>
      <c r="E31" s="64">
        <v>1.24</v>
      </c>
      <c r="F31" s="64">
        <v>0.87</v>
      </c>
      <c r="G31" s="64">
        <v>47.74</v>
      </c>
      <c r="H31" s="64">
        <v>14.81</v>
      </c>
      <c r="I31" s="64">
        <v>1.6</v>
      </c>
      <c r="J31" s="64">
        <v>0.03</v>
      </c>
      <c r="K31" s="64">
        <v>205.34</v>
      </c>
      <c r="L31" s="64">
        <v>21.95</v>
      </c>
      <c r="M31" s="64">
        <v>98.89</v>
      </c>
      <c r="N31" s="64">
        <v>10.199999999999999</v>
      </c>
      <c r="O31" s="64">
        <v>0</v>
      </c>
      <c r="P31" s="64">
        <v>0.65</v>
      </c>
      <c r="Q31" s="64">
        <v>15.94</v>
      </c>
      <c r="R31" s="198"/>
      <c r="S31" s="198"/>
      <c r="T31" s="198"/>
      <c r="U31" s="198"/>
    </row>
    <row r="32" spans="1:21" s="12" customFormat="1" x14ac:dyDescent="0.25">
      <c r="A32" s="214" t="s">
        <v>2672</v>
      </c>
      <c r="B32" s="64">
        <v>11.31</v>
      </c>
      <c r="C32" s="64">
        <v>12.38</v>
      </c>
      <c r="D32" s="64">
        <v>17.2</v>
      </c>
      <c r="E32" s="64">
        <v>1.1399999999999999</v>
      </c>
      <c r="F32" s="64">
        <v>0.16</v>
      </c>
      <c r="G32" s="64">
        <v>47.74</v>
      </c>
      <c r="H32" s="64">
        <v>14.81</v>
      </c>
      <c r="I32" s="64">
        <v>1.43</v>
      </c>
      <c r="J32" s="64">
        <v>0.13</v>
      </c>
      <c r="K32" s="64">
        <v>343.43</v>
      </c>
      <c r="L32" s="64">
        <v>21.97</v>
      </c>
      <c r="M32" s="64">
        <v>98.89</v>
      </c>
      <c r="N32" s="64">
        <v>17.100000000000001</v>
      </c>
      <c r="O32" s="64">
        <v>0</v>
      </c>
      <c r="P32" s="64">
        <v>0.71</v>
      </c>
      <c r="Q32" s="64">
        <v>15.42</v>
      </c>
      <c r="R32" s="198"/>
      <c r="S32" s="198"/>
      <c r="T32" s="198"/>
      <c r="U32" s="198"/>
    </row>
    <row r="33" spans="1:21" s="12" customFormat="1" x14ac:dyDescent="0.25">
      <c r="A33" s="214" t="s">
        <v>2673</v>
      </c>
      <c r="B33" s="64">
        <v>14.43</v>
      </c>
      <c r="C33" s="64">
        <v>11.45</v>
      </c>
      <c r="D33" s="64">
        <v>19.18</v>
      </c>
      <c r="E33" s="64">
        <v>1.28</v>
      </c>
      <c r="F33" s="64">
        <v>0.67</v>
      </c>
      <c r="G33" s="64">
        <v>47.74</v>
      </c>
      <c r="H33" s="64">
        <v>14.81</v>
      </c>
      <c r="I33" s="64">
        <v>1.5</v>
      </c>
      <c r="J33" s="64">
        <v>0.19</v>
      </c>
      <c r="K33" s="64">
        <v>339.84</v>
      </c>
      <c r="L33" s="64">
        <v>22.04</v>
      </c>
      <c r="M33" s="64">
        <v>98.87</v>
      </c>
      <c r="N33" s="64">
        <v>32.299999999999997</v>
      </c>
      <c r="O33" s="64">
        <v>0</v>
      </c>
      <c r="P33" s="64">
        <v>0.72</v>
      </c>
      <c r="Q33" s="64">
        <v>15.32</v>
      </c>
      <c r="R33" s="198"/>
      <c r="S33" s="198"/>
      <c r="T33" s="198"/>
      <c r="U33" s="198"/>
    </row>
    <row r="34" spans="1:21" s="12" customFormat="1" x14ac:dyDescent="0.25">
      <c r="A34" s="214" t="s">
        <v>2674</v>
      </c>
      <c r="B34" s="64">
        <v>14.98</v>
      </c>
      <c r="C34" s="64">
        <v>12.06</v>
      </c>
      <c r="D34" s="64">
        <v>19.96</v>
      </c>
      <c r="E34" s="64">
        <v>1.46</v>
      </c>
      <c r="F34" s="64">
        <v>0.62</v>
      </c>
      <c r="G34" s="64">
        <v>53</v>
      </c>
      <c r="H34" s="64">
        <v>16.04</v>
      </c>
      <c r="I34" s="64">
        <v>1.57</v>
      </c>
      <c r="J34" s="64">
        <v>0.26</v>
      </c>
      <c r="K34" s="64">
        <v>333.87</v>
      </c>
      <c r="L34" s="64">
        <v>22.35</v>
      </c>
      <c r="M34" s="64">
        <v>98.85</v>
      </c>
      <c r="N34" s="64">
        <v>48.8</v>
      </c>
      <c r="O34" s="64">
        <v>0</v>
      </c>
      <c r="P34" s="64">
        <v>0.74</v>
      </c>
      <c r="Q34" s="64">
        <v>15.06</v>
      </c>
      <c r="R34" s="198"/>
      <c r="S34" s="198"/>
      <c r="T34" s="198"/>
      <c r="U34" s="198"/>
    </row>
    <row r="35" spans="1:21" s="12" customFormat="1" x14ac:dyDescent="0.25">
      <c r="A35" s="214" t="s">
        <v>2675</v>
      </c>
      <c r="B35" s="64">
        <v>15.85</v>
      </c>
      <c r="C35" s="64">
        <v>11.64</v>
      </c>
      <c r="D35" s="64">
        <v>20.43</v>
      </c>
      <c r="E35" s="64">
        <v>1.02</v>
      </c>
      <c r="F35" s="64">
        <v>0.81</v>
      </c>
      <c r="G35" s="64">
        <v>53.88</v>
      </c>
      <c r="H35" s="64">
        <v>16.04</v>
      </c>
      <c r="I35" s="64">
        <v>1.51</v>
      </c>
      <c r="J35" s="64">
        <v>0.4</v>
      </c>
      <c r="K35" s="64">
        <v>321.91000000000003</v>
      </c>
      <c r="L35" s="64">
        <v>23.12</v>
      </c>
      <c r="M35" s="64">
        <v>98.83</v>
      </c>
      <c r="N35" s="64">
        <v>92.6</v>
      </c>
      <c r="O35" s="64">
        <v>0</v>
      </c>
      <c r="P35" s="64">
        <v>0.73</v>
      </c>
      <c r="Q35" s="64">
        <v>15.04</v>
      </c>
      <c r="R35" s="198"/>
      <c r="S35" s="198"/>
      <c r="T35" s="198"/>
      <c r="U35" s="198"/>
    </row>
    <row r="36" spans="1:21" s="12" customFormat="1" x14ac:dyDescent="0.25">
      <c r="A36" s="214" t="s">
        <v>2676</v>
      </c>
      <c r="B36" s="64">
        <v>15.97</v>
      </c>
      <c r="C36" s="64">
        <v>10.82</v>
      </c>
      <c r="D36" s="64">
        <v>20.07</v>
      </c>
      <c r="E36" s="64">
        <v>1.2</v>
      </c>
      <c r="F36" s="64">
        <v>0.62</v>
      </c>
      <c r="G36" s="64">
        <v>53.88</v>
      </c>
      <c r="H36" s="64">
        <v>16.04</v>
      </c>
      <c r="I36" s="64">
        <v>1.4</v>
      </c>
      <c r="J36" s="64">
        <v>0.52</v>
      </c>
      <c r="K36" s="64">
        <v>326.58</v>
      </c>
      <c r="L36" s="64">
        <v>24.29</v>
      </c>
      <c r="M36" s="64">
        <v>95.36</v>
      </c>
      <c r="N36" s="64">
        <v>131.5</v>
      </c>
      <c r="O36" s="64">
        <v>0</v>
      </c>
      <c r="P36" s="64">
        <v>0.75</v>
      </c>
      <c r="Q36" s="64">
        <v>15.01</v>
      </c>
      <c r="R36" s="198"/>
      <c r="S36" s="198"/>
      <c r="T36" s="198"/>
      <c r="U36" s="198"/>
    </row>
    <row r="37" spans="1:21" s="12" customFormat="1" x14ac:dyDescent="0.25">
      <c r="A37" s="214" t="s">
        <v>2677</v>
      </c>
      <c r="B37" s="64">
        <v>16.54</v>
      </c>
      <c r="C37" s="64">
        <v>11.55</v>
      </c>
      <c r="D37" s="64">
        <v>20.92</v>
      </c>
      <c r="E37" s="64">
        <v>0.69</v>
      </c>
      <c r="F37" s="64">
        <v>0.8</v>
      </c>
      <c r="G37" s="64">
        <v>53.88</v>
      </c>
      <c r="H37" s="64">
        <v>16.04</v>
      </c>
      <c r="I37" s="64">
        <v>1.5</v>
      </c>
      <c r="J37" s="64">
        <v>0.44</v>
      </c>
      <c r="K37" s="64">
        <v>339.77</v>
      </c>
      <c r="L37" s="64">
        <v>25.41</v>
      </c>
      <c r="M37" s="64">
        <v>89.8</v>
      </c>
      <c r="N37" s="64">
        <v>167.1</v>
      </c>
      <c r="O37" s="64">
        <v>0</v>
      </c>
      <c r="P37" s="64">
        <v>0.8</v>
      </c>
      <c r="Q37" s="64">
        <v>14.84</v>
      </c>
      <c r="R37" s="198"/>
      <c r="S37" s="198"/>
      <c r="T37" s="198"/>
      <c r="U37" s="198"/>
    </row>
    <row r="38" spans="1:21" s="12" customFormat="1" x14ac:dyDescent="0.25">
      <c r="A38" s="214" t="s">
        <v>2678</v>
      </c>
      <c r="B38" s="64">
        <v>16.989999999999998</v>
      </c>
      <c r="C38" s="64">
        <v>10.92</v>
      </c>
      <c r="D38" s="64">
        <v>20.94</v>
      </c>
      <c r="E38" s="64">
        <v>0.95</v>
      </c>
      <c r="F38" s="64">
        <v>1.02</v>
      </c>
      <c r="G38" s="64">
        <v>70.22</v>
      </c>
      <c r="H38" s="64">
        <v>17.66</v>
      </c>
      <c r="I38" s="64">
        <v>1.52</v>
      </c>
      <c r="J38" s="64">
        <v>0.39</v>
      </c>
      <c r="K38" s="64">
        <v>337.4</v>
      </c>
      <c r="L38" s="64">
        <v>26.07</v>
      </c>
      <c r="M38" s="64">
        <v>87.67</v>
      </c>
      <c r="N38" s="64">
        <v>232.8</v>
      </c>
      <c r="O38" s="64">
        <v>0</v>
      </c>
      <c r="P38" s="64">
        <v>0.87</v>
      </c>
      <c r="Q38" s="64">
        <v>14.5</v>
      </c>
      <c r="R38" s="198"/>
      <c r="S38" s="198"/>
      <c r="T38" s="198"/>
      <c r="U38" s="198"/>
    </row>
    <row r="39" spans="1:21" s="12" customFormat="1" x14ac:dyDescent="0.25">
      <c r="A39" s="214" t="s">
        <v>2679</v>
      </c>
      <c r="B39" s="64">
        <v>23.54</v>
      </c>
      <c r="C39" s="64">
        <v>23.59</v>
      </c>
      <c r="D39" s="64">
        <v>33.19</v>
      </c>
      <c r="E39" s="64">
        <v>1.0900000000000001</v>
      </c>
      <c r="F39" s="64">
        <v>2.19</v>
      </c>
      <c r="G39" s="64">
        <v>72.98</v>
      </c>
      <c r="H39" s="64">
        <v>17.66</v>
      </c>
      <c r="I39" s="64">
        <v>1.53</v>
      </c>
      <c r="J39" s="64">
        <v>0.44</v>
      </c>
      <c r="K39" s="64">
        <v>340.89</v>
      </c>
      <c r="L39" s="64">
        <v>27.59</v>
      </c>
      <c r="M39" s="64">
        <v>79.67</v>
      </c>
      <c r="N39" s="64">
        <v>280.10000000000002</v>
      </c>
      <c r="O39" s="64">
        <v>0</v>
      </c>
      <c r="P39" s="64">
        <v>0.97</v>
      </c>
      <c r="Q39" s="64">
        <v>15.5</v>
      </c>
      <c r="R39" s="198"/>
      <c r="S39" s="198"/>
      <c r="T39" s="198"/>
      <c r="U39" s="198"/>
    </row>
    <row r="40" spans="1:21" s="12" customFormat="1" x14ac:dyDescent="0.25">
      <c r="A40" s="214" t="s">
        <v>2680</v>
      </c>
      <c r="B40" s="64">
        <v>22.7</v>
      </c>
      <c r="C40" s="64">
        <v>20.440000000000001</v>
      </c>
      <c r="D40" s="64">
        <v>30.78</v>
      </c>
      <c r="E40" s="64">
        <v>0.83</v>
      </c>
      <c r="F40" s="64">
        <v>2.13</v>
      </c>
      <c r="G40" s="64">
        <v>72.98</v>
      </c>
      <c r="H40" s="64">
        <v>17.66</v>
      </c>
      <c r="I40" s="64">
        <v>1.53</v>
      </c>
      <c r="J40" s="64">
        <v>0.37</v>
      </c>
      <c r="K40" s="64">
        <v>338.39</v>
      </c>
      <c r="L40" s="64">
        <v>28.55</v>
      </c>
      <c r="M40" s="64">
        <v>75.95</v>
      </c>
      <c r="N40" s="64">
        <v>332.1</v>
      </c>
      <c r="O40" s="64">
        <v>0</v>
      </c>
      <c r="P40" s="64">
        <v>1.02</v>
      </c>
      <c r="Q40" s="64">
        <v>14.3</v>
      </c>
      <c r="R40" s="198"/>
      <c r="S40" s="198"/>
      <c r="T40" s="198"/>
      <c r="U40" s="198"/>
    </row>
    <row r="41" spans="1:21" s="12" customFormat="1" x14ac:dyDescent="0.25">
      <c r="A41" s="214" t="s">
        <v>2681</v>
      </c>
      <c r="B41" s="64">
        <v>23.54</v>
      </c>
      <c r="C41" s="64">
        <v>31.41</v>
      </c>
      <c r="D41" s="64">
        <v>37.51</v>
      </c>
      <c r="E41" s="64">
        <v>2.5299999999999998</v>
      </c>
      <c r="F41" s="64">
        <v>4.34</v>
      </c>
      <c r="G41" s="64">
        <v>72.98</v>
      </c>
      <c r="H41" s="64">
        <v>17.66</v>
      </c>
      <c r="I41" s="64">
        <v>1.52</v>
      </c>
      <c r="J41" s="64">
        <v>0.34</v>
      </c>
      <c r="K41" s="64">
        <v>352.83</v>
      </c>
      <c r="L41" s="64">
        <v>29.15</v>
      </c>
      <c r="M41" s="64">
        <v>73.25</v>
      </c>
      <c r="N41" s="64">
        <v>364.7</v>
      </c>
      <c r="O41" s="64">
        <v>0</v>
      </c>
      <c r="P41" s="64">
        <v>1.1299999999999999</v>
      </c>
      <c r="Q41" s="64">
        <v>14.99</v>
      </c>
      <c r="R41" s="198"/>
      <c r="S41" s="198"/>
      <c r="T41" s="198"/>
      <c r="U41" s="198"/>
    </row>
    <row r="42" spans="1:21" s="12" customFormat="1" x14ac:dyDescent="0.25">
      <c r="A42" s="214" t="s">
        <v>2682</v>
      </c>
      <c r="B42" s="64">
        <v>24.95</v>
      </c>
      <c r="C42" s="64">
        <v>30.93</v>
      </c>
      <c r="D42" s="64">
        <v>38.369999999999997</v>
      </c>
      <c r="E42" s="64">
        <v>2.27</v>
      </c>
      <c r="F42" s="64">
        <v>3.2</v>
      </c>
      <c r="G42" s="64">
        <v>101.55</v>
      </c>
      <c r="H42" s="64">
        <v>30.91</v>
      </c>
      <c r="I42" s="64">
        <v>1.49</v>
      </c>
      <c r="J42" s="64">
        <v>0.21</v>
      </c>
      <c r="K42" s="64">
        <v>354.62</v>
      </c>
      <c r="L42" s="64">
        <v>28.98</v>
      </c>
      <c r="M42" s="64">
        <v>74.22</v>
      </c>
      <c r="N42" s="64">
        <v>383</v>
      </c>
      <c r="O42" s="64">
        <v>0</v>
      </c>
      <c r="P42" s="64">
        <v>1.0900000000000001</v>
      </c>
      <c r="Q42" s="64">
        <v>15.1</v>
      </c>
      <c r="R42" s="198"/>
      <c r="S42" s="198"/>
      <c r="T42" s="198"/>
      <c r="U42" s="198"/>
    </row>
    <row r="43" spans="1:21" s="12" customFormat="1" x14ac:dyDescent="0.25">
      <c r="A43" s="214" t="s">
        <v>2683</v>
      </c>
      <c r="B43" s="64">
        <v>20.14</v>
      </c>
      <c r="C43" s="64">
        <v>33.85</v>
      </c>
      <c r="D43" s="64">
        <v>36.119999999999997</v>
      </c>
      <c r="E43" s="64">
        <v>2.56</v>
      </c>
      <c r="F43" s="64">
        <v>2.86</v>
      </c>
      <c r="G43" s="64">
        <v>106.81</v>
      </c>
      <c r="H43" s="64">
        <v>30.91</v>
      </c>
      <c r="I43" s="64">
        <v>1.52</v>
      </c>
      <c r="J43" s="64">
        <v>0.47</v>
      </c>
      <c r="K43" s="64">
        <v>119.31</v>
      </c>
      <c r="L43" s="64">
        <v>27.21</v>
      </c>
      <c r="M43" s="64">
        <v>80.5</v>
      </c>
      <c r="N43" s="64">
        <v>321</v>
      </c>
      <c r="O43" s="64">
        <v>0</v>
      </c>
      <c r="P43" s="64">
        <v>1.06</v>
      </c>
      <c r="Q43" s="64">
        <v>14.52</v>
      </c>
      <c r="R43" s="198"/>
      <c r="S43" s="198"/>
      <c r="T43" s="198"/>
      <c r="U43" s="198"/>
    </row>
    <row r="44" spans="1:21" s="12" customFormat="1" x14ac:dyDescent="0.25">
      <c r="A44" s="214" t="s">
        <v>2684</v>
      </c>
      <c r="B44" s="64">
        <v>19.68</v>
      </c>
      <c r="C44" s="64">
        <v>19.22</v>
      </c>
      <c r="D44" s="64">
        <v>27.68</v>
      </c>
      <c r="E44" s="64">
        <v>2.31</v>
      </c>
      <c r="F44" s="64">
        <v>2.2000000000000002</v>
      </c>
      <c r="G44" s="64">
        <v>106.81</v>
      </c>
      <c r="H44" s="64">
        <v>30.91</v>
      </c>
      <c r="I44" s="64">
        <v>1.53</v>
      </c>
      <c r="J44" s="64">
        <v>0.23</v>
      </c>
      <c r="K44" s="64">
        <v>151.63</v>
      </c>
      <c r="L44" s="64">
        <v>26.49</v>
      </c>
      <c r="M44" s="64">
        <v>84.64</v>
      </c>
      <c r="N44" s="64">
        <v>358.7</v>
      </c>
      <c r="O44" s="64">
        <v>0</v>
      </c>
      <c r="P44" s="64">
        <v>0.99</v>
      </c>
      <c r="Q44" s="64">
        <v>16.149999999999999</v>
      </c>
      <c r="R44" s="198"/>
      <c r="S44" s="198"/>
      <c r="T44" s="198"/>
      <c r="U44" s="198"/>
    </row>
    <row r="45" spans="1:21" s="12" customFormat="1" x14ac:dyDescent="0.25">
      <c r="A45" s="214" t="s">
        <v>2685</v>
      </c>
      <c r="B45" s="64">
        <v>18.47</v>
      </c>
      <c r="C45" s="64">
        <v>17.850000000000001</v>
      </c>
      <c r="D45" s="64">
        <v>25.95</v>
      </c>
      <c r="E45" s="64">
        <v>2.25</v>
      </c>
      <c r="F45" s="64">
        <v>2.64</v>
      </c>
      <c r="G45" s="64">
        <v>106.81</v>
      </c>
      <c r="H45" s="64">
        <v>30.91</v>
      </c>
      <c r="I45" s="64">
        <v>1.53</v>
      </c>
      <c r="J45" s="64">
        <v>0.77</v>
      </c>
      <c r="K45" s="64">
        <v>147.47</v>
      </c>
      <c r="L45" s="64">
        <v>26.58</v>
      </c>
      <c r="M45" s="64">
        <v>84.12</v>
      </c>
      <c r="N45" s="64">
        <v>351</v>
      </c>
      <c r="O45" s="64">
        <v>0</v>
      </c>
      <c r="P45" s="64">
        <v>0.99</v>
      </c>
      <c r="Q45" s="64">
        <v>15.93</v>
      </c>
      <c r="R45" s="198"/>
      <c r="S45" s="198"/>
      <c r="T45" s="198"/>
      <c r="U45" s="198"/>
    </row>
    <row r="46" spans="1:21" s="12" customFormat="1" x14ac:dyDescent="0.25">
      <c r="A46" s="214" t="s">
        <v>2686</v>
      </c>
      <c r="B46" s="64">
        <v>16.55</v>
      </c>
      <c r="C46" s="64">
        <v>20.49</v>
      </c>
      <c r="D46" s="64">
        <v>25.87</v>
      </c>
      <c r="E46" s="64">
        <v>2.9</v>
      </c>
      <c r="F46" s="64">
        <v>5.52</v>
      </c>
      <c r="G46" s="64">
        <v>116.24</v>
      </c>
      <c r="H46" s="64">
        <v>41.15</v>
      </c>
      <c r="I46" s="64">
        <v>1.56</v>
      </c>
      <c r="J46" s="64">
        <v>0.17</v>
      </c>
      <c r="K46" s="64">
        <v>118.45</v>
      </c>
      <c r="L46" s="64">
        <v>26.76</v>
      </c>
      <c r="M46" s="64">
        <v>83.23</v>
      </c>
      <c r="N46" s="64">
        <v>329.1</v>
      </c>
      <c r="O46" s="64">
        <v>0</v>
      </c>
      <c r="P46" s="64">
        <v>0.99</v>
      </c>
      <c r="Q46" s="64">
        <v>16.010000000000002</v>
      </c>
      <c r="R46" s="198"/>
      <c r="S46" s="198"/>
      <c r="T46" s="198"/>
      <c r="U46" s="198"/>
    </row>
    <row r="47" spans="1:21" s="12" customFormat="1" x14ac:dyDescent="0.25">
      <c r="A47" s="214" t="s">
        <v>2687</v>
      </c>
      <c r="B47" s="64">
        <v>15.63</v>
      </c>
      <c r="C47" s="64">
        <v>18.850000000000001</v>
      </c>
      <c r="D47" s="64">
        <v>24.23</v>
      </c>
      <c r="E47" s="64">
        <v>3.21</v>
      </c>
      <c r="F47" s="64">
        <v>3.01</v>
      </c>
      <c r="G47" s="64">
        <v>117.83</v>
      </c>
      <c r="H47" s="64">
        <v>41.15</v>
      </c>
      <c r="I47" s="64">
        <v>1.55</v>
      </c>
      <c r="J47" s="64">
        <v>0.55000000000000004</v>
      </c>
      <c r="K47" s="64">
        <v>143.91</v>
      </c>
      <c r="L47" s="64">
        <v>26.73</v>
      </c>
      <c r="M47" s="64">
        <v>83.9</v>
      </c>
      <c r="N47" s="64">
        <v>368.2</v>
      </c>
      <c r="O47" s="64">
        <v>0</v>
      </c>
      <c r="P47" s="64">
        <v>0.98</v>
      </c>
      <c r="Q47" s="64">
        <v>15.38</v>
      </c>
      <c r="R47" s="198"/>
      <c r="S47" s="198"/>
      <c r="T47" s="198"/>
      <c r="U47" s="198"/>
    </row>
    <row r="48" spans="1:21" s="12" customFormat="1" x14ac:dyDescent="0.25">
      <c r="A48" s="214" t="s">
        <v>2688</v>
      </c>
      <c r="B48" s="64">
        <v>14.26</v>
      </c>
      <c r="C48" s="64">
        <v>17.18</v>
      </c>
      <c r="D48" s="64">
        <v>22.21</v>
      </c>
      <c r="E48" s="64">
        <v>2.42</v>
      </c>
      <c r="F48" s="64">
        <v>1.22</v>
      </c>
      <c r="G48" s="64">
        <v>117.83</v>
      </c>
      <c r="H48" s="64">
        <v>41.15</v>
      </c>
      <c r="I48" s="64">
        <v>1.41</v>
      </c>
      <c r="J48" s="64">
        <v>0.2</v>
      </c>
      <c r="K48" s="64">
        <v>150.29</v>
      </c>
      <c r="L48" s="64">
        <v>27.17</v>
      </c>
      <c r="M48" s="64">
        <v>81.69</v>
      </c>
      <c r="N48" s="64">
        <v>615.29999999999995</v>
      </c>
      <c r="O48" s="64">
        <v>0</v>
      </c>
      <c r="P48" s="64">
        <v>0.98</v>
      </c>
      <c r="Q48" s="64">
        <v>15.31</v>
      </c>
      <c r="R48" s="198"/>
      <c r="S48" s="198"/>
      <c r="T48" s="198"/>
      <c r="U48" s="198"/>
    </row>
    <row r="49" spans="1:21" s="12" customFormat="1" x14ac:dyDescent="0.25">
      <c r="A49" s="214" t="s">
        <v>2689</v>
      </c>
      <c r="B49" s="64">
        <v>12.02</v>
      </c>
      <c r="C49" s="64">
        <v>16.91</v>
      </c>
      <c r="D49" s="64">
        <v>20.260000000000002</v>
      </c>
      <c r="E49" s="64">
        <v>3.61</v>
      </c>
      <c r="F49" s="64">
        <v>2.4300000000000002</v>
      </c>
      <c r="G49" s="64">
        <v>117.83</v>
      </c>
      <c r="H49" s="64">
        <v>41.15</v>
      </c>
      <c r="I49" s="64">
        <v>1.51</v>
      </c>
      <c r="J49" s="64">
        <v>0.17</v>
      </c>
      <c r="K49" s="64">
        <v>116.6</v>
      </c>
      <c r="L49" s="64">
        <v>27.87</v>
      </c>
      <c r="M49" s="64">
        <v>79.099999999999994</v>
      </c>
      <c r="N49" s="64">
        <v>636.20000000000005</v>
      </c>
      <c r="O49" s="64">
        <v>0</v>
      </c>
      <c r="P49" s="64">
        <v>0.94</v>
      </c>
      <c r="Q49" s="64">
        <v>15.17</v>
      </c>
      <c r="R49" s="198"/>
      <c r="S49" s="198"/>
      <c r="T49" s="198"/>
      <c r="U49" s="198"/>
    </row>
    <row r="50" spans="1:21" s="12" customFormat="1" x14ac:dyDescent="0.25">
      <c r="A50" s="214" t="s">
        <v>2690</v>
      </c>
      <c r="B50" s="64">
        <v>8.4499999999999993</v>
      </c>
      <c r="C50" s="64">
        <v>17.73</v>
      </c>
      <c r="D50" s="64">
        <v>17.86</v>
      </c>
      <c r="E50" s="64">
        <v>2.66</v>
      </c>
      <c r="F50" s="64">
        <v>5.44</v>
      </c>
      <c r="G50" s="64">
        <v>99.16</v>
      </c>
      <c r="H50" s="64">
        <v>37.58</v>
      </c>
      <c r="I50" s="64">
        <v>1.53</v>
      </c>
      <c r="J50" s="64">
        <v>0.66</v>
      </c>
      <c r="K50" s="64">
        <v>146.12</v>
      </c>
      <c r="L50" s="64">
        <v>28.27</v>
      </c>
      <c r="M50" s="64">
        <v>75.569999999999993</v>
      </c>
      <c r="N50" s="64">
        <v>590</v>
      </c>
      <c r="O50" s="64">
        <v>0</v>
      </c>
      <c r="P50" s="64">
        <v>0.87</v>
      </c>
      <c r="Q50" s="64">
        <v>14.42</v>
      </c>
      <c r="R50" s="198"/>
      <c r="S50" s="198"/>
      <c r="T50" s="198"/>
      <c r="U50" s="198"/>
    </row>
    <row r="51" spans="1:21" s="12" customFormat="1" x14ac:dyDescent="0.25">
      <c r="A51" s="214" t="s">
        <v>2691</v>
      </c>
      <c r="B51" s="64">
        <v>4.41</v>
      </c>
      <c r="C51" s="64">
        <v>19.13</v>
      </c>
      <c r="D51" s="64">
        <v>15.38</v>
      </c>
      <c r="E51" s="64">
        <v>3.7</v>
      </c>
      <c r="F51" s="64">
        <v>17.559999999999999</v>
      </c>
      <c r="G51" s="64">
        <v>96.01</v>
      </c>
      <c r="H51" s="64">
        <v>37.58</v>
      </c>
      <c r="I51" s="64">
        <v>1.49</v>
      </c>
      <c r="J51" s="64">
        <v>0.09</v>
      </c>
      <c r="K51" s="64">
        <v>160.82</v>
      </c>
      <c r="L51" s="64">
        <v>27.64</v>
      </c>
      <c r="M51" s="64">
        <v>78.56</v>
      </c>
      <c r="N51" s="64">
        <v>246.6</v>
      </c>
      <c r="O51" s="64">
        <v>0</v>
      </c>
      <c r="P51" s="64">
        <v>0.7</v>
      </c>
      <c r="Q51" s="64">
        <v>14.33</v>
      </c>
      <c r="R51" s="198"/>
      <c r="S51" s="198"/>
      <c r="T51" s="198"/>
      <c r="U51" s="198"/>
    </row>
    <row r="52" spans="1:21" s="12" customFormat="1" x14ac:dyDescent="0.25">
      <c r="A52" s="214" t="s">
        <v>2692</v>
      </c>
      <c r="B52" s="64">
        <v>8.9</v>
      </c>
      <c r="C52" s="64">
        <v>26.84</v>
      </c>
      <c r="D52" s="64">
        <v>22.94</v>
      </c>
      <c r="E52" s="64">
        <v>4.22</v>
      </c>
      <c r="F52" s="64">
        <v>11.68</v>
      </c>
      <c r="G52" s="64">
        <v>96.01</v>
      </c>
      <c r="H52" s="64">
        <v>37.58</v>
      </c>
      <c r="I52" s="64">
        <v>1.46</v>
      </c>
      <c r="J52" s="64">
        <v>1.1399999999999999</v>
      </c>
      <c r="K52" s="64">
        <v>338.46</v>
      </c>
      <c r="L52" s="64">
        <v>27.97</v>
      </c>
      <c r="M52" s="64">
        <v>75.2</v>
      </c>
      <c r="N52" s="64">
        <v>156.69999999999999</v>
      </c>
      <c r="O52" s="64">
        <v>0</v>
      </c>
      <c r="P52" s="64">
        <v>0.83</v>
      </c>
      <c r="Q52" s="64">
        <v>12.28</v>
      </c>
      <c r="R52" s="198"/>
      <c r="S52" s="198"/>
      <c r="T52" s="198"/>
      <c r="U52" s="198"/>
    </row>
    <row r="53" spans="1:21" s="12" customFormat="1" x14ac:dyDescent="0.25">
      <c r="A53" s="214" t="s">
        <v>2693</v>
      </c>
      <c r="B53" s="64">
        <v>4.7300000000000004</v>
      </c>
      <c r="C53" s="64">
        <v>32.1</v>
      </c>
      <c r="D53" s="64">
        <v>22.8</v>
      </c>
      <c r="E53" s="64">
        <v>3.94</v>
      </c>
      <c r="F53" s="64">
        <v>5.41</v>
      </c>
      <c r="G53" s="64">
        <v>96.01</v>
      </c>
      <c r="H53" s="64">
        <v>37.58</v>
      </c>
      <c r="I53" s="64">
        <v>1.55</v>
      </c>
      <c r="J53" s="64">
        <v>1.4</v>
      </c>
      <c r="K53" s="64">
        <v>336.87</v>
      </c>
      <c r="L53" s="64">
        <v>26.74</v>
      </c>
      <c r="M53" s="64">
        <v>78.66</v>
      </c>
      <c r="N53" s="64">
        <v>197.5</v>
      </c>
      <c r="O53" s="64">
        <v>0</v>
      </c>
      <c r="P53" s="64">
        <v>0.87</v>
      </c>
      <c r="Q53" s="64">
        <v>11.62</v>
      </c>
      <c r="R53" s="198"/>
      <c r="S53" s="198"/>
      <c r="T53" s="198"/>
      <c r="U53" s="198"/>
    </row>
    <row r="54" spans="1:21" s="12" customFormat="1" x14ac:dyDescent="0.25">
      <c r="A54" s="214" t="s">
        <v>2694</v>
      </c>
      <c r="B54" s="64">
        <v>14.28</v>
      </c>
      <c r="C54" s="64">
        <v>55.55</v>
      </c>
      <c r="D54" s="64">
        <v>43.4</v>
      </c>
      <c r="E54" s="64">
        <v>3.34</v>
      </c>
      <c r="F54" s="64">
        <v>5.24</v>
      </c>
      <c r="G54" s="64">
        <v>77.28</v>
      </c>
      <c r="H54" s="64">
        <v>29.87</v>
      </c>
      <c r="I54" s="64">
        <v>1.5</v>
      </c>
      <c r="J54" s="64">
        <v>0.85</v>
      </c>
      <c r="K54" s="64">
        <v>331.71</v>
      </c>
      <c r="L54" s="64">
        <v>28.28</v>
      </c>
      <c r="M54" s="64">
        <v>75.260000000000005</v>
      </c>
      <c r="N54" s="64">
        <v>673.5</v>
      </c>
      <c r="O54" s="64">
        <v>0</v>
      </c>
      <c r="P54" s="64">
        <v>1.25</v>
      </c>
      <c r="Q54" s="64">
        <v>13.56</v>
      </c>
      <c r="R54" s="198"/>
      <c r="S54" s="198"/>
      <c r="T54" s="198"/>
      <c r="U54" s="198"/>
    </row>
    <row r="55" spans="1:21" s="12" customFormat="1" x14ac:dyDescent="0.25">
      <c r="A55" s="214" t="s">
        <v>2695</v>
      </c>
      <c r="B55" s="64">
        <v>14.03</v>
      </c>
      <c r="C55" s="64">
        <v>55.96</v>
      </c>
      <c r="D55" s="64">
        <v>43.43</v>
      </c>
      <c r="E55" s="64">
        <v>3.88</v>
      </c>
      <c r="F55" s="64">
        <v>2.35</v>
      </c>
      <c r="G55" s="64">
        <v>74.12</v>
      </c>
      <c r="H55" s="64">
        <v>29.87</v>
      </c>
      <c r="I55" s="64">
        <v>1.52</v>
      </c>
      <c r="J55" s="64">
        <v>1.31</v>
      </c>
      <c r="K55" s="64">
        <v>325.85000000000002</v>
      </c>
      <c r="L55" s="64">
        <v>30.59</v>
      </c>
      <c r="M55" s="64">
        <v>66.53</v>
      </c>
      <c r="N55" s="64">
        <v>863</v>
      </c>
      <c r="O55" s="64">
        <v>0</v>
      </c>
      <c r="P55" s="64">
        <v>1.31</v>
      </c>
      <c r="Q55" s="64">
        <v>13.25</v>
      </c>
      <c r="R55" s="198"/>
      <c r="S55" s="198"/>
      <c r="T55" s="198"/>
      <c r="U55" s="198"/>
    </row>
    <row r="56" spans="1:21" s="12" customFormat="1" x14ac:dyDescent="0.25">
      <c r="A56" s="214" t="s">
        <v>2696</v>
      </c>
      <c r="B56" s="64">
        <v>12.15</v>
      </c>
      <c r="C56" s="64">
        <v>45.04</v>
      </c>
      <c r="D56" s="64">
        <v>35.9</v>
      </c>
      <c r="E56" s="64">
        <v>1.93</v>
      </c>
      <c r="F56" s="64">
        <v>1.8</v>
      </c>
      <c r="G56" s="64">
        <v>74.12</v>
      </c>
      <c r="H56" s="64">
        <v>29.87</v>
      </c>
      <c r="I56" s="64">
        <v>1.51</v>
      </c>
      <c r="J56" s="64">
        <v>1.27</v>
      </c>
      <c r="K56" s="64">
        <v>324.83</v>
      </c>
      <c r="L56" s="64">
        <v>31.72</v>
      </c>
      <c r="M56" s="64">
        <v>62.42</v>
      </c>
      <c r="N56" s="64">
        <v>889.1</v>
      </c>
      <c r="O56" s="64">
        <v>0</v>
      </c>
      <c r="P56" s="64">
        <v>1.25</v>
      </c>
      <c r="Q56" s="64">
        <v>12.48</v>
      </c>
      <c r="R56" s="198"/>
      <c r="S56" s="198"/>
      <c r="T56" s="198"/>
      <c r="U56" s="198"/>
    </row>
    <row r="57" spans="1:21" s="12" customFormat="1" x14ac:dyDescent="0.25">
      <c r="A57" s="214" t="s">
        <v>2697</v>
      </c>
      <c r="B57" s="64">
        <v>10.09</v>
      </c>
      <c r="C57" s="64">
        <v>38.56</v>
      </c>
      <c r="D57" s="64">
        <v>30.66</v>
      </c>
      <c r="E57" s="64">
        <v>3.34</v>
      </c>
      <c r="F57" s="64">
        <v>4.8899999999999997</v>
      </c>
      <c r="G57" s="64">
        <v>74.12</v>
      </c>
      <c r="H57" s="64">
        <v>29.87</v>
      </c>
      <c r="I57" s="64">
        <v>1.5</v>
      </c>
      <c r="J57" s="64">
        <v>1.47</v>
      </c>
      <c r="K57" s="64">
        <v>335.01</v>
      </c>
      <c r="L57" s="64">
        <v>32.19</v>
      </c>
      <c r="M57" s="64">
        <v>57.81</v>
      </c>
      <c r="N57" s="64">
        <v>873.7</v>
      </c>
      <c r="O57" s="64">
        <v>0</v>
      </c>
      <c r="P57" s="64">
        <v>1.1399999999999999</v>
      </c>
      <c r="Q57" s="64">
        <v>11.68</v>
      </c>
      <c r="R57" s="198"/>
      <c r="S57" s="198"/>
      <c r="T57" s="198"/>
      <c r="U57" s="198"/>
    </row>
    <row r="58" spans="1:21" s="12" customFormat="1" x14ac:dyDescent="0.25">
      <c r="A58" s="214" t="s">
        <v>2698</v>
      </c>
      <c r="B58" s="64">
        <v>7.07</v>
      </c>
      <c r="C58" s="64">
        <v>37.89</v>
      </c>
      <c r="D58" s="64">
        <v>27.87</v>
      </c>
      <c r="E58" s="64">
        <v>2.34</v>
      </c>
      <c r="F58" s="64">
        <v>3.03</v>
      </c>
      <c r="G58" s="64">
        <v>70.81</v>
      </c>
      <c r="H58" s="64">
        <v>23.13</v>
      </c>
      <c r="I58" s="64">
        <v>1.44</v>
      </c>
      <c r="J58" s="64">
        <v>1.69</v>
      </c>
      <c r="K58" s="64">
        <v>333.91</v>
      </c>
      <c r="L58" s="64">
        <v>32.049999999999997</v>
      </c>
      <c r="M58" s="64">
        <v>61.29</v>
      </c>
      <c r="N58" s="64">
        <v>856.9</v>
      </c>
      <c r="O58" s="64">
        <v>0</v>
      </c>
      <c r="P58" s="64">
        <v>1.08</v>
      </c>
      <c r="Q58" s="64">
        <v>11.26</v>
      </c>
      <c r="R58" s="198"/>
      <c r="S58" s="198"/>
      <c r="T58" s="198"/>
      <c r="U58" s="198"/>
    </row>
    <row r="59" spans="1:21" s="12" customFormat="1" x14ac:dyDescent="0.25">
      <c r="A59" s="214" t="s">
        <v>2699</v>
      </c>
      <c r="B59" s="64">
        <v>6.58</v>
      </c>
      <c r="C59" s="64">
        <v>38.729999999999997</v>
      </c>
      <c r="D59" s="64">
        <v>27.94</v>
      </c>
      <c r="E59" s="64">
        <v>2.57</v>
      </c>
      <c r="F59" s="64">
        <v>5.38</v>
      </c>
      <c r="G59" s="64">
        <v>70.25</v>
      </c>
      <c r="H59" s="64">
        <v>23.13</v>
      </c>
      <c r="I59" s="64">
        <v>1.43</v>
      </c>
      <c r="J59" s="64">
        <v>1.69</v>
      </c>
      <c r="K59" s="64">
        <v>330.89</v>
      </c>
      <c r="L59" s="64">
        <v>31.98</v>
      </c>
      <c r="M59" s="64">
        <v>64</v>
      </c>
      <c r="N59" s="64">
        <v>816.7</v>
      </c>
      <c r="O59" s="64">
        <v>0</v>
      </c>
      <c r="P59" s="64">
        <v>1.02</v>
      </c>
      <c r="Q59" s="64">
        <v>11.81</v>
      </c>
      <c r="R59" s="198"/>
      <c r="S59" s="198"/>
      <c r="T59" s="198"/>
      <c r="U59" s="198"/>
    </row>
    <row r="60" spans="1:21" s="12" customFormat="1" x14ac:dyDescent="0.25">
      <c r="A60" s="214" t="s">
        <v>2700</v>
      </c>
      <c r="B60" s="64">
        <v>4.75</v>
      </c>
      <c r="C60" s="64">
        <v>35.979999999999997</v>
      </c>
      <c r="D60" s="64">
        <v>24.96</v>
      </c>
      <c r="E60" s="64">
        <v>3.4</v>
      </c>
      <c r="F60" s="64">
        <v>3.95</v>
      </c>
      <c r="G60" s="64">
        <v>70.25</v>
      </c>
      <c r="H60" s="64">
        <v>23.13</v>
      </c>
      <c r="I60" s="64">
        <v>1.46</v>
      </c>
      <c r="J60" s="64">
        <v>2.02</v>
      </c>
      <c r="K60" s="64">
        <v>334.17</v>
      </c>
      <c r="L60" s="64">
        <v>31.36</v>
      </c>
      <c r="M60" s="64">
        <v>61.91</v>
      </c>
      <c r="N60" s="64">
        <v>755.8</v>
      </c>
      <c r="O60" s="64">
        <v>0</v>
      </c>
      <c r="P60" s="64">
        <v>0.97</v>
      </c>
      <c r="Q60" s="64">
        <v>11.43</v>
      </c>
      <c r="R60" s="198"/>
      <c r="S60" s="198"/>
      <c r="T60" s="198"/>
      <c r="U60" s="198"/>
    </row>
    <row r="61" spans="1:21" s="12" customFormat="1" x14ac:dyDescent="0.25">
      <c r="A61" s="214" t="s">
        <v>2701</v>
      </c>
      <c r="B61" s="64">
        <v>4.7699999999999996</v>
      </c>
      <c r="C61" s="64">
        <v>30.71</v>
      </c>
      <c r="D61" s="64">
        <v>22.07</v>
      </c>
      <c r="E61" s="64">
        <v>2.41</v>
      </c>
      <c r="F61" s="64">
        <v>3.39</v>
      </c>
      <c r="G61" s="64">
        <v>70.25</v>
      </c>
      <c r="H61" s="64">
        <v>23.13</v>
      </c>
      <c r="I61" s="64">
        <v>1.5</v>
      </c>
      <c r="J61" s="64">
        <v>1.69</v>
      </c>
      <c r="K61" s="64">
        <v>337.64</v>
      </c>
      <c r="L61" s="64">
        <v>31.66</v>
      </c>
      <c r="M61" s="64">
        <v>61.2</v>
      </c>
      <c r="N61" s="64">
        <v>636.5</v>
      </c>
      <c r="O61" s="64">
        <v>0</v>
      </c>
      <c r="P61" s="64">
        <v>0.8</v>
      </c>
      <c r="Q61" s="64">
        <v>10.62</v>
      </c>
      <c r="R61" s="198"/>
      <c r="S61" s="198"/>
      <c r="T61" s="198"/>
      <c r="U61" s="198"/>
    </row>
    <row r="62" spans="1:21" s="12" customFormat="1" x14ac:dyDescent="0.25">
      <c r="A62" s="214" t="s">
        <v>2702</v>
      </c>
      <c r="B62" s="64">
        <v>5.42</v>
      </c>
      <c r="C62" s="64">
        <v>28.21</v>
      </c>
      <c r="D62" s="64">
        <v>21.21</v>
      </c>
      <c r="E62" s="64">
        <v>2.2400000000000002</v>
      </c>
      <c r="F62" s="64">
        <v>2.81</v>
      </c>
      <c r="G62" s="64">
        <v>86.21</v>
      </c>
      <c r="H62" s="64">
        <v>25.61</v>
      </c>
      <c r="I62" s="64">
        <v>1.59</v>
      </c>
      <c r="J62" s="64">
        <v>1.73</v>
      </c>
      <c r="K62" s="64">
        <v>331.15</v>
      </c>
      <c r="L62" s="64">
        <v>31.37</v>
      </c>
      <c r="M62" s="64">
        <v>61.49</v>
      </c>
      <c r="N62" s="64">
        <v>451.5</v>
      </c>
      <c r="O62" s="64">
        <v>0</v>
      </c>
      <c r="P62" s="64">
        <v>0.83</v>
      </c>
      <c r="Q62" s="64">
        <v>9.77</v>
      </c>
      <c r="R62" s="198"/>
      <c r="S62" s="198"/>
      <c r="T62" s="198"/>
      <c r="U62" s="198"/>
    </row>
    <row r="63" spans="1:21" s="12" customFormat="1" x14ac:dyDescent="0.25">
      <c r="A63" s="214" t="s">
        <v>2703</v>
      </c>
      <c r="B63" s="64">
        <v>6.1</v>
      </c>
      <c r="C63" s="64">
        <v>26.67</v>
      </c>
      <c r="D63" s="64">
        <v>20.9</v>
      </c>
      <c r="E63" s="64">
        <v>2.77</v>
      </c>
      <c r="F63" s="64">
        <v>5.39</v>
      </c>
      <c r="G63" s="64">
        <v>88.91</v>
      </c>
      <c r="H63" s="64">
        <v>25.61</v>
      </c>
      <c r="I63" s="64">
        <v>1.49</v>
      </c>
      <c r="J63" s="64">
        <v>1.17</v>
      </c>
      <c r="K63" s="64">
        <v>335.02</v>
      </c>
      <c r="L63" s="64">
        <v>31.53</v>
      </c>
      <c r="M63" s="64">
        <v>61.63</v>
      </c>
      <c r="N63" s="64">
        <v>594.79999999999995</v>
      </c>
      <c r="O63" s="64">
        <v>0</v>
      </c>
      <c r="P63" s="64">
        <v>0.81</v>
      </c>
      <c r="Q63" s="64">
        <v>11.07</v>
      </c>
      <c r="R63" s="198"/>
      <c r="S63" s="198"/>
      <c r="T63" s="198"/>
      <c r="U63" s="198"/>
    </row>
    <row r="64" spans="1:21" s="12" customFormat="1" x14ac:dyDescent="0.25">
      <c r="A64" s="214" t="s">
        <v>2704</v>
      </c>
      <c r="B64" s="64">
        <v>6.56</v>
      </c>
      <c r="C64" s="64">
        <v>24.74</v>
      </c>
      <c r="D64" s="64">
        <v>20.21</v>
      </c>
      <c r="E64" s="64">
        <v>1.73</v>
      </c>
      <c r="F64" s="64">
        <v>4.43</v>
      </c>
      <c r="G64" s="64">
        <v>88.91</v>
      </c>
      <c r="H64" s="64">
        <v>25.61</v>
      </c>
      <c r="I64" s="64">
        <v>1.53</v>
      </c>
      <c r="J64" s="64">
        <v>1.36</v>
      </c>
      <c r="K64" s="64">
        <v>333.18</v>
      </c>
      <c r="L64" s="64">
        <v>31.74</v>
      </c>
      <c r="M64" s="64">
        <v>61.45</v>
      </c>
      <c r="N64" s="64">
        <v>471.7</v>
      </c>
      <c r="O64" s="64">
        <v>0</v>
      </c>
      <c r="P64" s="64">
        <v>0.81</v>
      </c>
      <c r="Q64" s="64">
        <v>10.71</v>
      </c>
      <c r="R64" s="198"/>
      <c r="S64" s="198"/>
      <c r="T64" s="198"/>
      <c r="U64" s="198"/>
    </row>
    <row r="65" spans="1:21" s="12" customFormat="1" x14ac:dyDescent="0.25">
      <c r="A65" s="214" t="s">
        <v>2705</v>
      </c>
      <c r="B65" s="64">
        <v>8.4</v>
      </c>
      <c r="C65" s="64">
        <v>26.49</v>
      </c>
      <c r="D65" s="64">
        <v>22.64</v>
      </c>
      <c r="E65" s="64">
        <v>1.41</v>
      </c>
      <c r="F65" s="64">
        <v>6.75</v>
      </c>
      <c r="G65" s="64">
        <v>88.91</v>
      </c>
      <c r="H65" s="64">
        <v>25.61</v>
      </c>
      <c r="I65" s="64">
        <v>1.51</v>
      </c>
      <c r="J65" s="64">
        <v>1.33</v>
      </c>
      <c r="K65" s="64">
        <v>330.14</v>
      </c>
      <c r="L65" s="64">
        <v>31.37</v>
      </c>
      <c r="M65" s="64">
        <v>60.88</v>
      </c>
      <c r="N65" s="64">
        <v>389.8</v>
      </c>
      <c r="O65" s="64">
        <v>0</v>
      </c>
      <c r="P65" s="64">
        <v>0.82</v>
      </c>
      <c r="Q65" s="64">
        <v>11.22</v>
      </c>
      <c r="R65" s="198"/>
      <c r="S65" s="198"/>
      <c r="T65" s="198"/>
      <c r="U65" s="198"/>
    </row>
    <row r="66" spans="1:21" s="12" customFormat="1" x14ac:dyDescent="0.25">
      <c r="A66" s="214" t="s">
        <v>2706</v>
      </c>
      <c r="B66" s="64">
        <v>8.64</v>
      </c>
      <c r="C66" s="64">
        <v>26.06</v>
      </c>
      <c r="D66" s="64">
        <v>22.6</v>
      </c>
      <c r="E66" s="64">
        <v>2.4</v>
      </c>
      <c r="F66" s="64">
        <v>9.48</v>
      </c>
      <c r="G66" s="64">
        <v>57.23</v>
      </c>
      <c r="H66" s="64">
        <v>27.27</v>
      </c>
      <c r="I66" s="64">
        <v>1.49</v>
      </c>
      <c r="J66" s="64">
        <v>1.28</v>
      </c>
      <c r="K66" s="64">
        <v>332</v>
      </c>
      <c r="L66" s="64">
        <v>31.42</v>
      </c>
      <c r="M66" s="64">
        <v>59.62</v>
      </c>
      <c r="N66" s="64">
        <v>353.3</v>
      </c>
      <c r="O66" s="64">
        <v>0</v>
      </c>
      <c r="P66" s="64">
        <v>0.8</v>
      </c>
      <c r="Q66" s="64">
        <v>11.6</v>
      </c>
      <c r="R66" s="198"/>
      <c r="S66" s="198"/>
      <c r="T66" s="198"/>
      <c r="U66" s="198"/>
    </row>
    <row r="67" spans="1:21" s="12" customFormat="1" x14ac:dyDescent="0.25">
      <c r="A67" s="214" t="s">
        <v>2707</v>
      </c>
      <c r="B67" s="64">
        <v>7.05</v>
      </c>
      <c r="C67" s="64">
        <v>33.93</v>
      </c>
      <c r="D67" s="64">
        <v>25.67</v>
      </c>
      <c r="E67" s="64">
        <v>2.1800000000000002</v>
      </c>
      <c r="F67" s="64">
        <v>16.87</v>
      </c>
      <c r="G67" s="64">
        <v>51.88</v>
      </c>
      <c r="H67" s="64">
        <v>27.27</v>
      </c>
      <c r="I67" s="64">
        <v>1.48</v>
      </c>
      <c r="J67" s="64">
        <v>1.28</v>
      </c>
      <c r="K67" s="64">
        <v>340.88</v>
      </c>
      <c r="L67" s="64">
        <v>31.51</v>
      </c>
      <c r="M67" s="64">
        <v>57.72</v>
      </c>
      <c r="N67" s="64">
        <v>309.7</v>
      </c>
      <c r="O67" s="64">
        <v>0</v>
      </c>
      <c r="P67" s="64">
        <v>0.77</v>
      </c>
      <c r="Q67" s="64">
        <v>11.1</v>
      </c>
      <c r="R67" s="198"/>
      <c r="S67" s="198"/>
      <c r="T67" s="198"/>
      <c r="U67" s="198"/>
    </row>
    <row r="68" spans="1:21" s="12" customFormat="1" x14ac:dyDescent="0.25">
      <c r="A68" s="214" t="s">
        <v>2708</v>
      </c>
      <c r="B68" s="64">
        <v>6.72</v>
      </c>
      <c r="C68" s="64">
        <v>50.69</v>
      </c>
      <c r="D68" s="64">
        <v>34.659999999999997</v>
      </c>
      <c r="E68" s="64">
        <v>2.9</v>
      </c>
      <c r="F68" s="64">
        <v>20.6</v>
      </c>
      <c r="G68" s="64">
        <v>51.88</v>
      </c>
      <c r="H68" s="64">
        <v>27.27</v>
      </c>
      <c r="I68" s="64">
        <v>1.49</v>
      </c>
      <c r="J68" s="64">
        <v>0.38</v>
      </c>
      <c r="K68" s="64">
        <v>12.85</v>
      </c>
      <c r="L68" s="64">
        <v>30.81</v>
      </c>
      <c r="M68" s="64">
        <v>60.62</v>
      </c>
      <c r="N68" s="64">
        <v>319.89999999999998</v>
      </c>
      <c r="O68" s="64">
        <v>0</v>
      </c>
      <c r="P68" s="64">
        <v>0.78</v>
      </c>
      <c r="Q68" s="64">
        <v>12.04</v>
      </c>
      <c r="R68" s="198"/>
      <c r="S68" s="198"/>
      <c r="T68" s="198"/>
      <c r="U68" s="198"/>
    </row>
    <row r="69" spans="1:21" s="12" customFormat="1" x14ac:dyDescent="0.25">
      <c r="A69" s="214" t="s">
        <v>2709</v>
      </c>
      <c r="B69" s="64">
        <v>4.55</v>
      </c>
      <c r="C69" s="64">
        <v>48.63</v>
      </c>
      <c r="D69" s="64">
        <v>31.78</v>
      </c>
      <c r="E69" s="64">
        <v>3.96</v>
      </c>
      <c r="F69" s="64">
        <v>12.21</v>
      </c>
      <c r="G69" s="64">
        <v>51.88</v>
      </c>
      <c r="H69" s="64">
        <v>27.27</v>
      </c>
      <c r="I69" s="64">
        <v>1.48</v>
      </c>
      <c r="J69" s="64">
        <v>0.51</v>
      </c>
      <c r="K69" s="64">
        <v>70.569999999999993</v>
      </c>
      <c r="L69" s="64">
        <v>29.33</v>
      </c>
      <c r="M69" s="64">
        <v>65.66</v>
      </c>
      <c r="N69" s="64">
        <v>297</v>
      </c>
      <c r="O69" s="64">
        <v>0</v>
      </c>
      <c r="P69" s="64">
        <v>0.8</v>
      </c>
      <c r="Q69" s="64">
        <v>12.31</v>
      </c>
      <c r="R69" s="198"/>
      <c r="S69" s="198"/>
      <c r="T69" s="198"/>
      <c r="U69" s="198"/>
    </row>
    <row r="70" spans="1:21" s="12" customFormat="1" x14ac:dyDescent="0.25">
      <c r="A70" s="214" t="s">
        <v>2710</v>
      </c>
      <c r="B70" s="64">
        <v>3.13</v>
      </c>
      <c r="C70" s="64">
        <v>39.590000000000003</v>
      </c>
      <c r="D70" s="64">
        <v>25.66</v>
      </c>
      <c r="E70" s="64">
        <v>5.37</v>
      </c>
      <c r="F70" s="64">
        <v>12.23</v>
      </c>
      <c r="G70" s="64">
        <v>151.88</v>
      </c>
      <c r="H70" s="64">
        <v>26.91</v>
      </c>
      <c r="I70" s="64">
        <v>1.49</v>
      </c>
      <c r="J70" s="64">
        <v>1.23</v>
      </c>
      <c r="K70" s="64">
        <v>107.54</v>
      </c>
      <c r="L70" s="64">
        <v>27.98</v>
      </c>
      <c r="M70" s="64">
        <v>70.92</v>
      </c>
      <c r="N70" s="64">
        <v>218.8</v>
      </c>
      <c r="O70" s="64">
        <v>0</v>
      </c>
      <c r="P70" s="64">
        <v>0.7</v>
      </c>
      <c r="Q70" s="64">
        <v>12.18</v>
      </c>
      <c r="R70" s="198"/>
      <c r="S70" s="198"/>
      <c r="T70" s="198"/>
      <c r="U70" s="198"/>
    </row>
    <row r="71" spans="1:21" s="12" customFormat="1" x14ac:dyDescent="0.25">
      <c r="A71" s="214" t="s">
        <v>2711</v>
      </c>
      <c r="B71" s="64">
        <v>3.79</v>
      </c>
      <c r="C71" s="64">
        <v>39.81</v>
      </c>
      <c r="D71" s="64">
        <v>26.31</v>
      </c>
      <c r="E71" s="64">
        <v>5.0199999999999996</v>
      </c>
      <c r="F71" s="64">
        <v>10.32</v>
      </c>
      <c r="G71" s="64">
        <v>168.76</v>
      </c>
      <c r="H71" s="64">
        <v>26.91</v>
      </c>
      <c r="I71" s="64">
        <v>1.49</v>
      </c>
      <c r="J71" s="64">
        <v>1.1000000000000001</v>
      </c>
      <c r="K71" s="64">
        <v>108.6</v>
      </c>
      <c r="L71" s="64">
        <v>27.69</v>
      </c>
      <c r="M71" s="64">
        <v>71.849999999999994</v>
      </c>
      <c r="N71" s="64">
        <v>169.3</v>
      </c>
      <c r="O71" s="64">
        <v>0</v>
      </c>
      <c r="P71" s="64">
        <v>0.59</v>
      </c>
      <c r="Q71" s="64">
        <v>12.46</v>
      </c>
      <c r="R71" s="198"/>
      <c r="S71" s="198"/>
      <c r="T71" s="198"/>
      <c r="U71" s="198"/>
    </row>
    <row r="72" spans="1:21" s="12" customFormat="1" x14ac:dyDescent="0.25">
      <c r="A72" s="214" t="s">
        <v>2712</v>
      </c>
      <c r="B72" s="64">
        <v>2.57</v>
      </c>
      <c r="C72" s="64">
        <v>33.04</v>
      </c>
      <c r="D72" s="64">
        <v>21.59</v>
      </c>
      <c r="E72" s="64">
        <v>5.29</v>
      </c>
      <c r="F72" s="64">
        <v>14.77</v>
      </c>
      <c r="G72" s="64">
        <v>168.76</v>
      </c>
      <c r="H72" s="64">
        <v>26.91</v>
      </c>
      <c r="I72" s="64">
        <v>1.5</v>
      </c>
      <c r="J72" s="64">
        <v>1.06</v>
      </c>
      <c r="K72" s="64">
        <v>110.36</v>
      </c>
      <c r="L72" s="64">
        <v>26.97</v>
      </c>
      <c r="M72" s="64">
        <v>76.84</v>
      </c>
      <c r="N72" s="64">
        <v>104.3</v>
      </c>
      <c r="O72" s="64">
        <v>0</v>
      </c>
      <c r="P72" s="64">
        <v>0.52</v>
      </c>
      <c r="Q72" s="64">
        <v>12.56</v>
      </c>
      <c r="R72" s="198"/>
      <c r="S72" s="198"/>
      <c r="T72" s="198"/>
      <c r="U72" s="198"/>
    </row>
    <row r="73" spans="1:21" s="12" customFormat="1" x14ac:dyDescent="0.25">
      <c r="A73" s="214" t="s">
        <v>2713</v>
      </c>
      <c r="B73" s="64">
        <v>2.84</v>
      </c>
      <c r="C73" s="64">
        <v>26.29</v>
      </c>
      <c r="D73" s="64">
        <v>18.079999999999998</v>
      </c>
      <c r="E73" s="64">
        <v>6.46</v>
      </c>
      <c r="F73" s="64">
        <v>7.97</v>
      </c>
      <c r="G73" s="64">
        <v>168.76</v>
      </c>
      <c r="H73" s="64">
        <v>26.91</v>
      </c>
      <c r="I73" s="64">
        <v>1.48</v>
      </c>
      <c r="J73" s="64">
        <v>1.47</v>
      </c>
      <c r="K73" s="64">
        <v>101.85</v>
      </c>
      <c r="L73" s="64">
        <v>26.09</v>
      </c>
      <c r="M73" s="64">
        <v>81</v>
      </c>
      <c r="N73" s="64">
        <v>58.7</v>
      </c>
      <c r="O73" s="64">
        <v>0</v>
      </c>
      <c r="P73" s="64">
        <v>0.5</v>
      </c>
      <c r="Q73" s="64">
        <v>12.26</v>
      </c>
      <c r="R73" s="198"/>
      <c r="S73" s="198"/>
      <c r="T73" s="198"/>
      <c r="U73" s="198"/>
    </row>
    <row r="74" spans="1:21" s="12" customFormat="1" x14ac:dyDescent="0.25">
      <c r="A74" s="214" t="s">
        <v>2714</v>
      </c>
      <c r="B74" s="64">
        <v>2.42</v>
      </c>
      <c r="C74" s="64">
        <v>22.03</v>
      </c>
      <c r="D74" s="64">
        <v>15.4</v>
      </c>
      <c r="E74" s="64">
        <v>5.9</v>
      </c>
      <c r="F74" s="64">
        <v>6.29</v>
      </c>
      <c r="G74" s="64">
        <v>46.35</v>
      </c>
      <c r="H74" s="64">
        <v>25.82</v>
      </c>
      <c r="I74" s="64">
        <v>1.47</v>
      </c>
      <c r="J74" s="64">
        <v>1.1100000000000001</v>
      </c>
      <c r="K74" s="64">
        <v>138.35</v>
      </c>
      <c r="L74" s="64">
        <v>25.07</v>
      </c>
      <c r="M74" s="64">
        <v>85.75</v>
      </c>
      <c r="N74" s="64">
        <v>41</v>
      </c>
      <c r="O74" s="64">
        <v>0</v>
      </c>
      <c r="P74" s="64">
        <v>0.47</v>
      </c>
      <c r="Q74" s="64">
        <v>12.99</v>
      </c>
      <c r="R74" s="198"/>
      <c r="S74" s="198"/>
      <c r="T74" s="198"/>
      <c r="U74" s="198"/>
    </row>
    <row r="75" spans="1:21" s="12" customFormat="1" x14ac:dyDescent="0.25">
      <c r="A75" s="214" t="s">
        <v>2715</v>
      </c>
      <c r="B75" s="64">
        <v>2.48</v>
      </c>
      <c r="C75" s="64">
        <v>18.77</v>
      </c>
      <c r="D75" s="64">
        <v>13.64</v>
      </c>
      <c r="E75" s="64">
        <v>5.62</v>
      </c>
      <c r="F75" s="64">
        <v>7.95</v>
      </c>
      <c r="G75" s="212" t="s">
        <v>42</v>
      </c>
      <c r="H75" s="212" t="s">
        <v>42</v>
      </c>
      <c r="I75" s="64">
        <v>1.49</v>
      </c>
      <c r="J75" s="64">
        <v>0.7</v>
      </c>
      <c r="K75" s="64">
        <v>148.71</v>
      </c>
      <c r="L75" s="64">
        <v>24.31</v>
      </c>
      <c r="M75" s="64">
        <v>85.19</v>
      </c>
      <c r="N75" s="64">
        <v>29.7</v>
      </c>
      <c r="O75" s="64">
        <v>0</v>
      </c>
      <c r="P75" s="64">
        <v>0.42</v>
      </c>
      <c r="Q75" s="64">
        <v>13.41</v>
      </c>
      <c r="R75" s="198"/>
      <c r="S75" s="198"/>
      <c r="T75" s="198"/>
      <c r="U75" s="198"/>
    </row>
    <row r="76" spans="1:21" s="12" customFormat="1" x14ac:dyDescent="0.25">
      <c r="A76" s="214" t="s">
        <v>2716</v>
      </c>
      <c r="B76" s="64">
        <v>2.7</v>
      </c>
      <c r="C76" s="64">
        <v>16.27</v>
      </c>
      <c r="D76" s="64">
        <v>12.44</v>
      </c>
      <c r="E76" s="64">
        <v>5.42</v>
      </c>
      <c r="F76" s="64">
        <v>3.67</v>
      </c>
      <c r="G76" s="212" t="s">
        <v>42</v>
      </c>
      <c r="H76" s="212" t="s">
        <v>42</v>
      </c>
      <c r="I76" s="64">
        <v>1.48</v>
      </c>
      <c r="J76" s="64">
        <v>1.02</v>
      </c>
      <c r="K76" s="64">
        <v>166.28</v>
      </c>
      <c r="L76" s="64">
        <v>23.89</v>
      </c>
      <c r="M76" s="64">
        <v>86.15</v>
      </c>
      <c r="N76" s="64">
        <v>21.9</v>
      </c>
      <c r="O76" s="64">
        <v>0</v>
      </c>
      <c r="P76" s="64">
        <v>0.43</v>
      </c>
      <c r="Q76" s="64">
        <v>12.96</v>
      </c>
      <c r="R76" s="198"/>
      <c r="S76" s="198"/>
      <c r="T76" s="198"/>
      <c r="U76" s="198"/>
    </row>
    <row r="77" spans="1:21" s="12" customFormat="1" x14ac:dyDescent="0.25">
      <c r="A77" s="214" t="s">
        <v>2717</v>
      </c>
      <c r="B77" s="64">
        <v>3.47</v>
      </c>
      <c r="C77" s="64">
        <v>18.03</v>
      </c>
      <c r="D77" s="64">
        <v>14.03</v>
      </c>
      <c r="E77" s="64">
        <v>4.26</v>
      </c>
      <c r="F77" s="64">
        <v>7.67</v>
      </c>
      <c r="G77" s="212" t="s">
        <v>42</v>
      </c>
      <c r="H77" s="212" t="s">
        <v>42</v>
      </c>
      <c r="I77" s="64">
        <v>1.44</v>
      </c>
      <c r="J77" s="64">
        <v>0.8</v>
      </c>
      <c r="K77" s="64">
        <v>152.41999999999999</v>
      </c>
      <c r="L77" s="64">
        <v>23.82</v>
      </c>
      <c r="M77" s="64">
        <v>86.22</v>
      </c>
      <c r="N77" s="64">
        <v>16.7</v>
      </c>
      <c r="O77" s="64">
        <v>0</v>
      </c>
      <c r="P77" s="64">
        <v>0.4</v>
      </c>
      <c r="Q77" s="64">
        <v>13.18</v>
      </c>
      <c r="R77" s="198"/>
      <c r="S77" s="198"/>
      <c r="T77" s="198"/>
      <c r="U77" s="198"/>
    </row>
    <row r="78" spans="1:21" s="12" customFormat="1" x14ac:dyDescent="0.25">
      <c r="A78" s="214" t="s">
        <v>2718</v>
      </c>
      <c r="B78" s="64">
        <v>3.77</v>
      </c>
      <c r="C78" s="64">
        <v>19</v>
      </c>
      <c r="D78" s="64">
        <v>14.8</v>
      </c>
      <c r="E78" s="64">
        <v>4.51</v>
      </c>
      <c r="F78" s="64">
        <v>6.11</v>
      </c>
      <c r="G78" s="212" t="s">
        <v>42</v>
      </c>
      <c r="H78" s="212" t="s">
        <v>42</v>
      </c>
      <c r="I78" s="64">
        <v>1.48</v>
      </c>
      <c r="J78" s="64">
        <v>0.73</v>
      </c>
      <c r="K78" s="64">
        <v>156.94</v>
      </c>
      <c r="L78" s="64">
        <v>23.87</v>
      </c>
      <c r="M78" s="64">
        <v>87.87</v>
      </c>
      <c r="N78" s="64">
        <v>13.7</v>
      </c>
      <c r="O78" s="64">
        <v>0</v>
      </c>
      <c r="P78" s="64">
        <v>0.38</v>
      </c>
      <c r="Q78" s="64">
        <v>12.82</v>
      </c>
      <c r="R78" s="198"/>
      <c r="S78" s="198"/>
      <c r="T78" s="198"/>
      <c r="U78" s="198"/>
    </row>
    <row r="79" spans="1:21" s="12" customFormat="1" x14ac:dyDescent="0.25">
      <c r="A79" s="214" t="s">
        <v>2719</v>
      </c>
      <c r="B79" s="64">
        <v>3.45</v>
      </c>
      <c r="C79" s="64">
        <v>14.31</v>
      </c>
      <c r="D79" s="64">
        <v>11.95</v>
      </c>
      <c r="E79" s="64">
        <v>3.82</v>
      </c>
      <c r="F79" s="64">
        <v>2.5</v>
      </c>
      <c r="G79" s="212" t="s">
        <v>42</v>
      </c>
      <c r="H79" s="212" t="s">
        <v>42</v>
      </c>
      <c r="I79" s="64">
        <v>1.48</v>
      </c>
      <c r="J79" s="64">
        <v>0.5</v>
      </c>
      <c r="K79" s="64">
        <v>145.09</v>
      </c>
      <c r="L79" s="64">
        <v>23.52</v>
      </c>
      <c r="M79" s="64">
        <v>90.85</v>
      </c>
      <c r="N79" s="64">
        <v>11.4</v>
      </c>
      <c r="O79" s="64">
        <v>0</v>
      </c>
      <c r="P79" s="64">
        <v>0.4</v>
      </c>
      <c r="Q79" s="64">
        <v>12.5</v>
      </c>
      <c r="R79" s="198"/>
      <c r="S79" s="198"/>
      <c r="T79" s="198"/>
      <c r="U79" s="198"/>
    </row>
    <row r="80" spans="1:21" s="12" customFormat="1" x14ac:dyDescent="0.25">
      <c r="A80" s="214" t="s">
        <v>2720</v>
      </c>
      <c r="B80" s="64">
        <v>3.14</v>
      </c>
      <c r="C80" s="64">
        <v>13.01</v>
      </c>
      <c r="D80" s="64">
        <v>11</v>
      </c>
      <c r="E80" s="64">
        <v>4.1100000000000003</v>
      </c>
      <c r="F80" s="64">
        <v>1.97</v>
      </c>
      <c r="G80" s="212" t="s">
        <v>42</v>
      </c>
      <c r="H80" s="212" t="s">
        <v>42</v>
      </c>
      <c r="I80" s="64">
        <v>1.58</v>
      </c>
      <c r="J80" s="64">
        <v>0.27</v>
      </c>
      <c r="K80" s="64">
        <v>147.47999999999999</v>
      </c>
      <c r="L80" s="64">
        <v>23.42</v>
      </c>
      <c r="M80" s="64">
        <v>90.63</v>
      </c>
      <c r="N80" s="64">
        <v>9.9</v>
      </c>
      <c r="O80" s="64">
        <v>0</v>
      </c>
      <c r="P80" s="64">
        <v>0.39</v>
      </c>
      <c r="Q80" s="64">
        <v>12.05</v>
      </c>
      <c r="R80" s="198"/>
      <c r="S80" s="198"/>
      <c r="T80" s="198"/>
      <c r="U80" s="198"/>
    </row>
    <row r="81" spans="1:26" s="12" customFormat="1" x14ac:dyDescent="0.25">
      <c r="A81" s="214" t="s">
        <v>2721</v>
      </c>
      <c r="B81" s="64">
        <v>3.15</v>
      </c>
      <c r="C81" s="64">
        <v>13.67</v>
      </c>
      <c r="D81" s="64">
        <v>11.36</v>
      </c>
      <c r="E81" s="64">
        <v>3.83</v>
      </c>
      <c r="F81" s="64">
        <v>1.95</v>
      </c>
      <c r="G81" s="212" t="s">
        <v>42</v>
      </c>
      <c r="H81" s="212" t="s">
        <v>42</v>
      </c>
      <c r="I81" s="64">
        <v>1.47</v>
      </c>
      <c r="J81" s="64">
        <v>0.3</v>
      </c>
      <c r="K81" s="64">
        <v>144.88</v>
      </c>
      <c r="L81" s="64">
        <v>23.49</v>
      </c>
      <c r="M81" s="64">
        <v>89.98</v>
      </c>
      <c r="N81" s="64">
        <v>8.8000000000000007</v>
      </c>
      <c r="O81" s="64">
        <v>0</v>
      </c>
      <c r="P81" s="64">
        <v>0.41</v>
      </c>
      <c r="Q81" s="64">
        <v>12.26</v>
      </c>
      <c r="R81" s="198"/>
      <c r="S81" s="198"/>
      <c r="T81" s="198"/>
      <c r="U81" s="198"/>
    </row>
    <row r="82" spans="1:26" s="12" customFormat="1" x14ac:dyDescent="0.25">
      <c r="A82" s="214" t="s">
        <v>2722</v>
      </c>
      <c r="B82" s="64">
        <v>3.24</v>
      </c>
      <c r="C82" s="64">
        <v>13.17</v>
      </c>
      <c r="D82" s="64">
        <v>11.16</v>
      </c>
      <c r="E82" s="64">
        <v>3.25</v>
      </c>
      <c r="F82" s="64">
        <v>2.38</v>
      </c>
      <c r="G82" s="212" t="s">
        <v>42</v>
      </c>
      <c r="H82" s="212" t="s">
        <v>42</v>
      </c>
      <c r="I82" s="64">
        <v>1.44</v>
      </c>
      <c r="J82" s="64">
        <v>0.39</v>
      </c>
      <c r="K82" s="64">
        <v>142.51</v>
      </c>
      <c r="L82" s="64">
        <v>23.59</v>
      </c>
      <c r="M82" s="64">
        <v>91.59</v>
      </c>
      <c r="N82" s="64">
        <v>9</v>
      </c>
      <c r="O82" s="64">
        <v>0</v>
      </c>
      <c r="P82" s="64">
        <v>0.41</v>
      </c>
      <c r="Q82" s="64">
        <v>12.11</v>
      </c>
      <c r="R82" s="198"/>
      <c r="S82" s="198"/>
      <c r="T82" s="198"/>
      <c r="U82" s="198"/>
    </row>
    <row r="83" spans="1:26" s="12" customFormat="1" x14ac:dyDescent="0.25">
      <c r="A83" s="214" t="s">
        <v>2723</v>
      </c>
      <c r="B83" s="64">
        <v>3.39</v>
      </c>
      <c r="C83" s="64">
        <v>13.02</v>
      </c>
      <c r="D83" s="64">
        <v>11.2</v>
      </c>
      <c r="E83" s="64">
        <v>3.89</v>
      </c>
      <c r="F83" s="64">
        <v>4.03</v>
      </c>
      <c r="G83" s="212" t="s">
        <v>42</v>
      </c>
      <c r="H83" s="212" t="s">
        <v>42</v>
      </c>
      <c r="I83" s="64">
        <v>1.58</v>
      </c>
      <c r="J83" s="64">
        <v>0.02</v>
      </c>
      <c r="K83" s="64">
        <v>290.56</v>
      </c>
      <c r="L83" s="64">
        <v>23.53</v>
      </c>
      <c r="M83" s="64">
        <v>92.22</v>
      </c>
      <c r="N83" s="64">
        <v>9.4</v>
      </c>
      <c r="O83" s="64">
        <v>0</v>
      </c>
      <c r="P83" s="64">
        <v>0.41</v>
      </c>
      <c r="Q83" s="64">
        <v>12.26</v>
      </c>
      <c r="R83" s="198"/>
      <c r="S83" s="198"/>
      <c r="T83" s="198"/>
      <c r="U83" s="198"/>
    </row>
    <row r="84" spans="1:26" s="12" customFormat="1" x14ac:dyDescent="0.25">
      <c r="A84" s="214" t="s">
        <v>2724</v>
      </c>
      <c r="B84" s="64">
        <v>3.12</v>
      </c>
      <c r="C84" s="64">
        <v>12.36</v>
      </c>
      <c r="D84" s="64">
        <v>10.62</v>
      </c>
      <c r="E84" s="64">
        <v>3.89</v>
      </c>
      <c r="F84" s="64">
        <v>3.93</v>
      </c>
      <c r="G84" s="212" t="s">
        <v>42</v>
      </c>
      <c r="H84" s="212" t="s">
        <v>42</v>
      </c>
      <c r="I84" s="64">
        <v>1.47</v>
      </c>
      <c r="J84" s="64">
        <v>0.08</v>
      </c>
      <c r="K84" s="64">
        <v>30.06</v>
      </c>
      <c r="L84" s="64">
        <v>23.43</v>
      </c>
      <c r="M84" s="64">
        <v>94.04</v>
      </c>
      <c r="N84" s="64">
        <v>9.4</v>
      </c>
      <c r="O84" s="64">
        <v>0</v>
      </c>
      <c r="P84" s="64">
        <v>0.41</v>
      </c>
      <c r="Q84" s="64">
        <v>11.65</v>
      </c>
      <c r="R84" s="198"/>
      <c r="S84" s="198"/>
      <c r="T84" s="198"/>
      <c r="U84" s="198"/>
    </row>
    <row r="85" spans="1:26" s="12" customFormat="1" x14ac:dyDescent="0.25">
      <c r="A85" s="214" t="s">
        <v>2725</v>
      </c>
      <c r="B85" s="64">
        <v>7.35</v>
      </c>
      <c r="C85" s="64">
        <v>16.12</v>
      </c>
      <c r="D85" s="64">
        <v>16.079999999999998</v>
      </c>
      <c r="E85" s="64">
        <v>3.14</v>
      </c>
      <c r="F85" s="64">
        <v>3.38</v>
      </c>
      <c r="G85" s="212" t="s">
        <v>42</v>
      </c>
      <c r="H85" s="212" t="s">
        <v>42</v>
      </c>
      <c r="I85" s="64">
        <v>1.53</v>
      </c>
      <c r="J85" s="64">
        <v>7.0000000000000007E-2</v>
      </c>
      <c r="K85" s="64">
        <v>1.25</v>
      </c>
      <c r="L85" s="64">
        <v>23.41</v>
      </c>
      <c r="M85" s="64">
        <v>93.6</v>
      </c>
      <c r="N85" s="64">
        <v>9.4</v>
      </c>
      <c r="O85" s="64">
        <v>0</v>
      </c>
      <c r="P85" s="64">
        <v>0.65</v>
      </c>
      <c r="Q85" s="64">
        <v>11.82</v>
      </c>
      <c r="R85" s="198"/>
      <c r="S85" s="198"/>
      <c r="T85" s="198"/>
      <c r="U85" s="198"/>
    </row>
    <row r="86" spans="1:26" s="12" customFormat="1" x14ac:dyDescent="0.25">
      <c r="A86" s="214" t="s">
        <v>2726</v>
      </c>
      <c r="B86" s="64">
        <v>12.06</v>
      </c>
      <c r="C86" s="64">
        <v>38.78</v>
      </c>
      <c r="D86" s="64">
        <v>32.36</v>
      </c>
      <c r="E86" s="64">
        <v>4.0999999999999996</v>
      </c>
      <c r="F86" s="64">
        <v>7.54</v>
      </c>
      <c r="G86" s="64">
        <v>123.03</v>
      </c>
      <c r="H86" s="64">
        <v>13.2</v>
      </c>
      <c r="I86" s="64">
        <v>1.51</v>
      </c>
      <c r="J86" s="64">
        <v>0.03</v>
      </c>
      <c r="K86" s="64">
        <v>341.92</v>
      </c>
      <c r="L86" s="64">
        <v>23.45</v>
      </c>
      <c r="M86" s="64">
        <v>93.26</v>
      </c>
      <c r="N86" s="64">
        <v>9.3000000000000007</v>
      </c>
      <c r="O86" s="64">
        <v>0</v>
      </c>
      <c r="P86" s="64">
        <v>0.83</v>
      </c>
      <c r="Q86" s="64">
        <v>10.98</v>
      </c>
      <c r="R86" s="198"/>
      <c r="S86" s="198"/>
      <c r="T86" s="198"/>
      <c r="U86" s="198"/>
    </row>
    <row r="87" spans="1:26" s="12" customFormat="1" x14ac:dyDescent="0.25">
      <c r="A87" s="214" t="s">
        <v>2727</v>
      </c>
      <c r="B87" s="64">
        <v>4.24</v>
      </c>
      <c r="C87" s="64">
        <v>19.68</v>
      </c>
      <c r="D87" s="64">
        <v>15.56</v>
      </c>
      <c r="E87" s="64">
        <v>4.63</v>
      </c>
      <c r="F87" s="64">
        <v>4.12</v>
      </c>
      <c r="G87" s="64">
        <v>143.76</v>
      </c>
      <c r="H87" s="64">
        <v>13.2</v>
      </c>
      <c r="I87" s="64">
        <v>1.5</v>
      </c>
      <c r="J87" s="64">
        <v>0.12</v>
      </c>
      <c r="K87" s="64">
        <v>198.87</v>
      </c>
      <c r="L87" s="64">
        <v>23.58</v>
      </c>
      <c r="M87" s="64">
        <v>93</v>
      </c>
      <c r="N87" s="64">
        <v>9</v>
      </c>
      <c r="O87" s="64">
        <v>0</v>
      </c>
      <c r="P87" s="64">
        <v>0.47</v>
      </c>
      <c r="Q87" s="64">
        <v>12.1</v>
      </c>
      <c r="R87" s="198"/>
      <c r="S87" s="198"/>
      <c r="T87" s="198"/>
      <c r="U87" s="198"/>
    </row>
    <row r="88" spans="1:26" s="12" customFormat="1" x14ac:dyDescent="0.25">
      <c r="A88" s="214" t="s">
        <v>2728</v>
      </c>
      <c r="B88" s="64">
        <v>4.16</v>
      </c>
      <c r="C88" s="64">
        <v>15.39</v>
      </c>
      <c r="D88" s="64">
        <v>13.13</v>
      </c>
      <c r="E88" s="64">
        <v>1.92</v>
      </c>
      <c r="F88" s="64">
        <v>7.11</v>
      </c>
      <c r="G88" s="64">
        <v>143.76</v>
      </c>
      <c r="H88" s="64">
        <v>13.2</v>
      </c>
      <c r="I88" s="64">
        <v>1.46</v>
      </c>
      <c r="J88" s="64">
        <v>0.3</v>
      </c>
      <c r="K88" s="64">
        <v>148.07</v>
      </c>
      <c r="L88" s="64">
        <v>23.29</v>
      </c>
      <c r="M88" s="64">
        <v>96.1</v>
      </c>
      <c r="N88" s="64">
        <v>9.4</v>
      </c>
      <c r="O88" s="64">
        <v>0</v>
      </c>
      <c r="P88" s="64">
        <v>0.45</v>
      </c>
      <c r="Q88" s="64">
        <v>13.55</v>
      </c>
      <c r="R88" s="198"/>
      <c r="S88" s="198"/>
      <c r="T88" s="198"/>
      <c r="U88" s="198"/>
    </row>
    <row r="89" spans="1:26" s="12" customFormat="1" x14ac:dyDescent="0.25">
      <c r="A89" s="214" t="s">
        <v>2729</v>
      </c>
      <c r="B89" s="64">
        <v>3.79</v>
      </c>
      <c r="C89" s="64">
        <v>20.190000000000001</v>
      </c>
      <c r="D89" s="64">
        <v>15.47</v>
      </c>
      <c r="E89" s="64">
        <v>2.5099999999999998</v>
      </c>
      <c r="F89" s="64">
        <v>9.3800000000000008</v>
      </c>
      <c r="G89" s="64">
        <v>143.76</v>
      </c>
      <c r="H89" s="64">
        <v>13.2</v>
      </c>
      <c r="I89" s="64">
        <v>1.45</v>
      </c>
      <c r="J89" s="64">
        <v>0.28000000000000003</v>
      </c>
      <c r="K89" s="64">
        <v>139.47999999999999</v>
      </c>
      <c r="L89" s="64">
        <v>23.37</v>
      </c>
      <c r="M89" s="64">
        <v>94.06</v>
      </c>
      <c r="N89" s="64">
        <v>9.1999999999999993</v>
      </c>
      <c r="O89" s="64">
        <v>0</v>
      </c>
      <c r="P89" s="64">
        <v>0.48</v>
      </c>
      <c r="Q89" s="64">
        <v>13.24</v>
      </c>
      <c r="R89" s="198"/>
      <c r="S89" s="198"/>
      <c r="T89" s="198"/>
      <c r="U89" s="198"/>
    </row>
    <row r="90" spans="1:26" s="12" customFormat="1" x14ac:dyDescent="0.25">
      <c r="A90" s="214" t="s">
        <v>2730</v>
      </c>
      <c r="B90" s="64">
        <v>4.6500000000000004</v>
      </c>
      <c r="C90" s="64">
        <v>14.06</v>
      </c>
      <c r="D90" s="64">
        <v>12.78</v>
      </c>
      <c r="E90" s="64">
        <v>2.5499999999999998</v>
      </c>
      <c r="F90" s="64">
        <v>3.02</v>
      </c>
      <c r="G90" s="64">
        <v>53.2</v>
      </c>
      <c r="H90" s="64">
        <v>12.6</v>
      </c>
      <c r="I90" s="64">
        <v>1.5</v>
      </c>
      <c r="J90" s="64">
        <v>0.88</v>
      </c>
      <c r="K90" s="64">
        <v>138.53</v>
      </c>
      <c r="L90" s="64">
        <v>23.42</v>
      </c>
      <c r="M90" s="64">
        <v>94.11</v>
      </c>
      <c r="N90" s="64">
        <v>9.3000000000000007</v>
      </c>
      <c r="O90" s="64">
        <v>0</v>
      </c>
      <c r="P90" s="64">
        <v>0.46</v>
      </c>
      <c r="Q90" s="64">
        <v>13.23</v>
      </c>
      <c r="R90" s="198"/>
      <c r="S90" s="198"/>
      <c r="T90" s="198"/>
      <c r="U90" s="198"/>
    </row>
    <row r="91" spans="1:26" s="12" customFormat="1" x14ac:dyDescent="0.25">
      <c r="A91" s="214" t="s">
        <v>2731</v>
      </c>
      <c r="B91" s="64">
        <v>5.0199999999999996</v>
      </c>
      <c r="C91" s="64">
        <v>10.59</v>
      </c>
      <c r="D91" s="64">
        <v>11.16</v>
      </c>
      <c r="E91" s="64">
        <v>1.92</v>
      </c>
      <c r="F91" s="64">
        <v>0.68</v>
      </c>
      <c r="G91" s="64">
        <v>36.520000000000003</v>
      </c>
      <c r="H91" s="64">
        <v>12.6</v>
      </c>
      <c r="I91" s="64">
        <v>1.5</v>
      </c>
      <c r="J91" s="64">
        <v>0.92</v>
      </c>
      <c r="K91" s="64">
        <v>147.84</v>
      </c>
      <c r="L91" s="64">
        <v>23.32</v>
      </c>
      <c r="M91" s="64">
        <v>95.94</v>
      </c>
      <c r="N91" s="64">
        <v>9.5</v>
      </c>
      <c r="O91" s="64">
        <v>0</v>
      </c>
      <c r="P91" s="64">
        <v>0.44</v>
      </c>
      <c r="Q91" s="64">
        <v>13.48</v>
      </c>
      <c r="R91" s="198"/>
      <c r="S91" s="198"/>
      <c r="T91" s="198"/>
      <c r="U91" s="198"/>
    </row>
    <row r="92" spans="1:26" s="12" customFormat="1" x14ac:dyDescent="0.25">
      <c r="A92" s="214" t="s">
        <v>2732</v>
      </c>
      <c r="B92" s="64">
        <v>4.88</v>
      </c>
      <c r="C92" s="64">
        <v>9.15</v>
      </c>
      <c r="D92" s="64">
        <v>10.25</v>
      </c>
      <c r="E92" s="64">
        <v>1.9</v>
      </c>
      <c r="F92" s="64">
        <v>1.64</v>
      </c>
      <c r="G92" s="64">
        <v>36.520000000000003</v>
      </c>
      <c r="H92" s="64">
        <v>12.6</v>
      </c>
      <c r="I92" s="64">
        <v>1.42</v>
      </c>
      <c r="J92" s="64">
        <v>0.59</v>
      </c>
      <c r="K92" s="64">
        <v>166.24</v>
      </c>
      <c r="L92" s="64">
        <v>23.2</v>
      </c>
      <c r="M92" s="64">
        <v>98.25</v>
      </c>
      <c r="N92" s="64">
        <v>9.5</v>
      </c>
      <c r="O92" s="64">
        <v>0</v>
      </c>
      <c r="P92" s="64">
        <v>0.45</v>
      </c>
      <c r="Q92" s="64">
        <v>12.77</v>
      </c>
      <c r="R92" s="198"/>
      <c r="S92" s="198"/>
      <c r="T92" s="198"/>
      <c r="U92" s="198"/>
    </row>
    <row r="93" spans="1:26" s="12" customFormat="1" x14ac:dyDescent="0.25">
      <c r="A93" s="214" t="s">
        <v>2733</v>
      </c>
      <c r="B93" s="64">
        <v>4.68</v>
      </c>
      <c r="C93" s="64">
        <v>10.18</v>
      </c>
      <c r="D93" s="64">
        <v>10.66</v>
      </c>
      <c r="E93" s="64">
        <v>3.06</v>
      </c>
      <c r="F93" s="64">
        <v>3.46</v>
      </c>
      <c r="G93" s="64">
        <v>36.520000000000003</v>
      </c>
      <c r="H93" s="64">
        <v>12.6</v>
      </c>
      <c r="I93" s="64">
        <v>1.5</v>
      </c>
      <c r="J93" s="64">
        <v>0.28000000000000003</v>
      </c>
      <c r="K93" s="64">
        <v>143.72999999999999</v>
      </c>
      <c r="L93" s="64">
        <v>23.08</v>
      </c>
      <c r="M93" s="64">
        <v>98.8</v>
      </c>
      <c r="N93" s="64">
        <v>9.5</v>
      </c>
      <c r="O93" s="64">
        <v>0</v>
      </c>
      <c r="P93" s="64">
        <v>0.43</v>
      </c>
      <c r="Q93" s="64">
        <v>12.95</v>
      </c>
      <c r="R93" s="198"/>
      <c r="S93" s="198"/>
      <c r="T93" s="198"/>
      <c r="U93" s="198"/>
    </row>
    <row r="94" spans="1:26" s="12" customFormat="1" x14ac:dyDescent="0.25">
      <c r="A94" s="214" t="s">
        <v>2734</v>
      </c>
      <c r="B94" s="64">
        <v>4.55</v>
      </c>
      <c r="C94" s="64">
        <v>10.220000000000001</v>
      </c>
      <c r="D94" s="64">
        <v>10.58</v>
      </c>
      <c r="E94" s="64">
        <v>2.48</v>
      </c>
      <c r="F94" s="64">
        <v>3.16</v>
      </c>
      <c r="G94" s="64">
        <v>19.95</v>
      </c>
      <c r="H94" s="64">
        <v>10.35</v>
      </c>
      <c r="I94" s="64">
        <v>1.56</v>
      </c>
      <c r="J94" s="64">
        <v>0.09</v>
      </c>
      <c r="K94" s="64">
        <v>140.57</v>
      </c>
      <c r="L94" s="64">
        <v>23.05</v>
      </c>
      <c r="M94" s="64">
        <v>98.68</v>
      </c>
      <c r="N94" s="64">
        <v>9.5</v>
      </c>
      <c r="O94" s="64">
        <v>0</v>
      </c>
      <c r="P94" s="64">
        <v>0.44</v>
      </c>
      <c r="Q94" s="64">
        <v>12.33</v>
      </c>
      <c r="R94" s="198"/>
      <c r="S94" s="198"/>
      <c r="T94" s="198"/>
      <c r="U94" s="198"/>
    </row>
    <row r="95" spans="1:26" s="12" customFormat="1" x14ac:dyDescent="0.25">
      <c r="A95" s="214" t="s">
        <v>2735</v>
      </c>
      <c r="B95" s="64">
        <v>4.37</v>
      </c>
      <c r="C95" s="64">
        <v>9.68</v>
      </c>
      <c r="D95" s="64">
        <v>10.130000000000001</v>
      </c>
      <c r="E95" s="64">
        <v>2.2799999999999998</v>
      </c>
      <c r="F95" s="64">
        <v>1.36</v>
      </c>
      <c r="G95" s="64">
        <v>17.149999999999999</v>
      </c>
      <c r="H95" s="64">
        <v>10.35</v>
      </c>
      <c r="I95" s="64">
        <v>1.48</v>
      </c>
      <c r="J95" s="64">
        <v>0.05</v>
      </c>
      <c r="K95" s="64">
        <v>152.41</v>
      </c>
      <c r="L95" s="64">
        <v>22.96</v>
      </c>
      <c r="M95" s="64">
        <v>98.81</v>
      </c>
      <c r="N95" s="64">
        <v>9.3000000000000007</v>
      </c>
      <c r="O95" s="64">
        <v>0</v>
      </c>
      <c r="P95" s="64">
        <v>0.43</v>
      </c>
      <c r="Q95" s="64">
        <v>12.75</v>
      </c>
      <c r="R95" s="198"/>
      <c r="S95" s="198"/>
      <c r="T95" s="198"/>
      <c r="U95" s="198"/>
    </row>
    <row r="96" spans="1:26" s="12" customFormat="1" x14ac:dyDescent="0.25">
      <c r="A96" s="214" t="s">
        <v>2736</v>
      </c>
      <c r="B96" s="64">
        <v>4.2699999999999996</v>
      </c>
      <c r="C96" s="64">
        <v>8.9499999999999993</v>
      </c>
      <c r="D96" s="64">
        <v>9.65</v>
      </c>
      <c r="E96" s="64">
        <v>2.77</v>
      </c>
      <c r="F96" s="64">
        <v>1.51</v>
      </c>
      <c r="G96" s="64">
        <v>17.149999999999999</v>
      </c>
      <c r="H96" s="64">
        <v>10.35</v>
      </c>
      <c r="I96" s="64">
        <v>1.5</v>
      </c>
      <c r="J96" s="64">
        <v>0.14000000000000001</v>
      </c>
      <c r="K96" s="64">
        <v>184.03</v>
      </c>
      <c r="L96" s="64">
        <v>22.85</v>
      </c>
      <c r="M96" s="64">
        <v>98.83</v>
      </c>
      <c r="N96" s="64">
        <v>9.1999999999999993</v>
      </c>
      <c r="O96" s="64">
        <v>0</v>
      </c>
      <c r="P96" s="64">
        <v>0.44</v>
      </c>
      <c r="Q96" s="64">
        <v>12.23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2737</v>
      </c>
      <c r="B97" s="64">
        <v>4.22</v>
      </c>
      <c r="C97" s="64">
        <v>9.56</v>
      </c>
      <c r="D97" s="64">
        <v>9.9499999999999993</v>
      </c>
      <c r="E97" s="64">
        <v>2.5299999999999998</v>
      </c>
      <c r="F97" s="64">
        <v>3.65</v>
      </c>
      <c r="G97" s="64">
        <v>17.149999999999999</v>
      </c>
      <c r="H97" s="64">
        <v>10.35</v>
      </c>
      <c r="I97" s="64">
        <v>1.54</v>
      </c>
      <c r="J97" s="64">
        <v>0.08</v>
      </c>
      <c r="K97" s="64">
        <v>156.93</v>
      </c>
      <c r="L97" s="64">
        <v>22.79</v>
      </c>
      <c r="M97" s="64">
        <v>98.82</v>
      </c>
      <c r="N97" s="64">
        <v>9.1</v>
      </c>
      <c r="O97" s="64">
        <v>0</v>
      </c>
      <c r="P97" s="64">
        <v>0.42</v>
      </c>
      <c r="Q97" s="64">
        <v>12.87</v>
      </c>
      <c r="R97" s="198"/>
      <c r="S97" s="198"/>
      <c r="T97" s="198"/>
      <c r="U97" s="198"/>
    </row>
    <row r="98" spans="1:33" s="12" customFormat="1" x14ac:dyDescent="0.25">
      <c r="A98" s="214" t="s">
        <v>2738</v>
      </c>
      <c r="B98" s="64">
        <v>3.54</v>
      </c>
      <c r="C98" s="64">
        <v>10.91</v>
      </c>
      <c r="D98" s="64">
        <v>10.15</v>
      </c>
      <c r="E98" s="64">
        <v>3</v>
      </c>
      <c r="F98" s="64">
        <v>6.3</v>
      </c>
      <c r="G98" s="64">
        <v>16.93</v>
      </c>
      <c r="H98" s="64">
        <v>11.66</v>
      </c>
      <c r="I98" s="64">
        <v>1.45</v>
      </c>
      <c r="J98" s="64">
        <v>0</v>
      </c>
      <c r="K98" s="64">
        <v>0.3</v>
      </c>
      <c r="L98" s="64">
        <v>22.74</v>
      </c>
      <c r="M98" s="64">
        <v>98.82</v>
      </c>
      <c r="N98" s="64">
        <v>9.1</v>
      </c>
      <c r="O98" s="64">
        <v>0</v>
      </c>
      <c r="P98" s="64">
        <v>0.38</v>
      </c>
      <c r="Q98" s="64">
        <v>13.5</v>
      </c>
      <c r="R98" s="198"/>
      <c r="S98" s="198"/>
      <c r="T98" s="198"/>
      <c r="U98" s="198"/>
    </row>
    <row r="99" spans="1:33" s="12" customFormat="1" x14ac:dyDescent="0.25">
      <c r="A99" s="214" t="s">
        <v>2739</v>
      </c>
      <c r="B99" s="64">
        <v>4.03</v>
      </c>
      <c r="C99" s="64">
        <v>10.83</v>
      </c>
      <c r="D99" s="64">
        <v>10.5</v>
      </c>
      <c r="E99" s="64">
        <v>2.9</v>
      </c>
      <c r="F99" s="64">
        <v>5.26</v>
      </c>
      <c r="G99" s="64">
        <v>16.89</v>
      </c>
      <c r="H99" s="64">
        <v>11.66</v>
      </c>
      <c r="I99" s="64">
        <v>1.53</v>
      </c>
      <c r="J99" s="64">
        <v>0.11</v>
      </c>
      <c r="K99" s="64">
        <v>152.49</v>
      </c>
      <c r="L99" s="64">
        <v>22.61</v>
      </c>
      <c r="M99" s="64">
        <v>98.83</v>
      </c>
      <c r="N99" s="64">
        <v>9.1999999999999993</v>
      </c>
      <c r="O99" s="64">
        <v>0</v>
      </c>
      <c r="P99" s="64">
        <v>0.39</v>
      </c>
      <c r="Q99" s="64">
        <v>13.7</v>
      </c>
      <c r="R99" s="198"/>
      <c r="S99" s="198"/>
      <c r="T99" s="198"/>
      <c r="U99" s="198"/>
    </row>
    <row r="100" spans="1:33" s="12" customFormat="1" x14ac:dyDescent="0.25">
      <c r="A100" s="214" t="s">
        <v>2740</v>
      </c>
      <c r="B100" s="64">
        <v>3.64</v>
      </c>
      <c r="C100" s="64">
        <v>12.88</v>
      </c>
      <c r="D100" s="64">
        <v>11.32</v>
      </c>
      <c r="E100" s="64">
        <v>2.1</v>
      </c>
      <c r="F100" s="64">
        <v>6.83</v>
      </c>
      <c r="G100" s="64">
        <v>16.89</v>
      </c>
      <c r="H100" s="64">
        <v>11.66</v>
      </c>
      <c r="I100" s="64">
        <v>1.42</v>
      </c>
      <c r="J100" s="64">
        <v>0.01</v>
      </c>
      <c r="K100" s="64">
        <v>350.84</v>
      </c>
      <c r="L100" s="64">
        <v>22.54</v>
      </c>
      <c r="M100" s="64">
        <v>98.78</v>
      </c>
      <c r="N100" s="64">
        <v>9.1</v>
      </c>
      <c r="O100" s="64">
        <v>0</v>
      </c>
      <c r="P100" s="64">
        <v>0.35</v>
      </c>
      <c r="Q100" s="64">
        <v>14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2741</v>
      </c>
      <c r="B101" s="64">
        <v>5.81</v>
      </c>
      <c r="C101" s="64">
        <v>13.21</v>
      </c>
      <c r="D101" s="64">
        <v>13.24</v>
      </c>
      <c r="E101" s="64">
        <v>2.3199999999999998</v>
      </c>
      <c r="F101" s="64">
        <v>5.81</v>
      </c>
      <c r="G101" s="64">
        <v>16.89</v>
      </c>
      <c r="H101" s="64">
        <v>11.66</v>
      </c>
      <c r="I101" s="64">
        <v>1.43</v>
      </c>
      <c r="J101" s="64">
        <v>0.03</v>
      </c>
      <c r="K101" s="64">
        <v>256.54000000000002</v>
      </c>
      <c r="L101" s="64">
        <v>22.51</v>
      </c>
      <c r="M101" s="64">
        <v>98.23</v>
      </c>
      <c r="N101" s="64">
        <v>9.1</v>
      </c>
      <c r="O101" s="64">
        <v>0</v>
      </c>
      <c r="P101" s="64">
        <v>0.4</v>
      </c>
      <c r="Q101" s="64">
        <v>14.14</v>
      </c>
      <c r="R101" s="198"/>
      <c r="S101" s="198"/>
      <c r="T101" s="198"/>
      <c r="U101" s="198"/>
    </row>
    <row r="102" spans="1:33" s="12" customFormat="1" x14ac:dyDescent="0.25">
      <c r="A102" s="214" t="s">
        <v>2742</v>
      </c>
      <c r="B102" s="64">
        <v>5.93</v>
      </c>
      <c r="C102" s="64">
        <v>13.05</v>
      </c>
      <c r="D102" s="64">
        <v>13.25</v>
      </c>
      <c r="E102" s="64">
        <v>2.5499999999999998</v>
      </c>
      <c r="F102" s="64">
        <v>2.71</v>
      </c>
      <c r="G102" s="64">
        <v>32.17</v>
      </c>
      <c r="H102" s="64">
        <v>8.42</v>
      </c>
      <c r="I102" s="64">
        <v>1.49</v>
      </c>
      <c r="J102" s="64">
        <v>0.06</v>
      </c>
      <c r="K102" s="64">
        <v>140.62</v>
      </c>
      <c r="L102" s="64">
        <v>22.42</v>
      </c>
      <c r="M102" s="64">
        <v>98.63</v>
      </c>
      <c r="N102" s="64">
        <v>9.1</v>
      </c>
      <c r="O102" s="64">
        <v>0</v>
      </c>
      <c r="P102" s="64">
        <v>0.41</v>
      </c>
      <c r="Q102" s="64">
        <v>13.39</v>
      </c>
      <c r="R102" s="198"/>
      <c r="S102" s="198"/>
      <c r="T102" s="198"/>
      <c r="U102" s="198"/>
    </row>
    <row r="103" spans="1:33" s="12" customFormat="1" x14ac:dyDescent="0.25">
      <c r="A103" s="214" t="s">
        <v>2743</v>
      </c>
      <c r="B103" s="64">
        <v>5.13</v>
      </c>
      <c r="C103" s="64">
        <v>10.029999999999999</v>
      </c>
      <c r="D103" s="64">
        <v>10.94</v>
      </c>
      <c r="E103" s="64">
        <v>2.38</v>
      </c>
      <c r="F103" s="64">
        <v>1.31</v>
      </c>
      <c r="G103" s="64">
        <v>34.75</v>
      </c>
      <c r="H103" s="64">
        <v>8.42</v>
      </c>
      <c r="I103" s="64">
        <v>1.51</v>
      </c>
      <c r="J103" s="64">
        <v>0.05</v>
      </c>
      <c r="K103" s="64">
        <v>193.16</v>
      </c>
      <c r="L103" s="64">
        <v>22.23</v>
      </c>
      <c r="M103" s="64">
        <v>98.83</v>
      </c>
      <c r="N103" s="64">
        <v>9.1999999999999993</v>
      </c>
      <c r="O103" s="64">
        <v>0</v>
      </c>
      <c r="P103" s="64">
        <v>0.41</v>
      </c>
      <c r="Q103" s="64">
        <v>13.45</v>
      </c>
      <c r="R103" s="198"/>
      <c r="S103" s="198"/>
      <c r="T103" s="198"/>
      <c r="U103" s="198"/>
    </row>
    <row r="104" spans="1:33" s="12" customFormat="1" x14ac:dyDescent="0.25">
      <c r="A104" s="214" t="s">
        <v>2744</v>
      </c>
      <c r="B104" s="64">
        <v>5.08</v>
      </c>
      <c r="C104" s="64">
        <v>10.32</v>
      </c>
      <c r="D104" s="64">
        <v>11.06</v>
      </c>
      <c r="E104" s="64">
        <v>0.97</v>
      </c>
      <c r="F104" s="64">
        <v>1.39</v>
      </c>
      <c r="G104" s="64">
        <v>34.75</v>
      </c>
      <c r="H104" s="64">
        <v>8.42</v>
      </c>
      <c r="I104" s="64">
        <v>1.55</v>
      </c>
      <c r="J104" s="64">
        <v>0.06</v>
      </c>
      <c r="K104" s="64">
        <v>336.96</v>
      </c>
      <c r="L104" s="64">
        <v>22.24</v>
      </c>
      <c r="M104" s="64">
        <v>98.83</v>
      </c>
      <c r="N104" s="64">
        <v>9.1</v>
      </c>
      <c r="O104" s="64">
        <v>0</v>
      </c>
      <c r="P104" s="64">
        <v>0.42</v>
      </c>
      <c r="Q104" s="64">
        <v>12.89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2.42</v>
      </c>
      <c r="C106" s="67">
        <f>MIN(C9:C104)</f>
        <v>8.9499999999999993</v>
      </c>
      <c r="D106" s="67">
        <f t="shared" ref="D106:Q106" si="0">MIN(D9:D104)</f>
        <v>9.65</v>
      </c>
      <c r="E106" s="67">
        <f t="shared" si="0"/>
        <v>0.28000000000000003</v>
      </c>
      <c r="F106" s="67">
        <f t="shared" si="0"/>
        <v>0.16</v>
      </c>
      <c r="G106" s="67">
        <f t="shared" si="0"/>
        <v>16.89</v>
      </c>
      <c r="H106" s="67">
        <f t="shared" si="0"/>
        <v>8.42</v>
      </c>
      <c r="I106" s="67">
        <f t="shared" si="0"/>
        <v>1.4</v>
      </c>
      <c r="J106" s="67">
        <f t="shared" si="0"/>
        <v>0</v>
      </c>
      <c r="K106" s="67">
        <f t="shared" si="0"/>
        <v>0.3</v>
      </c>
      <c r="L106" s="67">
        <f t="shared" si="0"/>
        <v>21.73</v>
      </c>
      <c r="M106" s="67">
        <f t="shared" si="0"/>
        <v>57.72</v>
      </c>
      <c r="N106" s="67">
        <f t="shared" si="0"/>
        <v>8.8000000000000007</v>
      </c>
      <c r="O106" s="67">
        <f t="shared" si="0"/>
        <v>0</v>
      </c>
      <c r="P106" s="67">
        <f t="shared" si="0"/>
        <v>0.35</v>
      </c>
      <c r="Q106" s="67">
        <f t="shared" si="0"/>
        <v>9.77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24.95</v>
      </c>
      <c r="C107" s="66">
        <f t="shared" ref="C107:Q107" si="1">MAX(C9:C104)</f>
        <v>55.96</v>
      </c>
      <c r="D107" s="66">
        <f t="shared" si="1"/>
        <v>43.43</v>
      </c>
      <c r="E107" s="66">
        <f t="shared" si="1"/>
        <v>6.46</v>
      </c>
      <c r="F107" s="66">
        <f t="shared" si="1"/>
        <v>20.6</v>
      </c>
      <c r="G107" s="66">
        <f t="shared" si="1"/>
        <v>168.76</v>
      </c>
      <c r="H107" s="66">
        <f t="shared" si="1"/>
        <v>41.15</v>
      </c>
      <c r="I107" s="66">
        <f t="shared" si="1"/>
        <v>1.61</v>
      </c>
      <c r="J107" s="66">
        <f t="shared" si="1"/>
        <v>2.02</v>
      </c>
      <c r="K107" s="66">
        <f t="shared" si="1"/>
        <v>354.62</v>
      </c>
      <c r="L107" s="66">
        <f t="shared" si="1"/>
        <v>32.19</v>
      </c>
      <c r="M107" s="66">
        <f t="shared" si="1"/>
        <v>98.9</v>
      </c>
      <c r="N107" s="66">
        <f t="shared" si="1"/>
        <v>889.1</v>
      </c>
      <c r="O107" s="66">
        <f t="shared" si="1"/>
        <v>0</v>
      </c>
      <c r="P107" s="66">
        <f t="shared" si="1"/>
        <v>1.31</v>
      </c>
      <c r="Q107" s="66">
        <f t="shared" si="1"/>
        <v>16.149999999999999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9.505104166666662</v>
      </c>
      <c r="C108" s="67">
        <f t="shared" ref="C108:Q108" si="2">AVERAGE(C9:C104)</f>
        <v>20.007708333333337</v>
      </c>
      <c r="D108" s="67">
        <f t="shared" si="2"/>
        <v>19.953750000000003</v>
      </c>
      <c r="E108" s="67">
        <f t="shared" si="2"/>
        <v>2.5264583333333328</v>
      </c>
      <c r="F108" s="67">
        <f t="shared" si="2"/>
        <v>4.0245833333333332</v>
      </c>
      <c r="G108" s="67">
        <f t="shared" si="2"/>
        <v>71.28188235294121</v>
      </c>
      <c r="H108" s="67">
        <f t="shared" si="2"/>
        <v>20.229647058823534</v>
      </c>
      <c r="I108" s="67">
        <f t="shared" si="2"/>
        <v>1.5003124999999997</v>
      </c>
      <c r="J108" s="67">
        <f t="shared" si="2"/>
        <v>0.49635416666666682</v>
      </c>
      <c r="K108" s="67">
        <f t="shared" si="2"/>
        <v>213.90385416666666</v>
      </c>
      <c r="L108" s="67">
        <f t="shared" si="2"/>
        <v>25.123437499999998</v>
      </c>
      <c r="M108" s="67">
        <f t="shared" si="2"/>
        <v>87.02385416666668</v>
      </c>
      <c r="N108" s="67">
        <f t="shared" si="2"/>
        <v>176.41562500000001</v>
      </c>
      <c r="O108" s="67">
        <f t="shared" si="2"/>
        <v>0</v>
      </c>
      <c r="P108" s="67">
        <f t="shared" si="2"/>
        <v>0.72958333333333314</v>
      </c>
      <c r="Q108" s="67">
        <f t="shared" si="2"/>
        <v>13.564583333333331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5.7954626525805679</v>
      </c>
      <c r="C109" s="67">
        <f t="shared" ref="C109:Q109" si="3">STDEV(C9:C104)</f>
        <v>11.281550330113198</v>
      </c>
      <c r="D109" s="67">
        <f t="shared" si="3"/>
        <v>7.7965236855246642</v>
      </c>
      <c r="E109" s="67">
        <f t="shared" si="3"/>
        <v>1.3507300008098304</v>
      </c>
      <c r="F109" s="67">
        <f t="shared" si="3"/>
        <v>3.9966275037222037</v>
      </c>
      <c r="G109" s="67">
        <f t="shared" si="3"/>
        <v>36.418787880711719</v>
      </c>
      <c r="H109" s="67">
        <f t="shared" si="3"/>
        <v>8.92773480136327</v>
      </c>
      <c r="I109" s="67">
        <f t="shared" si="3"/>
        <v>4.2734261491959372E-2</v>
      </c>
      <c r="J109" s="67">
        <f t="shared" si="3"/>
        <v>0.52675195359299332</v>
      </c>
      <c r="K109" s="67">
        <f t="shared" si="3"/>
        <v>105.34557696477641</v>
      </c>
      <c r="L109" s="67">
        <f t="shared" si="3"/>
        <v>3.4198952979125328</v>
      </c>
      <c r="M109" s="67">
        <f t="shared" si="3"/>
        <v>13.691164217136889</v>
      </c>
      <c r="N109" s="67">
        <f t="shared" si="3"/>
        <v>251.70673969109583</v>
      </c>
      <c r="O109" s="67">
        <f t="shared" si="3"/>
        <v>0</v>
      </c>
      <c r="P109" s="67">
        <f t="shared" si="3"/>
        <v>0.25293193037556438</v>
      </c>
      <c r="Q109" s="67">
        <f t="shared" si="3"/>
        <v>1.5214147963182887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COUNT(G9:G104)+11</f>
        <v>96</v>
      </c>
      <c r="H110" s="66">
        <f>COUNT(H9:H104)+11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2745</v>
      </c>
      <c r="B9" s="64">
        <v>5.19</v>
      </c>
      <c r="C9" s="64">
        <v>9.84</v>
      </c>
      <c r="D9" s="64">
        <v>10.89</v>
      </c>
      <c r="E9" s="64">
        <v>1.72</v>
      </c>
      <c r="F9" s="64">
        <v>1.63</v>
      </c>
      <c r="G9" s="64">
        <v>34.75</v>
      </c>
      <c r="H9" s="64">
        <v>8.42</v>
      </c>
      <c r="I9" s="64">
        <v>1.52</v>
      </c>
      <c r="J9" s="64">
        <v>0.01</v>
      </c>
      <c r="K9" s="64">
        <v>47.33</v>
      </c>
      <c r="L9" s="64">
        <v>22.19</v>
      </c>
      <c r="M9" s="64">
        <v>98.83</v>
      </c>
      <c r="N9" s="64">
        <v>9.1</v>
      </c>
      <c r="O9" s="64">
        <v>0</v>
      </c>
      <c r="P9" s="64">
        <v>0.42</v>
      </c>
      <c r="Q9" s="64">
        <v>13.03</v>
      </c>
      <c r="R9" s="198"/>
      <c r="S9" s="198"/>
      <c r="T9" s="198"/>
      <c r="U9" s="198"/>
    </row>
    <row r="10" spans="1:21" s="12" customFormat="1" x14ac:dyDescent="0.25">
      <c r="A10" s="214" t="s">
        <v>2746</v>
      </c>
      <c r="B10" s="64">
        <v>5.0999999999999996</v>
      </c>
      <c r="C10" s="64">
        <v>9.8699999999999992</v>
      </c>
      <c r="D10" s="64">
        <v>10.83</v>
      </c>
      <c r="E10" s="64">
        <v>1.62</v>
      </c>
      <c r="F10" s="64">
        <v>1.04</v>
      </c>
      <c r="G10" s="64">
        <v>11.97</v>
      </c>
      <c r="H10" s="64">
        <v>7.87</v>
      </c>
      <c r="I10" s="64">
        <v>1.54</v>
      </c>
      <c r="J10" s="64">
        <v>0.04</v>
      </c>
      <c r="K10" s="64">
        <v>245.6</v>
      </c>
      <c r="L10" s="64">
        <v>22.13</v>
      </c>
      <c r="M10" s="64">
        <v>98.84</v>
      </c>
      <c r="N10" s="64">
        <v>9.1</v>
      </c>
      <c r="O10" s="64">
        <v>0</v>
      </c>
      <c r="P10" s="64">
        <v>0.43</v>
      </c>
      <c r="Q10" s="64">
        <v>12.87</v>
      </c>
      <c r="R10" s="198"/>
      <c r="S10" s="198"/>
      <c r="T10" s="198"/>
      <c r="U10" s="198"/>
    </row>
    <row r="11" spans="1:21" s="12" customFormat="1" x14ac:dyDescent="0.25">
      <c r="A11" s="214" t="s">
        <v>2747</v>
      </c>
      <c r="B11" s="64">
        <v>4.93</v>
      </c>
      <c r="C11" s="64">
        <v>10.25</v>
      </c>
      <c r="D11" s="64">
        <v>10.9</v>
      </c>
      <c r="E11" s="64">
        <v>1.99</v>
      </c>
      <c r="F11" s="64">
        <v>1.3</v>
      </c>
      <c r="G11" s="64">
        <v>8.1199999999999992</v>
      </c>
      <c r="H11" s="64">
        <v>7.87</v>
      </c>
      <c r="I11" s="64">
        <v>1.56</v>
      </c>
      <c r="J11" s="64">
        <v>0.06</v>
      </c>
      <c r="K11" s="64">
        <v>266.04000000000002</v>
      </c>
      <c r="L11" s="64">
        <v>22.02</v>
      </c>
      <c r="M11" s="64">
        <v>98.86</v>
      </c>
      <c r="N11" s="64">
        <v>9.1</v>
      </c>
      <c r="O11" s="64">
        <v>0</v>
      </c>
      <c r="P11" s="64">
        <v>0.41</v>
      </c>
      <c r="Q11" s="64">
        <v>13.07</v>
      </c>
      <c r="R11" s="198"/>
      <c r="S11" s="198"/>
      <c r="T11" s="198"/>
      <c r="U11" s="198"/>
    </row>
    <row r="12" spans="1:21" s="12" customFormat="1" x14ac:dyDescent="0.25">
      <c r="A12" s="214" t="s">
        <v>2748</v>
      </c>
      <c r="B12" s="64">
        <v>5.15</v>
      </c>
      <c r="C12" s="64">
        <v>9.19</v>
      </c>
      <c r="D12" s="64">
        <v>10.49</v>
      </c>
      <c r="E12" s="64">
        <v>1.74</v>
      </c>
      <c r="F12" s="64">
        <v>1.05</v>
      </c>
      <c r="G12" s="64">
        <v>8.1199999999999992</v>
      </c>
      <c r="H12" s="64">
        <v>7.87</v>
      </c>
      <c r="I12" s="64">
        <v>1.54</v>
      </c>
      <c r="J12" s="64">
        <v>0.12</v>
      </c>
      <c r="K12" s="64">
        <v>337.38</v>
      </c>
      <c r="L12" s="64">
        <v>21.96</v>
      </c>
      <c r="M12" s="64">
        <v>98.87</v>
      </c>
      <c r="N12" s="64">
        <v>9.1</v>
      </c>
      <c r="O12" s="64">
        <v>0</v>
      </c>
      <c r="P12" s="64">
        <v>0.44</v>
      </c>
      <c r="Q12" s="64">
        <v>12.82</v>
      </c>
      <c r="R12" s="198"/>
      <c r="S12" s="198"/>
      <c r="T12" s="198"/>
      <c r="U12" s="198"/>
    </row>
    <row r="13" spans="1:21" s="12" customFormat="1" x14ac:dyDescent="0.25">
      <c r="A13" s="214" t="s">
        <v>2749</v>
      </c>
      <c r="B13" s="64">
        <v>8.02</v>
      </c>
      <c r="C13" s="64">
        <v>18.34</v>
      </c>
      <c r="D13" s="64">
        <v>17.850000000000001</v>
      </c>
      <c r="E13" s="64">
        <v>1.5</v>
      </c>
      <c r="F13" s="64">
        <v>2.5</v>
      </c>
      <c r="G13" s="64">
        <v>8.1199999999999992</v>
      </c>
      <c r="H13" s="64">
        <v>7.87</v>
      </c>
      <c r="I13" s="64">
        <v>1.49</v>
      </c>
      <c r="J13" s="64">
        <v>0.06</v>
      </c>
      <c r="K13" s="64">
        <v>308.92</v>
      </c>
      <c r="L13" s="64">
        <v>21.93</v>
      </c>
      <c r="M13" s="64">
        <v>98.87</v>
      </c>
      <c r="N13" s="64">
        <v>9.1</v>
      </c>
      <c r="O13" s="64">
        <v>0</v>
      </c>
      <c r="P13" s="64">
        <v>0.51</v>
      </c>
      <c r="Q13" s="64">
        <v>13.59</v>
      </c>
      <c r="R13" s="198"/>
      <c r="S13" s="198"/>
      <c r="T13" s="198"/>
      <c r="U13" s="198"/>
    </row>
    <row r="14" spans="1:21" s="12" customFormat="1" x14ac:dyDescent="0.25">
      <c r="A14" s="214" t="s">
        <v>2750</v>
      </c>
      <c r="B14" s="64">
        <v>6.69</v>
      </c>
      <c r="C14" s="64">
        <v>17.940000000000001</v>
      </c>
      <c r="D14" s="64">
        <v>16.559999999999999</v>
      </c>
      <c r="E14" s="64">
        <v>1.28</v>
      </c>
      <c r="F14" s="64">
        <v>4.55</v>
      </c>
      <c r="G14" s="64">
        <v>36.42</v>
      </c>
      <c r="H14" s="64">
        <v>7.12</v>
      </c>
      <c r="I14" s="64">
        <v>1.46</v>
      </c>
      <c r="J14" s="64">
        <v>0.18</v>
      </c>
      <c r="K14" s="64">
        <v>313.14</v>
      </c>
      <c r="L14" s="64">
        <v>21.9</v>
      </c>
      <c r="M14" s="64">
        <v>98.87</v>
      </c>
      <c r="N14" s="64">
        <v>8.9</v>
      </c>
      <c r="O14" s="64">
        <v>0</v>
      </c>
      <c r="P14" s="64">
        <v>0.49</v>
      </c>
      <c r="Q14" s="64">
        <v>13.92</v>
      </c>
      <c r="R14" s="198"/>
      <c r="S14" s="198"/>
      <c r="T14" s="198"/>
      <c r="U14" s="198"/>
    </row>
    <row r="15" spans="1:21" s="12" customFormat="1" x14ac:dyDescent="0.25">
      <c r="A15" s="214" t="s">
        <v>2751</v>
      </c>
      <c r="B15" s="64">
        <v>5.66</v>
      </c>
      <c r="C15" s="64">
        <v>13.39</v>
      </c>
      <c r="D15" s="64">
        <v>13.22</v>
      </c>
      <c r="E15" s="64">
        <v>0.87</v>
      </c>
      <c r="F15" s="64">
        <v>4.59</v>
      </c>
      <c r="G15" s="64">
        <v>41.2</v>
      </c>
      <c r="H15" s="64">
        <v>7.12</v>
      </c>
      <c r="I15" s="64">
        <v>1.46</v>
      </c>
      <c r="J15" s="64">
        <v>0.2</v>
      </c>
      <c r="K15" s="64">
        <v>334.61</v>
      </c>
      <c r="L15" s="64">
        <v>22.03</v>
      </c>
      <c r="M15" s="64">
        <v>98.88</v>
      </c>
      <c r="N15" s="64">
        <v>9.1</v>
      </c>
      <c r="O15" s="64">
        <v>0</v>
      </c>
      <c r="P15" s="64">
        <v>0.46</v>
      </c>
      <c r="Q15" s="64">
        <v>14.75</v>
      </c>
      <c r="R15" s="198"/>
      <c r="S15" s="198"/>
      <c r="T15" s="198"/>
      <c r="U15" s="198"/>
    </row>
    <row r="16" spans="1:21" s="12" customFormat="1" x14ac:dyDescent="0.25">
      <c r="A16" s="214" t="s">
        <v>2752</v>
      </c>
      <c r="B16" s="64">
        <v>6.08</v>
      </c>
      <c r="C16" s="64">
        <v>14.75</v>
      </c>
      <c r="D16" s="64">
        <v>14.31</v>
      </c>
      <c r="E16" s="64">
        <v>1.74</v>
      </c>
      <c r="F16" s="64">
        <v>4.6500000000000004</v>
      </c>
      <c r="G16" s="64">
        <v>41.2</v>
      </c>
      <c r="H16" s="64">
        <v>7.12</v>
      </c>
      <c r="I16" s="64">
        <v>1.49</v>
      </c>
      <c r="J16" s="64">
        <v>0.32</v>
      </c>
      <c r="K16" s="64">
        <v>342.95</v>
      </c>
      <c r="L16" s="64">
        <v>22.13</v>
      </c>
      <c r="M16" s="64">
        <v>98.88</v>
      </c>
      <c r="N16" s="64">
        <v>9.1</v>
      </c>
      <c r="O16" s="64">
        <v>0</v>
      </c>
      <c r="P16" s="64">
        <v>0.44</v>
      </c>
      <c r="Q16" s="64">
        <v>14.72</v>
      </c>
      <c r="R16" s="198"/>
      <c r="S16" s="198"/>
      <c r="T16" s="198"/>
      <c r="U16" s="198"/>
    </row>
    <row r="17" spans="1:21" s="12" customFormat="1" x14ac:dyDescent="0.25">
      <c r="A17" s="214" t="s">
        <v>2753</v>
      </c>
      <c r="B17" s="64">
        <v>5.43</v>
      </c>
      <c r="C17" s="64">
        <v>14.97</v>
      </c>
      <c r="D17" s="64">
        <v>13.91</v>
      </c>
      <c r="E17" s="64">
        <v>1.41</v>
      </c>
      <c r="F17" s="64">
        <v>5.35</v>
      </c>
      <c r="G17" s="64">
        <v>41.2</v>
      </c>
      <c r="H17" s="64">
        <v>7.12</v>
      </c>
      <c r="I17" s="64">
        <v>1.47</v>
      </c>
      <c r="J17" s="64">
        <v>0.3</v>
      </c>
      <c r="K17" s="64">
        <v>345.09</v>
      </c>
      <c r="L17" s="64">
        <v>22.18</v>
      </c>
      <c r="M17" s="64">
        <v>98.88</v>
      </c>
      <c r="N17" s="64">
        <v>9.1</v>
      </c>
      <c r="O17" s="64">
        <v>0</v>
      </c>
      <c r="P17" s="64">
        <v>0.43</v>
      </c>
      <c r="Q17" s="64">
        <v>15.14</v>
      </c>
      <c r="R17" s="198"/>
      <c r="S17" s="198"/>
      <c r="T17" s="198"/>
      <c r="U17" s="198"/>
    </row>
    <row r="18" spans="1:21" s="12" customFormat="1" x14ac:dyDescent="0.25">
      <c r="A18" s="214" t="s">
        <v>2754</v>
      </c>
      <c r="B18" s="64">
        <v>6.2</v>
      </c>
      <c r="C18" s="64">
        <v>11.38</v>
      </c>
      <c r="D18" s="64">
        <v>12.54</v>
      </c>
      <c r="E18" s="64">
        <v>1.91</v>
      </c>
      <c r="F18" s="64">
        <v>1.41</v>
      </c>
      <c r="G18" s="64">
        <v>32.380000000000003</v>
      </c>
      <c r="H18" s="64">
        <v>9.4600000000000009</v>
      </c>
      <c r="I18" s="64">
        <v>1.46</v>
      </c>
      <c r="J18" s="64">
        <v>0.15</v>
      </c>
      <c r="K18" s="64">
        <v>356.35</v>
      </c>
      <c r="L18" s="64">
        <v>22.32</v>
      </c>
      <c r="M18" s="64">
        <v>98.88</v>
      </c>
      <c r="N18" s="64">
        <v>9.3000000000000007</v>
      </c>
      <c r="O18" s="64">
        <v>0</v>
      </c>
      <c r="P18" s="64">
        <v>0.48</v>
      </c>
      <c r="Q18" s="64">
        <v>14.42</v>
      </c>
      <c r="R18" s="198"/>
      <c r="S18" s="198"/>
      <c r="T18" s="198"/>
      <c r="U18" s="198"/>
    </row>
    <row r="19" spans="1:21" s="12" customFormat="1" x14ac:dyDescent="0.25">
      <c r="A19" s="214" t="s">
        <v>2755</v>
      </c>
      <c r="B19" s="64">
        <v>6.22</v>
      </c>
      <c r="C19" s="64">
        <v>11.26</v>
      </c>
      <c r="D19" s="64">
        <v>12.5</v>
      </c>
      <c r="E19" s="64">
        <v>1.68</v>
      </c>
      <c r="F19" s="64">
        <v>1.39</v>
      </c>
      <c r="G19" s="64">
        <v>30.9</v>
      </c>
      <c r="H19" s="64">
        <v>9.4600000000000009</v>
      </c>
      <c r="I19" s="64">
        <v>1.42</v>
      </c>
      <c r="J19" s="64">
        <v>0.09</v>
      </c>
      <c r="K19" s="64">
        <v>353.34</v>
      </c>
      <c r="L19" s="64">
        <v>22.36</v>
      </c>
      <c r="M19" s="64">
        <v>98.88</v>
      </c>
      <c r="N19" s="64">
        <v>9.1999999999999993</v>
      </c>
      <c r="O19" s="64">
        <v>0</v>
      </c>
      <c r="P19" s="64">
        <v>0.46</v>
      </c>
      <c r="Q19" s="64">
        <v>14.65</v>
      </c>
      <c r="R19" s="198"/>
      <c r="S19" s="198"/>
      <c r="T19" s="198"/>
      <c r="U19" s="198"/>
    </row>
    <row r="20" spans="1:21" s="12" customFormat="1" x14ac:dyDescent="0.25">
      <c r="A20" s="214" t="s">
        <v>2756</v>
      </c>
      <c r="B20" s="64">
        <v>6.18</v>
      </c>
      <c r="C20" s="64">
        <v>10.23</v>
      </c>
      <c r="D20" s="64">
        <v>11.89</v>
      </c>
      <c r="E20" s="64">
        <v>1.03</v>
      </c>
      <c r="F20" s="64">
        <v>1.31</v>
      </c>
      <c r="G20" s="64">
        <v>30.9</v>
      </c>
      <c r="H20" s="64">
        <v>9.4600000000000009</v>
      </c>
      <c r="I20" s="64">
        <v>1.47</v>
      </c>
      <c r="J20" s="64">
        <v>0.05</v>
      </c>
      <c r="K20" s="64">
        <v>19.63</v>
      </c>
      <c r="L20" s="64">
        <v>22.29</v>
      </c>
      <c r="M20" s="64">
        <v>98.87</v>
      </c>
      <c r="N20" s="64">
        <v>9.4</v>
      </c>
      <c r="O20" s="64">
        <v>0</v>
      </c>
      <c r="P20" s="64">
        <v>0.48</v>
      </c>
      <c r="Q20" s="64">
        <v>13.99</v>
      </c>
      <c r="R20" s="198"/>
      <c r="S20" s="198"/>
      <c r="T20" s="198"/>
      <c r="U20" s="198"/>
    </row>
    <row r="21" spans="1:21" s="12" customFormat="1" x14ac:dyDescent="0.25">
      <c r="A21" s="214" t="s">
        <v>2757</v>
      </c>
      <c r="B21" s="64">
        <v>5.98</v>
      </c>
      <c r="C21" s="64">
        <v>11.05</v>
      </c>
      <c r="D21" s="64">
        <v>12.19</v>
      </c>
      <c r="E21" s="64">
        <v>1.57</v>
      </c>
      <c r="F21" s="64">
        <v>1.0900000000000001</v>
      </c>
      <c r="G21" s="64">
        <v>30.9</v>
      </c>
      <c r="H21" s="64">
        <v>9.4600000000000009</v>
      </c>
      <c r="I21" s="64">
        <v>1.46</v>
      </c>
      <c r="J21" s="64">
        <v>0.02</v>
      </c>
      <c r="K21" s="64">
        <v>280.91000000000003</v>
      </c>
      <c r="L21" s="64">
        <v>22.18</v>
      </c>
      <c r="M21" s="64">
        <v>98.87</v>
      </c>
      <c r="N21" s="64">
        <v>9.1999999999999993</v>
      </c>
      <c r="O21" s="64">
        <v>0</v>
      </c>
      <c r="P21" s="64">
        <v>0.49</v>
      </c>
      <c r="Q21" s="64">
        <v>14.18</v>
      </c>
      <c r="R21" s="198"/>
      <c r="S21" s="198"/>
      <c r="T21" s="198"/>
      <c r="U21" s="198"/>
    </row>
    <row r="22" spans="1:21" s="12" customFormat="1" x14ac:dyDescent="0.25">
      <c r="A22" s="214" t="s">
        <v>2758</v>
      </c>
      <c r="B22" s="64">
        <v>6.06</v>
      </c>
      <c r="C22" s="64">
        <v>9.9499999999999993</v>
      </c>
      <c r="D22" s="64">
        <v>11.65</v>
      </c>
      <c r="E22" s="64">
        <v>1.58</v>
      </c>
      <c r="F22" s="64">
        <v>0.98</v>
      </c>
      <c r="G22" s="64">
        <v>47.7</v>
      </c>
      <c r="H22" s="64">
        <v>12.54</v>
      </c>
      <c r="I22" s="64">
        <v>1.54</v>
      </c>
      <c r="J22" s="64">
        <v>0.06</v>
      </c>
      <c r="K22" s="64">
        <v>214.59</v>
      </c>
      <c r="L22" s="64">
        <v>22.06</v>
      </c>
      <c r="M22" s="64">
        <v>98.87</v>
      </c>
      <c r="N22" s="64">
        <v>9.1</v>
      </c>
      <c r="O22" s="64">
        <v>0</v>
      </c>
      <c r="P22" s="64">
        <v>0.5</v>
      </c>
      <c r="Q22" s="64">
        <v>13.59</v>
      </c>
      <c r="R22" s="198"/>
      <c r="S22" s="198"/>
      <c r="T22" s="198"/>
      <c r="U22" s="198"/>
    </row>
    <row r="23" spans="1:21" s="12" customFormat="1" x14ac:dyDescent="0.25">
      <c r="A23" s="214" t="s">
        <v>2759</v>
      </c>
      <c r="B23" s="64">
        <v>5.72</v>
      </c>
      <c r="C23" s="64">
        <v>10.87</v>
      </c>
      <c r="D23" s="64">
        <v>11.88</v>
      </c>
      <c r="E23" s="64">
        <v>0.5</v>
      </c>
      <c r="F23" s="64">
        <v>0.78</v>
      </c>
      <c r="G23" s="64">
        <v>50.53</v>
      </c>
      <c r="H23" s="64">
        <v>12.54</v>
      </c>
      <c r="I23" s="64">
        <v>1.52</v>
      </c>
      <c r="J23" s="64">
        <v>0.05</v>
      </c>
      <c r="K23" s="64">
        <v>152.31</v>
      </c>
      <c r="L23" s="64">
        <v>22</v>
      </c>
      <c r="M23" s="64">
        <v>98.87</v>
      </c>
      <c r="N23" s="64">
        <v>9.1</v>
      </c>
      <c r="O23" s="64">
        <v>0</v>
      </c>
      <c r="P23" s="64">
        <v>0.53</v>
      </c>
      <c r="Q23" s="64">
        <v>13.79</v>
      </c>
      <c r="R23" s="198"/>
      <c r="S23" s="198"/>
      <c r="T23" s="198"/>
      <c r="U23" s="198"/>
    </row>
    <row r="24" spans="1:21" s="12" customFormat="1" x14ac:dyDescent="0.25">
      <c r="A24" s="214" t="s">
        <v>2760</v>
      </c>
      <c r="B24" s="64">
        <v>6.09</v>
      </c>
      <c r="C24" s="64">
        <v>9.77</v>
      </c>
      <c r="D24" s="64">
        <v>11.56</v>
      </c>
      <c r="E24" s="64">
        <v>1.89</v>
      </c>
      <c r="F24" s="64">
        <v>0.9</v>
      </c>
      <c r="G24" s="64">
        <v>50.53</v>
      </c>
      <c r="H24" s="64">
        <v>12.54</v>
      </c>
      <c r="I24" s="64">
        <v>1.44</v>
      </c>
      <c r="J24" s="64">
        <v>0.17</v>
      </c>
      <c r="K24" s="64">
        <v>101.84</v>
      </c>
      <c r="L24" s="64">
        <v>22.16</v>
      </c>
      <c r="M24" s="64">
        <v>98.88</v>
      </c>
      <c r="N24" s="64">
        <v>8.9</v>
      </c>
      <c r="O24" s="64">
        <v>0</v>
      </c>
      <c r="P24" s="64">
        <v>0.53</v>
      </c>
      <c r="Q24" s="64">
        <v>13.64</v>
      </c>
      <c r="R24" s="198"/>
      <c r="S24" s="198"/>
      <c r="T24" s="198"/>
      <c r="U24" s="198"/>
    </row>
    <row r="25" spans="1:21" s="12" customFormat="1" x14ac:dyDescent="0.25">
      <c r="A25" s="214" t="s">
        <v>2761</v>
      </c>
      <c r="B25" s="64">
        <v>5.29</v>
      </c>
      <c r="C25" s="64">
        <v>15.74</v>
      </c>
      <c r="D25" s="64">
        <v>14.22</v>
      </c>
      <c r="E25" s="64">
        <v>2.14</v>
      </c>
      <c r="F25" s="64">
        <v>2.37</v>
      </c>
      <c r="G25" s="64">
        <v>50.53</v>
      </c>
      <c r="H25" s="64">
        <v>12.54</v>
      </c>
      <c r="I25" s="64">
        <v>1.51</v>
      </c>
      <c r="J25" s="64">
        <v>0.35</v>
      </c>
      <c r="K25" s="64">
        <v>115.9</v>
      </c>
      <c r="L25" s="64">
        <v>22.42</v>
      </c>
      <c r="M25" s="64">
        <v>98.87</v>
      </c>
      <c r="N25" s="64">
        <v>8.9</v>
      </c>
      <c r="O25" s="64">
        <v>0</v>
      </c>
      <c r="P25" s="64">
        <v>0.56000000000000005</v>
      </c>
      <c r="Q25" s="64">
        <v>14.88</v>
      </c>
      <c r="R25" s="198"/>
      <c r="S25" s="198"/>
      <c r="T25" s="198"/>
      <c r="U25" s="198"/>
    </row>
    <row r="26" spans="1:21" s="12" customFormat="1" x14ac:dyDescent="0.25">
      <c r="A26" s="214" t="s">
        <v>2762</v>
      </c>
      <c r="B26" s="64">
        <v>5.09</v>
      </c>
      <c r="C26" s="64">
        <v>16.05</v>
      </c>
      <c r="D26" s="64">
        <v>14.23</v>
      </c>
      <c r="E26" s="64">
        <v>1.99</v>
      </c>
      <c r="F26" s="64">
        <v>1.04</v>
      </c>
      <c r="G26" s="64">
        <v>53.27</v>
      </c>
      <c r="H26" s="64">
        <v>13.4</v>
      </c>
      <c r="I26" s="64">
        <v>1.51</v>
      </c>
      <c r="J26" s="64">
        <v>0.34</v>
      </c>
      <c r="K26" s="64">
        <v>94.87</v>
      </c>
      <c r="L26" s="64">
        <v>22.29</v>
      </c>
      <c r="M26" s="64">
        <v>98.88</v>
      </c>
      <c r="N26" s="64">
        <v>9</v>
      </c>
      <c r="O26" s="64">
        <v>0</v>
      </c>
      <c r="P26" s="64">
        <v>0.53</v>
      </c>
      <c r="Q26" s="64">
        <v>15.07</v>
      </c>
      <c r="R26" s="198"/>
      <c r="S26" s="198"/>
      <c r="T26" s="198"/>
      <c r="U26" s="198"/>
    </row>
    <row r="27" spans="1:21" s="12" customFormat="1" x14ac:dyDescent="0.25">
      <c r="A27" s="214" t="s">
        <v>2763</v>
      </c>
      <c r="B27" s="64">
        <v>5.87</v>
      </c>
      <c r="C27" s="64">
        <v>15.55</v>
      </c>
      <c r="D27" s="64">
        <v>14.58</v>
      </c>
      <c r="E27" s="64">
        <v>3.05</v>
      </c>
      <c r="F27" s="64">
        <v>1.22</v>
      </c>
      <c r="G27" s="64">
        <v>53.77</v>
      </c>
      <c r="H27" s="64">
        <v>13.4</v>
      </c>
      <c r="I27" s="64">
        <v>1.47</v>
      </c>
      <c r="J27" s="64">
        <v>0.31</v>
      </c>
      <c r="K27" s="64">
        <v>106.27</v>
      </c>
      <c r="L27" s="64">
        <v>22.23</v>
      </c>
      <c r="M27" s="64">
        <v>98.88</v>
      </c>
      <c r="N27" s="64">
        <v>9.1</v>
      </c>
      <c r="O27" s="64">
        <v>0</v>
      </c>
      <c r="P27" s="64">
        <v>0.53</v>
      </c>
      <c r="Q27" s="64">
        <v>16.190000000000001</v>
      </c>
      <c r="R27" s="198"/>
      <c r="S27" s="198"/>
      <c r="T27" s="198"/>
      <c r="U27" s="198"/>
    </row>
    <row r="28" spans="1:21" s="12" customFormat="1" x14ac:dyDescent="0.25">
      <c r="A28" s="214" t="s">
        <v>2764</v>
      </c>
      <c r="B28" s="64">
        <v>6.2</v>
      </c>
      <c r="C28" s="64">
        <v>17.510000000000002</v>
      </c>
      <c r="D28" s="64">
        <v>15.93</v>
      </c>
      <c r="E28" s="64">
        <v>2.16</v>
      </c>
      <c r="F28" s="64">
        <v>1.55</v>
      </c>
      <c r="G28" s="64">
        <v>53.77</v>
      </c>
      <c r="H28" s="64">
        <v>13.4</v>
      </c>
      <c r="I28" s="64">
        <v>1.49</v>
      </c>
      <c r="J28" s="64">
        <v>0.1</v>
      </c>
      <c r="K28" s="64">
        <v>118.41</v>
      </c>
      <c r="L28" s="64">
        <v>22.16</v>
      </c>
      <c r="M28" s="64">
        <v>98.87</v>
      </c>
      <c r="N28" s="64">
        <v>9.1999999999999993</v>
      </c>
      <c r="O28" s="64">
        <v>0</v>
      </c>
      <c r="P28" s="64">
        <v>0.53</v>
      </c>
      <c r="Q28" s="64">
        <v>16.18</v>
      </c>
      <c r="R28" s="198"/>
      <c r="S28" s="198"/>
      <c r="T28" s="198"/>
      <c r="U28" s="198"/>
    </row>
    <row r="29" spans="1:21" s="12" customFormat="1" x14ac:dyDescent="0.25">
      <c r="A29" s="214" t="s">
        <v>2765</v>
      </c>
      <c r="B29" s="64">
        <v>9.17</v>
      </c>
      <c r="C29" s="64">
        <v>16.649999999999999</v>
      </c>
      <c r="D29" s="64">
        <v>17.84</v>
      </c>
      <c r="E29" s="64">
        <v>2.14</v>
      </c>
      <c r="F29" s="64">
        <v>0.66</v>
      </c>
      <c r="G29" s="64">
        <v>53.77</v>
      </c>
      <c r="H29" s="64">
        <v>13.4</v>
      </c>
      <c r="I29" s="64">
        <v>1.43</v>
      </c>
      <c r="J29" s="64">
        <v>0.44</v>
      </c>
      <c r="K29" s="64">
        <v>161.6</v>
      </c>
      <c r="L29" s="64">
        <v>22</v>
      </c>
      <c r="M29" s="64">
        <v>98.88</v>
      </c>
      <c r="N29" s="64">
        <v>9.1</v>
      </c>
      <c r="O29" s="64">
        <v>0</v>
      </c>
      <c r="P29" s="64">
        <v>0.52</v>
      </c>
      <c r="Q29" s="64">
        <v>16.72</v>
      </c>
      <c r="R29" s="198"/>
      <c r="S29" s="198"/>
      <c r="T29" s="198"/>
      <c r="U29" s="198"/>
    </row>
    <row r="30" spans="1:21" s="12" customFormat="1" x14ac:dyDescent="0.25">
      <c r="A30" s="214" t="s">
        <v>2766</v>
      </c>
      <c r="B30" s="64">
        <v>8.3699999999999992</v>
      </c>
      <c r="C30" s="64">
        <v>11.15</v>
      </c>
      <c r="D30" s="64">
        <v>14.16</v>
      </c>
      <c r="E30" s="64">
        <v>2.93</v>
      </c>
      <c r="F30" s="64">
        <v>0.38</v>
      </c>
      <c r="G30" s="64">
        <v>44.07</v>
      </c>
      <c r="H30" s="64">
        <v>13.17</v>
      </c>
      <c r="I30" s="64">
        <v>1.48</v>
      </c>
      <c r="J30" s="64">
        <v>0.03</v>
      </c>
      <c r="K30" s="64">
        <v>335.3</v>
      </c>
      <c r="L30" s="64">
        <v>21.9</v>
      </c>
      <c r="M30" s="64">
        <v>98.88</v>
      </c>
      <c r="N30" s="64">
        <v>9.4</v>
      </c>
      <c r="O30" s="64">
        <v>0</v>
      </c>
      <c r="P30" s="64">
        <v>0.53</v>
      </c>
      <c r="Q30" s="64">
        <v>16.39</v>
      </c>
      <c r="R30" s="198"/>
      <c r="S30" s="198"/>
      <c r="T30" s="198"/>
      <c r="U30" s="198"/>
    </row>
    <row r="31" spans="1:21" s="12" customFormat="1" x14ac:dyDescent="0.25">
      <c r="A31" s="214" t="s">
        <v>2767</v>
      </c>
      <c r="B31" s="64">
        <v>8.4600000000000009</v>
      </c>
      <c r="C31" s="64">
        <v>10.28</v>
      </c>
      <c r="D31" s="64">
        <v>13.75</v>
      </c>
      <c r="E31" s="64">
        <v>2.41</v>
      </c>
      <c r="F31" s="64">
        <v>0.63</v>
      </c>
      <c r="G31" s="64">
        <v>42.43</v>
      </c>
      <c r="H31" s="64">
        <v>13.17</v>
      </c>
      <c r="I31" s="64">
        <v>1.5</v>
      </c>
      <c r="J31" s="64">
        <v>0.1</v>
      </c>
      <c r="K31" s="64">
        <v>174.69</v>
      </c>
      <c r="L31" s="64">
        <v>21.8</v>
      </c>
      <c r="M31" s="64">
        <v>98.88</v>
      </c>
      <c r="N31" s="64">
        <v>10</v>
      </c>
      <c r="O31" s="64">
        <v>0</v>
      </c>
      <c r="P31" s="64">
        <v>0.52</v>
      </c>
      <c r="Q31" s="64">
        <v>15.79</v>
      </c>
      <c r="R31" s="198"/>
      <c r="S31" s="198"/>
      <c r="T31" s="198"/>
      <c r="U31" s="198"/>
    </row>
    <row r="32" spans="1:21" s="12" customFormat="1" x14ac:dyDescent="0.25">
      <c r="A32" s="214" t="s">
        <v>2768</v>
      </c>
      <c r="B32" s="64">
        <v>9.27</v>
      </c>
      <c r="C32" s="64">
        <v>9.32</v>
      </c>
      <c r="D32" s="64">
        <v>13.87</v>
      </c>
      <c r="E32" s="64">
        <v>2.23</v>
      </c>
      <c r="F32" s="64">
        <v>0.43</v>
      </c>
      <c r="G32" s="64">
        <v>42.43</v>
      </c>
      <c r="H32" s="64">
        <v>13.17</v>
      </c>
      <c r="I32" s="64">
        <v>1.54</v>
      </c>
      <c r="J32" s="64">
        <v>0.12</v>
      </c>
      <c r="K32" s="64">
        <v>116.17</v>
      </c>
      <c r="L32" s="64">
        <v>21.78</v>
      </c>
      <c r="M32" s="64">
        <v>98.89</v>
      </c>
      <c r="N32" s="64">
        <v>15.2</v>
      </c>
      <c r="O32" s="64">
        <v>0</v>
      </c>
      <c r="P32" s="64">
        <v>0.54</v>
      </c>
      <c r="Q32" s="64">
        <v>15.69</v>
      </c>
      <c r="R32" s="198"/>
      <c r="S32" s="198"/>
      <c r="T32" s="198"/>
      <c r="U32" s="198"/>
    </row>
    <row r="33" spans="1:21" s="12" customFormat="1" x14ac:dyDescent="0.25">
      <c r="A33" s="214" t="s">
        <v>2769</v>
      </c>
      <c r="B33" s="64">
        <v>10.44</v>
      </c>
      <c r="C33" s="64">
        <v>9.48</v>
      </c>
      <c r="D33" s="64">
        <v>14.9</v>
      </c>
      <c r="E33" s="64">
        <v>2.09</v>
      </c>
      <c r="F33" s="64">
        <v>0.8</v>
      </c>
      <c r="G33" s="64">
        <v>42.43</v>
      </c>
      <c r="H33" s="64">
        <v>13.17</v>
      </c>
      <c r="I33" s="64">
        <v>1.54</v>
      </c>
      <c r="J33" s="64">
        <v>0.38</v>
      </c>
      <c r="K33" s="64">
        <v>106.48</v>
      </c>
      <c r="L33" s="64">
        <v>22.05</v>
      </c>
      <c r="M33" s="64">
        <v>98.88</v>
      </c>
      <c r="N33" s="64">
        <v>32.9</v>
      </c>
      <c r="O33" s="64">
        <v>0</v>
      </c>
      <c r="P33" s="64">
        <v>0.55000000000000004</v>
      </c>
      <c r="Q33" s="64">
        <v>15.18</v>
      </c>
      <c r="R33" s="198"/>
      <c r="S33" s="198"/>
      <c r="T33" s="198"/>
      <c r="U33" s="198"/>
    </row>
    <row r="34" spans="1:21" s="12" customFormat="1" x14ac:dyDescent="0.25">
      <c r="A34" s="214" t="s">
        <v>2770</v>
      </c>
      <c r="B34" s="64">
        <v>14.62</v>
      </c>
      <c r="C34" s="64">
        <v>12.53</v>
      </c>
      <c r="D34" s="64">
        <v>19.93</v>
      </c>
      <c r="E34" s="64">
        <v>2.17</v>
      </c>
      <c r="F34" s="64">
        <v>0.24</v>
      </c>
      <c r="G34" s="64">
        <v>48.71</v>
      </c>
      <c r="H34" s="64">
        <v>12.57</v>
      </c>
      <c r="I34" s="64">
        <v>1.45</v>
      </c>
      <c r="J34" s="64">
        <v>0.36</v>
      </c>
      <c r="K34" s="64">
        <v>106.02</v>
      </c>
      <c r="L34" s="64">
        <v>22.4</v>
      </c>
      <c r="M34" s="64">
        <v>98.86</v>
      </c>
      <c r="N34" s="64">
        <v>62.1</v>
      </c>
      <c r="O34" s="64">
        <v>0</v>
      </c>
      <c r="P34" s="64">
        <v>0.55000000000000004</v>
      </c>
      <c r="Q34" s="64">
        <v>15.25</v>
      </c>
      <c r="R34" s="198"/>
      <c r="S34" s="198"/>
      <c r="T34" s="198"/>
      <c r="U34" s="198"/>
    </row>
    <row r="35" spans="1:21" s="12" customFormat="1" x14ac:dyDescent="0.25">
      <c r="A35" s="214" t="s">
        <v>2771</v>
      </c>
      <c r="B35" s="64">
        <v>13.47</v>
      </c>
      <c r="C35" s="64">
        <v>10.58</v>
      </c>
      <c r="D35" s="64">
        <v>17.93</v>
      </c>
      <c r="E35" s="64">
        <v>2.8</v>
      </c>
      <c r="F35" s="64">
        <v>0.38</v>
      </c>
      <c r="G35" s="64">
        <v>49.77</v>
      </c>
      <c r="H35" s="64">
        <v>12.57</v>
      </c>
      <c r="I35" s="64">
        <v>1.49</v>
      </c>
      <c r="J35" s="64">
        <v>0.45</v>
      </c>
      <c r="K35" s="64">
        <v>100.05</v>
      </c>
      <c r="L35" s="64">
        <v>22.76</v>
      </c>
      <c r="M35" s="64">
        <v>98.85</v>
      </c>
      <c r="N35" s="64">
        <v>103.7</v>
      </c>
      <c r="O35" s="64">
        <v>0</v>
      </c>
      <c r="P35" s="64">
        <v>0.55000000000000004</v>
      </c>
      <c r="Q35" s="64">
        <v>15.44</v>
      </c>
      <c r="R35" s="198"/>
      <c r="S35" s="198"/>
      <c r="T35" s="198"/>
      <c r="U35" s="198"/>
    </row>
    <row r="36" spans="1:21" s="12" customFormat="1" x14ac:dyDescent="0.25">
      <c r="A36" s="214" t="s">
        <v>2772</v>
      </c>
      <c r="B36" s="64">
        <v>13.07</v>
      </c>
      <c r="C36" s="64">
        <v>12.42</v>
      </c>
      <c r="D36" s="64">
        <v>18.63</v>
      </c>
      <c r="E36" s="64">
        <v>2.75</v>
      </c>
      <c r="F36" s="64">
        <v>1.27</v>
      </c>
      <c r="G36" s="64">
        <v>49.77</v>
      </c>
      <c r="H36" s="64">
        <v>12.57</v>
      </c>
      <c r="I36" s="64">
        <v>1.52</v>
      </c>
      <c r="J36" s="64">
        <v>0.51</v>
      </c>
      <c r="K36" s="64">
        <v>104.33</v>
      </c>
      <c r="L36" s="64">
        <v>23.09</v>
      </c>
      <c r="M36" s="64">
        <v>98.83</v>
      </c>
      <c r="N36" s="64">
        <v>89</v>
      </c>
      <c r="O36" s="64">
        <v>0</v>
      </c>
      <c r="P36" s="64">
        <v>0.56000000000000005</v>
      </c>
      <c r="Q36" s="64">
        <v>15.7</v>
      </c>
      <c r="R36" s="198"/>
      <c r="S36" s="198"/>
      <c r="T36" s="198"/>
      <c r="U36" s="198"/>
    </row>
    <row r="37" spans="1:21" s="12" customFormat="1" x14ac:dyDescent="0.25">
      <c r="A37" s="214" t="s">
        <v>2773</v>
      </c>
      <c r="B37" s="64">
        <v>12.45</v>
      </c>
      <c r="C37" s="64">
        <v>17.96</v>
      </c>
      <c r="D37" s="64">
        <v>21.19</v>
      </c>
      <c r="E37" s="64">
        <v>2.5</v>
      </c>
      <c r="F37" s="64">
        <v>2.62</v>
      </c>
      <c r="G37" s="64">
        <v>49.77</v>
      </c>
      <c r="H37" s="64">
        <v>12.57</v>
      </c>
      <c r="I37" s="64">
        <v>1.54</v>
      </c>
      <c r="J37" s="64">
        <v>0.61</v>
      </c>
      <c r="K37" s="64">
        <v>105.37</v>
      </c>
      <c r="L37" s="64">
        <v>22.99</v>
      </c>
      <c r="M37" s="64">
        <v>98.83</v>
      </c>
      <c r="N37" s="64">
        <v>102.3</v>
      </c>
      <c r="O37" s="64">
        <v>0</v>
      </c>
      <c r="P37" s="64">
        <v>0.56999999999999995</v>
      </c>
      <c r="Q37" s="64">
        <v>16.45</v>
      </c>
      <c r="R37" s="198"/>
      <c r="S37" s="198"/>
      <c r="T37" s="198"/>
      <c r="U37" s="198"/>
    </row>
    <row r="38" spans="1:21" s="12" customFormat="1" x14ac:dyDescent="0.25">
      <c r="A38" s="214" t="s">
        <v>2774</v>
      </c>
      <c r="B38" s="64">
        <v>12.1</v>
      </c>
      <c r="C38" s="64">
        <v>16.82</v>
      </c>
      <c r="D38" s="64">
        <v>20.28</v>
      </c>
      <c r="E38" s="64">
        <v>2.2999999999999998</v>
      </c>
      <c r="F38" s="64">
        <v>3.02</v>
      </c>
      <c r="G38" s="64">
        <v>57.36</v>
      </c>
      <c r="H38" s="64">
        <v>13.79</v>
      </c>
      <c r="I38" s="64">
        <v>1.45</v>
      </c>
      <c r="J38" s="64">
        <v>0.6</v>
      </c>
      <c r="K38" s="64">
        <v>107.11</v>
      </c>
      <c r="L38" s="64">
        <v>23.45</v>
      </c>
      <c r="M38" s="64">
        <v>98.69</v>
      </c>
      <c r="N38" s="64">
        <v>206.3</v>
      </c>
      <c r="O38" s="64">
        <v>0</v>
      </c>
      <c r="P38" s="64">
        <v>0.57999999999999996</v>
      </c>
      <c r="Q38" s="64">
        <v>17.399999999999999</v>
      </c>
      <c r="R38" s="198"/>
      <c r="S38" s="198"/>
      <c r="T38" s="198"/>
      <c r="U38" s="198"/>
    </row>
    <row r="39" spans="1:21" s="12" customFormat="1" x14ac:dyDescent="0.25">
      <c r="A39" s="214" t="s">
        <v>2775</v>
      </c>
      <c r="B39" s="64">
        <v>11.98</v>
      </c>
      <c r="C39" s="64">
        <v>17.87</v>
      </c>
      <c r="D39" s="64">
        <v>20.76</v>
      </c>
      <c r="E39" s="64">
        <v>3.26</v>
      </c>
      <c r="F39" s="64">
        <v>5.5</v>
      </c>
      <c r="G39" s="64">
        <v>58.64</v>
      </c>
      <c r="H39" s="64">
        <v>13.79</v>
      </c>
      <c r="I39" s="64">
        <v>1.53</v>
      </c>
      <c r="J39" s="64">
        <v>0.35</v>
      </c>
      <c r="K39" s="64">
        <v>132.94</v>
      </c>
      <c r="L39" s="64">
        <v>24.8</v>
      </c>
      <c r="M39" s="64">
        <v>92.45</v>
      </c>
      <c r="N39" s="64">
        <v>269.10000000000002</v>
      </c>
      <c r="O39" s="64">
        <v>0</v>
      </c>
      <c r="P39" s="64">
        <v>0.61</v>
      </c>
      <c r="Q39" s="64">
        <v>18.47</v>
      </c>
      <c r="R39" s="198"/>
      <c r="S39" s="198"/>
      <c r="T39" s="198"/>
      <c r="U39" s="198"/>
    </row>
    <row r="40" spans="1:21" s="12" customFormat="1" x14ac:dyDescent="0.25">
      <c r="A40" s="214" t="s">
        <v>2776</v>
      </c>
      <c r="B40" s="64">
        <v>12.72</v>
      </c>
      <c r="C40" s="64">
        <v>18.350000000000001</v>
      </c>
      <c r="D40" s="64">
        <v>21.62</v>
      </c>
      <c r="E40" s="64">
        <v>1.63</v>
      </c>
      <c r="F40" s="64">
        <v>6.81</v>
      </c>
      <c r="G40" s="64">
        <v>58.64</v>
      </c>
      <c r="H40" s="64">
        <v>13.79</v>
      </c>
      <c r="I40" s="64">
        <v>1.46</v>
      </c>
      <c r="J40" s="64">
        <v>0.38</v>
      </c>
      <c r="K40" s="64">
        <v>139.32</v>
      </c>
      <c r="L40" s="64">
        <v>26.08</v>
      </c>
      <c r="M40" s="64">
        <v>85.34</v>
      </c>
      <c r="N40" s="64">
        <v>319.2</v>
      </c>
      <c r="O40" s="64">
        <v>0</v>
      </c>
      <c r="P40" s="64">
        <v>0.61</v>
      </c>
      <c r="Q40" s="64">
        <v>18.54</v>
      </c>
      <c r="R40" s="198"/>
      <c r="S40" s="198"/>
      <c r="T40" s="198"/>
      <c r="U40" s="198"/>
    </row>
    <row r="41" spans="1:21" s="12" customFormat="1" x14ac:dyDescent="0.25">
      <c r="A41" s="214" t="s">
        <v>2777</v>
      </c>
      <c r="B41" s="64">
        <v>11.7</v>
      </c>
      <c r="C41" s="64">
        <v>18.07</v>
      </c>
      <c r="D41" s="64">
        <v>20.65</v>
      </c>
      <c r="E41" s="64">
        <v>1.91</v>
      </c>
      <c r="F41" s="64">
        <v>2.04</v>
      </c>
      <c r="G41" s="64">
        <v>58.64</v>
      </c>
      <c r="H41" s="64">
        <v>13.79</v>
      </c>
      <c r="I41" s="64">
        <v>1.48</v>
      </c>
      <c r="J41" s="64">
        <v>0.23</v>
      </c>
      <c r="K41" s="64">
        <v>131.34</v>
      </c>
      <c r="L41" s="64">
        <v>26.46</v>
      </c>
      <c r="M41" s="64">
        <v>83.51</v>
      </c>
      <c r="N41" s="64">
        <v>365.8</v>
      </c>
      <c r="O41" s="64">
        <v>0</v>
      </c>
      <c r="P41" s="64">
        <v>0.6</v>
      </c>
      <c r="Q41" s="64">
        <v>18.38</v>
      </c>
      <c r="R41" s="198"/>
      <c r="S41" s="198"/>
      <c r="T41" s="198"/>
      <c r="U41" s="198"/>
    </row>
    <row r="42" spans="1:21" s="12" customFormat="1" x14ac:dyDescent="0.25">
      <c r="A42" s="214" t="s">
        <v>2778</v>
      </c>
      <c r="B42" s="64">
        <v>12.73</v>
      </c>
      <c r="C42" s="64">
        <v>12.98</v>
      </c>
      <c r="D42" s="64">
        <v>18.66</v>
      </c>
      <c r="E42" s="64">
        <v>1.87</v>
      </c>
      <c r="F42" s="64">
        <v>1.44</v>
      </c>
      <c r="G42" s="64">
        <v>81.349999999999994</v>
      </c>
      <c r="H42" s="64">
        <v>16.440000000000001</v>
      </c>
      <c r="I42" s="64">
        <v>1.56</v>
      </c>
      <c r="J42" s="64">
        <v>0.65</v>
      </c>
      <c r="K42" s="64">
        <v>107.16</v>
      </c>
      <c r="L42" s="64">
        <v>26.17</v>
      </c>
      <c r="M42" s="64">
        <v>82.82</v>
      </c>
      <c r="N42" s="64">
        <v>435</v>
      </c>
      <c r="O42" s="64">
        <v>0</v>
      </c>
      <c r="P42" s="64">
        <v>0.6</v>
      </c>
      <c r="Q42" s="64">
        <v>18.09</v>
      </c>
      <c r="R42" s="198"/>
      <c r="S42" s="198"/>
      <c r="T42" s="198"/>
      <c r="U42" s="198"/>
    </row>
    <row r="43" spans="1:21" s="12" customFormat="1" x14ac:dyDescent="0.25">
      <c r="A43" s="214" t="s">
        <v>2779</v>
      </c>
      <c r="B43" s="64">
        <v>12.92</v>
      </c>
      <c r="C43" s="64">
        <v>18.46</v>
      </c>
      <c r="D43" s="64">
        <v>21.84</v>
      </c>
      <c r="E43" s="64">
        <v>2.2000000000000002</v>
      </c>
      <c r="F43" s="64">
        <v>2.29</v>
      </c>
      <c r="G43" s="64">
        <v>85.19</v>
      </c>
      <c r="H43" s="64">
        <v>16.440000000000001</v>
      </c>
      <c r="I43" s="64">
        <v>1.53</v>
      </c>
      <c r="J43" s="64">
        <v>0.1</v>
      </c>
      <c r="K43" s="64">
        <v>52.39</v>
      </c>
      <c r="L43" s="64">
        <v>28.02</v>
      </c>
      <c r="M43" s="64">
        <v>75.89</v>
      </c>
      <c r="N43" s="64">
        <v>474.8</v>
      </c>
      <c r="O43" s="64">
        <v>0</v>
      </c>
      <c r="P43" s="64">
        <v>0.63</v>
      </c>
      <c r="Q43" s="64">
        <v>17.93</v>
      </c>
      <c r="R43" s="198"/>
      <c r="S43" s="198"/>
      <c r="T43" s="198"/>
      <c r="U43" s="198"/>
    </row>
    <row r="44" spans="1:21" s="12" customFormat="1" x14ac:dyDescent="0.25">
      <c r="A44" s="214" t="s">
        <v>2780</v>
      </c>
      <c r="B44" s="64">
        <v>15.07</v>
      </c>
      <c r="C44" s="64">
        <v>17.350000000000001</v>
      </c>
      <c r="D44" s="64">
        <v>22.95</v>
      </c>
      <c r="E44" s="64">
        <v>1.61</v>
      </c>
      <c r="F44" s="64">
        <v>1.55</v>
      </c>
      <c r="G44" s="64">
        <v>85.19</v>
      </c>
      <c r="H44" s="64">
        <v>16.440000000000001</v>
      </c>
      <c r="I44" s="64">
        <v>1.46</v>
      </c>
      <c r="J44" s="64">
        <v>0.44</v>
      </c>
      <c r="K44" s="64">
        <v>350.32</v>
      </c>
      <c r="L44" s="64">
        <v>30.39</v>
      </c>
      <c r="M44" s="64">
        <v>66.819999999999993</v>
      </c>
      <c r="N44" s="64">
        <v>529.9</v>
      </c>
      <c r="O44" s="64">
        <v>0</v>
      </c>
      <c r="P44" s="64">
        <v>0.68</v>
      </c>
      <c r="Q44" s="64">
        <v>17.690000000000001</v>
      </c>
      <c r="R44" s="198"/>
      <c r="S44" s="198"/>
      <c r="T44" s="198"/>
      <c r="U44" s="198"/>
    </row>
    <row r="45" spans="1:21" s="12" customFormat="1" x14ac:dyDescent="0.25">
      <c r="A45" s="214" t="s">
        <v>2781</v>
      </c>
      <c r="B45" s="64">
        <v>14.65</v>
      </c>
      <c r="C45" s="64">
        <v>14.59</v>
      </c>
      <c r="D45" s="64">
        <v>21.09</v>
      </c>
      <c r="E45" s="64">
        <v>2.38</v>
      </c>
      <c r="F45" s="64">
        <v>2.57</v>
      </c>
      <c r="G45" s="64">
        <v>85.19</v>
      </c>
      <c r="H45" s="64">
        <v>16.440000000000001</v>
      </c>
      <c r="I45" s="64">
        <v>1.43</v>
      </c>
      <c r="J45" s="64">
        <v>0.2</v>
      </c>
      <c r="K45" s="64">
        <v>344.5</v>
      </c>
      <c r="L45" s="64">
        <v>30.44</v>
      </c>
      <c r="M45" s="64">
        <v>65.819999999999993</v>
      </c>
      <c r="N45" s="64">
        <v>420.3</v>
      </c>
      <c r="O45" s="64">
        <v>0</v>
      </c>
      <c r="P45" s="64">
        <v>0.68</v>
      </c>
      <c r="Q45" s="64">
        <v>17.239999999999998</v>
      </c>
      <c r="R45" s="198"/>
      <c r="S45" s="198"/>
      <c r="T45" s="198"/>
      <c r="U45" s="198"/>
    </row>
    <row r="46" spans="1:21" s="12" customFormat="1" x14ac:dyDescent="0.25">
      <c r="A46" s="214" t="s">
        <v>2782</v>
      </c>
      <c r="B46" s="64">
        <v>12.7</v>
      </c>
      <c r="C46" s="64">
        <v>15.2</v>
      </c>
      <c r="D46" s="64">
        <v>19.86</v>
      </c>
      <c r="E46" s="64">
        <v>2.25</v>
      </c>
      <c r="F46" s="64">
        <v>2.5</v>
      </c>
      <c r="G46" s="64">
        <v>97.46</v>
      </c>
      <c r="H46" s="64">
        <v>19.02</v>
      </c>
      <c r="I46" s="64">
        <v>1.51</v>
      </c>
      <c r="J46" s="64">
        <v>0.22</v>
      </c>
      <c r="K46" s="64">
        <v>351.71</v>
      </c>
      <c r="L46" s="64">
        <v>29.83</v>
      </c>
      <c r="M46" s="64">
        <v>67.16</v>
      </c>
      <c r="N46" s="64">
        <v>416.2</v>
      </c>
      <c r="O46" s="64">
        <v>0</v>
      </c>
      <c r="P46" s="64">
        <v>0.71</v>
      </c>
      <c r="Q46" s="64">
        <v>16.670000000000002</v>
      </c>
      <c r="R46" s="198"/>
      <c r="S46" s="198"/>
      <c r="T46" s="198"/>
      <c r="U46" s="198"/>
    </row>
    <row r="47" spans="1:21" s="12" customFormat="1" x14ac:dyDescent="0.25">
      <c r="A47" s="214" t="s">
        <v>2783</v>
      </c>
      <c r="B47" s="64">
        <v>13.38</v>
      </c>
      <c r="C47" s="64">
        <v>20.190000000000001</v>
      </c>
      <c r="D47" s="64">
        <v>23.16</v>
      </c>
      <c r="E47" s="64">
        <v>2.42</v>
      </c>
      <c r="F47" s="64">
        <v>1.91</v>
      </c>
      <c r="G47" s="64">
        <v>99.53</v>
      </c>
      <c r="H47" s="64">
        <v>19.02</v>
      </c>
      <c r="I47" s="64">
        <v>1.49</v>
      </c>
      <c r="J47" s="64">
        <v>0.35</v>
      </c>
      <c r="K47" s="64">
        <v>95.48</v>
      </c>
      <c r="L47" s="64">
        <v>29</v>
      </c>
      <c r="M47" s="64">
        <v>69.98</v>
      </c>
      <c r="N47" s="64">
        <v>510.5</v>
      </c>
      <c r="O47" s="64">
        <v>0</v>
      </c>
      <c r="P47" s="64">
        <v>0.73</v>
      </c>
      <c r="Q47" s="64">
        <v>17.04</v>
      </c>
      <c r="R47" s="198"/>
      <c r="S47" s="198"/>
      <c r="T47" s="198"/>
      <c r="U47" s="198"/>
    </row>
    <row r="48" spans="1:21" s="12" customFormat="1" x14ac:dyDescent="0.25">
      <c r="A48" s="214" t="s">
        <v>2784</v>
      </c>
      <c r="B48" s="64">
        <v>12.56</v>
      </c>
      <c r="C48" s="64">
        <v>20.64</v>
      </c>
      <c r="D48" s="64">
        <v>22.75</v>
      </c>
      <c r="E48" s="64">
        <v>2.19</v>
      </c>
      <c r="F48" s="64">
        <v>7.5</v>
      </c>
      <c r="G48" s="64">
        <v>99.53</v>
      </c>
      <c r="H48" s="64">
        <v>19.02</v>
      </c>
      <c r="I48" s="64">
        <v>1.45</v>
      </c>
      <c r="J48" s="64">
        <v>0.38</v>
      </c>
      <c r="K48" s="64">
        <v>86.11</v>
      </c>
      <c r="L48" s="64">
        <v>29.12</v>
      </c>
      <c r="M48" s="64">
        <v>70.73</v>
      </c>
      <c r="N48" s="64">
        <v>591.70000000000005</v>
      </c>
      <c r="O48" s="64">
        <v>0</v>
      </c>
      <c r="P48" s="64">
        <v>0.75</v>
      </c>
      <c r="Q48" s="64">
        <v>16.940000000000001</v>
      </c>
      <c r="R48" s="198"/>
      <c r="S48" s="198"/>
      <c r="T48" s="198"/>
      <c r="U48" s="198"/>
    </row>
    <row r="49" spans="1:21" s="12" customFormat="1" x14ac:dyDescent="0.25">
      <c r="A49" s="214" t="s">
        <v>2785</v>
      </c>
      <c r="B49" s="64">
        <v>12.87</v>
      </c>
      <c r="C49" s="64">
        <v>25.43</v>
      </c>
      <c r="D49" s="64">
        <v>25.64</v>
      </c>
      <c r="E49" s="64">
        <v>2.69</v>
      </c>
      <c r="F49" s="64">
        <v>8.58</v>
      </c>
      <c r="G49" s="64">
        <v>99.53</v>
      </c>
      <c r="H49" s="64">
        <v>19.02</v>
      </c>
      <c r="I49" s="64">
        <v>1.46</v>
      </c>
      <c r="J49" s="64">
        <v>0.34</v>
      </c>
      <c r="K49" s="64">
        <v>67.180000000000007</v>
      </c>
      <c r="L49" s="64">
        <v>29.27</v>
      </c>
      <c r="M49" s="64">
        <v>69.45</v>
      </c>
      <c r="N49" s="64">
        <v>604.4</v>
      </c>
      <c r="O49" s="64">
        <v>0</v>
      </c>
      <c r="P49" s="64">
        <v>0.79</v>
      </c>
      <c r="Q49" s="64">
        <v>18.02</v>
      </c>
      <c r="R49" s="198"/>
      <c r="S49" s="198"/>
      <c r="T49" s="198"/>
      <c r="U49" s="198"/>
    </row>
    <row r="50" spans="1:21" s="12" customFormat="1" x14ac:dyDescent="0.25">
      <c r="A50" s="214" t="s">
        <v>2786</v>
      </c>
      <c r="B50" s="64">
        <v>12.71</v>
      </c>
      <c r="C50" s="64">
        <v>24.42</v>
      </c>
      <c r="D50" s="64">
        <v>24.96</v>
      </c>
      <c r="E50" s="64">
        <v>2.37</v>
      </c>
      <c r="F50" s="64">
        <v>3.25</v>
      </c>
      <c r="G50" s="64">
        <v>102.87</v>
      </c>
      <c r="H50" s="64">
        <v>27.99</v>
      </c>
      <c r="I50" s="64">
        <v>1.53</v>
      </c>
      <c r="J50" s="64">
        <v>0.39</v>
      </c>
      <c r="K50" s="64">
        <v>11.8</v>
      </c>
      <c r="L50" s="64">
        <v>29.83</v>
      </c>
      <c r="M50" s="64">
        <v>67.540000000000006</v>
      </c>
      <c r="N50" s="64">
        <v>726.9</v>
      </c>
      <c r="O50" s="64">
        <v>0</v>
      </c>
      <c r="P50" s="64">
        <v>0.78</v>
      </c>
      <c r="Q50" s="64">
        <v>18.02</v>
      </c>
      <c r="R50" s="198"/>
      <c r="S50" s="198"/>
      <c r="T50" s="198"/>
      <c r="U50" s="198"/>
    </row>
    <row r="51" spans="1:21" s="12" customFormat="1" x14ac:dyDescent="0.25">
      <c r="A51" s="214" t="s">
        <v>2787</v>
      </c>
      <c r="B51" s="64">
        <v>15.09</v>
      </c>
      <c r="C51" s="64">
        <v>30.84</v>
      </c>
      <c r="D51" s="64">
        <v>30.41</v>
      </c>
      <c r="E51" s="64">
        <v>2.65</v>
      </c>
      <c r="F51" s="64">
        <v>4.04</v>
      </c>
      <c r="G51" s="64">
        <v>103.43</v>
      </c>
      <c r="H51" s="64">
        <v>27.99</v>
      </c>
      <c r="I51" s="64">
        <v>1.45</v>
      </c>
      <c r="J51" s="64">
        <v>0.63</v>
      </c>
      <c r="K51" s="64">
        <v>336</v>
      </c>
      <c r="L51" s="64">
        <v>30.77</v>
      </c>
      <c r="M51" s="64">
        <v>66.540000000000006</v>
      </c>
      <c r="N51" s="64">
        <v>449.6</v>
      </c>
      <c r="O51" s="64">
        <v>0</v>
      </c>
      <c r="P51" s="64">
        <v>0.89</v>
      </c>
      <c r="Q51" s="64">
        <v>18.63</v>
      </c>
      <c r="R51" s="198"/>
      <c r="S51" s="198"/>
      <c r="T51" s="198"/>
      <c r="U51" s="198"/>
    </row>
    <row r="52" spans="1:21" s="12" customFormat="1" x14ac:dyDescent="0.25">
      <c r="A52" s="214" t="s">
        <v>2788</v>
      </c>
      <c r="B52" s="64">
        <v>15.74</v>
      </c>
      <c r="C52" s="64">
        <v>24.1</v>
      </c>
      <c r="D52" s="64">
        <v>27.22</v>
      </c>
      <c r="E52" s="64">
        <v>3.14</v>
      </c>
      <c r="F52" s="64">
        <v>1.88</v>
      </c>
      <c r="G52" s="64">
        <v>103.43</v>
      </c>
      <c r="H52" s="64">
        <v>27.99</v>
      </c>
      <c r="I52" s="64">
        <v>1.49</v>
      </c>
      <c r="J52" s="64">
        <v>0.74</v>
      </c>
      <c r="K52" s="64">
        <v>317.83</v>
      </c>
      <c r="L52" s="64">
        <v>30.57</v>
      </c>
      <c r="M52" s="64">
        <v>69.459999999999994</v>
      </c>
      <c r="N52" s="64">
        <v>225.3</v>
      </c>
      <c r="O52" s="64">
        <v>0</v>
      </c>
      <c r="P52" s="64">
        <v>0.94</v>
      </c>
      <c r="Q52" s="64">
        <v>18.350000000000001</v>
      </c>
      <c r="R52" s="198"/>
      <c r="S52" s="198"/>
      <c r="T52" s="198"/>
      <c r="U52" s="198"/>
    </row>
    <row r="53" spans="1:21" s="12" customFormat="1" x14ac:dyDescent="0.25">
      <c r="A53" s="214" t="s">
        <v>2789</v>
      </c>
      <c r="B53" s="64">
        <v>14.62</v>
      </c>
      <c r="C53" s="64">
        <v>18.66</v>
      </c>
      <c r="D53" s="64">
        <v>23.31</v>
      </c>
      <c r="E53" s="64">
        <v>2.76</v>
      </c>
      <c r="F53" s="64">
        <v>0.96</v>
      </c>
      <c r="G53" s="64">
        <v>103.43</v>
      </c>
      <c r="H53" s="64">
        <v>27.99</v>
      </c>
      <c r="I53" s="64">
        <v>1.53</v>
      </c>
      <c r="J53" s="64">
        <v>0.39</v>
      </c>
      <c r="K53" s="64">
        <v>326.42</v>
      </c>
      <c r="L53" s="64">
        <v>29.34</v>
      </c>
      <c r="M53" s="64">
        <v>73.17</v>
      </c>
      <c r="N53" s="64">
        <v>199.5</v>
      </c>
      <c r="O53" s="64">
        <v>0</v>
      </c>
      <c r="P53" s="64">
        <v>0.91</v>
      </c>
      <c r="Q53" s="64">
        <v>17.940000000000001</v>
      </c>
      <c r="R53" s="198"/>
      <c r="S53" s="198"/>
      <c r="T53" s="198"/>
      <c r="U53" s="198"/>
    </row>
    <row r="54" spans="1:21" s="12" customFormat="1" x14ac:dyDescent="0.25">
      <c r="A54" s="214" t="s">
        <v>2790</v>
      </c>
      <c r="B54" s="64">
        <v>14.83</v>
      </c>
      <c r="C54" s="64">
        <v>17.97</v>
      </c>
      <c r="D54" s="64">
        <v>23.11</v>
      </c>
      <c r="E54" s="64">
        <v>4.8600000000000003</v>
      </c>
      <c r="F54" s="64">
        <v>0.42</v>
      </c>
      <c r="G54" s="64">
        <v>141.84</v>
      </c>
      <c r="H54" s="64">
        <v>33.74</v>
      </c>
      <c r="I54" s="64">
        <v>1.49</v>
      </c>
      <c r="J54" s="64">
        <v>0.22</v>
      </c>
      <c r="K54" s="64">
        <v>336.29</v>
      </c>
      <c r="L54" s="64">
        <v>28.32</v>
      </c>
      <c r="M54" s="64">
        <v>76.680000000000007</v>
      </c>
      <c r="N54" s="64">
        <v>158.19999999999999</v>
      </c>
      <c r="O54" s="64">
        <v>0</v>
      </c>
      <c r="P54" s="64">
        <v>0.93</v>
      </c>
      <c r="Q54" s="64">
        <v>17.53</v>
      </c>
      <c r="R54" s="198"/>
      <c r="S54" s="198"/>
      <c r="T54" s="198"/>
      <c r="U54" s="198"/>
    </row>
    <row r="55" spans="1:21" s="12" customFormat="1" x14ac:dyDescent="0.25">
      <c r="A55" s="214" t="s">
        <v>2791</v>
      </c>
      <c r="B55" s="64">
        <v>19.18</v>
      </c>
      <c r="C55" s="64">
        <v>36.14</v>
      </c>
      <c r="D55" s="64">
        <v>36.619999999999997</v>
      </c>
      <c r="E55" s="64">
        <v>4.47</v>
      </c>
      <c r="F55" s="64">
        <v>1</v>
      </c>
      <c r="G55" s="64">
        <v>148.33000000000001</v>
      </c>
      <c r="H55" s="64">
        <v>33.74</v>
      </c>
      <c r="I55" s="64">
        <v>1.5</v>
      </c>
      <c r="J55" s="64">
        <v>0.2</v>
      </c>
      <c r="K55" s="64">
        <v>359.68</v>
      </c>
      <c r="L55" s="64">
        <v>27.47</v>
      </c>
      <c r="M55" s="64">
        <v>81.5</v>
      </c>
      <c r="N55" s="64">
        <v>250.9</v>
      </c>
      <c r="O55" s="64">
        <v>0</v>
      </c>
      <c r="P55" s="64">
        <v>1.1000000000000001</v>
      </c>
      <c r="Q55" s="64">
        <v>15.98</v>
      </c>
      <c r="R55" s="198"/>
      <c r="S55" s="198"/>
      <c r="T55" s="198"/>
      <c r="U55" s="198"/>
    </row>
    <row r="56" spans="1:21" s="12" customFormat="1" x14ac:dyDescent="0.25">
      <c r="A56" s="214" t="s">
        <v>2792</v>
      </c>
      <c r="B56" s="64">
        <v>20.239999999999998</v>
      </c>
      <c r="C56" s="64">
        <v>43.67</v>
      </c>
      <c r="D56" s="64">
        <v>41.62</v>
      </c>
      <c r="E56" s="64">
        <v>0</v>
      </c>
      <c r="F56" s="64">
        <v>0.75</v>
      </c>
      <c r="G56" s="64">
        <v>148.33000000000001</v>
      </c>
      <c r="H56" s="64">
        <v>33.74</v>
      </c>
      <c r="I56" s="64">
        <v>1.48</v>
      </c>
      <c r="J56" s="64">
        <v>0.28999999999999998</v>
      </c>
      <c r="K56" s="64">
        <v>342.5</v>
      </c>
      <c r="L56" s="64">
        <v>28.8</v>
      </c>
      <c r="M56" s="64">
        <v>76.06</v>
      </c>
      <c r="N56" s="64">
        <v>432.8</v>
      </c>
      <c r="O56" s="64">
        <v>0</v>
      </c>
      <c r="P56" s="64">
        <v>1.17</v>
      </c>
      <c r="Q56" s="64">
        <v>15.05</v>
      </c>
      <c r="R56" s="198"/>
      <c r="S56" s="198"/>
      <c r="T56" s="198"/>
      <c r="U56" s="198"/>
    </row>
    <row r="57" spans="1:21" s="12" customFormat="1" x14ac:dyDescent="0.25">
      <c r="A57" s="214" t="s">
        <v>2793</v>
      </c>
      <c r="B57" s="64">
        <v>19.68</v>
      </c>
      <c r="C57" s="64">
        <v>40.75</v>
      </c>
      <c r="D57" s="64">
        <v>39.57</v>
      </c>
      <c r="E57" s="64">
        <v>4.66</v>
      </c>
      <c r="F57" s="64">
        <v>2.72</v>
      </c>
      <c r="G57" s="64">
        <v>148.33000000000001</v>
      </c>
      <c r="H57" s="64">
        <v>33.74</v>
      </c>
      <c r="I57" s="64">
        <v>1.5</v>
      </c>
      <c r="J57" s="64">
        <v>0.7</v>
      </c>
      <c r="K57" s="64">
        <v>325.06</v>
      </c>
      <c r="L57" s="64">
        <v>30.62</v>
      </c>
      <c r="M57" s="64">
        <v>69.36</v>
      </c>
      <c r="N57" s="64">
        <v>571.6</v>
      </c>
      <c r="O57" s="64">
        <v>0</v>
      </c>
      <c r="P57" s="64">
        <v>1.1599999999999999</v>
      </c>
      <c r="Q57" s="64">
        <v>14.65</v>
      </c>
      <c r="R57" s="198"/>
      <c r="S57" s="198"/>
      <c r="T57" s="198"/>
      <c r="U57" s="198"/>
    </row>
    <row r="58" spans="1:21" s="12" customFormat="1" x14ac:dyDescent="0.25">
      <c r="A58" s="214" t="s">
        <v>2794</v>
      </c>
      <c r="B58" s="64">
        <v>19.78</v>
      </c>
      <c r="C58" s="64">
        <v>33.94</v>
      </c>
      <c r="D58" s="64">
        <v>35.89</v>
      </c>
      <c r="E58" s="64">
        <v>8.3800000000000008</v>
      </c>
      <c r="F58" s="64">
        <v>2.92</v>
      </c>
      <c r="G58" s="64">
        <v>108.37</v>
      </c>
      <c r="H58" s="64">
        <v>35.520000000000003</v>
      </c>
      <c r="I58" s="64">
        <v>1.48</v>
      </c>
      <c r="J58" s="64">
        <v>0.93</v>
      </c>
      <c r="K58" s="64">
        <v>321.42</v>
      </c>
      <c r="L58" s="64">
        <v>31.35</v>
      </c>
      <c r="M58" s="64">
        <v>66.08</v>
      </c>
      <c r="N58" s="64">
        <v>554.9</v>
      </c>
      <c r="O58" s="64">
        <v>0</v>
      </c>
      <c r="P58" s="64">
        <v>1.1499999999999999</v>
      </c>
      <c r="Q58" s="64">
        <v>14.07</v>
      </c>
      <c r="R58" s="198"/>
      <c r="S58" s="198"/>
      <c r="T58" s="198"/>
      <c r="U58" s="198"/>
    </row>
    <row r="59" spans="1:21" s="12" customFormat="1" x14ac:dyDescent="0.25">
      <c r="A59" s="214" t="s">
        <v>2795</v>
      </c>
      <c r="B59" s="64">
        <v>17.07</v>
      </c>
      <c r="C59" s="64">
        <v>32.71</v>
      </c>
      <c r="D59" s="64">
        <v>33.04</v>
      </c>
      <c r="E59" s="64">
        <v>7.94</v>
      </c>
      <c r="F59" s="64">
        <v>3.54</v>
      </c>
      <c r="G59" s="64">
        <v>101.63</v>
      </c>
      <c r="H59" s="64">
        <v>35.520000000000003</v>
      </c>
      <c r="I59" s="64">
        <v>1.51</v>
      </c>
      <c r="J59" s="64">
        <v>0.56999999999999995</v>
      </c>
      <c r="K59" s="64">
        <v>321.79000000000002</v>
      </c>
      <c r="L59" s="64">
        <v>30.72</v>
      </c>
      <c r="M59" s="64">
        <v>67.760000000000005</v>
      </c>
      <c r="N59" s="64">
        <v>167.4</v>
      </c>
      <c r="O59" s="64">
        <v>0</v>
      </c>
      <c r="P59" s="64">
        <v>1.1100000000000001</v>
      </c>
      <c r="Q59" s="64">
        <v>12.6</v>
      </c>
      <c r="R59" s="198"/>
      <c r="S59" s="198"/>
      <c r="T59" s="198"/>
      <c r="U59" s="198"/>
    </row>
    <row r="60" spans="1:21" s="12" customFormat="1" x14ac:dyDescent="0.25">
      <c r="A60" s="214" t="s">
        <v>2796</v>
      </c>
      <c r="B60" s="64">
        <v>9.94</v>
      </c>
      <c r="C60" s="64">
        <v>45.39</v>
      </c>
      <c r="D60" s="64">
        <v>34.31</v>
      </c>
      <c r="E60" s="64">
        <v>6.29</v>
      </c>
      <c r="F60" s="64">
        <v>13.67</v>
      </c>
      <c r="G60" s="64">
        <v>101.63</v>
      </c>
      <c r="H60" s="64">
        <v>35.520000000000003</v>
      </c>
      <c r="I60" s="64">
        <v>1.53</v>
      </c>
      <c r="J60" s="64">
        <v>1.19</v>
      </c>
      <c r="K60" s="64">
        <v>324.45999999999998</v>
      </c>
      <c r="L60" s="64">
        <v>29.07</v>
      </c>
      <c r="M60" s="64">
        <v>72.7</v>
      </c>
      <c r="N60" s="64">
        <v>148.6</v>
      </c>
      <c r="O60" s="64">
        <v>0</v>
      </c>
      <c r="P60" s="64">
        <v>1</v>
      </c>
      <c r="Q60" s="64">
        <v>12.86</v>
      </c>
      <c r="R60" s="198"/>
      <c r="S60" s="198"/>
      <c r="T60" s="198"/>
      <c r="U60" s="198"/>
    </row>
    <row r="61" spans="1:21" s="12" customFormat="1" x14ac:dyDescent="0.25">
      <c r="A61" s="214" t="s">
        <v>2797</v>
      </c>
      <c r="B61" s="64">
        <v>7.31</v>
      </c>
      <c r="C61" s="64">
        <v>41.56</v>
      </c>
      <c r="D61" s="64">
        <v>30.09</v>
      </c>
      <c r="E61" s="64">
        <v>6.43</v>
      </c>
      <c r="F61" s="64">
        <v>15.53</v>
      </c>
      <c r="G61" s="64">
        <v>101.63</v>
      </c>
      <c r="H61" s="64">
        <v>35.520000000000003</v>
      </c>
      <c r="I61" s="64">
        <v>1.52</v>
      </c>
      <c r="J61" s="64">
        <v>0.78</v>
      </c>
      <c r="K61" s="64">
        <v>324.47000000000003</v>
      </c>
      <c r="L61" s="64">
        <v>28.88</v>
      </c>
      <c r="M61" s="64">
        <v>72.75</v>
      </c>
      <c r="N61" s="64">
        <v>162.9</v>
      </c>
      <c r="O61" s="64">
        <v>0</v>
      </c>
      <c r="P61" s="64">
        <v>0.81</v>
      </c>
      <c r="Q61" s="64">
        <v>12.79</v>
      </c>
      <c r="R61" s="198"/>
      <c r="S61" s="198"/>
      <c r="T61" s="198"/>
      <c r="U61" s="198"/>
    </row>
    <row r="62" spans="1:21" s="12" customFormat="1" x14ac:dyDescent="0.25">
      <c r="A62" s="214" t="s">
        <v>2798</v>
      </c>
      <c r="B62" s="64">
        <v>15.41</v>
      </c>
      <c r="C62" s="64">
        <v>51.01</v>
      </c>
      <c r="D62" s="64">
        <v>41.8</v>
      </c>
      <c r="E62" s="64">
        <v>5.04</v>
      </c>
      <c r="F62" s="64">
        <v>14.4</v>
      </c>
      <c r="G62" s="64">
        <v>91.8</v>
      </c>
      <c r="H62" s="64">
        <v>34.270000000000003</v>
      </c>
      <c r="I62" s="64">
        <v>1.57</v>
      </c>
      <c r="J62" s="64">
        <v>0.25</v>
      </c>
      <c r="K62" s="64">
        <v>329.51</v>
      </c>
      <c r="L62" s="64">
        <v>29.1</v>
      </c>
      <c r="M62" s="64">
        <v>71.73</v>
      </c>
      <c r="N62" s="64">
        <v>272.10000000000002</v>
      </c>
      <c r="O62" s="64">
        <v>0</v>
      </c>
      <c r="P62" s="64">
        <v>0.93</v>
      </c>
      <c r="Q62" s="64">
        <v>10.26</v>
      </c>
      <c r="R62" s="198"/>
      <c r="S62" s="198"/>
      <c r="T62" s="198"/>
      <c r="U62" s="198"/>
    </row>
    <row r="63" spans="1:21" s="12" customFormat="1" x14ac:dyDescent="0.25">
      <c r="A63" s="214" t="s">
        <v>2799</v>
      </c>
      <c r="B63" s="64">
        <v>13.38</v>
      </c>
      <c r="C63" s="64">
        <v>51.94</v>
      </c>
      <c r="D63" s="64">
        <v>40.68</v>
      </c>
      <c r="E63" s="64">
        <v>3.96</v>
      </c>
      <c r="F63" s="64">
        <v>18.829999999999998</v>
      </c>
      <c r="G63" s="64">
        <v>90.14</v>
      </c>
      <c r="H63" s="64">
        <v>34.270000000000003</v>
      </c>
      <c r="I63" s="64">
        <v>1.59</v>
      </c>
      <c r="J63" s="64">
        <v>0.73</v>
      </c>
      <c r="K63" s="64">
        <v>338.6</v>
      </c>
      <c r="L63" s="64">
        <v>30.19</v>
      </c>
      <c r="M63" s="64">
        <v>67.13</v>
      </c>
      <c r="N63" s="64">
        <v>432.6</v>
      </c>
      <c r="O63" s="64">
        <v>0</v>
      </c>
      <c r="P63" s="64">
        <v>0.94</v>
      </c>
      <c r="Q63" s="64">
        <v>11.36</v>
      </c>
      <c r="R63" s="198"/>
      <c r="S63" s="198"/>
      <c r="T63" s="198"/>
      <c r="U63" s="198"/>
    </row>
    <row r="64" spans="1:21" s="12" customFormat="1" x14ac:dyDescent="0.25">
      <c r="A64" s="214" t="s">
        <v>2800</v>
      </c>
      <c r="B64" s="64">
        <v>8.84</v>
      </c>
      <c r="C64" s="64">
        <v>41.45</v>
      </c>
      <c r="D64" s="64">
        <v>31.25</v>
      </c>
      <c r="E64" s="64">
        <v>3.64</v>
      </c>
      <c r="F64" s="64">
        <v>12.41</v>
      </c>
      <c r="G64" s="64">
        <v>90.14</v>
      </c>
      <c r="H64" s="64">
        <v>34.270000000000003</v>
      </c>
      <c r="I64" s="64">
        <v>1.5</v>
      </c>
      <c r="J64" s="64">
        <v>0.33</v>
      </c>
      <c r="K64" s="64">
        <v>77.38</v>
      </c>
      <c r="L64" s="64">
        <v>30.07</v>
      </c>
      <c r="M64" s="64">
        <v>65.47</v>
      </c>
      <c r="N64" s="64">
        <v>438.9</v>
      </c>
      <c r="O64" s="64">
        <v>0</v>
      </c>
      <c r="P64" s="64">
        <v>0.89</v>
      </c>
      <c r="Q64" s="64">
        <v>12.01</v>
      </c>
      <c r="R64" s="198"/>
      <c r="S64" s="198"/>
      <c r="T64" s="198"/>
      <c r="U64" s="198"/>
    </row>
    <row r="65" spans="1:21" s="12" customFormat="1" x14ac:dyDescent="0.25">
      <c r="A65" s="214" t="s">
        <v>2801</v>
      </c>
      <c r="B65" s="64">
        <v>7.06</v>
      </c>
      <c r="C65" s="64">
        <v>34.17</v>
      </c>
      <c r="D65" s="64">
        <v>25.81</v>
      </c>
      <c r="E65" s="64">
        <v>3.73</v>
      </c>
      <c r="F65" s="64">
        <v>8.76</v>
      </c>
      <c r="G65" s="64">
        <v>90.14</v>
      </c>
      <c r="H65" s="64">
        <v>34.270000000000003</v>
      </c>
      <c r="I65" s="64">
        <v>1.47</v>
      </c>
      <c r="J65" s="64">
        <v>0.39</v>
      </c>
      <c r="K65" s="64">
        <v>87.41</v>
      </c>
      <c r="L65" s="64">
        <v>28.83</v>
      </c>
      <c r="M65" s="64">
        <v>68.75</v>
      </c>
      <c r="N65" s="64">
        <v>194.2</v>
      </c>
      <c r="O65" s="64">
        <v>0</v>
      </c>
      <c r="P65" s="64">
        <v>0.84</v>
      </c>
      <c r="Q65" s="64">
        <v>13.25</v>
      </c>
      <c r="R65" s="198"/>
      <c r="S65" s="198"/>
      <c r="T65" s="198"/>
      <c r="U65" s="198"/>
    </row>
    <row r="66" spans="1:21" s="12" customFormat="1" x14ac:dyDescent="0.25">
      <c r="A66" s="214" t="s">
        <v>2802</v>
      </c>
      <c r="B66" s="64">
        <v>8.26</v>
      </c>
      <c r="C66" s="64">
        <v>29.4</v>
      </c>
      <c r="D66" s="64">
        <v>24.14</v>
      </c>
      <c r="E66" s="64">
        <v>5.4</v>
      </c>
      <c r="F66" s="64">
        <v>13.38</v>
      </c>
      <c r="G66" s="64">
        <v>114.68</v>
      </c>
      <c r="H66" s="64">
        <v>35.450000000000003</v>
      </c>
      <c r="I66" s="64">
        <v>1.52</v>
      </c>
      <c r="J66" s="64">
        <v>0.28999999999999998</v>
      </c>
      <c r="K66" s="64">
        <v>0.46</v>
      </c>
      <c r="L66" s="64">
        <v>29.03</v>
      </c>
      <c r="M66" s="64">
        <v>66.209999999999994</v>
      </c>
      <c r="N66" s="64">
        <v>0</v>
      </c>
      <c r="O66" s="64">
        <v>0</v>
      </c>
      <c r="P66" s="64">
        <v>0.79</v>
      </c>
      <c r="Q66" s="64">
        <v>13.52</v>
      </c>
      <c r="R66" s="198"/>
      <c r="S66" s="198"/>
      <c r="T66" s="198"/>
      <c r="U66" s="198"/>
    </row>
    <row r="67" spans="1:21" s="12" customFormat="1" x14ac:dyDescent="0.25">
      <c r="A67" s="214" t="s">
        <v>2803</v>
      </c>
      <c r="B67" s="64">
        <v>15.13</v>
      </c>
      <c r="C67" s="64">
        <v>46.45</v>
      </c>
      <c r="D67" s="64">
        <v>39.06</v>
      </c>
      <c r="E67" s="64">
        <v>8.19</v>
      </c>
      <c r="F67" s="64">
        <v>20.350000000000001</v>
      </c>
      <c r="G67" s="64">
        <v>118.82</v>
      </c>
      <c r="H67" s="64">
        <v>35.450000000000003</v>
      </c>
      <c r="I67" s="64">
        <v>1.49</v>
      </c>
      <c r="J67" s="64">
        <v>0.47</v>
      </c>
      <c r="K67" s="64">
        <v>337.58</v>
      </c>
      <c r="L67" s="64">
        <v>29.17</v>
      </c>
      <c r="M67" s="64">
        <v>67.31</v>
      </c>
      <c r="N67" s="64">
        <v>0</v>
      </c>
      <c r="O67" s="64">
        <v>0</v>
      </c>
      <c r="P67" s="64">
        <v>1.02</v>
      </c>
      <c r="Q67" s="64">
        <v>12.16</v>
      </c>
      <c r="R67" s="198"/>
      <c r="S67" s="198"/>
      <c r="T67" s="198"/>
      <c r="U67" s="198"/>
    </row>
    <row r="68" spans="1:21" s="12" customFormat="1" x14ac:dyDescent="0.25">
      <c r="A68" s="214" t="s">
        <v>2804</v>
      </c>
      <c r="B68" s="64">
        <v>14.67</v>
      </c>
      <c r="C68" s="64">
        <v>42.54</v>
      </c>
      <c r="D68" s="64">
        <v>36.53</v>
      </c>
      <c r="E68" s="64">
        <v>9.2799999999999994</v>
      </c>
      <c r="F68" s="64">
        <v>16.2</v>
      </c>
      <c r="G68" s="64">
        <v>118.82</v>
      </c>
      <c r="H68" s="64">
        <v>35.450000000000003</v>
      </c>
      <c r="I68" s="64">
        <v>1.46</v>
      </c>
      <c r="J68" s="64">
        <v>0.45</v>
      </c>
      <c r="K68" s="64">
        <v>340.54</v>
      </c>
      <c r="L68" s="64">
        <v>28.96</v>
      </c>
      <c r="M68" s="64">
        <v>69.37</v>
      </c>
      <c r="N68" s="64">
        <v>0</v>
      </c>
      <c r="O68" s="64">
        <v>0</v>
      </c>
      <c r="P68" s="64">
        <v>0.95</v>
      </c>
      <c r="Q68" s="64">
        <v>11.26</v>
      </c>
      <c r="R68" s="198"/>
      <c r="S68" s="198"/>
      <c r="T68" s="198"/>
      <c r="U68" s="198"/>
    </row>
    <row r="69" spans="1:21" s="12" customFormat="1" x14ac:dyDescent="0.25">
      <c r="A69" s="214" t="s">
        <v>2805</v>
      </c>
      <c r="B69" s="64">
        <v>9.7200000000000006</v>
      </c>
      <c r="C69" s="64">
        <v>28.98</v>
      </c>
      <c r="D69" s="64">
        <v>25.08</v>
      </c>
      <c r="E69" s="64">
        <v>11.85</v>
      </c>
      <c r="F69" s="64">
        <v>4.4800000000000004</v>
      </c>
      <c r="G69" s="64">
        <v>118.82</v>
      </c>
      <c r="H69" s="64">
        <v>35.450000000000003</v>
      </c>
      <c r="I69" s="64">
        <v>1.51</v>
      </c>
      <c r="J69" s="64">
        <v>0.17</v>
      </c>
      <c r="K69" s="64">
        <v>355.79</v>
      </c>
      <c r="L69" s="64">
        <v>27.72</v>
      </c>
      <c r="M69" s="64">
        <v>77.180000000000007</v>
      </c>
      <c r="N69" s="64">
        <v>0</v>
      </c>
      <c r="O69" s="64">
        <v>0</v>
      </c>
      <c r="P69" s="64">
        <v>0.89</v>
      </c>
      <c r="Q69" s="64">
        <v>11.9</v>
      </c>
      <c r="R69" s="198"/>
      <c r="S69" s="198"/>
      <c r="T69" s="198"/>
      <c r="U69" s="198"/>
    </row>
    <row r="70" spans="1:21" s="12" customFormat="1" x14ac:dyDescent="0.25">
      <c r="A70" s="214" t="s">
        <v>2806</v>
      </c>
      <c r="B70" s="64">
        <v>10.3</v>
      </c>
      <c r="C70" s="64">
        <v>32.21</v>
      </c>
      <c r="D70" s="64">
        <v>27.33</v>
      </c>
      <c r="E70" s="64">
        <v>10.36</v>
      </c>
      <c r="F70" s="64">
        <v>4.41</v>
      </c>
      <c r="G70" s="64">
        <v>120.57</v>
      </c>
      <c r="H70" s="64">
        <v>37.43</v>
      </c>
      <c r="I70" s="64">
        <v>1.51</v>
      </c>
      <c r="J70" s="64">
        <v>0.2</v>
      </c>
      <c r="K70" s="64">
        <v>333.81</v>
      </c>
      <c r="L70" s="64">
        <v>26.57</v>
      </c>
      <c r="M70" s="64">
        <v>86.99</v>
      </c>
      <c r="N70" s="64">
        <v>0</v>
      </c>
      <c r="O70" s="64">
        <v>0</v>
      </c>
      <c r="P70" s="64">
        <v>0.9</v>
      </c>
      <c r="Q70" s="64">
        <v>12.14</v>
      </c>
      <c r="R70" s="198"/>
      <c r="S70" s="198"/>
      <c r="T70" s="198"/>
      <c r="U70" s="198"/>
    </row>
    <row r="71" spans="1:21" s="12" customFormat="1" x14ac:dyDescent="0.25">
      <c r="A71" s="214" t="s">
        <v>2807</v>
      </c>
      <c r="B71" s="64">
        <v>8.5299999999999994</v>
      </c>
      <c r="C71" s="64">
        <v>31.04</v>
      </c>
      <c r="D71" s="64">
        <v>25.27</v>
      </c>
      <c r="E71" s="64">
        <v>6.64</v>
      </c>
      <c r="F71" s="64">
        <v>8.69</v>
      </c>
      <c r="G71" s="64">
        <v>120.87</v>
      </c>
      <c r="H71" s="64">
        <v>37.43</v>
      </c>
      <c r="I71" s="64">
        <v>1.43</v>
      </c>
      <c r="J71" s="64">
        <v>0.06</v>
      </c>
      <c r="K71" s="64">
        <v>313.60000000000002</v>
      </c>
      <c r="L71" s="64">
        <v>26.46</v>
      </c>
      <c r="M71" s="64">
        <v>88.33</v>
      </c>
      <c r="N71" s="64">
        <v>0</v>
      </c>
      <c r="O71" s="64">
        <v>0</v>
      </c>
      <c r="P71" s="64">
        <v>0.91</v>
      </c>
      <c r="Q71" s="64">
        <v>12.74</v>
      </c>
      <c r="R71" s="198"/>
      <c r="S71" s="198"/>
      <c r="T71" s="198"/>
      <c r="U71" s="198"/>
    </row>
    <row r="72" spans="1:21" s="12" customFormat="1" x14ac:dyDescent="0.25">
      <c r="A72" s="214" t="s">
        <v>2808</v>
      </c>
      <c r="B72" s="64">
        <v>6.26</v>
      </c>
      <c r="C72" s="64">
        <v>55.01</v>
      </c>
      <c r="D72" s="64">
        <v>36.67</v>
      </c>
      <c r="E72" s="64">
        <v>3.84</v>
      </c>
      <c r="F72" s="64">
        <v>19.010000000000002</v>
      </c>
      <c r="G72" s="64">
        <v>120.87</v>
      </c>
      <c r="H72" s="64">
        <v>37.43</v>
      </c>
      <c r="I72" s="64">
        <v>1.54</v>
      </c>
      <c r="J72" s="64">
        <v>0.43</v>
      </c>
      <c r="K72" s="64">
        <v>329.04</v>
      </c>
      <c r="L72" s="64">
        <v>26.55</v>
      </c>
      <c r="M72" s="64">
        <v>90</v>
      </c>
      <c r="N72" s="64">
        <v>0</v>
      </c>
      <c r="O72" s="64">
        <v>0</v>
      </c>
      <c r="P72" s="64">
        <v>0.97</v>
      </c>
      <c r="Q72" s="64">
        <v>14.06</v>
      </c>
      <c r="R72" s="198"/>
      <c r="S72" s="198"/>
      <c r="T72" s="198"/>
      <c r="U72" s="198"/>
    </row>
    <row r="73" spans="1:21" s="12" customFormat="1" x14ac:dyDescent="0.25">
      <c r="A73" s="214" t="s">
        <v>2809</v>
      </c>
      <c r="B73" s="64">
        <v>14.54</v>
      </c>
      <c r="C73" s="64">
        <v>65.06</v>
      </c>
      <c r="D73" s="64">
        <v>48.86</v>
      </c>
      <c r="E73" s="64">
        <v>6.16</v>
      </c>
      <c r="F73" s="64">
        <v>23.85</v>
      </c>
      <c r="G73" s="64">
        <v>120.87</v>
      </c>
      <c r="H73" s="64">
        <v>37.43</v>
      </c>
      <c r="I73" s="64">
        <v>1.4</v>
      </c>
      <c r="J73" s="64">
        <v>0.26</v>
      </c>
      <c r="K73" s="64">
        <v>329</v>
      </c>
      <c r="L73" s="64">
        <v>27.45</v>
      </c>
      <c r="M73" s="64">
        <v>86.75</v>
      </c>
      <c r="N73" s="64">
        <v>0</v>
      </c>
      <c r="O73" s="64">
        <v>0</v>
      </c>
      <c r="P73" s="64">
        <v>1.1100000000000001</v>
      </c>
      <c r="Q73" s="64">
        <v>13.2</v>
      </c>
      <c r="R73" s="198"/>
      <c r="S73" s="198"/>
      <c r="T73" s="198"/>
      <c r="U73" s="198"/>
    </row>
    <row r="74" spans="1:21" s="12" customFormat="1" x14ac:dyDescent="0.25">
      <c r="A74" s="214" t="s">
        <v>2810</v>
      </c>
      <c r="B74" s="64">
        <v>12.74</v>
      </c>
      <c r="C74" s="64">
        <v>66.069999999999993</v>
      </c>
      <c r="D74" s="64">
        <v>47.97</v>
      </c>
      <c r="E74" s="64">
        <v>4.18</v>
      </c>
      <c r="F74" s="64">
        <v>21.28</v>
      </c>
      <c r="G74" s="64">
        <v>120.68</v>
      </c>
      <c r="H74" s="64">
        <v>38.25</v>
      </c>
      <c r="I74" s="64">
        <v>1.47</v>
      </c>
      <c r="J74" s="64">
        <v>0.09</v>
      </c>
      <c r="K74" s="64">
        <v>77.75</v>
      </c>
      <c r="L74" s="64">
        <v>27.72</v>
      </c>
      <c r="M74" s="64">
        <v>81.680000000000007</v>
      </c>
      <c r="N74" s="64">
        <v>0</v>
      </c>
      <c r="O74" s="64">
        <v>0</v>
      </c>
      <c r="P74" s="64">
        <v>1.25</v>
      </c>
      <c r="Q74" s="64">
        <v>9.25</v>
      </c>
      <c r="R74" s="198"/>
      <c r="S74" s="198"/>
      <c r="T74" s="198"/>
      <c r="U74" s="198"/>
    </row>
    <row r="75" spans="1:21" s="12" customFormat="1" x14ac:dyDescent="0.25">
      <c r="A75" s="214" t="s">
        <v>2811</v>
      </c>
      <c r="B75" s="64">
        <v>4.2300000000000004</v>
      </c>
      <c r="C75" s="64">
        <v>49.92</v>
      </c>
      <c r="D75" s="64">
        <v>32.229999999999997</v>
      </c>
      <c r="E75" s="64">
        <v>3.43</v>
      </c>
      <c r="F75" s="64">
        <v>32.159999999999997</v>
      </c>
      <c r="G75" s="64">
        <v>120.65</v>
      </c>
      <c r="H75" s="64">
        <v>38.25</v>
      </c>
      <c r="I75" s="64">
        <v>1.42</v>
      </c>
      <c r="J75" s="64">
        <v>0.12</v>
      </c>
      <c r="K75" s="64">
        <v>141.52000000000001</v>
      </c>
      <c r="L75" s="64">
        <v>27.4</v>
      </c>
      <c r="M75" s="64">
        <v>81.099999999999994</v>
      </c>
      <c r="N75" s="64">
        <v>0</v>
      </c>
      <c r="O75" s="64">
        <v>0</v>
      </c>
      <c r="P75" s="64">
        <v>0.95</v>
      </c>
      <c r="Q75" s="64">
        <v>12.21</v>
      </c>
      <c r="R75" s="198"/>
      <c r="S75" s="198"/>
      <c r="T75" s="198"/>
      <c r="U75" s="198"/>
    </row>
    <row r="76" spans="1:21" s="12" customFormat="1" x14ac:dyDescent="0.25">
      <c r="A76" s="214" t="s">
        <v>2812</v>
      </c>
      <c r="B76" s="64">
        <v>3.21</v>
      </c>
      <c r="C76" s="64">
        <v>43.98</v>
      </c>
      <c r="D76" s="64">
        <v>28.13</v>
      </c>
      <c r="E76" s="64">
        <v>3.5</v>
      </c>
      <c r="F76" s="64">
        <v>25.22</v>
      </c>
      <c r="G76" s="64">
        <v>120.65</v>
      </c>
      <c r="H76" s="64">
        <v>38.25</v>
      </c>
      <c r="I76" s="64">
        <v>1.47</v>
      </c>
      <c r="J76" s="64">
        <v>0.28000000000000003</v>
      </c>
      <c r="K76" s="64">
        <v>114.69</v>
      </c>
      <c r="L76" s="64">
        <v>27.48</v>
      </c>
      <c r="M76" s="64">
        <v>77.8</v>
      </c>
      <c r="N76" s="64">
        <v>0</v>
      </c>
      <c r="O76" s="64">
        <v>0</v>
      </c>
      <c r="P76" s="64">
        <v>0.84</v>
      </c>
      <c r="Q76" s="64">
        <v>12.78</v>
      </c>
      <c r="R76" s="198"/>
      <c r="S76" s="198"/>
      <c r="T76" s="198"/>
      <c r="U76" s="198"/>
    </row>
    <row r="77" spans="1:21" s="12" customFormat="1" x14ac:dyDescent="0.25">
      <c r="A77" s="214" t="s">
        <v>2813</v>
      </c>
      <c r="B77" s="64">
        <v>3.21</v>
      </c>
      <c r="C77" s="64">
        <v>43.98</v>
      </c>
      <c r="D77" s="64">
        <v>28.13</v>
      </c>
      <c r="E77" s="64">
        <v>3.5</v>
      </c>
      <c r="F77" s="64">
        <v>25.22</v>
      </c>
      <c r="G77" s="64">
        <v>120.65</v>
      </c>
      <c r="H77" s="64">
        <v>38.25</v>
      </c>
      <c r="I77" s="64">
        <v>1.47</v>
      </c>
      <c r="J77" s="64">
        <v>0.28000000000000003</v>
      </c>
      <c r="K77" s="64">
        <v>114.69</v>
      </c>
      <c r="L77" s="64">
        <v>27.48</v>
      </c>
      <c r="M77" s="64">
        <v>77.8</v>
      </c>
      <c r="N77" s="64">
        <v>0</v>
      </c>
      <c r="O77" s="64">
        <v>0</v>
      </c>
      <c r="P77" s="64">
        <v>0.84</v>
      </c>
      <c r="Q77" s="64">
        <v>12.78</v>
      </c>
      <c r="R77" s="198"/>
      <c r="S77" s="198"/>
      <c r="T77" s="198"/>
      <c r="U77" s="198"/>
    </row>
    <row r="78" spans="1:21" s="12" customFormat="1" x14ac:dyDescent="0.25">
      <c r="A78" s="214" t="s">
        <v>2814</v>
      </c>
      <c r="B78" s="64">
        <v>2.62</v>
      </c>
      <c r="C78" s="64">
        <v>44.71</v>
      </c>
      <c r="D78" s="64">
        <v>28.07</v>
      </c>
      <c r="E78" s="64">
        <v>3.18</v>
      </c>
      <c r="F78" s="64">
        <v>29.08</v>
      </c>
      <c r="G78" s="64">
        <v>106.86</v>
      </c>
      <c r="H78" s="64">
        <v>38.700000000000003</v>
      </c>
      <c r="I78" s="64">
        <v>1.5</v>
      </c>
      <c r="J78" s="64">
        <v>0.31</v>
      </c>
      <c r="K78" s="64">
        <v>121.51</v>
      </c>
      <c r="L78" s="64">
        <v>27.15</v>
      </c>
      <c r="M78" s="64">
        <v>79.459999999999994</v>
      </c>
      <c r="N78" s="64">
        <v>0</v>
      </c>
      <c r="O78" s="64">
        <v>0</v>
      </c>
      <c r="P78" s="64">
        <v>0.8</v>
      </c>
      <c r="Q78" s="64">
        <v>12.34</v>
      </c>
      <c r="R78" s="198"/>
      <c r="S78" s="198"/>
      <c r="T78" s="198"/>
      <c r="U78" s="198"/>
    </row>
    <row r="79" spans="1:21" s="12" customFormat="1" x14ac:dyDescent="0.25">
      <c r="A79" s="214" t="s">
        <v>2815</v>
      </c>
      <c r="B79" s="64">
        <v>2.3199999999999998</v>
      </c>
      <c r="C79" s="64">
        <v>43.52</v>
      </c>
      <c r="D79" s="64">
        <v>27.17</v>
      </c>
      <c r="E79" s="64">
        <v>3.37</v>
      </c>
      <c r="F79" s="64">
        <v>17.34</v>
      </c>
      <c r="G79" s="64">
        <v>89.18</v>
      </c>
      <c r="H79" s="64">
        <v>39.21</v>
      </c>
      <c r="I79" s="64">
        <v>1.52</v>
      </c>
      <c r="J79" s="64">
        <v>0.27</v>
      </c>
      <c r="K79" s="64">
        <v>104.66</v>
      </c>
      <c r="L79" s="64">
        <v>26.92</v>
      </c>
      <c r="M79" s="64">
        <v>80.12</v>
      </c>
      <c r="N79" s="64">
        <v>0</v>
      </c>
      <c r="O79" s="64">
        <v>0</v>
      </c>
      <c r="P79" s="64">
        <v>0.76</v>
      </c>
      <c r="Q79" s="64">
        <v>11.18</v>
      </c>
      <c r="R79" s="198"/>
      <c r="S79" s="198"/>
      <c r="T79" s="198"/>
      <c r="U79" s="198"/>
    </row>
    <row r="80" spans="1:21" s="12" customFormat="1" x14ac:dyDescent="0.25">
      <c r="A80" s="214" t="s">
        <v>2816</v>
      </c>
      <c r="B80" s="64">
        <v>3.41</v>
      </c>
      <c r="C80" s="64">
        <v>46.7</v>
      </c>
      <c r="D80" s="64">
        <v>29.8</v>
      </c>
      <c r="E80" s="64">
        <v>3.87</v>
      </c>
      <c r="F80" s="64">
        <v>27.4</v>
      </c>
      <c r="G80" s="64">
        <v>89.18</v>
      </c>
      <c r="H80" s="64">
        <v>39.21</v>
      </c>
      <c r="I80" s="64">
        <v>1.48</v>
      </c>
      <c r="J80" s="64">
        <v>0.09</v>
      </c>
      <c r="K80" s="64">
        <v>120.17</v>
      </c>
      <c r="L80" s="64">
        <v>26.57</v>
      </c>
      <c r="M80" s="64">
        <v>82.73</v>
      </c>
      <c r="N80" s="64">
        <v>0</v>
      </c>
      <c r="O80" s="64">
        <v>0</v>
      </c>
      <c r="P80" s="64">
        <v>0.91</v>
      </c>
      <c r="Q80" s="64">
        <v>11.64</v>
      </c>
      <c r="R80" s="198"/>
      <c r="S80" s="198"/>
      <c r="T80" s="198"/>
      <c r="U80" s="198"/>
    </row>
    <row r="81" spans="1:26" s="12" customFormat="1" x14ac:dyDescent="0.25">
      <c r="A81" s="214" t="s">
        <v>2817</v>
      </c>
      <c r="B81" s="64">
        <v>17.23</v>
      </c>
      <c r="C81" s="64">
        <v>65.7</v>
      </c>
      <c r="D81" s="64">
        <v>51.36</v>
      </c>
      <c r="E81" s="64">
        <v>3.43</v>
      </c>
      <c r="F81" s="64">
        <v>16.850000000000001</v>
      </c>
      <c r="G81" s="64">
        <v>89.18</v>
      </c>
      <c r="H81" s="64">
        <v>39.21</v>
      </c>
      <c r="I81" s="64">
        <v>1.42</v>
      </c>
      <c r="J81" s="64">
        <v>0.09</v>
      </c>
      <c r="K81" s="64">
        <v>1.84</v>
      </c>
      <c r="L81" s="64">
        <v>26.27</v>
      </c>
      <c r="M81" s="64">
        <v>87.63</v>
      </c>
      <c r="N81" s="64">
        <v>0</v>
      </c>
      <c r="O81" s="64">
        <v>0</v>
      </c>
      <c r="P81" s="64">
        <v>1.6</v>
      </c>
      <c r="Q81" s="64">
        <v>10.26</v>
      </c>
      <c r="R81" s="198"/>
      <c r="S81" s="198"/>
      <c r="T81" s="198"/>
      <c r="U81" s="198"/>
    </row>
    <row r="82" spans="1:26" s="12" customFormat="1" x14ac:dyDescent="0.25">
      <c r="A82" s="214" t="s">
        <v>2818</v>
      </c>
      <c r="B82" s="64">
        <v>16.98</v>
      </c>
      <c r="C82" s="64">
        <v>58.02</v>
      </c>
      <c r="D82" s="64">
        <v>46.93</v>
      </c>
      <c r="E82" s="64">
        <v>3.64</v>
      </c>
      <c r="F82" s="64">
        <v>3.38</v>
      </c>
      <c r="G82" s="64">
        <v>105.25</v>
      </c>
      <c r="H82" s="64">
        <v>37.51</v>
      </c>
      <c r="I82" s="64">
        <v>1.54</v>
      </c>
      <c r="J82" s="64">
        <v>0.15</v>
      </c>
      <c r="K82" s="64">
        <v>331.91</v>
      </c>
      <c r="L82" s="64">
        <v>25.86</v>
      </c>
      <c r="M82" s="64">
        <v>93.39</v>
      </c>
      <c r="N82" s="64">
        <v>0</v>
      </c>
      <c r="O82" s="64">
        <v>0</v>
      </c>
      <c r="P82" s="64">
        <v>1.77</v>
      </c>
      <c r="Q82" s="64">
        <v>7.18</v>
      </c>
      <c r="R82" s="198"/>
      <c r="S82" s="198"/>
      <c r="T82" s="198"/>
      <c r="U82" s="198"/>
    </row>
    <row r="83" spans="1:26" s="12" customFormat="1" x14ac:dyDescent="0.25">
      <c r="A83" s="214" t="s">
        <v>2819</v>
      </c>
      <c r="B83" s="64">
        <v>16.98</v>
      </c>
      <c r="C83" s="64">
        <v>44.11</v>
      </c>
      <c r="D83" s="64">
        <v>39.25</v>
      </c>
      <c r="E83" s="64">
        <v>3.55</v>
      </c>
      <c r="F83" s="64">
        <v>6.78</v>
      </c>
      <c r="G83" s="64">
        <v>107.97</v>
      </c>
      <c r="H83" s="64">
        <v>37.51</v>
      </c>
      <c r="I83" s="64">
        <v>1.52</v>
      </c>
      <c r="J83" s="64">
        <v>0.32</v>
      </c>
      <c r="K83" s="64">
        <v>325.61</v>
      </c>
      <c r="L83" s="64">
        <v>25.55</v>
      </c>
      <c r="M83" s="64">
        <v>97.43</v>
      </c>
      <c r="N83" s="64">
        <v>0</v>
      </c>
      <c r="O83" s="64">
        <v>0</v>
      </c>
      <c r="P83" s="64">
        <v>1.78</v>
      </c>
      <c r="Q83" s="64">
        <v>10.18</v>
      </c>
      <c r="R83" s="198"/>
      <c r="S83" s="198"/>
      <c r="T83" s="198"/>
      <c r="U83" s="198"/>
    </row>
    <row r="84" spans="1:26" s="12" customFormat="1" x14ac:dyDescent="0.25">
      <c r="A84" s="214" t="s">
        <v>2820</v>
      </c>
      <c r="B84" s="64">
        <v>16.64</v>
      </c>
      <c r="C84" s="64">
        <v>59.61</v>
      </c>
      <c r="D84" s="64">
        <v>47.53</v>
      </c>
      <c r="E84" s="64">
        <v>4.0199999999999996</v>
      </c>
      <c r="F84" s="64">
        <v>10.51</v>
      </c>
      <c r="G84" s="64">
        <v>107.97</v>
      </c>
      <c r="H84" s="64">
        <v>37.51</v>
      </c>
      <c r="I84" s="64">
        <v>1.52</v>
      </c>
      <c r="J84" s="64">
        <v>0.09</v>
      </c>
      <c r="K84" s="64">
        <v>352.87</v>
      </c>
      <c r="L84" s="64">
        <v>25.38</v>
      </c>
      <c r="M84" s="64">
        <v>96.51</v>
      </c>
      <c r="N84" s="64">
        <v>0</v>
      </c>
      <c r="O84" s="64">
        <v>0</v>
      </c>
      <c r="P84" s="64">
        <v>2.08</v>
      </c>
      <c r="Q84" s="64">
        <v>11.43</v>
      </c>
      <c r="R84" s="198"/>
      <c r="S84" s="198"/>
      <c r="T84" s="198"/>
      <c r="U84" s="198"/>
    </row>
    <row r="85" spans="1:26" s="12" customFormat="1" x14ac:dyDescent="0.25">
      <c r="A85" s="214" t="s">
        <v>2821</v>
      </c>
      <c r="B85" s="64">
        <v>22.46</v>
      </c>
      <c r="C85" s="64">
        <v>62.68</v>
      </c>
      <c r="D85" s="64">
        <v>53.89</v>
      </c>
      <c r="E85" s="64">
        <v>3.46</v>
      </c>
      <c r="F85" s="64">
        <v>7.25</v>
      </c>
      <c r="G85" s="64">
        <v>107.97</v>
      </c>
      <c r="H85" s="64">
        <v>37.51</v>
      </c>
      <c r="I85" s="64">
        <v>1.52</v>
      </c>
      <c r="J85" s="64">
        <v>0.03</v>
      </c>
      <c r="K85" s="64">
        <v>359.68</v>
      </c>
      <c r="L85" s="64">
        <v>25.1</v>
      </c>
      <c r="M85" s="64">
        <v>95.29</v>
      </c>
      <c r="N85" s="64">
        <v>0</v>
      </c>
      <c r="O85" s="64">
        <v>0</v>
      </c>
      <c r="P85" s="64">
        <v>1.85</v>
      </c>
      <c r="Q85" s="64">
        <v>9.2200000000000006</v>
      </c>
      <c r="R85" s="198"/>
      <c r="S85" s="198"/>
      <c r="T85" s="198"/>
      <c r="U85" s="198"/>
    </row>
    <row r="86" spans="1:26" s="12" customFormat="1" x14ac:dyDescent="0.25">
      <c r="A86" s="214" t="s">
        <v>2822</v>
      </c>
      <c r="B86" s="64">
        <v>36.04</v>
      </c>
      <c r="C86" s="64">
        <v>62.7</v>
      </c>
      <c r="D86" s="64">
        <v>64.8</v>
      </c>
      <c r="E86" s="64">
        <v>3.81</v>
      </c>
      <c r="F86" s="64">
        <v>6.43</v>
      </c>
      <c r="G86" s="64">
        <v>128.16999999999999</v>
      </c>
      <c r="H86" s="64">
        <v>37.81</v>
      </c>
      <c r="I86" s="64">
        <v>1.47</v>
      </c>
      <c r="J86" s="64">
        <v>0.2</v>
      </c>
      <c r="K86" s="64">
        <v>336.25</v>
      </c>
      <c r="L86" s="64">
        <v>24.87</v>
      </c>
      <c r="M86" s="64">
        <v>97.65</v>
      </c>
      <c r="N86" s="64">
        <v>3.3</v>
      </c>
      <c r="O86" s="64">
        <v>0</v>
      </c>
      <c r="P86" s="64">
        <v>2.2000000000000002</v>
      </c>
      <c r="Q86" s="64">
        <v>9.4</v>
      </c>
      <c r="R86" s="198"/>
      <c r="S86" s="198"/>
      <c r="T86" s="198"/>
      <c r="U86" s="198"/>
    </row>
    <row r="87" spans="1:26" s="12" customFormat="1" x14ac:dyDescent="0.25">
      <c r="A87" s="214" t="s">
        <v>2823</v>
      </c>
      <c r="B87" s="64">
        <v>31.03</v>
      </c>
      <c r="C87" s="64">
        <v>62.87</v>
      </c>
      <c r="D87" s="64">
        <v>60.87</v>
      </c>
      <c r="E87" s="64">
        <v>4.5</v>
      </c>
      <c r="F87" s="64">
        <v>4.9800000000000004</v>
      </c>
      <c r="G87" s="64">
        <v>131.58000000000001</v>
      </c>
      <c r="H87" s="64">
        <v>37.81</v>
      </c>
      <c r="I87" s="64">
        <v>1.49</v>
      </c>
      <c r="J87" s="64">
        <v>0.08</v>
      </c>
      <c r="K87" s="64">
        <v>313.16000000000003</v>
      </c>
      <c r="L87" s="64">
        <v>24.72</v>
      </c>
      <c r="M87" s="64">
        <v>98.8</v>
      </c>
      <c r="N87" s="64">
        <v>9.3000000000000007</v>
      </c>
      <c r="O87" s="64">
        <v>0</v>
      </c>
      <c r="P87" s="64">
        <v>2.89</v>
      </c>
      <c r="Q87" s="64">
        <v>9.1999999999999993</v>
      </c>
      <c r="R87" s="198"/>
      <c r="S87" s="198"/>
      <c r="T87" s="198"/>
      <c r="U87" s="198"/>
    </row>
    <row r="88" spans="1:26" s="12" customFormat="1" x14ac:dyDescent="0.25">
      <c r="A88" s="214" t="s">
        <v>2824</v>
      </c>
      <c r="B88" s="64">
        <v>20.04</v>
      </c>
      <c r="C88" s="64">
        <v>50.49</v>
      </c>
      <c r="D88" s="64">
        <v>45.23</v>
      </c>
      <c r="E88" s="64">
        <v>1.56</v>
      </c>
      <c r="F88" s="64">
        <v>3.13</v>
      </c>
      <c r="G88" s="64">
        <v>131.58000000000001</v>
      </c>
      <c r="H88" s="64">
        <v>37.81</v>
      </c>
      <c r="I88" s="64">
        <v>1.54</v>
      </c>
      <c r="J88" s="64">
        <v>0.02</v>
      </c>
      <c r="K88" s="64">
        <v>325.82</v>
      </c>
      <c r="L88" s="64">
        <v>24.67</v>
      </c>
      <c r="M88" s="64">
        <v>98.82</v>
      </c>
      <c r="N88" s="64">
        <v>9.3000000000000007</v>
      </c>
      <c r="O88" s="64">
        <v>0</v>
      </c>
      <c r="P88" s="64">
        <v>2.19</v>
      </c>
      <c r="Q88" s="64">
        <v>11.16</v>
      </c>
      <c r="R88" s="198"/>
      <c r="S88" s="198"/>
      <c r="T88" s="198"/>
      <c r="U88" s="198"/>
    </row>
    <row r="89" spans="1:26" s="12" customFormat="1" x14ac:dyDescent="0.25">
      <c r="A89" s="214" t="s">
        <v>2825</v>
      </c>
      <c r="B89" s="64">
        <v>25.56</v>
      </c>
      <c r="C89" s="64">
        <v>49.45</v>
      </c>
      <c r="D89" s="64">
        <v>49.08</v>
      </c>
      <c r="E89" s="64">
        <v>2.2799999999999998</v>
      </c>
      <c r="F89" s="64">
        <v>5.83</v>
      </c>
      <c r="G89" s="64">
        <v>131.58000000000001</v>
      </c>
      <c r="H89" s="64">
        <v>37.81</v>
      </c>
      <c r="I89" s="64">
        <v>1.54</v>
      </c>
      <c r="J89" s="64">
        <v>0.03</v>
      </c>
      <c r="K89" s="64">
        <v>42.79</v>
      </c>
      <c r="L89" s="64">
        <v>24.61</v>
      </c>
      <c r="M89" s="64">
        <v>98.82</v>
      </c>
      <c r="N89" s="64">
        <v>9.1999999999999993</v>
      </c>
      <c r="O89" s="64">
        <v>0</v>
      </c>
      <c r="P89" s="64">
        <v>2.25</v>
      </c>
      <c r="Q89" s="64">
        <v>11.86</v>
      </c>
      <c r="R89" s="198"/>
      <c r="S89" s="198"/>
      <c r="T89" s="198"/>
      <c r="U89" s="198"/>
    </row>
    <row r="90" spans="1:26" s="12" customFormat="1" x14ac:dyDescent="0.25">
      <c r="A90" s="214" t="s">
        <v>2826</v>
      </c>
      <c r="B90" s="64">
        <v>14.6</v>
      </c>
      <c r="C90" s="64">
        <v>37.11</v>
      </c>
      <c r="D90" s="64">
        <v>33.479999999999997</v>
      </c>
      <c r="E90" s="64">
        <v>1.59</v>
      </c>
      <c r="F90" s="64">
        <v>3.31</v>
      </c>
      <c r="G90" s="64">
        <v>141.47999999999999</v>
      </c>
      <c r="H90" s="64">
        <v>43.62</v>
      </c>
      <c r="I90" s="64">
        <v>1.45</v>
      </c>
      <c r="J90" s="64">
        <v>0.1</v>
      </c>
      <c r="K90" s="64">
        <v>210.63</v>
      </c>
      <c r="L90" s="64">
        <v>24.72</v>
      </c>
      <c r="M90" s="64">
        <v>98.67</v>
      </c>
      <c r="N90" s="64">
        <v>9</v>
      </c>
      <c r="O90" s="64">
        <v>0</v>
      </c>
      <c r="P90" s="64">
        <v>1.73</v>
      </c>
      <c r="Q90" s="64">
        <v>11.24</v>
      </c>
      <c r="R90" s="198"/>
      <c r="S90" s="198"/>
      <c r="T90" s="198"/>
      <c r="U90" s="198"/>
    </row>
    <row r="91" spans="1:26" s="12" customFormat="1" x14ac:dyDescent="0.25">
      <c r="A91" s="214" t="s">
        <v>2827</v>
      </c>
      <c r="B91" s="64">
        <v>13.74</v>
      </c>
      <c r="C91" s="64">
        <v>41.55</v>
      </c>
      <c r="D91" s="64">
        <v>35.24</v>
      </c>
      <c r="E91" s="64">
        <v>1.49</v>
      </c>
      <c r="F91" s="64">
        <v>2.81</v>
      </c>
      <c r="G91" s="64">
        <v>143.15</v>
      </c>
      <c r="H91" s="64">
        <v>43.62</v>
      </c>
      <c r="I91" s="64">
        <v>1.49</v>
      </c>
      <c r="J91" s="64">
        <v>0.17</v>
      </c>
      <c r="K91" s="64">
        <v>193.52</v>
      </c>
      <c r="L91" s="64">
        <v>24.57</v>
      </c>
      <c r="M91" s="64">
        <v>98.83</v>
      </c>
      <c r="N91" s="64">
        <v>9</v>
      </c>
      <c r="O91" s="64">
        <v>0</v>
      </c>
      <c r="P91" s="64">
        <v>1.51</v>
      </c>
      <c r="Q91" s="64">
        <v>13.2</v>
      </c>
      <c r="R91" s="198"/>
      <c r="S91" s="198"/>
      <c r="T91" s="198"/>
      <c r="U91" s="198"/>
    </row>
    <row r="92" spans="1:26" s="12" customFormat="1" x14ac:dyDescent="0.25">
      <c r="A92" s="214" t="s">
        <v>2828</v>
      </c>
      <c r="B92" s="64">
        <v>11.03</v>
      </c>
      <c r="C92" s="64">
        <v>29.64</v>
      </c>
      <c r="D92" s="64">
        <v>26.5</v>
      </c>
      <c r="E92" s="64">
        <v>1.43</v>
      </c>
      <c r="F92" s="64">
        <v>4.4800000000000004</v>
      </c>
      <c r="G92" s="64">
        <v>143.15</v>
      </c>
      <c r="H92" s="64">
        <v>43.62</v>
      </c>
      <c r="I92" s="64">
        <v>1.49</v>
      </c>
      <c r="J92" s="64">
        <v>0.15</v>
      </c>
      <c r="K92" s="64">
        <v>150.07</v>
      </c>
      <c r="L92" s="64">
        <v>24.33</v>
      </c>
      <c r="M92" s="64">
        <v>98.85</v>
      </c>
      <c r="N92" s="64">
        <v>9.1999999999999993</v>
      </c>
      <c r="O92" s="64">
        <v>0</v>
      </c>
      <c r="P92" s="64">
        <v>1.4</v>
      </c>
      <c r="Q92" s="64">
        <v>13.51</v>
      </c>
      <c r="R92" s="198"/>
      <c r="S92" s="198"/>
      <c r="T92" s="198"/>
      <c r="U92" s="198"/>
    </row>
    <row r="93" spans="1:26" s="12" customFormat="1" x14ac:dyDescent="0.25">
      <c r="A93" s="214" t="s">
        <v>2829</v>
      </c>
      <c r="B93" s="64">
        <v>12.1</v>
      </c>
      <c r="C93" s="64">
        <v>19.57</v>
      </c>
      <c r="D93" s="64">
        <v>21.79</v>
      </c>
      <c r="E93" s="64">
        <v>1.34</v>
      </c>
      <c r="F93" s="64">
        <v>3.25</v>
      </c>
      <c r="G93" s="64">
        <v>143.15</v>
      </c>
      <c r="H93" s="64">
        <v>43.62</v>
      </c>
      <c r="I93" s="64">
        <v>1.52</v>
      </c>
      <c r="J93" s="64">
        <v>0</v>
      </c>
      <c r="K93" s="64">
        <v>190.81</v>
      </c>
      <c r="L93" s="64">
        <v>24.24</v>
      </c>
      <c r="M93" s="64">
        <v>98.85</v>
      </c>
      <c r="N93" s="64">
        <v>9.1</v>
      </c>
      <c r="O93" s="64">
        <v>0</v>
      </c>
      <c r="P93" s="64">
        <v>1.44</v>
      </c>
      <c r="Q93" s="64">
        <v>13.8</v>
      </c>
      <c r="R93" s="198"/>
      <c r="S93" s="198"/>
      <c r="T93" s="198"/>
      <c r="U93" s="198"/>
    </row>
    <row r="94" spans="1:26" s="12" customFormat="1" x14ac:dyDescent="0.25">
      <c r="A94" s="214" t="s">
        <v>2830</v>
      </c>
      <c r="B94" s="64">
        <v>9.43</v>
      </c>
      <c r="C94" s="64">
        <v>21.46</v>
      </c>
      <c r="D94" s="64">
        <v>20.7</v>
      </c>
      <c r="E94" s="64">
        <v>1.03</v>
      </c>
      <c r="F94" s="64">
        <v>5.38</v>
      </c>
      <c r="G94" s="64">
        <v>115.55</v>
      </c>
      <c r="H94" s="64">
        <v>42.05</v>
      </c>
      <c r="I94" s="64">
        <v>1.49</v>
      </c>
      <c r="J94" s="64">
        <v>0.13</v>
      </c>
      <c r="K94" s="64">
        <v>193.45</v>
      </c>
      <c r="L94" s="64">
        <v>24.09</v>
      </c>
      <c r="M94" s="64">
        <v>98.85</v>
      </c>
      <c r="N94" s="64">
        <v>9.1</v>
      </c>
      <c r="O94" s="64">
        <v>0</v>
      </c>
      <c r="P94" s="64">
        <v>1.24</v>
      </c>
      <c r="Q94" s="64">
        <v>13.82</v>
      </c>
      <c r="R94" s="198"/>
      <c r="S94" s="198"/>
      <c r="T94" s="198"/>
      <c r="U94" s="198"/>
    </row>
    <row r="95" spans="1:26" s="12" customFormat="1" x14ac:dyDescent="0.25">
      <c r="A95" s="214" t="s">
        <v>2831</v>
      </c>
      <c r="B95" s="64">
        <v>9.31</v>
      </c>
      <c r="C95" s="64">
        <v>20.58</v>
      </c>
      <c r="D95" s="64">
        <v>20.11</v>
      </c>
      <c r="E95" s="64">
        <v>1.1599999999999999</v>
      </c>
      <c r="F95" s="64">
        <v>6.27</v>
      </c>
      <c r="G95" s="64">
        <v>110.88</v>
      </c>
      <c r="H95" s="64">
        <v>42.05</v>
      </c>
      <c r="I95" s="64">
        <v>1.46</v>
      </c>
      <c r="J95" s="64">
        <v>0.21</v>
      </c>
      <c r="K95" s="64">
        <v>142.37</v>
      </c>
      <c r="L95" s="64">
        <v>24.08</v>
      </c>
      <c r="M95" s="64">
        <v>98.86</v>
      </c>
      <c r="N95" s="64">
        <v>9.1</v>
      </c>
      <c r="O95" s="64">
        <v>0</v>
      </c>
      <c r="P95" s="64">
        <v>1.2</v>
      </c>
      <c r="Q95" s="64">
        <v>13.86</v>
      </c>
      <c r="R95" s="198"/>
      <c r="S95" s="198"/>
      <c r="T95" s="198"/>
      <c r="U95" s="198"/>
    </row>
    <row r="96" spans="1:26" s="12" customFormat="1" x14ac:dyDescent="0.25">
      <c r="A96" s="214" t="s">
        <v>2832</v>
      </c>
      <c r="B96" s="64">
        <v>5.44</v>
      </c>
      <c r="C96" s="64">
        <v>28.01</v>
      </c>
      <c r="D96" s="64">
        <v>21.11</v>
      </c>
      <c r="E96" s="64">
        <v>0.94</v>
      </c>
      <c r="F96" s="64">
        <v>8.0500000000000007</v>
      </c>
      <c r="G96" s="64">
        <v>110.88</v>
      </c>
      <c r="H96" s="64">
        <v>42.05</v>
      </c>
      <c r="I96" s="64">
        <v>1.53</v>
      </c>
      <c r="J96" s="64">
        <v>0.04</v>
      </c>
      <c r="K96" s="64">
        <v>210.7</v>
      </c>
      <c r="L96" s="64">
        <v>24.06</v>
      </c>
      <c r="M96" s="64">
        <v>98.87</v>
      </c>
      <c r="N96" s="64">
        <v>9.1</v>
      </c>
      <c r="O96" s="64">
        <v>0</v>
      </c>
      <c r="P96" s="64">
        <v>0.91</v>
      </c>
      <c r="Q96" s="64">
        <v>14.75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2833</v>
      </c>
      <c r="B97" s="64">
        <v>8.64</v>
      </c>
      <c r="C97" s="64">
        <v>30.69</v>
      </c>
      <c r="D97" s="64">
        <v>25.16</v>
      </c>
      <c r="E97" s="64">
        <v>0.87</v>
      </c>
      <c r="F97" s="64">
        <v>5.44</v>
      </c>
      <c r="G97" s="64">
        <v>110.88</v>
      </c>
      <c r="H97" s="64">
        <v>42.05</v>
      </c>
      <c r="I97" s="64">
        <v>1.51</v>
      </c>
      <c r="J97" s="64">
        <v>0.03</v>
      </c>
      <c r="K97" s="64">
        <v>310.77</v>
      </c>
      <c r="L97" s="64">
        <v>24.02</v>
      </c>
      <c r="M97" s="64">
        <v>98.87</v>
      </c>
      <c r="N97" s="64">
        <v>9.1</v>
      </c>
      <c r="O97" s="64">
        <v>0</v>
      </c>
      <c r="P97" s="64">
        <v>1.21</v>
      </c>
      <c r="Q97" s="64">
        <v>14.36</v>
      </c>
      <c r="R97" s="198"/>
      <c r="S97" s="198"/>
      <c r="T97" s="198"/>
      <c r="U97" s="198"/>
    </row>
    <row r="98" spans="1:33" s="12" customFormat="1" x14ac:dyDescent="0.25">
      <c r="A98" s="214" t="s">
        <v>2834</v>
      </c>
      <c r="B98" s="64">
        <v>12.1</v>
      </c>
      <c r="C98" s="64">
        <v>28.75</v>
      </c>
      <c r="D98" s="64">
        <v>26.86</v>
      </c>
      <c r="E98" s="64">
        <v>0.78</v>
      </c>
      <c r="F98" s="64">
        <v>6.27</v>
      </c>
      <c r="G98" s="64">
        <v>94.1</v>
      </c>
      <c r="H98" s="64">
        <v>39.909999999999997</v>
      </c>
      <c r="I98" s="64">
        <v>1.4</v>
      </c>
      <c r="J98" s="64">
        <v>0.02</v>
      </c>
      <c r="K98" s="64">
        <v>339.28</v>
      </c>
      <c r="L98" s="64">
        <v>23.99</v>
      </c>
      <c r="M98" s="64">
        <v>98.87</v>
      </c>
      <c r="N98" s="64">
        <v>9.1</v>
      </c>
      <c r="O98" s="64">
        <v>0</v>
      </c>
      <c r="P98" s="64">
        <v>1.1599999999999999</v>
      </c>
      <c r="Q98" s="64">
        <v>14.92</v>
      </c>
      <c r="R98" s="198"/>
      <c r="S98" s="198"/>
      <c r="T98" s="198"/>
      <c r="U98" s="198"/>
    </row>
    <row r="99" spans="1:33" s="12" customFormat="1" x14ac:dyDescent="0.25">
      <c r="A99" s="214" t="s">
        <v>2835</v>
      </c>
      <c r="B99" s="64">
        <v>12.05</v>
      </c>
      <c r="C99" s="64">
        <v>25.4</v>
      </c>
      <c r="D99" s="64">
        <v>24.97</v>
      </c>
      <c r="E99" s="64">
        <v>1.17</v>
      </c>
      <c r="F99" s="64">
        <v>2.61</v>
      </c>
      <c r="G99" s="64">
        <v>91.26</v>
      </c>
      <c r="H99" s="64">
        <v>39.909999999999997</v>
      </c>
      <c r="I99" s="64">
        <v>1.53</v>
      </c>
      <c r="J99" s="64">
        <v>7.0000000000000007E-2</v>
      </c>
      <c r="K99" s="64">
        <v>331.59</v>
      </c>
      <c r="L99" s="64">
        <v>23.93</v>
      </c>
      <c r="M99" s="64">
        <v>98.88</v>
      </c>
      <c r="N99" s="64">
        <v>9.1</v>
      </c>
      <c r="O99" s="64">
        <v>0</v>
      </c>
      <c r="P99" s="64">
        <v>1.37</v>
      </c>
      <c r="Q99" s="64">
        <v>14.4</v>
      </c>
      <c r="R99" s="198"/>
      <c r="S99" s="198"/>
      <c r="T99" s="198"/>
      <c r="U99" s="198"/>
    </row>
    <row r="100" spans="1:33" s="12" customFormat="1" x14ac:dyDescent="0.25">
      <c r="A100" s="214" t="s">
        <v>2836</v>
      </c>
      <c r="B100" s="64">
        <v>11.22</v>
      </c>
      <c r="C100" s="64">
        <v>19.8</v>
      </c>
      <c r="D100" s="64">
        <v>21.22</v>
      </c>
      <c r="E100" s="64">
        <v>1.1000000000000001</v>
      </c>
      <c r="F100" s="64">
        <v>2.27</v>
      </c>
      <c r="G100" s="64">
        <v>91.26</v>
      </c>
      <c r="H100" s="64">
        <v>39.909999999999997</v>
      </c>
      <c r="I100" s="64">
        <v>1.49</v>
      </c>
      <c r="J100" s="64">
        <v>0.04</v>
      </c>
      <c r="K100" s="64">
        <v>263.48</v>
      </c>
      <c r="L100" s="64">
        <v>23.88</v>
      </c>
      <c r="M100" s="64">
        <v>98.87</v>
      </c>
      <c r="N100" s="64">
        <v>9.1</v>
      </c>
      <c r="O100" s="64">
        <v>0</v>
      </c>
      <c r="P100" s="64">
        <v>1.33</v>
      </c>
      <c r="Q100" s="64">
        <v>15.01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2837</v>
      </c>
      <c r="B101" s="64">
        <v>17.559999999999999</v>
      </c>
      <c r="C101" s="64">
        <v>20.94</v>
      </c>
      <c r="D101" s="64">
        <v>26.93</v>
      </c>
      <c r="E101" s="64">
        <v>0.69</v>
      </c>
      <c r="F101" s="64">
        <v>3.17</v>
      </c>
      <c r="G101" s="64">
        <v>91.26</v>
      </c>
      <c r="H101" s="64">
        <v>39.909999999999997</v>
      </c>
      <c r="I101" s="64">
        <v>1.51</v>
      </c>
      <c r="J101" s="64">
        <v>0.08</v>
      </c>
      <c r="K101" s="64">
        <v>298.68</v>
      </c>
      <c r="L101" s="64">
        <v>23.82</v>
      </c>
      <c r="M101" s="64">
        <v>98.85</v>
      </c>
      <c r="N101" s="64">
        <v>9.1</v>
      </c>
      <c r="O101" s="64">
        <v>0</v>
      </c>
      <c r="P101" s="64">
        <v>1.29</v>
      </c>
      <c r="Q101" s="64">
        <v>14.38</v>
      </c>
      <c r="R101" s="198"/>
      <c r="S101" s="198"/>
      <c r="T101" s="198"/>
      <c r="U101" s="198"/>
    </row>
    <row r="102" spans="1:33" s="12" customFormat="1" x14ac:dyDescent="0.25">
      <c r="A102" s="214" t="s">
        <v>2838</v>
      </c>
      <c r="B102" s="64">
        <v>13.77</v>
      </c>
      <c r="C102" s="64">
        <v>11.88</v>
      </c>
      <c r="D102" s="64">
        <v>18.89</v>
      </c>
      <c r="E102" s="64">
        <v>0.43</v>
      </c>
      <c r="F102" s="64">
        <v>1.57</v>
      </c>
      <c r="G102" s="64">
        <v>85.08</v>
      </c>
      <c r="H102" s="64">
        <v>36.61</v>
      </c>
      <c r="I102" s="64">
        <v>1.45</v>
      </c>
      <c r="J102" s="64">
        <v>7.0000000000000007E-2</v>
      </c>
      <c r="K102" s="64">
        <v>1.98</v>
      </c>
      <c r="L102" s="64">
        <v>23.75</v>
      </c>
      <c r="M102" s="64">
        <v>98.85</v>
      </c>
      <c r="N102" s="64">
        <v>9.1</v>
      </c>
      <c r="O102" s="64">
        <v>0</v>
      </c>
      <c r="P102" s="64">
        <v>1.4</v>
      </c>
      <c r="Q102" s="64">
        <v>13.94</v>
      </c>
      <c r="R102" s="198"/>
      <c r="S102" s="198"/>
      <c r="T102" s="198"/>
      <c r="U102" s="198"/>
    </row>
    <row r="103" spans="1:33" s="12" customFormat="1" x14ac:dyDescent="0.25">
      <c r="A103" s="214" t="s">
        <v>2839</v>
      </c>
      <c r="B103" s="64">
        <v>13.77</v>
      </c>
      <c r="C103" s="64">
        <v>14.7</v>
      </c>
      <c r="D103" s="64">
        <v>20.440000000000001</v>
      </c>
      <c r="E103" s="64">
        <v>1.59</v>
      </c>
      <c r="F103" s="64">
        <v>1.27</v>
      </c>
      <c r="G103" s="64">
        <v>84.04</v>
      </c>
      <c r="H103" s="64">
        <v>36.61</v>
      </c>
      <c r="I103" s="64">
        <v>1.55</v>
      </c>
      <c r="J103" s="64">
        <v>0.08</v>
      </c>
      <c r="K103" s="64">
        <v>356.25</v>
      </c>
      <c r="L103" s="64">
        <v>23.73</v>
      </c>
      <c r="M103" s="64">
        <v>98.85</v>
      </c>
      <c r="N103" s="64">
        <v>9.1</v>
      </c>
      <c r="O103" s="64">
        <v>0</v>
      </c>
      <c r="P103" s="64">
        <v>1.35</v>
      </c>
      <c r="Q103" s="64">
        <v>14.86</v>
      </c>
      <c r="R103" s="198"/>
      <c r="S103" s="198"/>
      <c r="T103" s="198"/>
      <c r="U103" s="198"/>
    </row>
    <row r="104" spans="1:33" s="12" customFormat="1" x14ac:dyDescent="0.25">
      <c r="A104" s="214" t="s">
        <v>2840</v>
      </c>
      <c r="B104" s="64">
        <v>12.3</v>
      </c>
      <c r="C104" s="64">
        <v>15.51</v>
      </c>
      <c r="D104" s="64">
        <v>19.71</v>
      </c>
      <c r="E104" s="64">
        <v>0.11</v>
      </c>
      <c r="F104" s="64">
        <v>1.86</v>
      </c>
      <c r="G104" s="64">
        <v>84.04</v>
      </c>
      <c r="H104" s="64">
        <v>36.61</v>
      </c>
      <c r="I104" s="64">
        <v>1.46</v>
      </c>
      <c r="J104" s="64">
        <v>0.06</v>
      </c>
      <c r="K104" s="64">
        <v>318.18</v>
      </c>
      <c r="L104" s="64">
        <v>23.59</v>
      </c>
      <c r="M104" s="64">
        <v>98.85</v>
      </c>
      <c r="N104" s="64">
        <v>9.1</v>
      </c>
      <c r="O104" s="64">
        <v>0</v>
      </c>
      <c r="P104" s="64">
        <v>1.3</v>
      </c>
      <c r="Q104" s="64">
        <v>14.09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2.3199999999999998</v>
      </c>
      <c r="C106" s="67">
        <f>MIN(C9:C104)</f>
        <v>9.19</v>
      </c>
      <c r="D106" s="67">
        <f t="shared" ref="D106:Q106" si="0">MIN(D9:D104)</f>
        <v>10.49</v>
      </c>
      <c r="E106" s="67">
        <f t="shared" si="0"/>
        <v>0</v>
      </c>
      <c r="F106" s="67">
        <f t="shared" si="0"/>
        <v>0.24</v>
      </c>
      <c r="G106" s="67">
        <f t="shared" si="0"/>
        <v>8.1199999999999992</v>
      </c>
      <c r="H106" s="67">
        <f t="shared" si="0"/>
        <v>7.12</v>
      </c>
      <c r="I106" s="67">
        <f t="shared" si="0"/>
        <v>1.4</v>
      </c>
      <c r="J106" s="67">
        <f t="shared" si="0"/>
        <v>0</v>
      </c>
      <c r="K106" s="67">
        <f t="shared" si="0"/>
        <v>0.46</v>
      </c>
      <c r="L106" s="67">
        <f t="shared" si="0"/>
        <v>21.78</v>
      </c>
      <c r="M106" s="67">
        <f t="shared" si="0"/>
        <v>65.47</v>
      </c>
      <c r="N106" s="67">
        <f t="shared" si="0"/>
        <v>0</v>
      </c>
      <c r="O106" s="67">
        <f t="shared" si="0"/>
        <v>0</v>
      </c>
      <c r="P106" s="67">
        <f t="shared" si="0"/>
        <v>0.41</v>
      </c>
      <c r="Q106" s="67">
        <f t="shared" si="0"/>
        <v>7.18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36.04</v>
      </c>
      <c r="C107" s="66">
        <f t="shared" ref="C107:Q107" si="1">MAX(C9:C104)</f>
        <v>66.069999999999993</v>
      </c>
      <c r="D107" s="66">
        <f t="shared" si="1"/>
        <v>64.8</v>
      </c>
      <c r="E107" s="66">
        <f t="shared" si="1"/>
        <v>11.85</v>
      </c>
      <c r="F107" s="66">
        <f t="shared" si="1"/>
        <v>32.159999999999997</v>
      </c>
      <c r="G107" s="66">
        <f t="shared" si="1"/>
        <v>148.33000000000001</v>
      </c>
      <c r="H107" s="66">
        <f t="shared" si="1"/>
        <v>43.62</v>
      </c>
      <c r="I107" s="66">
        <f t="shared" si="1"/>
        <v>1.59</v>
      </c>
      <c r="J107" s="66">
        <f t="shared" si="1"/>
        <v>1.19</v>
      </c>
      <c r="K107" s="66">
        <f t="shared" si="1"/>
        <v>359.68</v>
      </c>
      <c r="L107" s="66">
        <f t="shared" si="1"/>
        <v>31.35</v>
      </c>
      <c r="M107" s="66">
        <f t="shared" si="1"/>
        <v>98.89</v>
      </c>
      <c r="N107" s="66">
        <f t="shared" si="1"/>
        <v>726.9</v>
      </c>
      <c r="O107" s="66">
        <f t="shared" si="1"/>
        <v>0</v>
      </c>
      <c r="P107" s="66">
        <f t="shared" si="1"/>
        <v>2.89</v>
      </c>
      <c r="Q107" s="66">
        <f t="shared" si="1"/>
        <v>18.63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11.478124999999999</v>
      </c>
      <c r="C108" s="67">
        <f t="shared" ref="C108:Q108" si="2">AVERAGE(C9:C104)</f>
        <v>28.16385416666667</v>
      </c>
      <c r="D108" s="67">
        <f t="shared" si="2"/>
        <v>26.039270833333322</v>
      </c>
      <c r="E108" s="67">
        <f t="shared" si="2"/>
        <v>2.9702083333333333</v>
      </c>
      <c r="F108" s="67">
        <f t="shared" si="2"/>
        <v>6.355416666666664</v>
      </c>
      <c r="G108" s="67">
        <f t="shared" si="2"/>
        <v>86.299270833333324</v>
      </c>
      <c r="H108" s="67">
        <f t="shared" si="2"/>
        <v>26.565625000000008</v>
      </c>
      <c r="I108" s="67">
        <f t="shared" si="2"/>
        <v>1.4931250000000003</v>
      </c>
      <c r="J108" s="67">
        <f t="shared" si="2"/>
        <v>0.26020833333333326</v>
      </c>
      <c r="K108" s="67">
        <f t="shared" si="2"/>
        <v>221.33510416666672</v>
      </c>
      <c r="L108" s="67">
        <f t="shared" si="2"/>
        <v>25.532604166666662</v>
      </c>
      <c r="M108" s="67">
        <f t="shared" si="2"/>
        <v>88.212083333333354</v>
      </c>
      <c r="N108" s="67">
        <f t="shared" si="2"/>
        <v>117.84270833333336</v>
      </c>
      <c r="O108" s="67">
        <f t="shared" si="2"/>
        <v>0</v>
      </c>
      <c r="P108" s="67">
        <f t="shared" si="2"/>
        <v>0.94166666666666687</v>
      </c>
      <c r="Q108" s="67">
        <f t="shared" si="2"/>
        <v>14.146354166666669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5.8635804245134135</v>
      </c>
      <c r="C109" s="67">
        <f t="shared" ref="C109:Q109" si="3">STDEV(C9:C104)</f>
        <v>16.625329778750029</v>
      </c>
      <c r="D109" s="67">
        <f t="shared" si="3"/>
        <v>12.041657015263558</v>
      </c>
      <c r="E109" s="67">
        <f t="shared" si="3"/>
        <v>2.1828725541632759</v>
      </c>
      <c r="F109" s="67">
        <f t="shared" si="3"/>
        <v>7.4255175848898771</v>
      </c>
      <c r="G109" s="67">
        <f t="shared" si="3"/>
        <v>36.961560551606738</v>
      </c>
      <c r="H109" s="67">
        <f t="shared" si="3"/>
        <v>12.788899612143082</v>
      </c>
      <c r="I109" s="67">
        <f t="shared" si="3"/>
        <v>3.8968610850002708E-2</v>
      </c>
      <c r="J109" s="67">
        <f t="shared" si="3"/>
        <v>0.22522026255793848</v>
      </c>
      <c r="K109" s="67">
        <f t="shared" si="3"/>
        <v>117.17081449068306</v>
      </c>
      <c r="L109" s="67">
        <f t="shared" si="3"/>
        <v>2.964823326516449</v>
      </c>
      <c r="M109" s="67">
        <f t="shared" si="3"/>
        <v>12.740400548662045</v>
      </c>
      <c r="N109" s="67">
        <f t="shared" si="3"/>
        <v>188.50695910358954</v>
      </c>
      <c r="O109" s="67">
        <f t="shared" si="3"/>
        <v>0</v>
      </c>
      <c r="P109" s="67">
        <f t="shared" si="3"/>
        <v>0.48545511292669108</v>
      </c>
      <c r="Q109" s="67">
        <f t="shared" si="3"/>
        <v>2.469398017327793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2841</v>
      </c>
      <c r="B9" s="64">
        <v>11.25</v>
      </c>
      <c r="C9" s="64">
        <v>15.37</v>
      </c>
      <c r="D9" s="64">
        <v>18.79</v>
      </c>
      <c r="E9" s="64">
        <v>0.75</v>
      </c>
      <c r="F9" s="64">
        <v>1.68</v>
      </c>
      <c r="G9" s="64">
        <v>84.04</v>
      </c>
      <c r="H9" s="64">
        <v>36.61</v>
      </c>
      <c r="I9" s="64">
        <v>1.54</v>
      </c>
      <c r="J9" s="64">
        <v>0.09</v>
      </c>
      <c r="K9" s="64">
        <v>305.25</v>
      </c>
      <c r="L9" s="64">
        <v>23.5</v>
      </c>
      <c r="M9" s="64">
        <v>98.86</v>
      </c>
      <c r="N9" s="64">
        <v>9.1</v>
      </c>
      <c r="O9" s="64">
        <v>0</v>
      </c>
      <c r="P9" s="64">
        <v>1.24</v>
      </c>
      <c r="Q9" s="64">
        <v>14.15</v>
      </c>
      <c r="R9" s="198"/>
      <c r="S9" s="198"/>
      <c r="T9" s="198"/>
      <c r="U9" s="198"/>
    </row>
    <row r="10" spans="1:21" s="12" customFormat="1" x14ac:dyDescent="0.25">
      <c r="A10" s="214" t="s">
        <v>2842</v>
      </c>
      <c r="B10" s="64">
        <v>15.41</v>
      </c>
      <c r="C10" s="64">
        <v>21.76</v>
      </c>
      <c r="D10" s="64">
        <v>25.66</v>
      </c>
      <c r="E10" s="64">
        <v>0.8</v>
      </c>
      <c r="F10" s="64">
        <v>2.4500000000000002</v>
      </c>
      <c r="G10" s="64">
        <v>82.16</v>
      </c>
      <c r="H10" s="64">
        <v>34.619999999999997</v>
      </c>
      <c r="I10" s="64">
        <v>1.44</v>
      </c>
      <c r="J10" s="64">
        <v>0.11</v>
      </c>
      <c r="K10" s="64">
        <v>329.9</v>
      </c>
      <c r="L10" s="64">
        <v>23.45</v>
      </c>
      <c r="M10" s="64">
        <v>98.85</v>
      </c>
      <c r="N10" s="64">
        <v>9</v>
      </c>
      <c r="O10" s="64">
        <v>0</v>
      </c>
      <c r="P10" s="64">
        <v>1.32</v>
      </c>
      <c r="Q10" s="64">
        <v>13.64</v>
      </c>
      <c r="R10" s="198"/>
      <c r="S10" s="198"/>
      <c r="T10" s="198"/>
      <c r="U10" s="198"/>
    </row>
    <row r="11" spans="1:21" s="12" customFormat="1" x14ac:dyDescent="0.25">
      <c r="A11" s="214" t="s">
        <v>2843</v>
      </c>
      <c r="B11" s="64">
        <v>13.07</v>
      </c>
      <c r="C11" s="64">
        <v>24.35</v>
      </c>
      <c r="D11" s="64">
        <v>25.21</v>
      </c>
      <c r="E11" s="64">
        <v>1.43</v>
      </c>
      <c r="F11" s="64">
        <v>3.27</v>
      </c>
      <c r="G11" s="64">
        <v>81.849999999999994</v>
      </c>
      <c r="H11" s="64">
        <v>34.619999999999997</v>
      </c>
      <c r="I11" s="64">
        <v>1.58</v>
      </c>
      <c r="J11" s="64">
        <v>0.11</v>
      </c>
      <c r="K11" s="64">
        <v>337.68</v>
      </c>
      <c r="L11" s="64">
        <v>23.58</v>
      </c>
      <c r="M11" s="64">
        <v>98.86</v>
      </c>
      <c r="N11" s="64">
        <v>9.3000000000000007</v>
      </c>
      <c r="O11" s="64">
        <v>0</v>
      </c>
      <c r="P11" s="64">
        <v>1.29</v>
      </c>
      <c r="Q11" s="64">
        <v>14</v>
      </c>
      <c r="R11" s="198"/>
      <c r="S11" s="198"/>
      <c r="T11" s="198"/>
      <c r="U11" s="198"/>
    </row>
    <row r="12" spans="1:21" s="12" customFormat="1" x14ac:dyDescent="0.25">
      <c r="A12" s="214" t="s">
        <v>2844</v>
      </c>
      <c r="B12" s="64">
        <v>10.25</v>
      </c>
      <c r="C12" s="64">
        <v>22.56</v>
      </c>
      <c r="D12" s="64">
        <v>21.96</v>
      </c>
      <c r="E12" s="64">
        <v>1.56</v>
      </c>
      <c r="F12" s="64">
        <v>3.64</v>
      </c>
      <c r="G12" s="64">
        <v>81.849999999999994</v>
      </c>
      <c r="H12" s="64">
        <v>34.619999999999997</v>
      </c>
      <c r="I12" s="64">
        <v>1.52</v>
      </c>
      <c r="J12" s="64">
        <v>0.08</v>
      </c>
      <c r="K12" s="64">
        <v>323.33999999999997</v>
      </c>
      <c r="L12" s="64">
        <v>23.68</v>
      </c>
      <c r="M12" s="64">
        <v>98.87</v>
      </c>
      <c r="N12" s="64">
        <v>9.5</v>
      </c>
      <c r="O12" s="64">
        <v>0</v>
      </c>
      <c r="P12" s="64">
        <v>1.18</v>
      </c>
      <c r="Q12" s="64">
        <v>14.47</v>
      </c>
      <c r="R12" s="198"/>
      <c r="S12" s="198"/>
      <c r="T12" s="198"/>
      <c r="U12" s="198"/>
    </row>
    <row r="13" spans="1:21" s="12" customFormat="1" x14ac:dyDescent="0.25">
      <c r="A13" s="214" t="s">
        <v>2845</v>
      </c>
      <c r="B13" s="64">
        <v>6.87</v>
      </c>
      <c r="C13" s="64">
        <v>25.99</v>
      </c>
      <c r="D13" s="64">
        <v>21.14</v>
      </c>
      <c r="E13" s="64">
        <v>0.78</v>
      </c>
      <c r="F13" s="64">
        <v>4.42</v>
      </c>
      <c r="G13" s="64">
        <v>81.849999999999994</v>
      </c>
      <c r="H13" s="64">
        <v>34.619999999999997</v>
      </c>
      <c r="I13" s="64">
        <v>1.54</v>
      </c>
      <c r="J13" s="64">
        <v>0.04</v>
      </c>
      <c r="K13" s="64">
        <v>271.36</v>
      </c>
      <c r="L13" s="64">
        <v>23.4</v>
      </c>
      <c r="M13" s="64">
        <v>98.88</v>
      </c>
      <c r="N13" s="64">
        <v>9.4</v>
      </c>
      <c r="O13" s="64">
        <v>0</v>
      </c>
      <c r="P13" s="64">
        <v>0.92</v>
      </c>
      <c r="Q13" s="64">
        <v>15.13</v>
      </c>
      <c r="R13" s="198"/>
      <c r="S13" s="198"/>
      <c r="T13" s="198"/>
      <c r="U13" s="198"/>
    </row>
    <row r="14" spans="1:21" s="12" customFormat="1" x14ac:dyDescent="0.25">
      <c r="A14" s="214" t="s">
        <v>2846</v>
      </c>
      <c r="B14" s="64">
        <v>5.25</v>
      </c>
      <c r="C14" s="64">
        <v>26.85</v>
      </c>
      <c r="D14" s="64">
        <v>20.32</v>
      </c>
      <c r="E14" s="64">
        <v>1.27</v>
      </c>
      <c r="F14" s="64">
        <v>2.86</v>
      </c>
      <c r="G14" s="64">
        <v>79.180000000000007</v>
      </c>
      <c r="H14" s="64">
        <v>31.53</v>
      </c>
      <c r="I14" s="64">
        <v>1.49</v>
      </c>
      <c r="J14" s="64">
        <v>0.09</v>
      </c>
      <c r="K14" s="64">
        <v>205.54</v>
      </c>
      <c r="L14" s="64">
        <v>23.3</v>
      </c>
      <c r="M14" s="64">
        <v>98.87</v>
      </c>
      <c r="N14" s="64">
        <v>9.1</v>
      </c>
      <c r="O14" s="64">
        <v>0</v>
      </c>
      <c r="P14" s="64">
        <v>0.94</v>
      </c>
      <c r="Q14" s="64">
        <v>15.18</v>
      </c>
      <c r="R14" s="198"/>
      <c r="S14" s="198"/>
      <c r="T14" s="198"/>
      <c r="U14" s="198"/>
    </row>
    <row r="15" spans="1:21" s="12" customFormat="1" x14ac:dyDescent="0.25">
      <c r="A15" s="214" t="s">
        <v>2847</v>
      </c>
      <c r="B15" s="64">
        <v>9.82</v>
      </c>
      <c r="C15" s="64">
        <v>24.95</v>
      </c>
      <c r="D15" s="64">
        <v>22.93</v>
      </c>
      <c r="E15" s="64">
        <v>0.65</v>
      </c>
      <c r="F15" s="64">
        <v>2.66</v>
      </c>
      <c r="G15" s="64">
        <v>78.69</v>
      </c>
      <c r="H15" s="64">
        <v>31.53</v>
      </c>
      <c r="I15" s="64">
        <v>1.44</v>
      </c>
      <c r="J15" s="64">
        <v>7.0000000000000007E-2</v>
      </c>
      <c r="K15" s="64">
        <v>229.74</v>
      </c>
      <c r="L15" s="64">
        <v>23.2</v>
      </c>
      <c r="M15" s="64">
        <v>98.87</v>
      </c>
      <c r="N15" s="64">
        <v>9.1</v>
      </c>
      <c r="O15" s="64">
        <v>0</v>
      </c>
      <c r="P15" s="64">
        <v>0.98</v>
      </c>
      <c r="Q15" s="64">
        <v>15.65</v>
      </c>
      <c r="R15" s="198"/>
      <c r="S15" s="198"/>
      <c r="T15" s="198"/>
      <c r="U15" s="198"/>
    </row>
    <row r="16" spans="1:21" s="12" customFormat="1" x14ac:dyDescent="0.25">
      <c r="A16" s="214" t="s">
        <v>2848</v>
      </c>
      <c r="B16" s="64">
        <v>10.6</v>
      </c>
      <c r="C16" s="64">
        <v>16.690000000000001</v>
      </c>
      <c r="D16" s="64">
        <v>19.010000000000002</v>
      </c>
      <c r="E16" s="64">
        <v>0.79</v>
      </c>
      <c r="F16" s="64">
        <v>0.97</v>
      </c>
      <c r="G16" s="64">
        <v>78.69</v>
      </c>
      <c r="H16" s="64">
        <v>31.53</v>
      </c>
      <c r="I16" s="64">
        <v>1.55</v>
      </c>
      <c r="J16" s="64">
        <v>0.13</v>
      </c>
      <c r="K16" s="64">
        <v>187.59</v>
      </c>
      <c r="L16" s="64">
        <v>23.12</v>
      </c>
      <c r="M16" s="64">
        <v>98.89</v>
      </c>
      <c r="N16" s="64">
        <v>9.1</v>
      </c>
      <c r="O16" s="64">
        <v>0</v>
      </c>
      <c r="P16" s="64">
        <v>1.0900000000000001</v>
      </c>
      <c r="Q16" s="64">
        <v>15.16</v>
      </c>
      <c r="R16" s="198"/>
      <c r="S16" s="198"/>
      <c r="T16" s="198"/>
      <c r="U16" s="198"/>
    </row>
    <row r="17" spans="1:21" s="12" customFormat="1" x14ac:dyDescent="0.25">
      <c r="A17" s="214" t="s">
        <v>2849</v>
      </c>
      <c r="B17" s="64">
        <v>9.76</v>
      </c>
      <c r="C17" s="64">
        <v>14.53</v>
      </c>
      <c r="D17" s="64">
        <v>17.14</v>
      </c>
      <c r="E17" s="64">
        <v>0.82</v>
      </c>
      <c r="F17" s="64">
        <v>1.51</v>
      </c>
      <c r="G17" s="64">
        <v>78.69</v>
      </c>
      <c r="H17" s="64">
        <v>31.53</v>
      </c>
      <c r="I17" s="64">
        <v>1.46</v>
      </c>
      <c r="J17" s="64">
        <v>0.17</v>
      </c>
      <c r="K17" s="64">
        <v>203.34</v>
      </c>
      <c r="L17" s="64">
        <v>23.12</v>
      </c>
      <c r="M17" s="64">
        <v>98.87</v>
      </c>
      <c r="N17" s="64">
        <v>9.1</v>
      </c>
      <c r="O17" s="64">
        <v>0</v>
      </c>
      <c r="P17" s="64">
        <v>1.07</v>
      </c>
      <c r="Q17" s="64">
        <v>15.14</v>
      </c>
      <c r="R17" s="198"/>
      <c r="S17" s="198"/>
      <c r="T17" s="198"/>
      <c r="U17" s="198"/>
    </row>
    <row r="18" spans="1:21" s="12" customFormat="1" x14ac:dyDescent="0.25">
      <c r="A18" s="214" t="s">
        <v>2850</v>
      </c>
      <c r="B18" s="64">
        <v>11.08</v>
      </c>
      <c r="C18" s="64">
        <v>10.44</v>
      </c>
      <c r="D18" s="64">
        <v>15.94</v>
      </c>
      <c r="E18" s="64">
        <v>1.03</v>
      </c>
      <c r="F18" s="64">
        <v>1.39</v>
      </c>
      <c r="G18" s="64">
        <v>66.72</v>
      </c>
      <c r="H18" s="64">
        <v>31.73</v>
      </c>
      <c r="I18" s="64">
        <v>1.56</v>
      </c>
      <c r="J18" s="64">
        <v>0.12</v>
      </c>
      <c r="K18" s="64">
        <v>199.94</v>
      </c>
      <c r="L18" s="64">
        <v>23.02</v>
      </c>
      <c r="M18" s="64">
        <v>98.87</v>
      </c>
      <c r="N18" s="64">
        <v>9.1</v>
      </c>
      <c r="O18" s="64">
        <v>0</v>
      </c>
      <c r="P18" s="64">
        <v>1.1599999999999999</v>
      </c>
      <c r="Q18" s="64">
        <v>14.58</v>
      </c>
      <c r="R18" s="198"/>
      <c r="S18" s="198"/>
      <c r="T18" s="198"/>
      <c r="U18" s="198"/>
    </row>
    <row r="19" spans="1:21" s="12" customFormat="1" x14ac:dyDescent="0.25">
      <c r="A19" s="214" t="s">
        <v>2851</v>
      </c>
      <c r="B19" s="64">
        <v>9.16</v>
      </c>
      <c r="C19" s="64">
        <v>12.14</v>
      </c>
      <c r="D19" s="64">
        <v>15.34</v>
      </c>
      <c r="E19" s="64">
        <v>1.08</v>
      </c>
      <c r="F19" s="64">
        <v>2.4</v>
      </c>
      <c r="G19" s="64">
        <v>64.7</v>
      </c>
      <c r="H19" s="64">
        <v>31.73</v>
      </c>
      <c r="I19" s="64">
        <v>1.47</v>
      </c>
      <c r="J19" s="64">
        <v>0.01</v>
      </c>
      <c r="K19" s="64">
        <v>93.03</v>
      </c>
      <c r="L19" s="64">
        <v>23.03</v>
      </c>
      <c r="M19" s="64">
        <v>98.87</v>
      </c>
      <c r="N19" s="64">
        <v>9.1999999999999993</v>
      </c>
      <c r="O19" s="64">
        <v>0</v>
      </c>
      <c r="P19" s="64">
        <v>0.95</v>
      </c>
      <c r="Q19" s="64">
        <v>15.13</v>
      </c>
      <c r="R19" s="198"/>
      <c r="S19" s="198"/>
      <c r="T19" s="198"/>
      <c r="U19" s="198"/>
    </row>
    <row r="20" spans="1:21" s="12" customFormat="1" x14ac:dyDescent="0.25">
      <c r="A20" s="214" t="s">
        <v>2852</v>
      </c>
      <c r="B20" s="64">
        <v>9.25</v>
      </c>
      <c r="C20" s="64">
        <v>11.01</v>
      </c>
      <c r="D20" s="64">
        <v>14.79</v>
      </c>
      <c r="E20" s="64">
        <v>1.23</v>
      </c>
      <c r="F20" s="64">
        <v>1.42</v>
      </c>
      <c r="G20" s="64">
        <v>64.7</v>
      </c>
      <c r="H20" s="64">
        <v>31.73</v>
      </c>
      <c r="I20" s="64">
        <v>1.49</v>
      </c>
      <c r="J20" s="64">
        <v>0.04</v>
      </c>
      <c r="K20" s="64">
        <v>226.05</v>
      </c>
      <c r="L20" s="64">
        <v>23</v>
      </c>
      <c r="M20" s="64">
        <v>98.87</v>
      </c>
      <c r="N20" s="64">
        <v>9.1999999999999993</v>
      </c>
      <c r="O20" s="64">
        <v>0</v>
      </c>
      <c r="P20" s="64">
        <v>1.0900000000000001</v>
      </c>
      <c r="Q20" s="64">
        <v>14.45</v>
      </c>
      <c r="R20" s="198"/>
      <c r="S20" s="198"/>
      <c r="T20" s="198"/>
      <c r="U20" s="198"/>
    </row>
    <row r="21" spans="1:21" s="12" customFormat="1" x14ac:dyDescent="0.25">
      <c r="A21" s="214" t="s">
        <v>2853</v>
      </c>
      <c r="B21" s="64">
        <v>8.9600000000000009</v>
      </c>
      <c r="C21" s="64">
        <v>10.07</v>
      </c>
      <c r="D21" s="64">
        <v>14.03</v>
      </c>
      <c r="E21" s="64">
        <v>0.99</v>
      </c>
      <c r="F21" s="64">
        <v>2.04</v>
      </c>
      <c r="G21" s="64">
        <v>64.7</v>
      </c>
      <c r="H21" s="64">
        <v>31.73</v>
      </c>
      <c r="I21" s="64">
        <v>1.47</v>
      </c>
      <c r="J21" s="64">
        <v>7.0000000000000007E-2</v>
      </c>
      <c r="K21" s="64">
        <v>213.84</v>
      </c>
      <c r="L21" s="64">
        <v>22.95</v>
      </c>
      <c r="M21" s="64">
        <v>98.87</v>
      </c>
      <c r="N21" s="64">
        <v>9.3000000000000007</v>
      </c>
      <c r="O21" s="64">
        <v>0</v>
      </c>
      <c r="P21" s="64">
        <v>0.94</v>
      </c>
      <c r="Q21" s="64">
        <v>14.82</v>
      </c>
      <c r="R21" s="198"/>
      <c r="S21" s="198"/>
      <c r="T21" s="198"/>
      <c r="U21" s="198"/>
    </row>
    <row r="22" spans="1:21" s="12" customFormat="1" x14ac:dyDescent="0.25">
      <c r="A22" s="214" t="s">
        <v>2854</v>
      </c>
      <c r="B22" s="64">
        <v>8.25</v>
      </c>
      <c r="C22" s="64">
        <v>9.85</v>
      </c>
      <c r="D22" s="64">
        <v>13.34</v>
      </c>
      <c r="E22" s="64">
        <v>1.1299999999999999</v>
      </c>
      <c r="F22" s="64">
        <v>2.15</v>
      </c>
      <c r="G22" s="64">
        <v>57.81</v>
      </c>
      <c r="H22" s="64">
        <v>27.93</v>
      </c>
      <c r="I22" s="64">
        <v>1.49</v>
      </c>
      <c r="J22" s="64">
        <v>0.03</v>
      </c>
      <c r="K22" s="64">
        <v>347.33</v>
      </c>
      <c r="L22" s="64">
        <v>22.87</v>
      </c>
      <c r="M22" s="64">
        <v>98.87</v>
      </c>
      <c r="N22" s="64">
        <v>4.0999999999999996</v>
      </c>
      <c r="O22" s="64">
        <v>0</v>
      </c>
      <c r="P22" s="64">
        <v>0.94</v>
      </c>
      <c r="Q22" s="64">
        <v>14.61</v>
      </c>
      <c r="R22" s="198"/>
      <c r="S22" s="198"/>
      <c r="T22" s="198"/>
      <c r="U22" s="198"/>
    </row>
    <row r="23" spans="1:21" s="12" customFormat="1" x14ac:dyDescent="0.25">
      <c r="A23" s="214" t="s">
        <v>2855</v>
      </c>
      <c r="B23" s="64">
        <v>5.34</v>
      </c>
      <c r="C23" s="64">
        <v>10.65</v>
      </c>
      <c r="D23" s="64">
        <v>11.45</v>
      </c>
      <c r="E23" s="64">
        <v>0.94</v>
      </c>
      <c r="F23" s="64">
        <v>7.88</v>
      </c>
      <c r="G23" s="64">
        <v>56.54</v>
      </c>
      <c r="H23" s="64">
        <v>27.93</v>
      </c>
      <c r="I23" s="64">
        <v>1.58</v>
      </c>
      <c r="J23" s="64">
        <v>0.05</v>
      </c>
      <c r="K23" s="64">
        <v>17.82</v>
      </c>
      <c r="L23" s="64">
        <v>22.76</v>
      </c>
      <c r="M23" s="64">
        <v>98.88</v>
      </c>
      <c r="N23" s="64">
        <v>0</v>
      </c>
      <c r="O23" s="64">
        <v>0</v>
      </c>
      <c r="P23" s="64">
        <v>0.55000000000000004</v>
      </c>
      <c r="Q23" s="64">
        <v>15.58</v>
      </c>
      <c r="R23" s="198"/>
      <c r="S23" s="198"/>
      <c r="T23" s="198"/>
      <c r="U23" s="198"/>
    </row>
    <row r="24" spans="1:21" s="12" customFormat="1" x14ac:dyDescent="0.25">
      <c r="A24" s="214" t="s">
        <v>2856</v>
      </c>
      <c r="B24" s="64">
        <v>4.8899999999999997</v>
      </c>
      <c r="C24" s="64">
        <v>12.38</v>
      </c>
      <c r="D24" s="64">
        <v>12.05</v>
      </c>
      <c r="E24" s="64">
        <v>0.71</v>
      </c>
      <c r="F24" s="64">
        <v>5.31</v>
      </c>
      <c r="G24" s="64">
        <v>56.54</v>
      </c>
      <c r="H24" s="64">
        <v>27.93</v>
      </c>
      <c r="I24" s="64">
        <v>1.46</v>
      </c>
      <c r="J24" s="64">
        <v>0.09</v>
      </c>
      <c r="K24" s="64">
        <v>121.67</v>
      </c>
      <c r="L24" s="64">
        <v>22.73</v>
      </c>
      <c r="M24" s="64">
        <v>98.87</v>
      </c>
      <c r="N24" s="64">
        <v>0</v>
      </c>
      <c r="O24" s="64">
        <v>0</v>
      </c>
      <c r="P24" s="64">
        <v>0.73</v>
      </c>
      <c r="Q24" s="64">
        <v>15.48</v>
      </c>
      <c r="R24" s="198"/>
      <c r="S24" s="198"/>
      <c r="T24" s="198"/>
      <c r="U24" s="198"/>
    </row>
    <row r="25" spans="1:21" s="12" customFormat="1" x14ac:dyDescent="0.25">
      <c r="A25" s="214" t="s">
        <v>2857</v>
      </c>
      <c r="B25" s="64">
        <v>5.3</v>
      </c>
      <c r="C25" s="64">
        <v>11.96</v>
      </c>
      <c r="D25" s="64">
        <v>12.14</v>
      </c>
      <c r="E25" s="64">
        <v>2.31</v>
      </c>
      <c r="F25" s="64">
        <v>7.21</v>
      </c>
      <c r="G25" s="64">
        <v>56.54</v>
      </c>
      <c r="H25" s="64">
        <v>27.93</v>
      </c>
      <c r="I25" s="64">
        <v>1.49</v>
      </c>
      <c r="J25" s="64">
        <v>0.1</v>
      </c>
      <c r="K25" s="64">
        <v>172.95</v>
      </c>
      <c r="L25" s="64">
        <v>22.67</v>
      </c>
      <c r="M25" s="64">
        <v>98.88</v>
      </c>
      <c r="N25" s="64">
        <v>7.7</v>
      </c>
      <c r="O25" s="64">
        <v>0</v>
      </c>
      <c r="P25" s="64">
        <v>0.6</v>
      </c>
      <c r="Q25" s="64">
        <v>16.16</v>
      </c>
      <c r="R25" s="198"/>
      <c r="S25" s="198"/>
      <c r="T25" s="198"/>
      <c r="U25" s="198"/>
    </row>
    <row r="26" spans="1:21" s="12" customFormat="1" x14ac:dyDescent="0.25">
      <c r="A26" s="214" t="s">
        <v>2858</v>
      </c>
      <c r="B26" s="64">
        <v>4.5999999999999996</v>
      </c>
      <c r="C26" s="64">
        <v>14.11</v>
      </c>
      <c r="D26" s="64">
        <v>12.77</v>
      </c>
      <c r="E26" s="64">
        <v>1.6</v>
      </c>
      <c r="F26" s="64">
        <v>5.61</v>
      </c>
      <c r="G26" s="64">
        <v>54.47</v>
      </c>
      <c r="H26" s="64">
        <v>24.64</v>
      </c>
      <c r="I26" s="64">
        <v>1.45</v>
      </c>
      <c r="J26" s="64">
        <v>0.13</v>
      </c>
      <c r="K26" s="64">
        <v>175.18</v>
      </c>
      <c r="L26" s="64">
        <v>22.62</v>
      </c>
      <c r="M26" s="64">
        <v>98.88</v>
      </c>
      <c r="N26" s="64">
        <v>9</v>
      </c>
      <c r="O26" s="64">
        <v>0</v>
      </c>
      <c r="P26" s="64">
        <v>0.66</v>
      </c>
      <c r="Q26" s="64">
        <v>16.02</v>
      </c>
      <c r="R26" s="198"/>
      <c r="S26" s="198"/>
      <c r="T26" s="198"/>
      <c r="U26" s="198"/>
    </row>
    <row r="27" spans="1:21" s="12" customFormat="1" x14ac:dyDescent="0.25">
      <c r="A27" s="214" t="s">
        <v>2859</v>
      </c>
      <c r="B27" s="64">
        <v>6.18</v>
      </c>
      <c r="C27" s="64">
        <v>13.04</v>
      </c>
      <c r="D27" s="64">
        <v>13.45</v>
      </c>
      <c r="E27" s="64">
        <v>1.58</v>
      </c>
      <c r="F27" s="64">
        <v>3.07</v>
      </c>
      <c r="G27" s="64">
        <v>54.12</v>
      </c>
      <c r="H27" s="64">
        <v>24.64</v>
      </c>
      <c r="I27" s="64">
        <v>1.54</v>
      </c>
      <c r="J27" s="64">
        <v>0.03</v>
      </c>
      <c r="K27" s="64">
        <v>299.87</v>
      </c>
      <c r="L27" s="64">
        <v>22.56</v>
      </c>
      <c r="M27" s="64">
        <v>98.88</v>
      </c>
      <c r="N27" s="64">
        <v>9.1999999999999993</v>
      </c>
      <c r="O27" s="64">
        <v>0</v>
      </c>
      <c r="P27" s="64">
        <v>0.82</v>
      </c>
      <c r="Q27" s="64">
        <v>16.03</v>
      </c>
      <c r="R27" s="198"/>
      <c r="S27" s="198"/>
      <c r="T27" s="198"/>
      <c r="U27" s="198"/>
    </row>
    <row r="28" spans="1:21" s="12" customFormat="1" x14ac:dyDescent="0.25">
      <c r="A28" s="214" t="s">
        <v>2860</v>
      </c>
      <c r="B28" s="64">
        <v>7.79</v>
      </c>
      <c r="C28" s="64">
        <v>12.36</v>
      </c>
      <c r="D28" s="64">
        <v>14.37</v>
      </c>
      <c r="E28" s="64">
        <v>2.27</v>
      </c>
      <c r="F28" s="64">
        <v>1.44</v>
      </c>
      <c r="G28" s="64">
        <v>54.12</v>
      </c>
      <c r="H28" s="64">
        <v>24.64</v>
      </c>
      <c r="I28" s="64">
        <v>1.56</v>
      </c>
      <c r="J28" s="64">
        <v>0.06</v>
      </c>
      <c r="K28" s="64">
        <v>202.37</v>
      </c>
      <c r="L28" s="64">
        <v>22.44</v>
      </c>
      <c r="M28" s="64">
        <v>98.88</v>
      </c>
      <c r="N28" s="64">
        <v>9.1</v>
      </c>
      <c r="O28" s="64">
        <v>0</v>
      </c>
      <c r="P28" s="64">
        <v>0.81</v>
      </c>
      <c r="Q28" s="64">
        <v>15.71</v>
      </c>
      <c r="R28" s="198"/>
      <c r="S28" s="198"/>
      <c r="T28" s="198"/>
      <c r="U28" s="198"/>
    </row>
    <row r="29" spans="1:21" s="12" customFormat="1" x14ac:dyDescent="0.25">
      <c r="A29" s="214" t="s">
        <v>2861</v>
      </c>
      <c r="B29" s="64">
        <v>7.77</v>
      </c>
      <c r="C29" s="64">
        <v>13.39</v>
      </c>
      <c r="D29" s="64">
        <v>14.92</v>
      </c>
      <c r="E29" s="64">
        <v>1.78</v>
      </c>
      <c r="F29" s="64">
        <v>0.93</v>
      </c>
      <c r="G29" s="64">
        <v>54.12</v>
      </c>
      <c r="H29" s="64">
        <v>24.64</v>
      </c>
      <c r="I29" s="64">
        <v>1.51</v>
      </c>
      <c r="J29" s="64">
        <v>0.05</v>
      </c>
      <c r="K29" s="64">
        <v>199.95</v>
      </c>
      <c r="L29" s="64">
        <v>22.42</v>
      </c>
      <c r="M29" s="64">
        <v>98.88</v>
      </c>
      <c r="N29" s="64">
        <v>9.1</v>
      </c>
      <c r="O29" s="64">
        <v>0</v>
      </c>
      <c r="P29" s="64">
        <v>0.84</v>
      </c>
      <c r="Q29" s="64">
        <v>15.04</v>
      </c>
      <c r="R29" s="198"/>
      <c r="S29" s="198"/>
      <c r="T29" s="198"/>
      <c r="U29" s="198"/>
    </row>
    <row r="30" spans="1:21" s="12" customFormat="1" x14ac:dyDescent="0.25">
      <c r="A30" s="214" t="s">
        <v>2862</v>
      </c>
      <c r="B30" s="64">
        <v>8.57</v>
      </c>
      <c r="C30" s="64">
        <v>10.84</v>
      </c>
      <c r="D30" s="64">
        <v>14.14</v>
      </c>
      <c r="E30" s="64">
        <v>1.25</v>
      </c>
      <c r="F30" s="64">
        <v>1.07</v>
      </c>
      <c r="G30" s="64">
        <v>50.94</v>
      </c>
      <c r="H30" s="64">
        <v>22.81</v>
      </c>
      <c r="I30" s="64">
        <v>1.46</v>
      </c>
      <c r="J30" s="64">
        <v>0.06</v>
      </c>
      <c r="K30" s="64">
        <v>220.95</v>
      </c>
      <c r="L30" s="64">
        <v>22.42</v>
      </c>
      <c r="M30" s="64">
        <v>98.88</v>
      </c>
      <c r="N30" s="64">
        <v>9.1</v>
      </c>
      <c r="O30" s="64">
        <v>0</v>
      </c>
      <c r="P30" s="64">
        <v>0.82</v>
      </c>
      <c r="Q30" s="64">
        <v>15.23</v>
      </c>
      <c r="R30" s="198"/>
      <c r="S30" s="198"/>
      <c r="T30" s="198"/>
      <c r="U30" s="198"/>
    </row>
    <row r="31" spans="1:21" s="12" customFormat="1" x14ac:dyDescent="0.25">
      <c r="A31" s="214" t="s">
        <v>2863</v>
      </c>
      <c r="B31" s="64">
        <v>7.18</v>
      </c>
      <c r="C31" s="64">
        <v>14.44</v>
      </c>
      <c r="D31" s="64">
        <v>15.02</v>
      </c>
      <c r="E31" s="64">
        <v>1.72</v>
      </c>
      <c r="F31" s="64">
        <v>1.21</v>
      </c>
      <c r="G31" s="64">
        <v>50.4</v>
      </c>
      <c r="H31" s="64">
        <v>22.81</v>
      </c>
      <c r="I31" s="64">
        <v>1.51</v>
      </c>
      <c r="J31" s="64">
        <v>0.06</v>
      </c>
      <c r="K31" s="64">
        <v>239.48</v>
      </c>
      <c r="L31" s="64">
        <v>22.35</v>
      </c>
      <c r="M31" s="64">
        <v>98.88</v>
      </c>
      <c r="N31" s="64">
        <v>10</v>
      </c>
      <c r="O31" s="64">
        <v>0</v>
      </c>
      <c r="P31" s="64">
        <v>0.72</v>
      </c>
      <c r="Q31" s="64">
        <v>15.06</v>
      </c>
      <c r="R31" s="198"/>
      <c r="S31" s="198"/>
      <c r="T31" s="198"/>
      <c r="U31" s="198"/>
    </row>
    <row r="32" spans="1:21" s="12" customFormat="1" x14ac:dyDescent="0.25">
      <c r="A32" s="214" t="s">
        <v>2864</v>
      </c>
      <c r="B32" s="64">
        <v>8.5399999999999991</v>
      </c>
      <c r="C32" s="64">
        <v>10.88</v>
      </c>
      <c r="D32" s="64">
        <v>14.15</v>
      </c>
      <c r="E32" s="64">
        <v>1.38</v>
      </c>
      <c r="F32" s="64">
        <v>1.02</v>
      </c>
      <c r="G32" s="64">
        <v>50.4</v>
      </c>
      <c r="H32" s="64">
        <v>22.81</v>
      </c>
      <c r="I32" s="64">
        <v>1.54</v>
      </c>
      <c r="J32" s="64">
        <v>0.05</v>
      </c>
      <c r="K32" s="64">
        <v>276.48</v>
      </c>
      <c r="L32" s="64">
        <v>22.33</v>
      </c>
      <c r="M32" s="64">
        <v>98.88</v>
      </c>
      <c r="N32" s="64">
        <v>16.600000000000001</v>
      </c>
      <c r="O32" s="64">
        <v>0</v>
      </c>
      <c r="P32" s="64">
        <v>0.81</v>
      </c>
      <c r="Q32" s="64">
        <v>14.6</v>
      </c>
      <c r="R32" s="198"/>
      <c r="S32" s="198"/>
      <c r="T32" s="198"/>
      <c r="U32" s="198"/>
    </row>
    <row r="33" spans="1:21" s="12" customFormat="1" x14ac:dyDescent="0.25">
      <c r="A33" s="214" t="s">
        <v>2865</v>
      </c>
      <c r="B33" s="64">
        <v>39.54</v>
      </c>
      <c r="C33" s="64">
        <v>21.47</v>
      </c>
      <c r="D33" s="64">
        <v>44.84</v>
      </c>
      <c r="E33" s="64">
        <v>2.0499999999999998</v>
      </c>
      <c r="F33" s="64">
        <v>1</v>
      </c>
      <c r="G33" s="64">
        <v>50.4</v>
      </c>
      <c r="H33" s="64">
        <v>22.81</v>
      </c>
      <c r="I33" s="64">
        <v>1.51</v>
      </c>
      <c r="J33" s="64">
        <v>0.04</v>
      </c>
      <c r="K33" s="64">
        <v>276.48</v>
      </c>
      <c r="L33" s="64">
        <v>22.43</v>
      </c>
      <c r="M33" s="64">
        <v>98.88</v>
      </c>
      <c r="N33" s="64">
        <v>33.299999999999997</v>
      </c>
      <c r="O33" s="64">
        <v>0</v>
      </c>
      <c r="P33" s="64">
        <v>1.08</v>
      </c>
      <c r="Q33" s="64">
        <v>13.78</v>
      </c>
      <c r="R33" s="198"/>
      <c r="S33" s="198"/>
      <c r="T33" s="198"/>
      <c r="U33" s="198"/>
    </row>
    <row r="34" spans="1:21" s="12" customFormat="1" x14ac:dyDescent="0.25">
      <c r="A34" s="214" t="s">
        <v>2866</v>
      </c>
      <c r="B34" s="64">
        <v>22.78</v>
      </c>
      <c r="C34" s="64">
        <v>20.059999999999999</v>
      </c>
      <c r="D34" s="64">
        <v>30.63</v>
      </c>
      <c r="E34" s="64">
        <v>2.38</v>
      </c>
      <c r="F34" s="64">
        <v>2.11</v>
      </c>
      <c r="G34" s="64">
        <v>50.67</v>
      </c>
      <c r="H34" s="64">
        <v>23.79</v>
      </c>
      <c r="I34" s="64">
        <v>1.49</v>
      </c>
      <c r="J34" s="64">
        <v>0.06</v>
      </c>
      <c r="K34" s="64">
        <v>297.37</v>
      </c>
      <c r="L34" s="64">
        <v>22.82</v>
      </c>
      <c r="M34" s="64">
        <v>98.88</v>
      </c>
      <c r="N34" s="64">
        <v>52.4</v>
      </c>
      <c r="O34" s="64">
        <v>0</v>
      </c>
      <c r="P34" s="64">
        <v>0.9</v>
      </c>
      <c r="Q34" s="64">
        <v>12.91</v>
      </c>
      <c r="R34" s="198"/>
      <c r="S34" s="198"/>
      <c r="T34" s="198"/>
      <c r="U34" s="198"/>
    </row>
    <row r="35" spans="1:21" s="12" customFormat="1" x14ac:dyDescent="0.25">
      <c r="A35" s="214" t="s">
        <v>2867</v>
      </c>
      <c r="B35" s="64">
        <v>15.79</v>
      </c>
      <c r="C35" s="64">
        <v>27.53</v>
      </c>
      <c r="D35" s="64">
        <v>29.15</v>
      </c>
      <c r="E35" s="64">
        <v>2.06</v>
      </c>
      <c r="F35" s="64">
        <v>4.25</v>
      </c>
      <c r="G35" s="64">
        <v>50.71</v>
      </c>
      <c r="H35" s="64">
        <v>23.79</v>
      </c>
      <c r="I35" s="64">
        <v>1.52</v>
      </c>
      <c r="J35" s="64">
        <v>0.18</v>
      </c>
      <c r="K35" s="64">
        <v>346.02</v>
      </c>
      <c r="L35" s="64">
        <v>23.59</v>
      </c>
      <c r="M35" s="64">
        <v>98.84</v>
      </c>
      <c r="N35" s="64">
        <v>85.2</v>
      </c>
      <c r="O35" s="64">
        <v>0</v>
      </c>
      <c r="P35" s="64">
        <v>0.83</v>
      </c>
      <c r="Q35" s="64">
        <v>13.98</v>
      </c>
      <c r="R35" s="198"/>
      <c r="S35" s="198"/>
      <c r="T35" s="198"/>
      <c r="U35" s="198"/>
    </row>
    <row r="36" spans="1:21" s="12" customFormat="1" x14ac:dyDescent="0.25">
      <c r="A36" s="214" t="s">
        <v>2868</v>
      </c>
      <c r="B36" s="64">
        <v>23.6</v>
      </c>
      <c r="C36" s="64">
        <v>25.66</v>
      </c>
      <c r="D36" s="64">
        <v>34.380000000000003</v>
      </c>
      <c r="E36" s="64">
        <v>2.16</v>
      </c>
      <c r="F36" s="64">
        <v>4.21</v>
      </c>
      <c r="G36" s="64">
        <v>50.71</v>
      </c>
      <c r="H36" s="64">
        <v>23.79</v>
      </c>
      <c r="I36" s="64">
        <v>1.55</v>
      </c>
      <c r="J36" s="64">
        <v>0.26</v>
      </c>
      <c r="K36" s="64">
        <v>352.08</v>
      </c>
      <c r="L36" s="64">
        <v>24.6</v>
      </c>
      <c r="M36" s="64">
        <v>96.83</v>
      </c>
      <c r="N36" s="64">
        <v>123.4</v>
      </c>
      <c r="O36" s="64">
        <v>0</v>
      </c>
      <c r="P36" s="64">
        <v>0.8</v>
      </c>
      <c r="Q36" s="64">
        <v>15.1</v>
      </c>
      <c r="R36" s="198"/>
      <c r="S36" s="198"/>
      <c r="T36" s="198"/>
      <c r="U36" s="198"/>
    </row>
    <row r="37" spans="1:21" s="12" customFormat="1" x14ac:dyDescent="0.25">
      <c r="A37" s="214" t="s">
        <v>2869</v>
      </c>
      <c r="B37" s="64">
        <v>10.26</v>
      </c>
      <c r="C37" s="64">
        <v>23.86</v>
      </c>
      <c r="D37" s="64">
        <v>22.69</v>
      </c>
      <c r="E37" s="64">
        <v>2.2000000000000002</v>
      </c>
      <c r="F37" s="64">
        <v>6.22</v>
      </c>
      <c r="G37" s="64">
        <v>50.71</v>
      </c>
      <c r="H37" s="64">
        <v>23.79</v>
      </c>
      <c r="I37" s="64">
        <v>1.54</v>
      </c>
      <c r="J37" s="64">
        <v>0.12</v>
      </c>
      <c r="K37" s="64">
        <v>136.86000000000001</v>
      </c>
      <c r="L37" s="64">
        <v>25.48</v>
      </c>
      <c r="M37" s="64">
        <v>91.94</v>
      </c>
      <c r="N37" s="64">
        <v>168.1</v>
      </c>
      <c r="O37" s="64">
        <v>0</v>
      </c>
      <c r="P37" s="64">
        <v>0.73</v>
      </c>
      <c r="Q37" s="64">
        <v>16.03</v>
      </c>
      <c r="R37" s="198"/>
      <c r="S37" s="198"/>
      <c r="T37" s="198"/>
      <c r="U37" s="198"/>
    </row>
    <row r="38" spans="1:21" s="12" customFormat="1" x14ac:dyDescent="0.25">
      <c r="A38" s="214" t="s">
        <v>2870</v>
      </c>
      <c r="B38" s="64">
        <v>19.82</v>
      </c>
      <c r="C38" s="64">
        <v>23.24</v>
      </c>
      <c r="D38" s="64">
        <v>30.01</v>
      </c>
      <c r="E38" s="64">
        <v>2.0299999999999998</v>
      </c>
      <c r="F38" s="64">
        <v>3.55</v>
      </c>
      <c r="G38" s="64">
        <v>57.13</v>
      </c>
      <c r="H38" s="64">
        <v>23.21</v>
      </c>
      <c r="I38" s="64">
        <v>1.5</v>
      </c>
      <c r="J38" s="64">
        <v>0.28999999999999998</v>
      </c>
      <c r="K38" s="64">
        <v>346.16</v>
      </c>
      <c r="L38" s="64">
        <v>26.45</v>
      </c>
      <c r="M38" s="64">
        <v>88.31</v>
      </c>
      <c r="N38" s="64">
        <v>191.2</v>
      </c>
      <c r="O38" s="64">
        <v>0</v>
      </c>
      <c r="P38" s="64">
        <v>1</v>
      </c>
      <c r="Q38" s="64">
        <v>16.61</v>
      </c>
      <c r="R38" s="198"/>
      <c r="S38" s="198"/>
      <c r="T38" s="198"/>
      <c r="U38" s="198"/>
    </row>
    <row r="39" spans="1:21" s="12" customFormat="1" x14ac:dyDescent="0.25">
      <c r="A39" s="214" t="s">
        <v>2871</v>
      </c>
      <c r="B39" s="64">
        <v>19.03</v>
      </c>
      <c r="C39" s="64">
        <v>18.87</v>
      </c>
      <c r="D39" s="64">
        <v>26.97</v>
      </c>
      <c r="E39" s="64">
        <v>2.04</v>
      </c>
      <c r="F39" s="64">
        <v>2</v>
      </c>
      <c r="G39" s="64">
        <v>58.21</v>
      </c>
      <c r="H39" s="64">
        <v>23.21</v>
      </c>
      <c r="I39" s="64">
        <v>1.57</v>
      </c>
      <c r="J39" s="64">
        <v>0.33</v>
      </c>
      <c r="K39" s="64">
        <v>346.5</v>
      </c>
      <c r="L39" s="64">
        <v>27.33</v>
      </c>
      <c r="M39" s="64">
        <v>83.99</v>
      </c>
      <c r="N39" s="64">
        <v>220.4</v>
      </c>
      <c r="O39" s="64">
        <v>0</v>
      </c>
      <c r="P39" s="64">
        <v>0.95</v>
      </c>
      <c r="Q39" s="6" t="s">
        <v>42</v>
      </c>
      <c r="R39" s="198"/>
      <c r="S39" s="198"/>
      <c r="T39" s="198"/>
      <c r="U39" s="198"/>
    </row>
    <row r="40" spans="1:21" s="12" customFormat="1" x14ac:dyDescent="0.25">
      <c r="A40" s="214" t="s">
        <v>2872</v>
      </c>
      <c r="B40" s="64">
        <v>19.39</v>
      </c>
      <c r="C40" s="64">
        <v>18.850000000000001</v>
      </c>
      <c r="D40" s="64">
        <v>27.24</v>
      </c>
      <c r="E40" s="64">
        <v>1.41</v>
      </c>
      <c r="F40" s="64">
        <v>3.79</v>
      </c>
      <c r="G40" s="64">
        <v>58.21</v>
      </c>
      <c r="H40" s="64">
        <v>23.21</v>
      </c>
      <c r="I40" s="64">
        <v>1.56</v>
      </c>
      <c r="J40" s="64">
        <v>0.37</v>
      </c>
      <c r="K40" s="64">
        <v>343.47</v>
      </c>
      <c r="L40" s="64">
        <v>28.81</v>
      </c>
      <c r="M40" s="64">
        <v>78.489999999999995</v>
      </c>
      <c r="N40" s="64">
        <v>220.9</v>
      </c>
      <c r="O40" s="64">
        <v>0</v>
      </c>
      <c r="P40" s="64">
        <v>0.97</v>
      </c>
      <c r="Q40" s="64">
        <v>17.010000000000002</v>
      </c>
      <c r="R40" s="198"/>
      <c r="S40" s="198"/>
      <c r="T40" s="198"/>
      <c r="U40" s="198"/>
    </row>
    <row r="41" spans="1:21" s="12" customFormat="1" x14ac:dyDescent="0.25">
      <c r="A41" s="214" t="s">
        <v>2873</v>
      </c>
      <c r="B41" s="64">
        <v>16.73</v>
      </c>
      <c r="C41" s="64">
        <v>21.72</v>
      </c>
      <c r="D41" s="64">
        <v>26.7</v>
      </c>
      <c r="E41" s="64">
        <v>2.75</v>
      </c>
      <c r="F41" s="64">
        <v>3.63</v>
      </c>
      <c r="G41" s="64">
        <v>58.21</v>
      </c>
      <c r="H41" s="64">
        <v>23.21</v>
      </c>
      <c r="I41" s="64">
        <v>1.43</v>
      </c>
      <c r="J41" s="64">
        <v>0.18</v>
      </c>
      <c r="K41" s="64">
        <v>109.89</v>
      </c>
      <c r="L41" s="64">
        <v>28.61</v>
      </c>
      <c r="M41" s="64">
        <v>80.02</v>
      </c>
      <c r="N41" s="64">
        <v>0</v>
      </c>
      <c r="O41" s="64">
        <v>0</v>
      </c>
      <c r="P41" s="64">
        <v>0.98</v>
      </c>
      <c r="Q41" s="64">
        <v>16.11</v>
      </c>
      <c r="R41" s="198"/>
      <c r="S41" s="198"/>
      <c r="T41" s="198"/>
      <c r="U41" s="198"/>
    </row>
    <row r="42" spans="1:21" s="12" customFormat="1" x14ac:dyDescent="0.25">
      <c r="A42" s="214" t="s">
        <v>2874</v>
      </c>
      <c r="B42" s="64">
        <v>18.36</v>
      </c>
      <c r="C42" s="64">
        <v>22.83</v>
      </c>
      <c r="D42" s="64">
        <v>28.62</v>
      </c>
      <c r="E42" s="64">
        <v>2.77</v>
      </c>
      <c r="F42" s="64">
        <v>5.81</v>
      </c>
      <c r="G42" s="64">
        <v>72.040000000000006</v>
      </c>
      <c r="H42" s="64">
        <v>25.33</v>
      </c>
      <c r="I42" s="64">
        <v>1.47</v>
      </c>
      <c r="J42" s="64">
        <v>0.42</v>
      </c>
      <c r="K42" s="64">
        <v>343.62</v>
      </c>
      <c r="L42" s="64">
        <v>29.78</v>
      </c>
      <c r="M42" s="64">
        <v>72.599999999999994</v>
      </c>
      <c r="N42" s="64">
        <v>319</v>
      </c>
      <c r="O42" s="64">
        <v>0</v>
      </c>
      <c r="P42" s="64">
        <v>1</v>
      </c>
      <c r="Q42" s="6" t="s">
        <v>42</v>
      </c>
      <c r="R42" s="198"/>
      <c r="S42" s="198"/>
      <c r="T42" s="198"/>
      <c r="U42" s="198"/>
    </row>
    <row r="43" spans="1:21" s="12" customFormat="1" x14ac:dyDescent="0.25">
      <c r="A43" s="214" t="s">
        <v>2875</v>
      </c>
      <c r="B43" s="64">
        <v>20.84</v>
      </c>
      <c r="C43" s="64">
        <v>31.09</v>
      </c>
      <c r="D43" s="64">
        <v>35.159999999999997</v>
      </c>
      <c r="E43" s="64">
        <v>3</v>
      </c>
      <c r="F43" s="64">
        <v>4.24</v>
      </c>
      <c r="G43" s="64">
        <v>74.13</v>
      </c>
      <c r="H43" s="64">
        <v>25.33</v>
      </c>
      <c r="I43" s="64">
        <v>1.46</v>
      </c>
      <c r="J43" s="64">
        <v>0.38</v>
      </c>
      <c r="K43" s="64">
        <v>342.04</v>
      </c>
      <c r="L43" s="64">
        <v>30.23</v>
      </c>
      <c r="M43" s="64">
        <v>70.97</v>
      </c>
      <c r="N43" s="64">
        <v>342.1</v>
      </c>
      <c r="O43" s="64">
        <v>0</v>
      </c>
      <c r="P43" s="64">
        <v>1.07</v>
      </c>
      <c r="Q43" s="64">
        <v>15.73</v>
      </c>
      <c r="R43" s="198"/>
      <c r="S43" s="198"/>
      <c r="T43" s="198"/>
      <c r="U43" s="198"/>
    </row>
    <row r="44" spans="1:21" s="12" customFormat="1" x14ac:dyDescent="0.25">
      <c r="A44" s="214" t="s">
        <v>2876</v>
      </c>
      <c r="B44" s="64">
        <v>24.14</v>
      </c>
      <c r="C44" s="64">
        <v>35.78</v>
      </c>
      <c r="D44" s="64">
        <v>40.4</v>
      </c>
      <c r="E44" s="64">
        <v>2.98</v>
      </c>
      <c r="F44" s="64">
        <v>5.76</v>
      </c>
      <c r="G44" s="64">
        <v>74.13</v>
      </c>
      <c r="H44" s="64">
        <v>25.33</v>
      </c>
      <c r="I44" s="64">
        <v>1.56</v>
      </c>
      <c r="J44" s="64">
        <v>0.32</v>
      </c>
      <c r="K44" s="64">
        <v>341.02</v>
      </c>
      <c r="L44" s="64">
        <v>30.02</v>
      </c>
      <c r="M44" s="64">
        <v>70.66</v>
      </c>
      <c r="N44" s="64">
        <v>269.60000000000002</v>
      </c>
      <c r="O44" s="64">
        <v>0</v>
      </c>
      <c r="P44" s="64">
        <v>1.1100000000000001</v>
      </c>
      <c r="Q44" s="64">
        <v>13.78</v>
      </c>
      <c r="R44" s="198"/>
      <c r="S44" s="198"/>
      <c r="T44" s="198"/>
      <c r="U44" s="198"/>
    </row>
    <row r="45" spans="1:21" s="12" customFormat="1" x14ac:dyDescent="0.25">
      <c r="A45" s="214" t="s">
        <v>2877</v>
      </c>
      <c r="B45" s="64">
        <v>25.4</v>
      </c>
      <c r="C45" s="64">
        <v>34.89</v>
      </c>
      <c r="D45" s="64">
        <v>40.909999999999997</v>
      </c>
      <c r="E45" s="64">
        <v>3.43</v>
      </c>
      <c r="F45" s="64">
        <v>2.67</v>
      </c>
      <c r="G45" s="64">
        <v>74.13</v>
      </c>
      <c r="H45" s="64">
        <v>25.33</v>
      </c>
      <c r="I45" s="64">
        <v>1.55</v>
      </c>
      <c r="J45" s="64">
        <v>0.38</v>
      </c>
      <c r="K45" s="64">
        <v>338.62</v>
      </c>
      <c r="L45" s="64">
        <v>29.81</v>
      </c>
      <c r="M45" s="64">
        <v>70.81</v>
      </c>
      <c r="N45" s="64">
        <v>292</v>
      </c>
      <c r="O45" s="64">
        <v>0</v>
      </c>
      <c r="P45" s="64">
        <v>1.3</v>
      </c>
      <c r="Q45" s="64">
        <v>14.59</v>
      </c>
      <c r="R45" s="198"/>
      <c r="S45" s="198"/>
      <c r="T45" s="198"/>
      <c r="U45" s="198"/>
    </row>
    <row r="46" spans="1:21" s="12" customFormat="1" x14ac:dyDescent="0.25">
      <c r="A46" s="214" t="s">
        <v>2878</v>
      </c>
      <c r="B46" s="64">
        <v>27.15</v>
      </c>
      <c r="C46" s="64">
        <v>52.42</v>
      </c>
      <c r="D46" s="64">
        <v>51.99</v>
      </c>
      <c r="E46" s="64">
        <v>3.89</v>
      </c>
      <c r="F46" s="64">
        <v>5.75</v>
      </c>
      <c r="G46" s="64">
        <v>74.13</v>
      </c>
      <c r="H46" s="64">
        <v>40.31</v>
      </c>
      <c r="I46" s="64">
        <v>1.48</v>
      </c>
      <c r="J46" s="64">
        <v>0.52</v>
      </c>
      <c r="K46" s="64">
        <v>342.82</v>
      </c>
      <c r="L46" s="64">
        <v>29.67</v>
      </c>
      <c r="M46" s="64">
        <v>71</v>
      </c>
      <c r="N46" s="64">
        <v>207.7</v>
      </c>
      <c r="O46" s="64">
        <v>0</v>
      </c>
      <c r="P46" s="64">
        <v>1.58</v>
      </c>
      <c r="Q46" s="64">
        <v>14.93</v>
      </c>
      <c r="R46" s="198"/>
      <c r="S46" s="198"/>
      <c r="T46" s="198"/>
      <c r="U46" s="198"/>
    </row>
    <row r="47" spans="1:21" s="12" customFormat="1" x14ac:dyDescent="0.25">
      <c r="A47" s="214" t="s">
        <v>2879</v>
      </c>
      <c r="B47" s="64">
        <v>14.34</v>
      </c>
      <c r="C47" s="64">
        <v>39.57</v>
      </c>
      <c r="D47" s="64">
        <v>34.630000000000003</v>
      </c>
      <c r="E47" s="64">
        <v>3.63</v>
      </c>
      <c r="F47" s="64">
        <v>15.67</v>
      </c>
      <c r="G47" s="64">
        <v>278.72000000000003</v>
      </c>
      <c r="H47" s="64">
        <v>40.31</v>
      </c>
      <c r="I47" s="64">
        <v>1.65</v>
      </c>
      <c r="J47" s="64">
        <v>0.48</v>
      </c>
      <c r="K47" s="64">
        <v>335.04</v>
      </c>
      <c r="L47" s="64">
        <v>28.91</v>
      </c>
      <c r="M47" s="64">
        <v>72.55</v>
      </c>
      <c r="N47" s="64">
        <v>255.6</v>
      </c>
      <c r="O47" s="64">
        <v>0</v>
      </c>
      <c r="P47" s="64">
        <v>1.27</v>
      </c>
      <c r="Q47" s="6" t="s">
        <v>42</v>
      </c>
      <c r="R47" s="198"/>
      <c r="S47" s="198"/>
      <c r="T47" s="198"/>
      <c r="U47" s="198"/>
    </row>
    <row r="48" spans="1:21" s="12" customFormat="1" x14ac:dyDescent="0.25">
      <c r="A48" s="214" t="s">
        <v>2880</v>
      </c>
      <c r="B48" s="64">
        <v>17.8</v>
      </c>
      <c r="C48" s="64">
        <v>27.41</v>
      </c>
      <c r="D48" s="64">
        <v>30.7</v>
      </c>
      <c r="E48" s="64">
        <v>3.98</v>
      </c>
      <c r="F48" s="64">
        <v>8.0299999999999994</v>
      </c>
      <c r="G48" s="64">
        <v>278.72000000000003</v>
      </c>
      <c r="H48" s="64">
        <v>40.31</v>
      </c>
      <c r="I48" s="64">
        <v>1.52</v>
      </c>
      <c r="J48" s="64">
        <v>0.22</v>
      </c>
      <c r="K48" s="64">
        <v>44.96</v>
      </c>
      <c r="L48" s="64">
        <v>28.76</v>
      </c>
      <c r="M48" s="64">
        <v>74.72</v>
      </c>
      <c r="N48" s="64">
        <v>586</v>
      </c>
      <c r="O48" s="64">
        <v>0</v>
      </c>
      <c r="P48" s="64">
        <v>1.1599999999999999</v>
      </c>
      <c r="Q48" s="64">
        <v>17.09</v>
      </c>
      <c r="R48" s="198"/>
      <c r="S48" s="198"/>
      <c r="T48" s="198"/>
      <c r="U48" s="198"/>
    </row>
    <row r="49" spans="1:21" s="12" customFormat="1" x14ac:dyDescent="0.25">
      <c r="A49" s="214" t="s">
        <v>2881</v>
      </c>
      <c r="B49" s="64">
        <v>13.17</v>
      </c>
      <c r="C49" s="64">
        <v>20.54</v>
      </c>
      <c r="D49" s="64">
        <v>23.19</v>
      </c>
      <c r="E49" s="64">
        <v>3.74</v>
      </c>
      <c r="F49" s="64">
        <v>12.75</v>
      </c>
      <c r="G49" s="64">
        <v>278.72000000000003</v>
      </c>
      <c r="H49" s="64">
        <v>40.31</v>
      </c>
      <c r="I49" s="64">
        <v>1.46</v>
      </c>
      <c r="J49" s="64">
        <v>0.51</v>
      </c>
      <c r="K49" s="64">
        <v>82.05</v>
      </c>
      <c r="L49" s="64">
        <v>29.31</v>
      </c>
      <c r="M49" s="64">
        <v>72.37</v>
      </c>
      <c r="N49" s="64">
        <v>625</v>
      </c>
      <c r="O49" s="64">
        <v>0</v>
      </c>
      <c r="P49" s="64">
        <v>1.05</v>
      </c>
      <c r="Q49" s="64">
        <v>18.59</v>
      </c>
      <c r="R49" s="198"/>
      <c r="S49" s="198"/>
      <c r="T49" s="198"/>
      <c r="U49" s="198"/>
    </row>
    <row r="50" spans="1:21" s="12" customFormat="1" x14ac:dyDescent="0.25">
      <c r="A50" s="214" t="s">
        <v>2882</v>
      </c>
      <c r="B50" s="64">
        <v>13.79</v>
      </c>
      <c r="C50" s="64">
        <v>15.55</v>
      </c>
      <c r="D50" s="64">
        <v>20.93</v>
      </c>
      <c r="E50" s="64">
        <v>4.07</v>
      </c>
      <c r="F50" s="64">
        <v>5.73</v>
      </c>
      <c r="G50" s="64">
        <v>126.85</v>
      </c>
      <c r="H50" s="64">
        <v>41.72</v>
      </c>
      <c r="I50" s="64">
        <v>1.5</v>
      </c>
      <c r="J50" s="64">
        <v>0.89</v>
      </c>
      <c r="K50" s="64">
        <v>340.48</v>
      </c>
      <c r="L50" s="64">
        <v>30.22</v>
      </c>
      <c r="M50" s="64">
        <v>69.239999999999995</v>
      </c>
      <c r="N50" s="64">
        <v>568.79999999999995</v>
      </c>
      <c r="O50" s="64">
        <v>0</v>
      </c>
      <c r="P50" s="64">
        <v>1.0900000000000001</v>
      </c>
      <c r="Q50" s="64">
        <v>18.98</v>
      </c>
      <c r="R50" s="198"/>
      <c r="S50" s="198"/>
      <c r="T50" s="198"/>
      <c r="U50" s="198"/>
    </row>
    <row r="51" spans="1:21" s="12" customFormat="1" x14ac:dyDescent="0.25">
      <c r="A51" s="214" t="s">
        <v>2883</v>
      </c>
      <c r="B51" s="64">
        <v>15.63</v>
      </c>
      <c r="C51" s="64">
        <v>15.71</v>
      </c>
      <c r="D51" s="64">
        <v>22.49</v>
      </c>
      <c r="E51" s="64">
        <v>3.66</v>
      </c>
      <c r="F51" s="64">
        <v>3.03</v>
      </c>
      <c r="G51" s="64">
        <v>126.85</v>
      </c>
      <c r="H51" s="64">
        <v>41.72</v>
      </c>
      <c r="I51" s="64">
        <v>1.4</v>
      </c>
      <c r="J51" s="64">
        <v>0.42</v>
      </c>
      <c r="K51" s="64">
        <v>44.64</v>
      </c>
      <c r="L51" s="64">
        <v>30.01</v>
      </c>
      <c r="M51" s="64">
        <v>69.27</v>
      </c>
      <c r="N51" s="64">
        <v>587.79999999999995</v>
      </c>
      <c r="O51" s="64">
        <v>0</v>
      </c>
      <c r="P51" s="64">
        <v>1.1000000000000001</v>
      </c>
      <c r="Q51" s="64">
        <v>19.510000000000002</v>
      </c>
      <c r="R51" s="198"/>
      <c r="S51" s="198"/>
      <c r="T51" s="198"/>
      <c r="U51" s="198"/>
    </row>
    <row r="52" spans="1:21" s="12" customFormat="1" x14ac:dyDescent="0.25">
      <c r="A52" s="214" t="s">
        <v>2884</v>
      </c>
      <c r="B52" s="64">
        <v>14.05</v>
      </c>
      <c r="C52" s="64">
        <v>20.54</v>
      </c>
      <c r="D52" s="64">
        <v>23.89</v>
      </c>
      <c r="E52" s="64">
        <v>7.92</v>
      </c>
      <c r="F52" s="64">
        <v>6.8</v>
      </c>
      <c r="G52" s="64">
        <v>126.85</v>
      </c>
      <c r="H52" s="64">
        <v>41.72</v>
      </c>
      <c r="I52" s="64">
        <v>1.53</v>
      </c>
      <c r="J52" s="64">
        <v>0.27</v>
      </c>
      <c r="K52" s="64">
        <v>42.79</v>
      </c>
      <c r="L52" s="64">
        <v>30.66</v>
      </c>
      <c r="M52" s="64">
        <v>65.64</v>
      </c>
      <c r="N52" s="64">
        <v>762.2</v>
      </c>
      <c r="O52" s="64">
        <v>0</v>
      </c>
      <c r="P52" s="64">
        <v>1.04</v>
      </c>
      <c r="Q52" s="64">
        <v>18.97</v>
      </c>
      <c r="R52" s="198"/>
      <c r="S52" s="198"/>
      <c r="T52" s="198"/>
      <c r="U52" s="198"/>
    </row>
    <row r="53" spans="1:21" s="12" customFormat="1" x14ac:dyDescent="0.25">
      <c r="A53" s="214" t="s">
        <v>2885</v>
      </c>
      <c r="B53" s="64">
        <v>13.69</v>
      </c>
      <c r="C53" s="64">
        <v>22.09</v>
      </c>
      <c r="D53" s="64">
        <v>24.46</v>
      </c>
      <c r="E53" s="64">
        <v>9.6199999999999992</v>
      </c>
      <c r="F53" s="64">
        <v>4.7</v>
      </c>
      <c r="G53" s="64">
        <v>126.85</v>
      </c>
      <c r="H53" s="64">
        <v>41.72</v>
      </c>
      <c r="I53" s="64">
        <v>1.62</v>
      </c>
      <c r="J53" s="64">
        <v>0.52</v>
      </c>
      <c r="K53" s="64">
        <v>338.24</v>
      </c>
      <c r="L53" s="64">
        <v>31.76</v>
      </c>
      <c r="M53" s="64">
        <v>61.43</v>
      </c>
      <c r="N53" s="64">
        <v>529.70000000000005</v>
      </c>
      <c r="O53" s="64">
        <v>0</v>
      </c>
      <c r="P53" s="64">
        <v>1.05</v>
      </c>
      <c r="Q53" s="64">
        <v>17.84</v>
      </c>
      <c r="R53" s="198"/>
      <c r="S53" s="198"/>
      <c r="T53" s="198"/>
      <c r="U53" s="198"/>
    </row>
    <row r="54" spans="1:21" s="12" customFormat="1" x14ac:dyDescent="0.25">
      <c r="A54" s="214" t="s">
        <v>2886</v>
      </c>
      <c r="B54" s="64">
        <v>11.06</v>
      </c>
      <c r="C54" s="64">
        <v>21.11</v>
      </c>
      <c r="D54" s="64">
        <v>21.81</v>
      </c>
      <c r="E54" s="64">
        <v>7.19</v>
      </c>
      <c r="F54" s="64">
        <v>9.48</v>
      </c>
      <c r="G54" s="64">
        <v>92.36</v>
      </c>
      <c r="H54" s="64">
        <v>37.520000000000003</v>
      </c>
      <c r="I54" s="64">
        <v>1.58</v>
      </c>
      <c r="J54" s="64">
        <v>0.51</v>
      </c>
      <c r="K54" s="64">
        <v>339.71</v>
      </c>
      <c r="L54" s="64">
        <v>31.34</v>
      </c>
      <c r="M54" s="64">
        <v>61.33</v>
      </c>
      <c r="N54" s="64">
        <v>307.8</v>
      </c>
      <c r="O54" s="64">
        <v>0</v>
      </c>
      <c r="P54" s="64">
        <v>1.02</v>
      </c>
      <c r="Q54" s="64">
        <v>17.579999999999998</v>
      </c>
      <c r="R54" s="198"/>
      <c r="S54" s="198"/>
      <c r="T54" s="198"/>
      <c r="U54" s="198"/>
    </row>
    <row r="55" spans="1:21" s="12" customFormat="1" x14ac:dyDescent="0.25">
      <c r="A55" s="214" t="s">
        <v>2887</v>
      </c>
      <c r="B55" s="64">
        <v>9.93</v>
      </c>
      <c r="C55" s="64">
        <v>21.83</v>
      </c>
      <c r="D55" s="64">
        <v>21.3</v>
      </c>
      <c r="E55" s="64">
        <v>10.36</v>
      </c>
      <c r="F55" s="64">
        <v>7.29</v>
      </c>
      <c r="G55" s="64">
        <v>86.01</v>
      </c>
      <c r="H55" s="64">
        <v>37.520000000000003</v>
      </c>
      <c r="I55" s="64">
        <v>1.47</v>
      </c>
      <c r="J55" s="64">
        <v>0.08</v>
      </c>
      <c r="K55" s="64">
        <v>60.17</v>
      </c>
      <c r="L55" s="64">
        <v>29.43</v>
      </c>
      <c r="M55" s="64">
        <v>71.41</v>
      </c>
      <c r="N55" s="64">
        <v>274</v>
      </c>
      <c r="O55" s="64">
        <v>0</v>
      </c>
      <c r="P55" s="64">
        <v>1.02</v>
      </c>
      <c r="Q55" s="64">
        <v>17.04</v>
      </c>
      <c r="R55" s="198"/>
      <c r="S55" s="198"/>
      <c r="T55" s="198"/>
      <c r="U55" s="198"/>
    </row>
    <row r="56" spans="1:21" s="12" customFormat="1" x14ac:dyDescent="0.25">
      <c r="A56" s="214" t="s">
        <v>2888</v>
      </c>
      <c r="B56" s="64">
        <v>8.43</v>
      </c>
      <c r="C56" s="64">
        <v>18.5</v>
      </c>
      <c r="D56" s="64">
        <v>18.260000000000002</v>
      </c>
      <c r="E56" s="64">
        <v>5.08</v>
      </c>
      <c r="F56" s="64">
        <v>2.2400000000000002</v>
      </c>
      <c r="G56" s="64">
        <v>86.01</v>
      </c>
      <c r="H56" s="64">
        <v>37.520000000000003</v>
      </c>
      <c r="I56" s="64">
        <v>1.61</v>
      </c>
      <c r="J56" s="64">
        <v>0.26</v>
      </c>
      <c r="K56" s="64">
        <v>4.55</v>
      </c>
      <c r="L56" s="64">
        <v>27.83</v>
      </c>
      <c r="M56" s="64">
        <v>81.25</v>
      </c>
      <c r="N56" s="64">
        <v>300.3</v>
      </c>
      <c r="O56" s="64">
        <v>0</v>
      </c>
      <c r="P56" s="64">
        <v>1.02</v>
      </c>
      <c r="Q56" s="64">
        <v>16.190000000000001</v>
      </c>
      <c r="R56" s="198"/>
      <c r="S56" s="198"/>
      <c r="T56" s="198"/>
      <c r="U56" s="198"/>
    </row>
    <row r="57" spans="1:21" s="12" customFormat="1" x14ac:dyDescent="0.25">
      <c r="A57" s="214" t="s">
        <v>2889</v>
      </c>
      <c r="B57" s="64">
        <v>9.48</v>
      </c>
      <c r="C57" s="64">
        <v>19.54</v>
      </c>
      <c r="D57" s="64">
        <v>19.68</v>
      </c>
      <c r="E57" s="64">
        <v>7.61</v>
      </c>
      <c r="F57" s="64">
        <v>1.84</v>
      </c>
      <c r="G57" s="64">
        <v>86.01</v>
      </c>
      <c r="H57" s="64">
        <v>37.520000000000003</v>
      </c>
      <c r="I57" s="64">
        <v>1.44</v>
      </c>
      <c r="J57" s="64">
        <v>0.26</v>
      </c>
      <c r="K57" s="64">
        <v>327.64999999999998</v>
      </c>
      <c r="L57" s="64">
        <v>29.19</v>
      </c>
      <c r="M57" s="64">
        <v>74.790000000000006</v>
      </c>
      <c r="N57" s="64">
        <v>192.8</v>
      </c>
      <c r="O57" s="64">
        <v>0</v>
      </c>
      <c r="P57" s="64">
        <v>1.04</v>
      </c>
      <c r="Q57" s="64">
        <v>16</v>
      </c>
      <c r="R57" s="198"/>
      <c r="S57" s="198"/>
      <c r="T57" s="198"/>
      <c r="U57" s="198"/>
    </row>
    <row r="58" spans="1:21" s="12" customFormat="1" x14ac:dyDescent="0.25">
      <c r="A58" s="214" t="s">
        <v>2890</v>
      </c>
      <c r="B58" s="64">
        <v>8.64</v>
      </c>
      <c r="C58" s="64">
        <v>26.17</v>
      </c>
      <c r="D58" s="64">
        <v>22.66</v>
      </c>
      <c r="E58" s="64">
        <v>9</v>
      </c>
      <c r="F58" s="64">
        <v>4.47</v>
      </c>
      <c r="G58" s="64">
        <v>110.15</v>
      </c>
      <c r="H58" s="64">
        <v>38.96</v>
      </c>
      <c r="I58" s="64">
        <v>1.5</v>
      </c>
      <c r="J58" s="64">
        <v>0.46</v>
      </c>
      <c r="K58" s="64">
        <v>324.2</v>
      </c>
      <c r="L58" s="64">
        <v>28.92</v>
      </c>
      <c r="M58" s="64">
        <v>76.8</v>
      </c>
      <c r="N58" s="64">
        <v>155</v>
      </c>
      <c r="O58" s="64">
        <v>0</v>
      </c>
      <c r="P58" s="64">
        <v>1.04</v>
      </c>
      <c r="Q58" s="64">
        <v>16.079999999999998</v>
      </c>
      <c r="R58" s="198"/>
      <c r="S58" s="198"/>
      <c r="T58" s="198"/>
      <c r="U58" s="198"/>
    </row>
    <row r="59" spans="1:21" s="12" customFormat="1" x14ac:dyDescent="0.25">
      <c r="A59" s="214" t="s">
        <v>2891</v>
      </c>
      <c r="B59" s="64">
        <v>9.24</v>
      </c>
      <c r="C59" s="64">
        <v>28.86</v>
      </c>
      <c r="D59" s="64">
        <v>24.63</v>
      </c>
      <c r="E59" s="64">
        <v>8.3000000000000007</v>
      </c>
      <c r="F59" s="64">
        <v>8.61</v>
      </c>
      <c r="G59" s="64">
        <v>114.23</v>
      </c>
      <c r="H59" s="64">
        <v>38.96</v>
      </c>
      <c r="I59" s="64">
        <v>1.52</v>
      </c>
      <c r="J59" s="64">
        <v>0.46</v>
      </c>
      <c r="K59" s="64">
        <v>325.26</v>
      </c>
      <c r="L59" s="64">
        <v>28.08</v>
      </c>
      <c r="M59" s="64">
        <v>75.34</v>
      </c>
      <c r="N59" s="64">
        <v>111.9</v>
      </c>
      <c r="O59" s="64">
        <v>0</v>
      </c>
      <c r="P59" s="64">
        <v>1.02</v>
      </c>
      <c r="Q59" s="64">
        <v>15.52</v>
      </c>
      <c r="R59" s="198"/>
      <c r="S59" s="198"/>
      <c r="T59" s="198"/>
      <c r="U59" s="198"/>
    </row>
    <row r="60" spans="1:21" s="12" customFormat="1" x14ac:dyDescent="0.25">
      <c r="A60" s="214" t="s">
        <v>2892</v>
      </c>
      <c r="B60" s="64">
        <v>7.91</v>
      </c>
      <c r="C60" s="64">
        <v>37.270000000000003</v>
      </c>
      <c r="D60" s="64">
        <v>28.2</v>
      </c>
      <c r="E60" s="64">
        <v>5.49</v>
      </c>
      <c r="F60" s="64">
        <v>17.559999999999999</v>
      </c>
      <c r="G60" s="64">
        <v>114.23</v>
      </c>
      <c r="H60" s="64">
        <v>38.96</v>
      </c>
      <c r="I60" s="64">
        <v>1.49</v>
      </c>
      <c r="J60" s="64">
        <v>0.03</v>
      </c>
      <c r="K60" s="64">
        <v>281.2</v>
      </c>
      <c r="L60" s="64">
        <v>27.41</v>
      </c>
      <c r="M60" s="64">
        <v>75.25</v>
      </c>
      <c r="N60" s="64">
        <v>280.3</v>
      </c>
      <c r="O60" s="64">
        <v>0</v>
      </c>
      <c r="P60" s="64">
        <v>0.86</v>
      </c>
      <c r="Q60" s="64">
        <v>15.16</v>
      </c>
      <c r="R60" s="198"/>
      <c r="S60" s="198"/>
      <c r="T60" s="198"/>
      <c r="U60" s="198"/>
    </row>
    <row r="61" spans="1:21" s="12" customFormat="1" x14ac:dyDescent="0.25">
      <c r="A61" s="214" t="s">
        <v>2893</v>
      </c>
      <c r="B61" s="64">
        <v>7.83</v>
      </c>
      <c r="C61" s="64">
        <v>27.79</v>
      </c>
      <c r="D61" s="64">
        <v>22.91</v>
      </c>
      <c r="E61" s="64">
        <v>6.87</v>
      </c>
      <c r="F61" s="64">
        <v>10.63</v>
      </c>
      <c r="G61" s="64">
        <v>114.23</v>
      </c>
      <c r="H61" s="64">
        <v>38.96</v>
      </c>
      <c r="I61" s="64">
        <v>1.48</v>
      </c>
      <c r="J61" s="64">
        <v>0.41</v>
      </c>
      <c r="K61" s="64">
        <v>322.52</v>
      </c>
      <c r="L61" s="64">
        <v>29.29</v>
      </c>
      <c r="M61" s="64">
        <v>70.12</v>
      </c>
      <c r="N61" s="64">
        <v>455.7</v>
      </c>
      <c r="O61" s="64">
        <v>0</v>
      </c>
      <c r="P61" s="64">
        <v>0.85</v>
      </c>
      <c r="Q61" s="64">
        <v>15.31</v>
      </c>
      <c r="R61" s="198"/>
      <c r="S61" s="198"/>
      <c r="T61" s="198"/>
      <c r="U61" s="198"/>
    </row>
    <row r="62" spans="1:21" s="12" customFormat="1" x14ac:dyDescent="0.25">
      <c r="A62" s="214" t="s">
        <v>2894</v>
      </c>
      <c r="B62" s="64">
        <v>9.15</v>
      </c>
      <c r="C62" s="64">
        <v>25.02</v>
      </c>
      <c r="D62" s="64">
        <v>22.44</v>
      </c>
      <c r="E62" s="64">
        <v>5.1100000000000003</v>
      </c>
      <c r="F62" s="64">
        <v>7.44</v>
      </c>
      <c r="G62" s="64">
        <v>103.22</v>
      </c>
      <c r="H62" s="64">
        <v>41.26</v>
      </c>
      <c r="I62" s="64">
        <v>1.45</v>
      </c>
      <c r="J62" s="64">
        <v>0.06</v>
      </c>
      <c r="K62" s="64">
        <v>355.16</v>
      </c>
      <c r="L62" s="64">
        <v>30.65</v>
      </c>
      <c r="M62" s="64">
        <v>63.85</v>
      </c>
      <c r="N62" s="64">
        <v>581.1</v>
      </c>
      <c r="O62" s="64">
        <v>0</v>
      </c>
      <c r="P62" s="64">
        <v>0.98</v>
      </c>
      <c r="Q62" s="64">
        <v>15.15</v>
      </c>
      <c r="R62" s="198"/>
      <c r="S62" s="198"/>
      <c r="T62" s="198"/>
      <c r="U62" s="198"/>
    </row>
    <row r="63" spans="1:21" s="12" customFormat="1" x14ac:dyDescent="0.25">
      <c r="A63" s="214" t="s">
        <v>2895</v>
      </c>
      <c r="B63" s="64">
        <v>6.98</v>
      </c>
      <c r="C63" s="64">
        <v>19.71</v>
      </c>
      <c r="D63" s="64">
        <v>17.77</v>
      </c>
      <c r="E63" s="64">
        <v>5.8</v>
      </c>
      <c r="F63" s="64">
        <v>6.05</v>
      </c>
      <c r="G63" s="64">
        <v>101.36</v>
      </c>
      <c r="H63" s="64">
        <v>41.26</v>
      </c>
      <c r="I63" s="64">
        <v>1.53</v>
      </c>
      <c r="J63" s="64">
        <v>0.16</v>
      </c>
      <c r="K63" s="64">
        <v>13.79</v>
      </c>
      <c r="L63" s="64">
        <v>30.14</v>
      </c>
      <c r="M63" s="64">
        <v>65.900000000000006</v>
      </c>
      <c r="N63" s="64">
        <v>399.5</v>
      </c>
      <c r="O63" s="64">
        <v>0</v>
      </c>
      <c r="P63" s="64">
        <v>0.9</v>
      </c>
      <c r="Q63" s="64">
        <v>15.63</v>
      </c>
      <c r="R63" s="198"/>
      <c r="S63" s="198"/>
      <c r="T63" s="198"/>
      <c r="U63" s="198"/>
    </row>
    <row r="64" spans="1:21" s="12" customFormat="1" x14ac:dyDescent="0.25">
      <c r="A64" s="214" t="s">
        <v>2896</v>
      </c>
      <c r="B64" s="64">
        <v>6.98</v>
      </c>
      <c r="C64" s="64">
        <v>23.75</v>
      </c>
      <c r="D64" s="64">
        <v>19.989999999999998</v>
      </c>
      <c r="E64" s="64">
        <v>8.5399999999999991</v>
      </c>
      <c r="F64" s="64">
        <v>16.18</v>
      </c>
      <c r="G64" s="64">
        <v>101.36</v>
      </c>
      <c r="H64" s="64">
        <v>41.26</v>
      </c>
      <c r="I64" s="64">
        <v>1.47</v>
      </c>
      <c r="J64" s="64">
        <v>0.11</v>
      </c>
      <c r="K64" s="64">
        <v>29.12</v>
      </c>
      <c r="L64" s="64">
        <v>30.65</v>
      </c>
      <c r="M64" s="64">
        <v>62.14</v>
      </c>
      <c r="N64" s="64">
        <v>424.1</v>
      </c>
      <c r="O64" s="64">
        <v>0</v>
      </c>
      <c r="P64" s="64">
        <v>0.81</v>
      </c>
      <c r="Q64" s="64">
        <v>15.08</v>
      </c>
      <c r="R64" s="198"/>
      <c r="S64" s="198"/>
      <c r="T64" s="198"/>
      <c r="U64" s="198"/>
    </row>
    <row r="65" spans="1:21" s="12" customFormat="1" x14ac:dyDescent="0.25">
      <c r="A65" s="214" t="s">
        <v>2897</v>
      </c>
      <c r="B65" s="64">
        <v>7.23</v>
      </c>
      <c r="C65" s="64">
        <v>25.05</v>
      </c>
      <c r="D65" s="64">
        <v>20.91</v>
      </c>
      <c r="E65" s="64">
        <v>9.75</v>
      </c>
      <c r="F65" s="64">
        <v>6.43</v>
      </c>
      <c r="G65" s="64">
        <v>101.36</v>
      </c>
      <c r="H65" s="64">
        <v>41.26</v>
      </c>
      <c r="I65" s="64">
        <v>1.52</v>
      </c>
      <c r="J65" s="64">
        <v>0.66</v>
      </c>
      <c r="K65" s="64">
        <v>344.92</v>
      </c>
      <c r="L65" s="64">
        <v>30.54</v>
      </c>
      <c r="M65" s="64">
        <v>62.95</v>
      </c>
      <c r="N65" s="64">
        <v>189.3</v>
      </c>
      <c r="O65" s="64">
        <v>0</v>
      </c>
      <c r="P65" s="64">
        <v>0.92</v>
      </c>
      <c r="Q65" s="64">
        <v>14.37</v>
      </c>
      <c r="R65" s="198"/>
      <c r="S65" s="198"/>
      <c r="T65" s="198"/>
      <c r="U65" s="198"/>
    </row>
    <row r="66" spans="1:21" s="12" customFormat="1" x14ac:dyDescent="0.25">
      <c r="A66" s="214" t="s">
        <v>2898</v>
      </c>
      <c r="B66" s="64">
        <v>5.8</v>
      </c>
      <c r="C66" s="64">
        <v>20.62</v>
      </c>
      <c r="D66" s="64">
        <v>17.32</v>
      </c>
      <c r="E66" s="64">
        <v>9.99</v>
      </c>
      <c r="F66" s="64">
        <v>13.16</v>
      </c>
      <c r="G66" s="64">
        <v>108.29</v>
      </c>
      <c r="H66" s="64">
        <v>40.909999999999997</v>
      </c>
      <c r="I66" s="64">
        <v>1.52</v>
      </c>
      <c r="J66" s="64">
        <v>0.38</v>
      </c>
      <c r="K66" s="64">
        <v>64.88</v>
      </c>
      <c r="L66" s="64">
        <v>29.68</v>
      </c>
      <c r="M66" s="64">
        <v>62.84</v>
      </c>
      <c r="N66" s="64">
        <v>246.5</v>
      </c>
      <c r="O66" s="64">
        <v>0</v>
      </c>
      <c r="P66" s="64">
        <v>0.86</v>
      </c>
      <c r="Q66" s="64">
        <v>15.02</v>
      </c>
      <c r="R66" s="198"/>
      <c r="S66" s="198"/>
      <c r="T66" s="198"/>
      <c r="U66" s="198"/>
    </row>
    <row r="67" spans="1:21" s="12" customFormat="1" x14ac:dyDescent="0.25">
      <c r="A67" s="214" t="s">
        <v>2899</v>
      </c>
      <c r="B67" s="64">
        <v>6.42</v>
      </c>
      <c r="C67" s="64">
        <v>26.96</v>
      </c>
      <c r="D67" s="64">
        <v>21.32</v>
      </c>
      <c r="E67" s="64">
        <v>13.53</v>
      </c>
      <c r="F67" s="64">
        <v>16.309999999999999</v>
      </c>
      <c r="G67" s="64">
        <v>109.46</v>
      </c>
      <c r="H67" s="64">
        <v>40.909999999999997</v>
      </c>
      <c r="I67" s="64">
        <v>1.46</v>
      </c>
      <c r="J67" s="64">
        <v>0.32</v>
      </c>
      <c r="K67" s="64">
        <v>12.61</v>
      </c>
      <c r="L67" s="64">
        <v>29.55</v>
      </c>
      <c r="M67" s="64">
        <v>61.65</v>
      </c>
      <c r="N67" s="64">
        <v>252.4</v>
      </c>
      <c r="O67" s="64">
        <v>0</v>
      </c>
      <c r="P67" s="64">
        <v>0.86</v>
      </c>
      <c r="Q67" s="64">
        <v>14.78</v>
      </c>
      <c r="R67" s="198"/>
      <c r="S67" s="198"/>
      <c r="T67" s="198"/>
      <c r="U67" s="198"/>
    </row>
    <row r="68" spans="1:21" s="12" customFormat="1" x14ac:dyDescent="0.25">
      <c r="A68" s="214" t="s">
        <v>2900</v>
      </c>
      <c r="B68" s="64">
        <v>4.4400000000000004</v>
      </c>
      <c r="C68" s="64">
        <v>17.690000000000001</v>
      </c>
      <c r="D68" s="64">
        <v>14.62</v>
      </c>
      <c r="E68" s="64">
        <v>12.36</v>
      </c>
      <c r="F68" s="64">
        <v>7.54</v>
      </c>
      <c r="G68" s="64">
        <v>109.46</v>
      </c>
      <c r="H68" s="64">
        <v>40.909999999999997</v>
      </c>
      <c r="I68" s="64">
        <v>1.52</v>
      </c>
      <c r="J68" s="64">
        <v>0.72</v>
      </c>
      <c r="K68" s="64">
        <v>101.05</v>
      </c>
      <c r="L68" s="64">
        <v>29.53</v>
      </c>
      <c r="M68" s="64">
        <v>61.06</v>
      </c>
      <c r="N68" s="64">
        <v>237.2</v>
      </c>
      <c r="O68" s="64">
        <v>0</v>
      </c>
      <c r="P68" s="64">
        <v>0.85</v>
      </c>
      <c r="Q68" s="64">
        <v>14.3</v>
      </c>
      <c r="R68" s="198"/>
      <c r="S68" s="198"/>
      <c r="T68" s="198"/>
      <c r="U68" s="198"/>
    </row>
    <row r="69" spans="1:21" s="12" customFormat="1" x14ac:dyDescent="0.25">
      <c r="A69" s="214" t="s">
        <v>2901</v>
      </c>
      <c r="B69" s="64">
        <v>5.08</v>
      </c>
      <c r="C69" s="64">
        <v>24.68</v>
      </c>
      <c r="D69" s="64">
        <v>18.989999999999998</v>
      </c>
      <c r="E69" s="64">
        <v>11.88</v>
      </c>
      <c r="F69" s="64">
        <v>21.4</v>
      </c>
      <c r="G69" s="64">
        <v>109.46</v>
      </c>
      <c r="H69" s="64">
        <v>40.909999999999997</v>
      </c>
      <c r="I69" s="64">
        <v>1.52</v>
      </c>
      <c r="J69" s="64">
        <v>0.41</v>
      </c>
      <c r="K69" s="64">
        <v>335.77</v>
      </c>
      <c r="L69" s="64">
        <v>29.64</v>
      </c>
      <c r="M69" s="64">
        <v>61.78</v>
      </c>
      <c r="N69" s="64">
        <v>231</v>
      </c>
      <c r="O69" s="64">
        <v>0</v>
      </c>
      <c r="P69" s="64">
        <v>0.83</v>
      </c>
      <c r="Q69" s="64">
        <v>15.53</v>
      </c>
      <c r="R69" s="198"/>
      <c r="S69" s="198"/>
      <c r="T69" s="198"/>
      <c r="U69" s="198"/>
    </row>
    <row r="70" spans="1:21" s="12" customFormat="1" x14ac:dyDescent="0.25">
      <c r="A70" s="214" t="s">
        <v>2902</v>
      </c>
      <c r="B70" s="64">
        <v>9.27</v>
      </c>
      <c r="C70" s="64">
        <v>41.6</v>
      </c>
      <c r="D70" s="64">
        <v>31.68</v>
      </c>
      <c r="E70" s="64">
        <v>13.5</v>
      </c>
      <c r="F70" s="64">
        <v>31.32</v>
      </c>
      <c r="G70" s="64">
        <v>93.16</v>
      </c>
      <c r="H70" s="64">
        <v>40.76</v>
      </c>
      <c r="I70" s="64">
        <v>1.45</v>
      </c>
      <c r="J70" s="64">
        <v>0.38</v>
      </c>
      <c r="K70" s="64">
        <v>356.21</v>
      </c>
      <c r="L70" s="64">
        <v>29.63</v>
      </c>
      <c r="M70" s="64">
        <v>61.81</v>
      </c>
      <c r="N70" s="64">
        <v>182.1</v>
      </c>
      <c r="O70" s="64">
        <v>0</v>
      </c>
      <c r="P70" s="64">
        <v>0.84</v>
      </c>
      <c r="Q70" s="64">
        <v>15.53</v>
      </c>
      <c r="R70" s="198"/>
      <c r="S70" s="198"/>
      <c r="T70" s="198"/>
      <c r="U70" s="198"/>
    </row>
    <row r="71" spans="1:21" s="12" customFormat="1" x14ac:dyDescent="0.25">
      <c r="A71" s="214" t="s">
        <v>2903</v>
      </c>
      <c r="B71" s="64">
        <v>6.22</v>
      </c>
      <c r="C71" s="64">
        <v>33.619999999999997</v>
      </c>
      <c r="D71" s="64">
        <v>24.83</v>
      </c>
      <c r="E71" s="64">
        <v>12.91</v>
      </c>
      <c r="F71" s="64">
        <v>27.57</v>
      </c>
      <c r="G71" s="64">
        <v>90.16</v>
      </c>
      <c r="H71" s="64">
        <v>40.76</v>
      </c>
      <c r="I71" s="64">
        <v>1.42</v>
      </c>
      <c r="J71" s="64">
        <v>0.76</v>
      </c>
      <c r="K71" s="64">
        <v>340.38</v>
      </c>
      <c r="L71" s="64">
        <v>29.9</v>
      </c>
      <c r="M71" s="64">
        <v>63.11</v>
      </c>
      <c r="N71" s="64">
        <v>170.4</v>
      </c>
      <c r="O71" s="64">
        <v>0</v>
      </c>
      <c r="P71" s="64">
        <v>0.99</v>
      </c>
      <c r="Q71" s="64">
        <v>15.24</v>
      </c>
      <c r="R71" s="198"/>
      <c r="S71" s="198"/>
      <c r="T71" s="198"/>
      <c r="U71" s="198"/>
    </row>
    <row r="72" spans="1:21" s="12" customFormat="1" x14ac:dyDescent="0.25">
      <c r="A72" s="214" t="s">
        <v>2904</v>
      </c>
      <c r="B72" s="64">
        <v>5.82</v>
      </c>
      <c r="C72" s="64">
        <v>32.01</v>
      </c>
      <c r="D72" s="64">
        <v>23.62</v>
      </c>
      <c r="E72" s="64">
        <v>4.46</v>
      </c>
      <c r="F72" s="64">
        <v>25.04</v>
      </c>
      <c r="G72" s="64">
        <v>90.16</v>
      </c>
      <c r="H72" s="64">
        <v>40.76</v>
      </c>
      <c r="I72" s="64">
        <v>1.5</v>
      </c>
      <c r="J72" s="64">
        <v>0.38</v>
      </c>
      <c r="K72" s="64">
        <v>331.17</v>
      </c>
      <c r="L72" s="64">
        <v>29.72</v>
      </c>
      <c r="M72" s="64">
        <v>63.36</v>
      </c>
      <c r="N72" s="64">
        <v>160.6</v>
      </c>
      <c r="O72" s="64">
        <v>0</v>
      </c>
      <c r="P72" s="64">
        <v>0.93</v>
      </c>
      <c r="Q72" s="64">
        <v>16.059999999999999</v>
      </c>
      <c r="R72" s="198"/>
      <c r="S72" s="198"/>
      <c r="T72" s="198"/>
      <c r="U72" s="198"/>
    </row>
    <row r="73" spans="1:21" s="12" customFormat="1" x14ac:dyDescent="0.25">
      <c r="A73" s="214" t="s">
        <v>2905</v>
      </c>
      <c r="B73" s="64">
        <v>7.79</v>
      </c>
      <c r="C73" s="64">
        <v>36.729999999999997</v>
      </c>
      <c r="D73" s="64">
        <v>27.81</v>
      </c>
      <c r="E73" s="64">
        <v>7.74</v>
      </c>
      <c r="F73" s="64">
        <v>33.67</v>
      </c>
      <c r="G73" s="64">
        <v>90.16</v>
      </c>
      <c r="H73" s="64">
        <v>40.76</v>
      </c>
      <c r="I73" s="64">
        <v>1.6</v>
      </c>
      <c r="J73" s="64">
        <v>0.5</v>
      </c>
      <c r="K73" s="64">
        <v>341.19</v>
      </c>
      <c r="L73" s="64">
        <v>29.08</v>
      </c>
      <c r="M73" s="64">
        <v>66.92</v>
      </c>
      <c r="N73" s="64">
        <v>134.80000000000001</v>
      </c>
      <c r="O73" s="64">
        <v>0</v>
      </c>
      <c r="P73" s="64">
        <v>0.89</v>
      </c>
      <c r="Q73" s="64">
        <v>16.03</v>
      </c>
      <c r="R73" s="198"/>
      <c r="S73" s="198"/>
      <c r="T73" s="198"/>
      <c r="U73" s="198"/>
    </row>
    <row r="74" spans="1:21" s="12" customFormat="1" x14ac:dyDescent="0.25">
      <c r="A74" s="214" t="s">
        <v>2906</v>
      </c>
      <c r="B74" s="64">
        <v>6.07</v>
      </c>
      <c r="C74" s="64">
        <v>24.81</v>
      </c>
      <c r="D74" s="64">
        <v>19.850000000000001</v>
      </c>
      <c r="E74" s="64">
        <v>7.74</v>
      </c>
      <c r="F74" s="64">
        <v>9.23</v>
      </c>
      <c r="G74" s="64">
        <v>103.68</v>
      </c>
      <c r="H74" s="64">
        <v>42.29</v>
      </c>
      <c r="I74" s="64">
        <v>1.54</v>
      </c>
      <c r="J74" s="64">
        <v>0.3</v>
      </c>
      <c r="K74" s="64">
        <v>28.11</v>
      </c>
      <c r="L74" s="64">
        <v>28.88</v>
      </c>
      <c r="M74" s="64">
        <v>69.180000000000007</v>
      </c>
      <c r="N74" s="64">
        <v>108.6</v>
      </c>
      <c r="O74" s="64">
        <v>0</v>
      </c>
      <c r="P74" s="64">
        <v>0.9</v>
      </c>
      <c r="Q74" s="64">
        <v>15.44</v>
      </c>
      <c r="R74" s="198"/>
      <c r="S74" s="198"/>
      <c r="T74" s="198"/>
      <c r="U74" s="198"/>
    </row>
    <row r="75" spans="1:21" s="12" customFormat="1" x14ac:dyDescent="0.25">
      <c r="A75" s="214" t="s">
        <v>2907</v>
      </c>
      <c r="B75" s="64">
        <v>5.15</v>
      </c>
      <c r="C75" s="64">
        <v>21.84</v>
      </c>
      <c r="D75" s="64">
        <v>17.48</v>
      </c>
      <c r="E75" s="64">
        <v>6.63</v>
      </c>
      <c r="F75" s="64">
        <v>12.79</v>
      </c>
      <c r="G75" s="64">
        <v>105.96</v>
      </c>
      <c r="H75" s="64">
        <v>42.29</v>
      </c>
      <c r="I75" s="64">
        <v>1.55</v>
      </c>
      <c r="J75" s="64">
        <v>0.8</v>
      </c>
      <c r="K75" s="64">
        <v>103.25</v>
      </c>
      <c r="L75" s="64">
        <v>28.01</v>
      </c>
      <c r="M75" s="64">
        <v>73.489999999999995</v>
      </c>
      <c r="N75" s="64">
        <v>79.8</v>
      </c>
      <c r="O75" s="64">
        <v>0</v>
      </c>
      <c r="P75" s="64">
        <v>0.82</v>
      </c>
      <c r="Q75" s="64">
        <v>16.47</v>
      </c>
      <c r="R75" s="198"/>
      <c r="S75" s="198"/>
      <c r="T75" s="198"/>
      <c r="U75" s="198"/>
    </row>
    <row r="76" spans="1:21" s="12" customFormat="1" x14ac:dyDescent="0.25">
      <c r="A76" s="214" t="s">
        <v>2908</v>
      </c>
      <c r="B76" s="64">
        <v>5.2</v>
      </c>
      <c r="C76" s="64">
        <v>23.07</v>
      </c>
      <c r="D76" s="64">
        <v>18.190000000000001</v>
      </c>
      <c r="E76" s="64">
        <v>11.4</v>
      </c>
      <c r="F76" s="64">
        <v>17.899999999999999</v>
      </c>
      <c r="G76" s="64">
        <v>105.96</v>
      </c>
      <c r="H76" s="64">
        <v>42.29</v>
      </c>
      <c r="I76" s="64">
        <v>1.51</v>
      </c>
      <c r="J76" s="64">
        <v>0.43</v>
      </c>
      <c r="K76" s="64">
        <v>100.83</v>
      </c>
      <c r="L76" s="64">
        <v>27.71</v>
      </c>
      <c r="M76" s="64">
        <v>73.599999999999994</v>
      </c>
      <c r="N76" s="64">
        <v>57.5</v>
      </c>
      <c r="O76" s="64">
        <v>0</v>
      </c>
      <c r="P76" s="64">
        <v>0.82</v>
      </c>
      <c r="Q76" s="64">
        <v>16.739999999999998</v>
      </c>
      <c r="R76" s="198"/>
      <c r="S76" s="198"/>
      <c r="T76" s="198"/>
      <c r="U76" s="198"/>
    </row>
    <row r="77" spans="1:21" s="12" customFormat="1" x14ac:dyDescent="0.25">
      <c r="A77" s="214" t="s">
        <v>2909</v>
      </c>
      <c r="B77" s="64">
        <v>5.65</v>
      </c>
      <c r="C77" s="64">
        <v>29.09</v>
      </c>
      <c r="D77" s="64">
        <v>21.88</v>
      </c>
      <c r="E77" s="64">
        <v>13.39</v>
      </c>
      <c r="F77" s="64">
        <v>23.13</v>
      </c>
      <c r="G77" s="64">
        <v>105.96</v>
      </c>
      <c r="H77" s="64">
        <v>42.29</v>
      </c>
      <c r="I77" s="64">
        <v>1.51</v>
      </c>
      <c r="J77" s="64">
        <v>0.6</v>
      </c>
      <c r="K77" s="64">
        <v>107.45</v>
      </c>
      <c r="L77" s="64">
        <v>27.49</v>
      </c>
      <c r="M77" s="64">
        <v>74.459999999999994</v>
      </c>
      <c r="N77" s="64">
        <v>44.1</v>
      </c>
      <c r="O77" s="64">
        <v>0</v>
      </c>
      <c r="P77" s="64">
        <v>0.76</v>
      </c>
      <c r="Q77" s="64">
        <v>15.14</v>
      </c>
      <c r="R77" s="198"/>
      <c r="S77" s="198"/>
      <c r="T77" s="198"/>
      <c r="U77" s="198"/>
    </row>
    <row r="78" spans="1:21" s="12" customFormat="1" x14ac:dyDescent="0.25">
      <c r="A78" s="214" t="s">
        <v>2910</v>
      </c>
      <c r="B78" s="64">
        <v>3.37</v>
      </c>
      <c r="C78" s="64">
        <v>18.57</v>
      </c>
      <c r="D78" s="64">
        <v>14.25</v>
      </c>
      <c r="E78" s="64">
        <v>9.58</v>
      </c>
      <c r="F78" s="64">
        <v>11.94</v>
      </c>
      <c r="G78" s="64">
        <v>101.26</v>
      </c>
      <c r="H78" s="64">
        <v>37.61</v>
      </c>
      <c r="I78" s="64">
        <v>1.51</v>
      </c>
      <c r="J78" s="64">
        <v>0.28999999999999998</v>
      </c>
      <c r="K78" s="64">
        <v>103.8</v>
      </c>
      <c r="L78" s="64">
        <v>27.23</v>
      </c>
      <c r="M78" s="64">
        <v>76.11</v>
      </c>
      <c r="N78" s="64">
        <v>28.2</v>
      </c>
      <c r="O78" s="64">
        <v>0</v>
      </c>
      <c r="P78" s="64">
        <v>0.78</v>
      </c>
      <c r="Q78" s="64">
        <v>15.74</v>
      </c>
      <c r="R78" s="198"/>
      <c r="S78" s="198"/>
      <c r="T78" s="198"/>
      <c r="U78" s="198"/>
    </row>
    <row r="79" spans="1:21" s="12" customFormat="1" x14ac:dyDescent="0.25">
      <c r="A79" s="214" t="s">
        <v>2911</v>
      </c>
      <c r="B79" s="64">
        <v>4.24</v>
      </c>
      <c r="C79" s="64">
        <v>28.26</v>
      </c>
      <c r="D79" s="64">
        <v>20.29</v>
      </c>
      <c r="E79" s="64">
        <v>8.1</v>
      </c>
      <c r="F79" s="64">
        <v>18.940000000000001</v>
      </c>
      <c r="G79" s="64">
        <v>100.4</v>
      </c>
      <c r="H79" s="64">
        <v>37.61</v>
      </c>
      <c r="I79" s="64">
        <v>1.5</v>
      </c>
      <c r="J79" s="64">
        <v>0.14000000000000001</v>
      </c>
      <c r="K79" s="64">
        <v>37.119999999999997</v>
      </c>
      <c r="L79" s="64">
        <v>27.08</v>
      </c>
      <c r="M79" s="64">
        <v>77.23</v>
      </c>
      <c r="N79" s="64">
        <v>13.2</v>
      </c>
      <c r="O79" s="64">
        <v>0</v>
      </c>
      <c r="P79" s="64">
        <v>0.87</v>
      </c>
      <c r="Q79" s="64">
        <v>16.21</v>
      </c>
      <c r="R79" s="198"/>
      <c r="S79" s="198"/>
      <c r="T79" s="198"/>
      <c r="U79" s="198"/>
    </row>
    <row r="80" spans="1:21" s="12" customFormat="1" x14ac:dyDescent="0.25">
      <c r="A80" s="214" t="s">
        <v>2912</v>
      </c>
      <c r="B80" s="64">
        <v>6.02</v>
      </c>
      <c r="C80" s="64">
        <v>36.53</v>
      </c>
      <c r="D80" s="64">
        <v>26.28</v>
      </c>
      <c r="E80" s="64">
        <v>9.41</v>
      </c>
      <c r="F80" s="64">
        <v>21.2</v>
      </c>
      <c r="G80" s="64">
        <v>100.4</v>
      </c>
      <c r="H80" s="64">
        <v>37.61</v>
      </c>
      <c r="I80" s="64">
        <v>1.52</v>
      </c>
      <c r="J80" s="64">
        <v>0.14000000000000001</v>
      </c>
      <c r="K80" s="64">
        <v>81.67</v>
      </c>
      <c r="L80" s="64">
        <v>26.88</v>
      </c>
      <c r="M80" s="64">
        <v>79.849999999999994</v>
      </c>
      <c r="N80" s="64">
        <v>10</v>
      </c>
      <c r="O80" s="64">
        <v>0</v>
      </c>
      <c r="P80" s="64">
        <v>0.9</v>
      </c>
      <c r="Q80" s="64">
        <v>15.49</v>
      </c>
      <c r="R80" s="198"/>
      <c r="S80" s="198"/>
      <c r="T80" s="198"/>
      <c r="U80" s="198"/>
    </row>
    <row r="81" spans="1:26" s="12" customFormat="1" x14ac:dyDescent="0.25">
      <c r="A81" s="214" t="s">
        <v>2913</v>
      </c>
      <c r="B81" s="64">
        <v>13.84</v>
      </c>
      <c r="C81" s="64">
        <v>55.55</v>
      </c>
      <c r="D81" s="64">
        <v>43.05</v>
      </c>
      <c r="E81" s="64">
        <v>5.9</v>
      </c>
      <c r="F81" s="64">
        <v>14.12</v>
      </c>
      <c r="G81" s="64">
        <v>100.4</v>
      </c>
      <c r="H81" s="64">
        <v>37.61</v>
      </c>
      <c r="I81" s="64">
        <v>1.5</v>
      </c>
      <c r="J81" s="64">
        <v>0.02</v>
      </c>
      <c r="K81" s="64">
        <v>43.93</v>
      </c>
      <c r="L81" s="64">
        <v>26.62</v>
      </c>
      <c r="M81" s="64">
        <v>80.319999999999993</v>
      </c>
      <c r="N81" s="64">
        <v>9.4</v>
      </c>
      <c r="O81" s="64">
        <v>0</v>
      </c>
      <c r="P81" s="64">
        <v>1.19</v>
      </c>
      <c r="Q81" s="64">
        <v>13.39</v>
      </c>
      <c r="R81" s="198"/>
      <c r="S81" s="198"/>
      <c r="T81" s="198"/>
      <c r="U81" s="198"/>
    </row>
    <row r="82" spans="1:26" s="12" customFormat="1" x14ac:dyDescent="0.25">
      <c r="A82" s="214" t="s">
        <v>2914</v>
      </c>
      <c r="B82" s="64">
        <v>10.82</v>
      </c>
      <c r="C82" s="64">
        <v>51.3</v>
      </c>
      <c r="D82" s="64">
        <v>38.270000000000003</v>
      </c>
      <c r="E82" s="64">
        <v>5.29</v>
      </c>
      <c r="F82" s="64">
        <v>15.09</v>
      </c>
      <c r="G82" s="64">
        <v>78.34</v>
      </c>
      <c r="H82" s="64">
        <v>34.33</v>
      </c>
      <c r="I82" s="64">
        <v>1.46</v>
      </c>
      <c r="J82" s="64">
        <v>0.1</v>
      </c>
      <c r="K82" s="64">
        <v>63.82</v>
      </c>
      <c r="L82" s="64">
        <v>26.56</v>
      </c>
      <c r="M82" s="64">
        <v>80.39</v>
      </c>
      <c r="N82" s="64">
        <v>9.1999999999999993</v>
      </c>
      <c r="O82" s="64">
        <v>0</v>
      </c>
      <c r="P82" s="64">
        <v>1.42</v>
      </c>
      <c r="Q82" s="64">
        <v>13.61</v>
      </c>
      <c r="R82" s="198"/>
      <c r="S82" s="198"/>
      <c r="T82" s="198"/>
      <c r="U82" s="198"/>
    </row>
    <row r="83" spans="1:26" s="12" customFormat="1" x14ac:dyDescent="0.25">
      <c r="A83" s="214" t="s">
        <v>2915</v>
      </c>
      <c r="B83" s="64">
        <v>4.6100000000000003</v>
      </c>
      <c r="C83" s="64">
        <v>39.590000000000003</v>
      </c>
      <c r="D83" s="64">
        <v>26.84</v>
      </c>
      <c r="E83" s="64">
        <v>4.3899999999999997</v>
      </c>
      <c r="F83" s="64">
        <v>16.2</v>
      </c>
      <c r="G83" s="64">
        <v>74.61</v>
      </c>
      <c r="H83" s="64">
        <v>34.33</v>
      </c>
      <c r="I83" s="64">
        <v>1.62</v>
      </c>
      <c r="J83" s="64">
        <v>0.25</v>
      </c>
      <c r="K83" s="64">
        <v>98.33</v>
      </c>
      <c r="L83" s="64">
        <v>26.38</v>
      </c>
      <c r="M83" s="64">
        <v>83.05</v>
      </c>
      <c r="N83" s="64">
        <v>9.4</v>
      </c>
      <c r="O83" s="64">
        <v>0</v>
      </c>
      <c r="P83" s="64">
        <v>0.97</v>
      </c>
      <c r="Q83" s="64">
        <v>15.45</v>
      </c>
      <c r="R83" s="198"/>
      <c r="S83" s="198"/>
      <c r="T83" s="198"/>
      <c r="U83" s="198"/>
    </row>
    <row r="84" spans="1:26" s="12" customFormat="1" x14ac:dyDescent="0.25">
      <c r="A84" s="214" t="s">
        <v>2916</v>
      </c>
      <c r="B84" s="64">
        <v>2.89</v>
      </c>
      <c r="C84" s="64">
        <v>35.549999999999997</v>
      </c>
      <c r="D84" s="64">
        <v>23.23</v>
      </c>
      <c r="E84" s="64">
        <v>3.76</v>
      </c>
      <c r="F84" s="64">
        <v>19.52</v>
      </c>
      <c r="G84" s="64">
        <v>74.61</v>
      </c>
      <c r="H84" s="64">
        <v>34.33</v>
      </c>
      <c r="I84" s="64">
        <v>1.54</v>
      </c>
      <c r="J84" s="64">
        <v>0.28000000000000003</v>
      </c>
      <c r="K84" s="64">
        <v>99.59</v>
      </c>
      <c r="L84" s="64">
        <v>26.28</v>
      </c>
      <c r="M84" s="64">
        <v>84.56</v>
      </c>
      <c r="N84" s="64">
        <v>9.1999999999999993</v>
      </c>
      <c r="O84" s="64">
        <v>0</v>
      </c>
      <c r="P84" s="64">
        <v>0.71</v>
      </c>
      <c r="Q84" s="64">
        <v>16.63</v>
      </c>
      <c r="R84" s="198"/>
      <c r="S84" s="198"/>
      <c r="T84" s="198"/>
      <c r="U84" s="198"/>
    </row>
    <row r="85" spans="1:26" s="12" customFormat="1" x14ac:dyDescent="0.25">
      <c r="A85" s="214" t="s">
        <v>2917</v>
      </c>
      <c r="B85" s="64">
        <v>7.17</v>
      </c>
      <c r="C85" s="64">
        <v>41.44</v>
      </c>
      <c r="D85" s="64">
        <v>29.92</v>
      </c>
      <c r="E85" s="64">
        <v>3.28</v>
      </c>
      <c r="F85" s="64">
        <v>13.27</v>
      </c>
      <c r="G85" s="64">
        <v>74.61</v>
      </c>
      <c r="H85" s="64">
        <v>34.33</v>
      </c>
      <c r="I85" s="64">
        <v>1.5</v>
      </c>
      <c r="J85" s="64">
        <v>7.0000000000000007E-2</v>
      </c>
      <c r="K85" s="64">
        <v>72.22</v>
      </c>
      <c r="L85" s="64">
        <v>26.11</v>
      </c>
      <c r="M85" s="64">
        <v>87.21</v>
      </c>
      <c r="N85" s="64">
        <v>9.3000000000000007</v>
      </c>
      <c r="O85" s="64">
        <v>0</v>
      </c>
      <c r="P85" s="64">
        <v>1.34</v>
      </c>
      <c r="Q85" s="64">
        <v>16.489999999999998</v>
      </c>
      <c r="R85" s="198"/>
      <c r="S85" s="198"/>
      <c r="T85" s="198"/>
      <c r="U85" s="198"/>
    </row>
    <row r="86" spans="1:26" s="12" customFormat="1" x14ac:dyDescent="0.25">
      <c r="A86" s="214" t="s">
        <v>2918</v>
      </c>
      <c r="B86" s="64">
        <v>16.97</v>
      </c>
      <c r="C86" s="64">
        <v>39.44</v>
      </c>
      <c r="D86" s="64">
        <v>36.67</v>
      </c>
      <c r="E86" s="64">
        <v>3.64</v>
      </c>
      <c r="F86" s="64">
        <v>6.19</v>
      </c>
      <c r="G86" s="64">
        <v>64</v>
      </c>
      <c r="H86" s="64">
        <v>34.700000000000003</v>
      </c>
      <c r="I86" s="64">
        <v>1.44</v>
      </c>
      <c r="J86" s="64">
        <v>0.04</v>
      </c>
      <c r="K86" s="64">
        <v>41.47</v>
      </c>
      <c r="L86" s="64">
        <v>25.99</v>
      </c>
      <c r="M86" s="64">
        <v>88.68</v>
      </c>
      <c r="N86" s="64">
        <v>9.3000000000000007</v>
      </c>
      <c r="O86" s="64">
        <v>0</v>
      </c>
      <c r="P86" s="64">
        <v>1.43</v>
      </c>
      <c r="Q86" s="64">
        <v>14.71</v>
      </c>
      <c r="R86" s="198"/>
      <c r="S86" s="198"/>
      <c r="T86" s="198"/>
      <c r="U86" s="198"/>
    </row>
    <row r="87" spans="1:26" s="12" customFormat="1" x14ac:dyDescent="0.25">
      <c r="A87" s="214" t="s">
        <v>2919</v>
      </c>
      <c r="B87" s="64">
        <v>18.87</v>
      </c>
      <c r="C87" s="64">
        <v>52.81</v>
      </c>
      <c r="D87" s="64">
        <v>45.57</v>
      </c>
      <c r="E87" s="64">
        <v>3.48</v>
      </c>
      <c r="F87" s="64">
        <v>8.08</v>
      </c>
      <c r="G87" s="64">
        <v>62.2</v>
      </c>
      <c r="H87" s="64">
        <v>34.700000000000003</v>
      </c>
      <c r="I87" s="64">
        <v>1.52</v>
      </c>
      <c r="J87" s="64">
        <v>0.12</v>
      </c>
      <c r="K87" s="64">
        <v>44.04</v>
      </c>
      <c r="L87" s="64">
        <v>26</v>
      </c>
      <c r="M87" s="64">
        <v>88.96</v>
      </c>
      <c r="N87" s="64">
        <v>9.1999999999999993</v>
      </c>
      <c r="O87" s="64">
        <v>0</v>
      </c>
      <c r="P87" s="64">
        <v>1.67</v>
      </c>
      <c r="Q87" s="64">
        <v>13.86</v>
      </c>
      <c r="R87" s="198"/>
      <c r="S87" s="198"/>
      <c r="T87" s="198"/>
      <c r="U87" s="198"/>
    </row>
    <row r="88" spans="1:26" s="12" customFormat="1" x14ac:dyDescent="0.25">
      <c r="A88" s="214" t="s">
        <v>2920</v>
      </c>
      <c r="B88" s="64">
        <v>5.6</v>
      </c>
      <c r="C88" s="64">
        <v>41.3</v>
      </c>
      <c r="D88" s="64">
        <v>28.58</v>
      </c>
      <c r="E88" s="64">
        <v>0.57999999999999996</v>
      </c>
      <c r="F88" s="64">
        <v>12.28</v>
      </c>
      <c r="G88" s="64">
        <v>62.2</v>
      </c>
      <c r="H88" s="64">
        <v>34.700000000000003</v>
      </c>
      <c r="I88" s="64">
        <v>1.43</v>
      </c>
      <c r="J88" s="64">
        <v>0.18</v>
      </c>
      <c r="K88" s="64">
        <v>89.56</v>
      </c>
      <c r="L88" s="64">
        <v>25.95</v>
      </c>
      <c r="M88" s="64">
        <v>89.43</v>
      </c>
      <c r="N88" s="64">
        <v>9.1999999999999993</v>
      </c>
      <c r="O88" s="64">
        <v>0</v>
      </c>
      <c r="P88" s="64">
        <v>1.19</v>
      </c>
      <c r="Q88" s="64">
        <v>14.87</v>
      </c>
      <c r="R88" s="198"/>
      <c r="S88" s="198"/>
      <c r="T88" s="198"/>
      <c r="U88" s="198"/>
    </row>
    <row r="89" spans="1:26" s="12" customFormat="1" x14ac:dyDescent="0.25">
      <c r="A89" s="214" t="s">
        <v>2921</v>
      </c>
      <c r="B89" s="64">
        <v>4.75</v>
      </c>
      <c r="C89" s="64">
        <v>31.64</v>
      </c>
      <c r="D89" s="64">
        <v>22.56</v>
      </c>
      <c r="E89" s="64">
        <v>1.9</v>
      </c>
      <c r="F89" s="64">
        <v>11.5</v>
      </c>
      <c r="G89" s="64">
        <v>62.2</v>
      </c>
      <c r="H89" s="64">
        <v>34.700000000000003</v>
      </c>
      <c r="I89" s="64">
        <v>1.46</v>
      </c>
      <c r="J89" s="64">
        <v>0.1</v>
      </c>
      <c r="K89" s="64">
        <v>107.39</v>
      </c>
      <c r="L89" s="64">
        <v>25.82</v>
      </c>
      <c r="M89" s="64">
        <v>90.78</v>
      </c>
      <c r="N89" s="64">
        <v>9.1</v>
      </c>
      <c r="O89" s="64">
        <v>0</v>
      </c>
      <c r="P89" s="64">
        <v>0.96</v>
      </c>
      <c r="Q89" s="64">
        <v>15.14</v>
      </c>
      <c r="R89" s="198"/>
      <c r="S89" s="198"/>
      <c r="T89" s="198"/>
      <c r="U89" s="198"/>
    </row>
    <row r="90" spans="1:26" s="12" customFormat="1" x14ac:dyDescent="0.25">
      <c r="A90" s="214" t="s">
        <v>2922</v>
      </c>
      <c r="B90" s="64">
        <v>8.91</v>
      </c>
      <c r="C90" s="64">
        <v>48.7</v>
      </c>
      <c r="D90" s="64">
        <v>35.31</v>
      </c>
      <c r="E90" s="64">
        <v>2.0499999999999998</v>
      </c>
      <c r="F90" s="64">
        <v>9.9600000000000009</v>
      </c>
      <c r="G90" s="64">
        <v>86.14</v>
      </c>
      <c r="H90" s="64">
        <v>30.31</v>
      </c>
      <c r="I90" s="64">
        <v>1.47</v>
      </c>
      <c r="J90" s="64">
        <v>0.17</v>
      </c>
      <c r="K90" s="64">
        <v>102.34</v>
      </c>
      <c r="L90" s="64">
        <v>25.78</v>
      </c>
      <c r="M90" s="64">
        <v>91.72</v>
      </c>
      <c r="N90" s="64">
        <v>9.1</v>
      </c>
      <c r="O90" s="64">
        <v>0</v>
      </c>
      <c r="P90" s="64">
        <v>1.39</v>
      </c>
      <c r="Q90" s="64">
        <v>15.15</v>
      </c>
      <c r="R90" s="198"/>
      <c r="S90" s="198"/>
      <c r="T90" s="198"/>
      <c r="U90" s="198"/>
    </row>
    <row r="91" spans="1:26" s="12" customFormat="1" x14ac:dyDescent="0.25">
      <c r="A91" s="214" t="s">
        <v>2923</v>
      </c>
      <c r="B91" s="64">
        <v>4.8600000000000003</v>
      </c>
      <c r="C91" s="64">
        <v>39.299999999999997</v>
      </c>
      <c r="D91" s="64">
        <v>26.88</v>
      </c>
      <c r="E91" s="64">
        <v>1.77</v>
      </c>
      <c r="F91" s="64">
        <v>8.59</v>
      </c>
      <c r="G91" s="64">
        <v>90.19</v>
      </c>
      <c r="H91" s="64">
        <v>30.31</v>
      </c>
      <c r="I91" s="64">
        <v>1.48</v>
      </c>
      <c r="J91" s="64">
        <v>0.33</v>
      </c>
      <c r="K91" s="64">
        <v>116.57</v>
      </c>
      <c r="L91" s="64">
        <v>25.79</v>
      </c>
      <c r="M91" s="64">
        <v>90.89</v>
      </c>
      <c r="N91" s="64">
        <v>8.9</v>
      </c>
      <c r="O91" s="64">
        <v>0</v>
      </c>
      <c r="P91" s="64">
        <v>0.93</v>
      </c>
      <c r="Q91" s="64">
        <v>14.7</v>
      </c>
      <c r="R91" s="198"/>
      <c r="S91" s="198"/>
      <c r="T91" s="198"/>
      <c r="U91" s="198"/>
    </row>
    <row r="92" spans="1:26" s="12" customFormat="1" x14ac:dyDescent="0.25">
      <c r="A92" s="214" t="s">
        <v>2924</v>
      </c>
      <c r="B92" s="64">
        <v>4.95</v>
      </c>
      <c r="C92" s="64">
        <v>33.520000000000003</v>
      </c>
      <c r="D92" s="64">
        <v>23.76</v>
      </c>
      <c r="E92" s="64">
        <v>2</v>
      </c>
      <c r="F92" s="64">
        <v>11.4</v>
      </c>
      <c r="G92" s="64">
        <v>90.19</v>
      </c>
      <c r="H92" s="64">
        <v>30.31</v>
      </c>
      <c r="I92" s="64">
        <v>1.59</v>
      </c>
      <c r="J92" s="64">
        <v>0.41</v>
      </c>
      <c r="K92" s="64">
        <v>102.39</v>
      </c>
      <c r="L92" s="64">
        <v>25.96</v>
      </c>
      <c r="M92" s="64">
        <v>88.42</v>
      </c>
      <c r="N92" s="64">
        <v>8.8000000000000007</v>
      </c>
      <c r="O92" s="64">
        <v>0</v>
      </c>
      <c r="P92" s="64">
        <v>0.81</v>
      </c>
      <c r="Q92" s="64">
        <v>15.19</v>
      </c>
      <c r="R92" s="198"/>
      <c r="S92" s="198"/>
      <c r="T92" s="198"/>
      <c r="U92" s="198"/>
    </row>
    <row r="93" spans="1:26" s="12" customFormat="1" x14ac:dyDescent="0.25">
      <c r="A93" s="214" t="s">
        <v>2925</v>
      </c>
      <c r="B93" s="64">
        <v>11.1</v>
      </c>
      <c r="C93" s="64">
        <v>59.28</v>
      </c>
      <c r="D93" s="64">
        <v>42.91</v>
      </c>
      <c r="E93" s="64">
        <v>1.96</v>
      </c>
      <c r="F93" s="64">
        <v>10.09</v>
      </c>
      <c r="G93" s="64">
        <v>90.19</v>
      </c>
      <c r="H93" s="64">
        <v>30.31</v>
      </c>
      <c r="I93" s="64">
        <v>1.51</v>
      </c>
      <c r="J93" s="64">
        <v>0.17</v>
      </c>
      <c r="K93" s="64">
        <v>197.27</v>
      </c>
      <c r="L93" s="64">
        <v>25.73</v>
      </c>
      <c r="M93" s="64">
        <v>90.73</v>
      </c>
      <c r="N93" s="64">
        <v>9.3000000000000007</v>
      </c>
      <c r="O93" s="64">
        <v>0</v>
      </c>
      <c r="P93" s="64">
        <v>0.83</v>
      </c>
      <c r="Q93" s="64">
        <v>14.82</v>
      </c>
      <c r="R93" s="198"/>
      <c r="S93" s="198"/>
      <c r="T93" s="198"/>
      <c r="U93" s="198"/>
    </row>
    <row r="94" spans="1:26" s="12" customFormat="1" x14ac:dyDescent="0.25">
      <c r="A94" s="214" t="s">
        <v>2926</v>
      </c>
      <c r="B94" s="64">
        <v>12.98</v>
      </c>
      <c r="C94" s="64">
        <v>63.15</v>
      </c>
      <c r="D94" s="64">
        <v>46.55</v>
      </c>
      <c r="E94" s="64">
        <v>1.65</v>
      </c>
      <c r="F94" s="64">
        <v>6.78</v>
      </c>
      <c r="G94" s="64">
        <v>77.11</v>
      </c>
      <c r="H94" s="64">
        <v>30.22</v>
      </c>
      <c r="I94" s="64">
        <v>1.53</v>
      </c>
      <c r="J94" s="64">
        <v>0.02</v>
      </c>
      <c r="K94" s="64">
        <v>348.47</v>
      </c>
      <c r="L94" s="64">
        <v>25.41</v>
      </c>
      <c r="M94" s="64">
        <v>92.92</v>
      </c>
      <c r="N94" s="64">
        <v>9.5</v>
      </c>
      <c r="O94" s="64">
        <v>0</v>
      </c>
      <c r="P94" s="64">
        <v>0.98</v>
      </c>
      <c r="Q94" s="64">
        <v>13.7</v>
      </c>
      <c r="R94" s="198"/>
      <c r="S94" s="198"/>
      <c r="T94" s="198"/>
      <c r="U94" s="198"/>
    </row>
    <row r="95" spans="1:26" s="12" customFormat="1" x14ac:dyDescent="0.25">
      <c r="A95" s="214" t="s">
        <v>2927</v>
      </c>
      <c r="B95" s="64">
        <v>47.21</v>
      </c>
      <c r="C95" s="64">
        <v>74.790000000000006</v>
      </c>
      <c r="D95" s="64">
        <v>80.430000000000007</v>
      </c>
      <c r="E95" s="64">
        <v>1.44</v>
      </c>
      <c r="F95" s="64">
        <v>3.72</v>
      </c>
      <c r="G95" s="64">
        <v>74.900000000000006</v>
      </c>
      <c r="H95" s="64">
        <v>30.22</v>
      </c>
      <c r="I95" s="64">
        <v>1.49</v>
      </c>
      <c r="J95" s="64">
        <v>0.1</v>
      </c>
      <c r="K95" s="64">
        <v>314.07</v>
      </c>
      <c r="L95" s="64">
        <v>25.15</v>
      </c>
      <c r="M95" s="64">
        <v>96.31</v>
      </c>
      <c r="N95" s="64">
        <v>9.4</v>
      </c>
      <c r="O95" s="64">
        <v>0</v>
      </c>
      <c r="P95" s="64">
        <v>2.25</v>
      </c>
      <c r="Q95" s="64">
        <v>10.52</v>
      </c>
      <c r="R95" s="198"/>
      <c r="S95" s="198"/>
      <c r="T95" s="198"/>
      <c r="U95" s="198"/>
    </row>
    <row r="96" spans="1:26" s="12" customFormat="1" x14ac:dyDescent="0.25">
      <c r="A96" s="214" t="s">
        <v>2928</v>
      </c>
      <c r="B96" s="64">
        <v>58.83</v>
      </c>
      <c r="C96" s="64">
        <v>64.97</v>
      </c>
      <c r="D96" s="64">
        <v>84.32</v>
      </c>
      <c r="E96" s="64">
        <v>2.25</v>
      </c>
      <c r="F96" s="64">
        <v>2.7</v>
      </c>
      <c r="G96" s="64">
        <v>74.900000000000006</v>
      </c>
      <c r="H96" s="64">
        <v>30.22</v>
      </c>
      <c r="I96" s="64">
        <v>1.49</v>
      </c>
      <c r="J96" s="64">
        <v>0.06</v>
      </c>
      <c r="K96" s="64">
        <v>290.66000000000003</v>
      </c>
      <c r="L96" s="64">
        <v>24.78</v>
      </c>
      <c r="M96" s="64">
        <v>98.76</v>
      </c>
      <c r="N96" s="64">
        <v>9.5</v>
      </c>
      <c r="O96" s="64">
        <v>0</v>
      </c>
      <c r="P96" s="64">
        <v>2.2000000000000002</v>
      </c>
      <c r="Q96" s="64">
        <v>9.39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2929</v>
      </c>
      <c r="B97" s="64">
        <v>38.97</v>
      </c>
      <c r="C97" s="64">
        <v>74.02</v>
      </c>
      <c r="D97" s="64">
        <v>73.39</v>
      </c>
      <c r="E97" s="64">
        <v>2.61</v>
      </c>
      <c r="F97" s="64">
        <v>1.73</v>
      </c>
      <c r="G97" s="64">
        <v>74.900000000000006</v>
      </c>
      <c r="H97" s="64">
        <v>30.22</v>
      </c>
      <c r="I97" s="64">
        <v>1.49</v>
      </c>
      <c r="J97" s="64">
        <v>0.05</v>
      </c>
      <c r="K97" s="64">
        <v>242.72</v>
      </c>
      <c r="L97" s="64">
        <v>24.66</v>
      </c>
      <c r="M97" s="64">
        <v>98.83</v>
      </c>
      <c r="N97" s="64">
        <v>9.1999999999999993</v>
      </c>
      <c r="O97" s="64">
        <v>0</v>
      </c>
      <c r="P97" s="64">
        <v>2.15</v>
      </c>
      <c r="Q97" s="64">
        <v>11.2</v>
      </c>
      <c r="R97" s="198"/>
      <c r="S97" s="198"/>
      <c r="T97" s="198"/>
      <c r="U97" s="198"/>
    </row>
    <row r="98" spans="1:33" s="12" customFormat="1" x14ac:dyDescent="0.25">
      <c r="A98" s="214" t="s">
        <v>2930</v>
      </c>
      <c r="B98" s="64">
        <v>14.28</v>
      </c>
      <c r="C98" s="64">
        <v>24.84</v>
      </c>
      <c r="D98" s="64">
        <v>26.45</v>
      </c>
      <c r="E98" s="64">
        <v>1.79</v>
      </c>
      <c r="F98" s="64">
        <v>1.32</v>
      </c>
      <c r="G98" s="64">
        <v>106.4</v>
      </c>
      <c r="H98" s="64">
        <v>35.700000000000003</v>
      </c>
      <c r="I98" s="64">
        <v>1.52</v>
      </c>
      <c r="J98" s="64">
        <v>7.0000000000000007E-2</v>
      </c>
      <c r="K98" s="64">
        <v>16.170000000000002</v>
      </c>
      <c r="L98" s="64">
        <v>24.81</v>
      </c>
      <c r="M98" s="64">
        <v>98.83</v>
      </c>
      <c r="N98" s="64">
        <v>9.1</v>
      </c>
      <c r="O98" s="64">
        <v>0</v>
      </c>
      <c r="P98" s="64">
        <v>1.23</v>
      </c>
      <c r="Q98" s="64">
        <v>14.98</v>
      </c>
      <c r="R98" s="198"/>
      <c r="S98" s="198"/>
      <c r="T98" s="198"/>
      <c r="U98" s="198"/>
    </row>
    <row r="99" spans="1:33" s="12" customFormat="1" x14ac:dyDescent="0.25">
      <c r="A99" s="214" t="s">
        <v>2931</v>
      </c>
      <c r="B99" s="64">
        <v>15.36</v>
      </c>
      <c r="C99" s="64">
        <v>23.2</v>
      </c>
      <c r="D99" s="64">
        <v>26.42</v>
      </c>
      <c r="E99" s="64">
        <v>1.33</v>
      </c>
      <c r="F99" s="64">
        <v>3.14</v>
      </c>
      <c r="G99" s="64">
        <v>111.72</v>
      </c>
      <c r="H99" s="64">
        <v>35.700000000000003</v>
      </c>
      <c r="I99" s="64">
        <v>1.47</v>
      </c>
      <c r="J99" s="64">
        <v>0.08</v>
      </c>
      <c r="K99" s="64">
        <v>352.09</v>
      </c>
      <c r="L99" s="64">
        <v>24.75</v>
      </c>
      <c r="M99" s="64">
        <v>98.83</v>
      </c>
      <c r="N99" s="64">
        <v>9</v>
      </c>
      <c r="O99" s="64">
        <v>0</v>
      </c>
      <c r="P99" s="64">
        <v>1.23</v>
      </c>
      <c r="Q99" s="64">
        <v>17.04</v>
      </c>
      <c r="R99" s="198"/>
      <c r="S99" s="198"/>
      <c r="T99" s="198"/>
      <c r="U99" s="198"/>
    </row>
    <row r="100" spans="1:33" s="12" customFormat="1" x14ac:dyDescent="0.25">
      <c r="A100" s="214" t="s">
        <v>2932</v>
      </c>
      <c r="B100" s="64">
        <v>19.79</v>
      </c>
      <c r="C100" s="64">
        <v>33.130000000000003</v>
      </c>
      <c r="D100" s="64">
        <v>35.450000000000003</v>
      </c>
      <c r="E100" s="64">
        <v>1.69</v>
      </c>
      <c r="F100" s="64">
        <v>3.79</v>
      </c>
      <c r="G100" s="64">
        <v>111.72</v>
      </c>
      <c r="H100" s="64">
        <v>35.700000000000003</v>
      </c>
      <c r="I100" s="64">
        <v>1.49</v>
      </c>
      <c r="J100" s="64">
        <v>0.06</v>
      </c>
      <c r="K100" s="64">
        <v>288.47000000000003</v>
      </c>
      <c r="L100" s="64">
        <v>24.59</v>
      </c>
      <c r="M100" s="64">
        <v>98.83</v>
      </c>
      <c r="N100" s="64">
        <v>9.1999999999999993</v>
      </c>
      <c r="O100" s="64">
        <v>0</v>
      </c>
      <c r="P100" s="64">
        <v>1.27</v>
      </c>
      <c r="Q100" s="64">
        <v>15.33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2933</v>
      </c>
      <c r="B101" s="64">
        <v>14.37</v>
      </c>
      <c r="C101" s="64">
        <v>22.27</v>
      </c>
      <c r="D101" s="64">
        <v>25.11</v>
      </c>
      <c r="E101" s="64">
        <v>0.98</v>
      </c>
      <c r="F101" s="64">
        <v>2.4</v>
      </c>
      <c r="G101" s="64">
        <v>111.72</v>
      </c>
      <c r="H101" s="64">
        <v>35.700000000000003</v>
      </c>
      <c r="I101" s="64">
        <v>1.44</v>
      </c>
      <c r="J101" s="64">
        <v>0.05</v>
      </c>
      <c r="K101" s="64">
        <v>286.99</v>
      </c>
      <c r="L101" s="64">
        <v>24.56</v>
      </c>
      <c r="M101" s="64">
        <v>98.83</v>
      </c>
      <c r="N101" s="64">
        <v>9.1</v>
      </c>
      <c r="O101" s="64">
        <v>0</v>
      </c>
      <c r="P101" s="64">
        <v>1.24</v>
      </c>
      <c r="Q101" s="64">
        <v>15.56</v>
      </c>
      <c r="R101" s="198"/>
      <c r="S101" s="198"/>
      <c r="T101" s="198"/>
      <c r="U101" s="198"/>
    </row>
    <row r="102" spans="1:33" s="12" customFormat="1" x14ac:dyDescent="0.25">
      <c r="A102" s="214" t="s">
        <v>2934</v>
      </c>
      <c r="B102" s="64">
        <v>11.76</v>
      </c>
      <c r="C102" s="64">
        <v>30.14</v>
      </c>
      <c r="D102" s="64">
        <v>27.36</v>
      </c>
      <c r="E102" s="64">
        <v>1.1200000000000001</v>
      </c>
      <c r="F102" s="64">
        <v>2.83</v>
      </c>
      <c r="G102" s="64">
        <v>103.44</v>
      </c>
      <c r="H102" s="64">
        <v>34.909999999999997</v>
      </c>
      <c r="I102" s="64">
        <v>1.48</v>
      </c>
      <c r="J102" s="64">
        <v>0.06</v>
      </c>
      <c r="K102" s="64">
        <v>242.65</v>
      </c>
      <c r="L102" s="64">
        <v>24.48</v>
      </c>
      <c r="M102" s="64">
        <v>98.86</v>
      </c>
      <c r="N102" s="64">
        <v>9.1</v>
      </c>
      <c r="O102" s="64">
        <v>0</v>
      </c>
      <c r="P102" s="64">
        <v>1.08</v>
      </c>
      <c r="Q102" s="64">
        <v>15.77</v>
      </c>
      <c r="R102" s="198"/>
      <c r="S102" s="198"/>
      <c r="T102" s="198"/>
      <c r="U102" s="198"/>
    </row>
    <row r="103" spans="1:33" s="12" customFormat="1" x14ac:dyDescent="0.25">
      <c r="A103" s="214" t="s">
        <v>2935</v>
      </c>
      <c r="B103" s="64">
        <v>13.9</v>
      </c>
      <c r="C103" s="64">
        <v>22.95</v>
      </c>
      <c r="D103" s="64">
        <v>25.1</v>
      </c>
      <c r="E103" s="64">
        <v>0.32</v>
      </c>
      <c r="F103" s="64">
        <v>1.31</v>
      </c>
      <c r="G103" s="64">
        <v>102.04</v>
      </c>
      <c r="H103" s="64">
        <v>34.909999999999997</v>
      </c>
      <c r="I103" s="64">
        <v>1.49</v>
      </c>
      <c r="J103" s="64">
        <v>7.0000000000000007E-2</v>
      </c>
      <c r="K103" s="64">
        <v>314.70999999999998</v>
      </c>
      <c r="L103" s="64">
        <v>24.38</v>
      </c>
      <c r="M103" s="64">
        <v>98.88</v>
      </c>
      <c r="N103" s="64">
        <v>9.1</v>
      </c>
      <c r="O103" s="64">
        <v>0</v>
      </c>
      <c r="P103" s="64">
        <v>1.19</v>
      </c>
      <c r="Q103" s="64">
        <v>15.47</v>
      </c>
      <c r="R103" s="198"/>
      <c r="S103" s="198"/>
      <c r="T103" s="198"/>
      <c r="U103" s="198"/>
    </row>
    <row r="104" spans="1:33" s="12" customFormat="1" x14ac:dyDescent="0.25">
      <c r="A104" s="214" t="s">
        <v>2936</v>
      </c>
      <c r="B104" s="64">
        <v>12.97</v>
      </c>
      <c r="C104" s="64">
        <v>20.59</v>
      </c>
      <c r="D104" s="64">
        <v>23.06</v>
      </c>
      <c r="E104" s="64">
        <v>0.77</v>
      </c>
      <c r="F104" s="64">
        <v>2.56</v>
      </c>
      <c r="G104" s="64">
        <v>102.04</v>
      </c>
      <c r="H104" s="64">
        <v>34.909999999999997</v>
      </c>
      <c r="I104" s="64">
        <v>1.5</v>
      </c>
      <c r="J104" s="64">
        <v>0.06</v>
      </c>
      <c r="K104" s="64">
        <v>23.63</v>
      </c>
      <c r="L104" s="64">
        <v>24.26</v>
      </c>
      <c r="M104" s="64">
        <v>98.88</v>
      </c>
      <c r="N104" s="64">
        <v>9.1</v>
      </c>
      <c r="O104" s="64">
        <v>0</v>
      </c>
      <c r="P104" s="64">
        <v>1.07</v>
      </c>
      <c r="Q104" s="64">
        <v>16.14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2.89</v>
      </c>
      <c r="C106" s="67">
        <f>MIN(C9:C104)</f>
        <v>9.85</v>
      </c>
      <c r="D106" s="67">
        <f t="shared" ref="D106:Q106" si="0">MIN(D9:D104)</f>
        <v>11.45</v>
      </c>
      <c r="E106" s="67">
        <f t="shared" si="0"/>
        <v>0.32</v>
      </c>
      <c r="F106" s="67">
        <f t="shared" si="0"/>
        <v>0.93</v>
      </c>
      <c r="G106" s="67">
        <f t="shared" si="0"/>
        <v>50.4</v>
      </c>
      <c r="H106" s="67">
        <f t="shared" si="0"/>
        <v>22.81</v>
      </c>
      <c r="I106" s="67">
        <f t="shared" si="0"/>
        <v>1.4</v>
      </c>
      <c r="J106" s="67">
        <f t="shared" si="0"/>
        <v>0.01</v>
      </c>
      <c r="K106" s="67">
        <f t="shared" si="0"/>
        <v>4.55</v>
      </c>
      <c r="L106" s="67">
        <f t="shared" si="0"/>
        <v>22.33</v>
      </c>
      <c r="M106" s="67">
        <f t="shared" si="0"/>
        <v>61.06</v>
      </c>
      <c r="N106" s="67">
        <f t="shared" si="0"/>
        <v>0</v>
      </c>
      <c r="O106" s="67">
        <f t="shared" si="0"/>
        <v>0</v>
      </c>
      <c r="P106" s="67">
        <f t="shared" si="0"/>
        <v>0.55000000000000004</v>
      </c>
      <c r="Q106" s="67">
        <f t="shared" si="0"/>
        <v>9.39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58.83</v>
      </c>
      <c r="C107" s="66">
        <f t="shared" ref="C107:Q107" si="1">MAX(C9:C104)</f>
        <v>74.790000000000006</v>
      </c>
      <c r="D107" s="66">
        <f t="shared" si="1"/>
        <v>84.32</v>
      </c>
      <c r="E107" s="66">
        <f t="shared" si="1"/>
        <v>13.53</v>
      </c>
      <c r="F107" s="66">
        <f t="shared" si="1"/>
        <v>33.67</v>
      </c>
      <c r="G107" s="66">
        <f t="shared" si="1"/>
        <v>278.72000000000003</v>
      </c>
      <c r="H107" s="66">
        <f t="shared" si="1"/>
        <v>42.29</v>
      </c>
      <c r="I107" s="66">
        <f t="shared" si="1"/>
        <v>1.65</v>
      </c>
      <c r="J107" s="66">
        <f t="shared" si="1"/>
        <v>0.89</v>
      </c>
      <c r="K107" s="66">
        <f t="shared" si="1"/>
        <v>356.21</v>
      </c>
      <c r="L107" s="66">
        <f t="shared" si="1"/>
        <v>31.76</v>
      </c>
      <c r="M107" s="66">
        <f t="shared" si="1"/>
        <v>98.89</v>
      </c>
      <c r="N107" s="66">
        <f t="shared" si="1"/>
        <v>762.2</v>
      </c>
      <c r="O107" s="66">
        <f t="shared" si="1"/>
        <v>0</v>
      </c>
      <c r="P107" s="66">
        <f t="shared" si="1"/>
        <v>2.25</v>
      </c>
      <c r="Q107" s="66">
        <f t="shared" si="1"/>
        <v>19.510000000000002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12.245833333333332</v>
      </c>
      <c r="C108" s="67">
        <f t="shared" ref="C108:Q108" si="2">AVERAGE(C9:C104)</f>
        <v>27.54624999999999</v>
      </c>
      <c r="D108" s="67">
        <f t="shared" si="2"/>
        <v>26.314583333333331</v>
      </c>
      <c r="E108" s="67">
        <f t="shared" si="2"/>
        <v>4.1592708333333324</v>
      </c>
      <c r="F108" s="67">
        <f t="shared" si="2"/>
        <v>7.88791666666667</v>
      </c>
      <c r="G108" s="67">
        <f t="shared" si="2"/>
        <v>89.334687499999959</v>
      </c>
      <c r="H108" s="67">
        <f t="shared" si="2"/>
        <v>33.64687499999998</v>
      </c>
      <c r="I108" s="67">
        <f t="shared" si="2"/>
        <v>1.5063541666666671</v>
      </c>
      <c r="J108" s="67">
        <f t="shared" si="2"/>
        <v>0.22843750000000007</v>
      </c>
      <c r="K108" s="67">
        <f t="shared" si="2"/>
        <v>207.96968750000008</v>
      </c>
      <c r="L108" s="67">
        <f t="shared" si="2"/>
        <v>26.396458333333342</v>
      </c>
      <c r="M108" s="67">
        <f t="shared" si="2"/>
        <v>84.498750000000015</v>
      </c>
      <c r="N108" s="67">
        <f t="shared" si="2"/>
        <v>130.1322916666667</v>
      </c>
      <c r="O108" s="67">
        <f t="shared" si="2"/>
        <v>0</v>
      </c>
      <c r="P108" s="67">
        <f t="shared" si="2"/>
        <v>1.0379166666666668</v>
      </c>
      <c r="Q108" s="67">
        <f t="shared" si="2"/>
        <v>15.317204301075273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9.0947748638743864</v>
      </c>
      <c r="C109" s="67">
        <f t="shared" ref="C109:Q109" si="3">STDEV(C9:C104)</f>
        <v>13.992246819315039</v>
      </c>
      <c r="D109" s="67">
        <f t="shared" si="3"/>
        <v>12.895556551461047</v>
      </c>
      <c r="E109" s="67">
        <f t="shared" si="3"/>
        <v>3.6195842287526769</v>
      </c>
      <c r="F109" s="67">
        <f t="shared" si="3"/>
        <v>7.1575217582133979</v>
      </c>
      <c r="G109" s="67">
        <f t="shared" si="3"/>
        <v>40.443696013961684</v>
      </c>
      <c r="H109" s="67">
        <f t="shared" si="3"/>
        <v>6.3318299196661787</v>
      </c>
      <c r="I109" s="67">
        <f t="shared" si="3"/>
        <v>4.7971917040716731E-2</v>
      </c>
      <c r="J109" s="67">
        <f t="shared" si="3"/>
        <v>0.20131843393515964</v>
      </c>
      <c r="K109" s="67">
        <f t="shared" si="3"/>
        <v>121.34259606544312</v>
      </c>
      <c r="L109" s="67">
        <f t="shared" si="3"/>
        <v>2.82656718678385</v>
      </c>
      <c r="M109" s="67">
        <f t="shared" si="3"/>
        <v>13.888002035077388</v>
      </c>
      <c r="N109" s="67">
        <f t="shared" si="3"/>
        <v>178.12712107385934</v>
      </c>
      <c r="O109" s="67">
        <f t="shared" si="3"/>
        <v>0</v>
      </c>
      <c r="P109" s="67">
        <f t="shared" si="3"/>
        <v>0.29168085178538072</v>
      </c>
      <c r="Q109" s="67">
        <f t="shared" si="3"/>
        <v>1.503275673749046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COUNT(Q9:Q104)+3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2937</v>
      </c>
      <c r="B9" s="64">
        <v>9.94</v>
      </c>
      <c r="C9" s="64">
        <v>25.71</v>
      </c>
      <c r="D9" s="64">
        <v>23.45</v>
      </c>
      <c r="E9" s="64">
        <v>1.57</v>
      </c>
      <c r="F9" s="64">
        <v>5.39</v>
      </c>
      <c r="G9" s="64">
        <v>102.04</v>
      </c>
      <c r="H9" s="64">
        <v>34.909999999999997</v>
      </c>
      <c r="I9" s="64">
        <v>1.43</v>
      </c>
      <c r="J9" s="64">
        <v>0.13</v>
      </c>
      <c r="K9" s="64">
        <v>328.29</v>
      </c>
      <c r="L9" s="64">
        <v>24.2</v>
      </c>
      <c r="M9" s="64">
        <v>98.87</v>
      </c>
      <c r="N9" s="64">
        <v>9.1</v>
      </c>
      <c r="O9" s="64">
        <v>0</v>
      </c>
      <c r="P9" s="64">
        <v>0.8</v>
      </c>
      <c r="Q9" s="64">
        <v>16.559999999999999</v>
      </c>
      <c r="R9" s="198"/>
      <c r="S9" s="198"/>
      <c r="T9" s="198"/>
      <c r="U9" s="198"/>
    </row>
    <row r="10" spans="1:21" s="12" customFormat="1" x14ac:dyDescent="0.25">
      <c r="A10" s="214" t="s">
        <v>2938</v>
      </c>
      <c r="B10" s="64">
        <v>9.2200000000000006</v>
      </c>
      <c r="C10" s="64">
        <v>24.91</v>
      </c>
      <c r="D10" s="64">
        <v>22.43</v>
      </c>
      <c r="E10" s="64">
        <v>1</v>
      </c>
      <c r="F10" s="64">
        <v>3.5</v>
      </c>
      <c r="G10" s="64">
        <v>73.459999999999994</v>
      </c>
      <c r="H10" s="64">
        <v>32.96</v>
      </c>
      <c r="I10" s="64">
        <v>1.51</v>
      </c>
      <c r="J10" s="64">
        <v>0.11</v>
      </c>
      <c r="K10" s="64">
        <v>347.17</v>
      </c>
      <c r="L10" s="64">
        <v>24.05</v>
      </c>
      <c r="M10" s="64">
        <v>98.86</v>
      </c>
      <c r="N10" s="64">
        <v>9.1</v>
      </c>
      <c r="O10" s="64">
        <v>0</v>
      </c>
      <c r="P10" s="64">
        <v>0.84</v>
      </c>
      <c r="Q10" s="64">
        <v>16.350000000000001</v>
      </c>
      <c r="R10" s="198"/>
      <c r="S10" s="198"/>
      <c r="T10" s="198"/>
      <c r="U10" s="198"/>
    </row>
    <row r="11" spans="1:21" s="12" customFormat="1" x14ac:dyDescent="0.25">
      <c r="A11" s="214" t="s">
        <v>2939</v>
      </c>
      <c r="B11" s="64">
        <v>6.36</v>
      </c>
      <c r="C11" s="64">
        <v>21.23</v>
      </c>
      <c r="D11" s="64">
        <v>18.11</v>
      </c>
      <c r="E11" s="64">
        <v>0.6</v>
      </c>
      <c r="F11" s="64">
        <v>8.06</v>
      </c>
      <c r="G11" s="64">
        <v>68.64</v>
      </c>
      <c r="H11" s="64">
        <v>32.96</v>
      </c>
      <c r="I11" s="64">
        <v>1.53</v>
      </c>
      <c r="J11" s="64">
        <v>7.0000000000000007E-2</v>
      </c>
      <c r="K11" s="64">
        <v>326.29000000000002</v>
      </c>
      <c r="L11" s="64">
        <v>23.85</v>
      </c>
      <c r="M11" s="64">
        <v>98.87</v>
      </c>
      <c r="N11" s="64">
        <v>9.1999999999999993</v>
      </c>
      <c r="O11" s="64">
        <v>0</v>
      </c>
      <c r="P11" s="64">
        <v>0.45</v>
      </c>
      <c r="Q11" s="64">
        <v>17.170000000000002</v>
      </c>
      <c r="R11" s="198"/>
      <c r="S11" s="198"/>
      <c r="T11" s="198"/>
      <c r="U11" s="198"/>
    </row>
    <row r="12" spans="1:21" s="12" customFormat="1" x14ac:dyDescent="0.25">
      <c r="A12" s="214" t="s">
        <v>2940</v>
      </c>
      <c r="B12" s="64">
        <v>6.18</v>
      </c>
      <c r="C12" s="64">
        <v>23.8</v>
      </c>
      <c r="D12" s="64">
        <v>19.38</v>
      </c>
      <c r="E12" s="64">
        <v>0.42</v>
      </c>
      <c r="F12" s="64">
        <v>4.26</v>
      </c>
      <c r="G12" s="64">
        <v>68.64</v>
      </c>
      <c r="H12" s="64">
        <v>32.96</v>
      </c>
      <c r="I12" s="64">
        <v>1.51</v>
      </c>
      <c r="J12" s="64">
        <v>0.12</v>
      </c>
      <c r="K12" s="64">
        <v>310.99</v>
      </c>
      <c r="L12" s="64">
        <v>23.73</v>
      </c>
      <c r="M12" s="64">
        <v>98.87</v>
      </c>
      <c r="N12" s="64">
        <v>9.1</v>
      </c>
      <c r="O12" s="64">
        <v>0</v>
      </c>
      <c r="P12" s="64">
        <v>0.73</v>
      </c>
      <c r="Q12" s="64">
        <v>17.03</v>
      </c>
      <c r="R12" s="198"/>
      <c r="S12" s="198"/>
      <c r="T12" s="198"/>
      <c r="U12" s="198"/>
    </row>
    <row r="13" spans="1:21" s="12" customFormat="1" x14ac:dyDescent="0.25">
      <c r="A13" s="214" t="s">
        <v>2941</v>
      </c>
      <c r="B13" s="64">
        <v>9.3800000000000008</v>
      </c>
      <c r="C13" s="64">
        <v>20.59</v>
      </c>
      <c r="D13" s="64">
        <v>20.18</v>
      </c>
      <c r="E13" s="64">
        <v>1.43</v>
      </c>
      <c r="F13" s="64">
        <v>2.63</v>
      </c>
      <c r="G13" s="64">
        <v>68.64</v>
      </c>
      <c r="H13" s="64">
        <v>32.96</v>
      </c>
      <c r="I13" s="64">
        <v>1.49</v>
      </c>
      <c r="J13" s="64">
        <v>0.23</v>
      </c>
      <c r="K13" s="64">
        <v>319.69</v>
      </c>
      <c r="L13" s="64">
        <v>23.55</v>
      </c>
      <c r="M13" s="64">
        <v>98.88</v>
      </c>
      <c r="N13" s="64">
        <v>9</v>
      </c>
      <c r="O13" s="64">
        <v>0</v>
      </c>
      <c r="P13" s="64">
        <v>0.94</v>
      </c>
      <c r="Q13" s="64">
        <v>17.23</v>
      </c>
      <c r="R13" s="198"/>
      <c r="S13" s="198"/>
      <c r="T13" s="198"/>
      <c r="U13" s="198"/>
    </row>
    <row r="14" spans="1:21" s="12" customFormat="1" x14ac:dyDescent="0.25">
      <c r="A14" s="214" t="s">
        <v>2942</v>
      </c>
      <c r="B14" s="64">
        <v>12.2</v>
      </c>
      <c r="C14" s="64">
        <v>12.7</v>
      </c>
      <c r="D14" s="64">
        <v>18.079999999999998</v>
      </c>
      <c r="E14" s="64">
        <v>1.55</v>
      </c>
      <c r="F14" s="64">
        <v>1.22</v>
      </c>
      <c r="G14" s="64">
        <v>56.26</v>
      </c>
      <c r="H14" s="64">
        <v>30.11</v>
      </c>
      <c r="I14" s="64">
        <v>1.54</v>
      </c>
      <c r="J14" s="64">
        <v>0.28999999999999998</v>
      </c>
      <c r="K14" s="64">
        <v>325.10000000000002</v>
      </c>
      <c r="L14" s="64">
        <v>23.5</v>
      </c>
      <c r="M14" s="64">
        <v>98.87</v>
      </c>
      <c r="N14" s="64">
        <v>9</v>
      </c>
      <c r="O14" s="64">
        <v>0</v>
      </c>
      <c r="P14" s="64">
        <v>1.08</v>
      </c>
      <c r="Q14" s="64">
        <v>16.93</v>
      </c>
      <c r="R14" s="198"/>
      <c r="S14" s="198"/>
      <c r="T14" s="198"/>
      <c r="U14" s="198"/>
    </row>
    <row r="15" spans="1:21" s="12" customFormat="1" x14ac:dyDescent="0.25">
      <c r="A15" s="214" t="s">
        <v>2943</v>
      </c>
      <c r="B15" s="64">
        <v>12.75</v>
      </c>
      <c r="C15" s="64">
        <v>11.81</v>
      </c>
      <c r="D15" s="64">
        <v>18.04</v>
      </c>
      <c r="E15" s="64">
        <v>1.86</v>
      </c>
      <c r="F15" s="64">
        <v>2.4500000000000002</v>
      </c>
      <c r="G15" s="64">
        <v>54.17</v>
      </c>
      <c r="H15" s="64">
        <v>30.11</v>
      </c>
      <c r="I15" s="64">
        <v>1.52</v>
      </c>
      <c r="J15" s="64">
        <v>0.49</v>
      </c>
      <c r="K15" s="64">
        <v>334.92</v>
      </c>
      <c r="L15" s="64">
        <v>23.51</v>
      </c>
      <c r="M15" s="64">
        <v>98.85</v>
      </c>
      <c r="N15" s="64">
        <v>9</v>
      </c>
      <c r="O15" s="64">
        <v>0</v>
      </c>
      <c r="P15" s="64">
        <v>1.01</v>
      </c>
      <c r="Q15" s="64">
        <v>16.54</v>
      </c>
      <c r="R15" s="198"/>
      <c r="S15" s="198"/>
      <c r="T15" s="198"/>
      <c r="U15" s="198"/>
    </row>
    <row r="16" spans="1:21" s="12" customFormat="1" x14ac:dyDescent="0.25">
      <c r="A16" s="214" t="s">
        <v>2944</v>
      </c>
      <c r="B16" s="64">
        <v>12</v>
      </c>
      <c r="C16" s="64">
        <v>12.54</v>
      </c>
      <c r="D16" s="64">
        <v>17.829999999999998</v>
      </c>
      <c r="E16" s="64">
        <v>1.66</v>
      </c>
      <c r="F16" s="64">
        <v>1.98</v>
      </c>
      <c r="G16" s="64">
        <v>54.17</v>
      </c>
      <c r="H16" s="64">
        <v>30.11</v>
      </c>
      <c r="I16" s="64">
        <v>1.46</v>
      </c>
      <c r="J16" s="64">
        <v>0.22</v>
      </c>
      <c r="K16" s="64">
        <v>357.71</v>
      </c>
      <c r="L16" s="64">
        <v>23.46</v>
      </c>
      <c r="M16" s="64">
        <v>98.88</v>
      </c>
      <c r="N16" s="64">
        <v>9.1999999999999993</v>
      </c>
      <c r="O16" s="64">
        <v>0</v>
      </c>
      <c r="P16" s="64">
        <v>0.91</v>
      </c>
      <c r="Q16" s="64">
        <v>16.09</v>
      </c>
      <c r="R16" s="198"/>
      <c r="S16" s="198"/>
      <c r="T16" s="198"/>
      <c r="U16" s="198"/>
    </row>
    <row r="17" spans="1:21" s="12" customFormat="1" x14ac:dyDescent="0.25">
      <c r="A17" s="214" t="s">
        <v>2945</v>
      </c>
      <c r="B17" s="64">
        <v>9.2200000000000006</v>
      </c>
      <c r="C17" s="64">
        <v>16.72</v>
      </c>
      <c r="D17" s="64">
        <v>17.91</v>
      </c>
      <c r="E17" s="64">
        <v>1.25</v>
      </c>
      <c r="F17" s="64">
        <v>1.86</v>
      </c>
      <c r="G17" s="64">
        <v>54.17</v>
      </c>
      <c r="H17" s="64">
        <v>30.11</v>
      </c>
      <c r="I17" s="64">
        <v>1.53</v>
      </c>
      <c r="J17" s="64">
        <v>0.21</v>
      </c>
      <c r="K17" s="64">
        <v>335.39</v>
      </c>
      <c r="L17" s="64">
        <v>23.29</v>
      </c>
      <c r="M17" s="64">
        <v>98.88</v>
      </c>
      <c r="N17" s="64">
        <v>9</v>
      </c>
      <c r="O17" s="64">
        <v>0</v>
      </c>
      <c r="P17" s="64">
        <v>0.85</v>
      </c>
      <c r="Q17" s="64">
        <v>15.67</v>
      </c>
      <c r="R17" s="198"/>
      <c r="S17" s="198"/>
      <c r="T17" s="198"/>
      <c r="U17" s="198"/>
    </row>
    <row r="18" spans="1:21" s="12" customFormat="1" x14ac:dyDescent="0.25">
      <c r="A18" s="214" t="s">
        <v>2946</v>
      </c>
      <c r="B18" s="64">
        <v>11.14</v>
      </c>
      <c r="C18" s="64">
        <v>12.51</v>
      </c>
      <c r="D18" s="64">
        <v>17.13</v>
      </c>
      <c r="E18" s="64">
        <v>1.1499999999999999</v>
      </c>
      <c r="F18" s="64">
        <v>1.27</v>
      </c>
      <c r="G18" s="64">
        <v>56.31</v>
      </c>
      <c r="H18" s="64">
        <v>26.1</v>
      </c>
      <c r="I18" s="64">
        <v>1.46</v>
      </c>
      <c r="J18" s="64">
        <v>0.36</v>
      </c>
      <c r="K18" s="64">
        <v>345.89</v>
      </c>
      <c r="L18" s="64">
        <v>23.25</v>
      </c>
      <c r="M18" s="64">
        <v>98.88</v>
      </c>
      <c r="N18" s="64">
        <v>9</v>
      </c>
      <c r="O18" s="64">
        <v>0</v>
      </c>
      <c r="P18" s="64">
        <v>0.97</v>
      </c>
      <c r="Q18" s="64">
        <v>15.22</v>
      </c>
      <c r="R18" s="198"/>
      <c r="S18" s="198"/>
      <c r="T18" s="198"/>
      <c r="U18" s="198"/>
    </row>
    <row r="19" spans="1:21" s="12" customFormat="1" x14ac:dyDescent="0.25">
      <c r="A19" s="214" t="s">
        <v>2947</v>
      </c>
      <c r="B19" s="64">
        <v>8.42</v>
      </c>
      <c r="C19" s="64">
        <v>20.43</v>
      </c>
      <c r="D19" s="64">
        <v>19.32</v>
      </c>
      <c r="E19" s="64">
        <v>1.03</v>
      </c>
      <c r="F19" s="64">
        <v>1.17</v>
      </c>
      <c r="G19" s="64">
        <v>56.67</v>
      </c>
      <c r="H19" s="64">
        <v>26.1</v>
      </c>
      <c r="I19" s="64">
        <v>1.55</v>
      </c>
      <c r="J19" s="64">
        <v>0.06</v>
      </c>
      <c r="K19" s="64">
        <v>296.02999999999997</v>
      </c>
      <c r="L19" s="64">
        <v>23.25</v>
      </c>
      <c r="M19" s="64">
        <v>98.88</v>
      </c>
      <c r="N19" s="64">
        <v>9.1</v>
      </c>
      <c r="O19" s="64">
        <v>0</v>
      </c>
      <c r="P19" s="64">
        <v>0.85</v>
      </c>
      <c r="Q19" s="64">
        <v>15.41</v>
      </c>
      <c r="R19" s="198"/>
      <c r="S19" s="198"/>
      <c r="T19" s="198"/>
      <c r="U19" s="198"/>
    </row>
    <row r="20" spans="1:21" s="12" customFormat="1" x14ac:dyDescent="0.25">
      <c r="A20" s="214" t="s">
        <v>2948</v>
      </c>
      <c r="B20" s="64">
        <v>9.68</v>
      </c>
      <c r="C20" s="64">
        <v>18.170000000000002</v>
      </c>
      <c r="D20" s="64">
        <v>19.09</v>
      </c>
      <c r="E20" s="64">
        <v>1.51</v>
      </c>
      <c r="F20" s="64">
        <v>2.2999999999999998</v>
      </c>
      <c r="G20" s="64">
        <v>56.67</v>
      </c>
      <c r="H20" s="64">
        <v>26.1</v>
      </c>
      <c r="I20" s="64">
        <v>1.58</v>
      </c>
      <c r="J20" s="64">
        <v>0.27</v>
      </c>
      <c r="K20" s="64">
        <v>329.81</v>
      </c>
      <c r="L20" s="64">
        <v>23.2</v>
      </c>
      <c r="M20" s="64">
        <v>98.88</v>
      </c>
      <c r="N20" s="64">
        <v>9.1</v>
      </c>
      <c r="O20" s="64">
        <v>0</v>
      </c>
      <c r="P20" s="64">
        <v>0.94</v>
      </c>
      <c r="Q20" s="64">
        <v>15.04</v>
      </c>
      <c r="R20" s="198"/>
      <c r="S20" s="198"/>
      <c r="T20" s="198"/>
      <c r="U20" s="198"/>
    </row>
    <row r="21" spans="1:21" s="12" customFormat="1" x14ac:dyDescent="0.25">
      <c r="A21" s="214" t="s">
        <v>2949</v>
      </c>
      <c r="B21" s="64">
        <v>7.03</v>
      </c>
      <c r="C21" s="64">
        <v>27.35</v>
      </c>
      <c r="D21" s="64">
        <v>22.02</v>
      </c>
      <c r="E21" s="64">
        <v>0.52</v>
      </c>
      <c r="F21" s="64">
        <v>2.39</v>
      </c>
      <c r="G21" s="64">
        <v>56.67</v>
      </c>
      <c r="H21" s="64">
        <v>26.1</v>
      </c>
      <c r="I21" s="64">
        <v>1.53</v>
      </c>
      <c r="J21" s="64">
        <v>0.12</v>
      </c>
      <c r="K21" s="64">
        <v>323.83</v>
      </c>
      <c r="L21" s="64">
        <v>23.12</v>
      </c>
      <c r="M21" s="64">
        <v>98.88</v>
      </c>
      <c r="N21" s="64">
        <v>9.1</v>
      </c>
      <c r="O21" s="64">
        <v>0</v>
      </c>
      <c r="P21" s="64">
        <v>0.85</v>
      </c>
      <c r="Q21" s="64">
        <v>15.89</v>
      </c>
      <c r="R21" s="198"/>
      <c r="S21" s="198"/>
      <c r="T21" s="198"/>
      <c r="U21" s="198"/>
    </row>
    <row r="22" spans="1:21" s="12" customFormat="1" x14ac:dyDescent="0.25">
      <c r="A22" s="214" t="s">
        <v>2950</v>
      </c>
      <c r="B22" s="64">
        <v>5.43</v>
      </c>
      <c r="C22" s="64">
        <v>28.85</v>
      </c>
      <c r="D22" s="64">
        <v>21.56</v>
      </c>
      <c r="E22" s="64">
        <v>0.66</v>
      </c>
      <c r="F22" s="64">
        <v>2.96</v>
      </c>
      <c r="G22" s="64">
        <v>75.09</v>
      </c>
      <c r="H22" s="64">
        <v>31.88</v>
      </c>
      <c r="I22" s="64">
        <v>1.52</v>
      </c>
      <c r="J22" s="64">
        <v>0.06</v>
      </c>
      <c r="K22" s="64">
        <v>140.88999999999999</v>
      </c>
      <c r="L22" s="64">
        <v>23.17</v>
      </c>
      <c r="M22" s="64">
        <v>98.85</v>
      </c>
      <c r="N22" s="64">
        <v>9.1</v>
      </c>
      <c r="O22" s="64">
        <v>0</v>
      </c>
      <c r="P22" s="64">
        <v>0.83</v>
      </c>
      <c r="Q22" s="64">
        <v>15.97</v>
      </c>
      <c r="R22" s="198"/>
      <c r="S22" s="198"/>
      <c r="T22" s="198"/>
      <c r="U22" s="198"/>
    </row>
    <row r="23" spans="1:21" s="12" customFormat="1" x14ac:dyDescent="0.25">
      <c r="A23" s="214" t="s">
        <v>2951</v>
      </c>
      <c r="B23" s="64">
        <v>4.3600000000000003</v>
      </c>
      <c r="C23" s="64">
        <v>28.7</v>
      </c>
      <c r="D23" s="64">
        <v>20.63</v>
      </c>
      <c r="E23" s="64">
        <v>1.22</v>
      </c>
      <c r="F23" s="64">
        <v>4.4800000000000004</v>
      </c>
      <c r="G23" s="64">
        <v>78.2</v>
      </c>
      <c r="H23" s="64">
        <v>31.88</v>
      </c>
      <c r="I23" s="64">
        <v>1.44</v>
      </c>
      <c r="J23" s="64">
        <v>0.22</v>
      </c>
      <c r="K23" s="64">
        <v>104.64</v>
      </c>
      <c r="L23" s="64">
        <v>23.21</v>
      </c>
      <c r="M23" s="64">
        <v>98.85</v>
      </c>
      <c r="N23" s="64">
        <v>8.9</v>
      </c>
      <c r="O23" s="64">
        <v>0</v>
      </c>
      <c r="P23" s="64">
        <v>0.68</v>
      </c>
      <c r="Q23" s="64">
        <v>16.73</v>
      </c>
      <c r="R23" s="198"/>
      <c r="S23" s="198"/>
      <c r="T23" s="198"/>
      <c r="U23" s="198"/>
    </row>
    <row r="24" spans="1:21" s="12" customFormat="1" x14ac:dyDescent="0.25">
      <c r="A24" s="214" t="s">
        <v>2952</v>
      </c>
      <c r="B24" s="64">
        <v>5.68</v>
      </c>
      <c r="C24" s="64">
        <v>27.04</v>
      </c>
      <c r="D24" s="64">
        <v>20.77</v>
      </c>
      <c r="E24" s="64">
        <v>0.7</v>
      </c>
      <c r="F24" s="64">
        <v>3.7</v>
      </c>
      <c r="G24" s="64">
        <v>78.2</v>
      </c>
      <c r="H24" s="64">
        <v>31.88</v>
      </c>
      <c r="I24" s="64">
        <v>1.48</v>
      </c>
      <c r="J24" s="64">
        <v>0.36</v>
      </c>
      <c r="K24" s="64">
        <v>97.64</v>
      </c>
      <c r="L24" s="64">
        <v>23.48</v>
      </c>
      <c r="M24" s="64">
        <v>98.83</v>
      </c>
      <c r="N24" s="64">
        <v>8.8000000000000007</v>
      </c>
      <c r="O24" s="64">
        <v>0</v>
      </c>
      <c r="P24" s="64">
        <v>0.74</v>
      </c>
      <c r="Q24" s="64">
        <v>16.809999999999999</v>
      </c>
      <c r="R24" s="198"/>
      <c r="S24" s="198"/>
      <c r="T24" s="198"/>
      <c r="U24" s="198"/>
    </row>
    <row r="25" spans="1:21" s="12" customFormat="1" x14ac:dyDescent="0.25">
      <c r="A25" s="214" t="s">
        <v>2953</v>
      </c>
      <c r="B25" s="64">
        <v>11.27</v>
      </c>
      <c r="C25" s="64">
        <v>18.79</v>
      </c>
      <c r="D25" s="64">
        <v>20.7</v>
      </c>
      <c r="E25" s="64">
        <v>1.19</v>
      </c>
      <c r="F25" s="64">
        <v>1.43</v>
      </c>
      <c r="G25" s="64">
        <v>78.2</v>
      </c>
      <c r="H25" s="64">
        <v>31.88</v>
      </c>
      <c r="I25" s="64">
        <v>1.43</v>
      </c>
      <c r="J25" s="64">
        <v>0.32</v>
      </c>
      <c r="K25" s="64">
        <v>101.43</v>
      </c>
      <c r="L25" s="64">
        <v>23.42</v>
      </c>
      <c r="M25" s="64">
        <v>98.85</v>
      </c>
      <c r="N25" s="64">
        <v>9.1</v>
      </c>
      <c r="O25" s="64">
        <v>0</v>
      </c>
      <c r="P25" s="64">
        <v>0.89</v>
      </c>
      <c r="Q25" s="64">
        <v>16.739999999999998</v>
      </c>
      <c r="R25" s="198"/>
      <c r="S25" s="198"/>
      <c r="T25" s="198"/>
      <c r="U25" s="198"/>
    </row>
    <row r="26" spans="1:21" s="12" customFormat="1" x14ac:dyDescent="0.25">
      <c r="A26" s="214" t="s">
        <v>2954</v>
      </c>
      <c r="B26" s="64">
        <v>10.66</v>
      </c>
      <c r="C26" s="64">
        <v>19.149999999999999</v>
      </c>
      <c r="D26" s="64">
        <v>20.41</v>
      </c>
      <c r="E26" s="64">
        <v>1.55</v>
      </c>
      <c r="F26" s="64">
        <v>1.0900000000000001</v>
      </c>
      <c r="G26" s="64">
        <v>100.24</v>
      </c>
      <c r="H26" s="64">
        <v>32.96</v>
      </c>
      <c r="I26" s="64">
        <v>1.55</v>
      </c>
      <c r="J26" s="64">
        <v>0.22</v>
      </c>
      <c r="K26" s="64">
        <v>107.34</v>
      </c>
      <c r="L26" s="64">
        <v>23.47</v>
      </c>
      <c r="M26" s="64">
        <v>98.85</v>
      </c>
      <c r="N26" s="64">
        <v>9</v>
      </c>
      <c r="O26" s="64">
        <v>0</v>
      </c>
      <c r="P26" s="64">
        <v>0.92</v>
      </c>
      <c r="Q26" s="64">
        <v>16.850000000000001</v>
      </c>
      <c r="R26" s="198"/>
      <c r="S26" s="198"/>
      <c r="T26" s="198"/>
      <c r="U26" s="198"/>
    </row>
    <row r="27" spans="1:21" s="12" customFormat="1" x14ac:dyDescent="0.25">
      <c r="A27" s="214" t="s">
        <v>2955</v>
      </c>
      <c r="B27" s="64">
        <v>9.84</v>
      </c>
      <c r="C27" s="64">
        <v>19.690000000000001</v>
      </c>
      <c r="D27" s="64">
        <v>20.05</v>
      </c>
      <c r="E27" s="64">
        <v>1.31</v>
      </c>
      <c r="F27" s="64">
        <v>1.92</v>
      </c>
      <c r="G27" s="64">
        <v>103.96</v>
      </c>
      <c r="H27" s="64">
        <v>32.96</v>
      </c>
      <c r="I27" s="64">
        <v>1.47</v>
      </c>
      <c r="J27" s="64">
        <v>0.08</v>
      </c>
      <c r="K27" s="64">
        <v>69.59</v>
      </c>
      <c r="L27" s="64">
        <v>23.4</v>
      </c>
      <c r="M27" s="64">
        <v>98.84</v>
      </c>
      <c r="N27" s="64">
        <v>9.1</v>
      </c>
      <c r="O27" s="64">
        <v>0</v>
      </c>
      <c r="P27" s="64">
        <v>0.87</v>
      </c>
      <c r="Q27" s="64">
        <v>16.23</v>
      </c>
      <c r="R27" s="198"/>
      <c r="S27" s="198"/>
      <c r="T27" s="198"/>
      <c r="U27" s="198"/>
    </row>
    <row r="28" spans="1:21" s="12" customFormat="1" x14ac:dyDescent="0.25">
      <c r="A28" s="214" t="s">
        <v>2956</v>
      </c>
      <c r="B28" s="64">
        <v>10.8</v>
      </c>
      <c r="C28" s="64">
        <v>15.1</v>
      </c>
      <c r="D28" s="64">
        <v>18.29</v>
      </c>
      <c r="E28" s="64">
        <v>1.76</v>
      </c>
      <c r="F28" s="64">
        <v>1.82</v>
      </c>
      <c r="G28" s="64">
        <v>103.96</v>
      </c>
      <c r="H28" s="64">
        <v>32.96</v>
      </c>
      <c r="I28" s="64">
        <v>1.49</v>
      </c>
      <c r="J28" s="64">
        <v>0.1</v>
      </c>
      <c r="K28" s="64">
        <v>303.79000000000002</v>
      </c>
      <c r="L28" s="64">
        <v>23.3</v>
      </c>
      <c r="M28" s="64">
        <v>98.85</v>
      </c>
      <c r="N28" s="64">
        <v>9.1</v>
      </c>
      <c r="O28" s="64">
        <v>0</v>
      </c>
      <c r="P28" s="64">
        <v>0.85</v>
      </c>
      <c r="Q28" s="64">
        <v>16.36</v>
      </c>
      <c r="R28" s="198"/>
      <c r="S28" s="198"/>
      <c r="T28" s="198"/>
      <c r="U28" s="198"/>
    </row>
    <row r="29" spans="1:21" s="12" customFormat="1" x14ac:dyDescent="0.25">
      <c r="A29" s="214" t="s">
        <v>2957</v>
      </c>
      <c r="B29" s="64">
        <v>11.76</v>
      </c>
      <c r="C29" s="64">
        <v>17.28</v>
      </c>
      <c r="D29" s="64">
        <v>20.260000000000002</v>
      </c>
      <c r="E29" s="64">
        <v>1.41</v>
      </c>
      <c r="F29" s="64">
        <v>1.61</v>
      </c>
      <c r="G29" s="64">
        <v>103.96</v>
      </c>
      <c r="H29" s="64">
        <v>32.96</v>
      </c>
      <c r="I29" s="64">
        <v>1.49</v>
      </c>
      <c r="J29" s="64">
        <v>0.02</v>
      </c>
      <c r="K29" s="64">
        <v>51.23</v>
      </c>
      <c r="L29" s="64">
        <v>23.11</v>
      </c>
      <c r="M29" s="64">
        <v>98.84</v>
      </c>
      <c r="N29" s="64">
        <v>9.1999999999999993</v>
      </c>
      <c r="O29" s="64">
        <v>0</v>
      </c>
      <c r="P29" s="64">
        <v>0.81</v>
      </c>
      <c r="Q29" s="64">
        <v>16.079999999999998</v>
      </c>
      <c r="R29" s="198"/>
      <c r="S29" s="198"/>
      <c r="T29" s="198"/>
      <c r="U29" s="198"/>
    </row>
    <row r="30" spans="1:21" s="12" customFormat="1" x14ac:dyDescent="0.25">
      <c r="A30" s="214" t="s">
        <v>2958</v>
      </c>
      <c r="B30" s="64">
        <v>12.67</v>
      </c>
      <c r="C30" s="64">
        <v>14.51</v>
      </c>
      <c r="D30" s="64">
        <v>19.46</v>
      </c>
      <c r="E30" s="64">
        <v>1.59</v>
      </c>
      <c r="F30" s="64">
        <v>1.49</v>
      </c>
      <c r="G30" s="64">
        <v>108.08</v>
      </c>
      <c r="H30" s="64">
        <v>34.11</v>
      </c>
      <c r="I30" s="64">
        <v>1.51</v>
      </c>
      <c r="J30" s="64">
        <v>7.0000000000000007E-2</v>
      </c>
      <c r="K30" s="64">
        <v>41.48</v>
      </c>
      <c r="L30" s="64">
        <v>23.13</v>
      </c>
      <c r="M30" s="64">
        <v>98.84</v>
      </c>
      <c r="N30" s="64">
        <v>9.1</v>
      </c>
      <c r="O30" s="64">
        <v>0</v>
      </c>
      <c r="P30" s="64">
        <v>0.89</v>
      </c>
      <c r="Q30" s="64">
        <v>15.57</v>
      </c>
      <c r="R30" s="198"/>
      <c r="S30" s="198"/>
      <c r="T30" s="198"/>
      <c r="U30" s="198"/>
    </row>
    <row r="31" spans="1:21" s="12" customFormat="1" x14ac:dyDescent="0.25">
      <c r="A31" s="214" t="s">
        <v>2959</v>
      </c>
      <c r="B31" s="64">
        <v>15.28</v>
      </c>
      <c r="C31" s="64">
        <v>19.96</v>
      </c>
      <c r="D31" s="64">
        <v>24.56</v>
      </c>
      <c r="E31" s="64">
        <v>1.08</v>
      </c>
      <c r="F31" s="64">
        <v>1.45</v>
      </c>
      <c r="G31" s="64">
        <v>108.84</v>
      </c>
      <c r="H31" s="64">
        <v>34.11</v>
      </c>
      <c r="I31" s="64">
        <v>1.54</v>
      </c>
      <c r="J31" s="64">
        <v>0.06</v>
      </c>
      <c r="K31" s="64">
        <v>107.8</v>
      </c>
      <c r="L31" s="64">
        <v>23.1</v>
      </c>
      <c r="M31" s="64">
        <v>98.86</v>
      </c>
      <c r="N31" s="64">
        <v>9.6</v>
      </c>
      <c r="O31" s="64">
        <v>0</v>
      </c>
      <c r="P31" s="64">
        <v>0.85</v>
      </c>
      <c r="Q31" s="64">
        <v>15.53</v>
      </c>
      <c r="R31" s="198"/>
      <c r="S31" s="198"/>
      <c r="T31" s="198"/>
      <c r="U31" s="198"/>
    </row>
    <row r="32" spans="1:21" s="12" customFormat="1" x14ac:dyDescent="0.25">
      <c r="A32" s="214" t="s">
        <v>2960</v>
      </c>
      <c r="B32" s="64">
        <v>8.85</v>
      </c>
      <c r="C32" s="64">
        <v>20.46</v>
      </c>
      <c r="D32" s="64">
        <v>19.68</v>
      </c>
      <c r="E32" s="64">
        <v>1.78</v>
      </c>
      <c r="F32" s="64">
        <v>4.84</v>
      </c>
      <c r="G32" s="64">
        <v>108.84</v>
      </c>
      <c r="H32" s="64">
        <v>34.11</v>
      </c>
      <c r="I32" s="64">
        <v>1.46</v>
      </c>
      <c r="J32" s="64">
        <v>0.1</v>
      </c>
      <c r="K32" s="64">
        <v>94.96</v>
      </c>
      <c r="L32" s="64">
        <v>23.24</v>
      </c>
      <c r="M32" s="64">
        <v>98.84</v>
      </c>
      <c r="N32" s="64">
        <v>14.4</v>
      </c>
      <c r="O32" s="64">
        <v>0</v>
      </c>
      <c r="P32" s="64">
        <v>0.71</v>
      </c>
      <c r="Q32" s="64">
        <v>15.75</v>
      </c>
      <c r="R32" s="198"/>
      <c r="S32" s="198"/>
      <c r="T32" s="198"/>
      <c r="U32" s="198"/>
    </row>
    <row r="33" spans="1:21" s="12" customFormat="1" x14ac:dyDescent="0.25">
      <c r="A33" s="214" t="s">
        <v>2961</v>
      </c>
      <c r="B33" s="64">
        <v>15.94</v>
      </c>
      <c r="C33" s="64">
        <v>31.49</v>
      </c>
      <c r="D33" s="64">
        <v>31.45</v>
      </c>
      <c r="E33" s="64">
        <v>1.1100000000000001</v>
      </c>
      <c r="F33" s="64">
        <v>4.2699999999999996</v>
      </c>
      <c r="G33" s="64">
        <v>108.84</v>
      </c>
      <c r="H33" s="64">
        <v>34.11</v>
      </c>
      <c r="I33" s="64">
        <v>1.47</v>
      </c>
      <c r="J33" s="64">
        <v>0.03</v>
      </c>
      <c r="K33" s="64">
        <v>57.81</v>
      </c>
      <c r="L33" s="64">
        <v>23.42</v>
      </c>
      <c r="M33" s="64">
        <v>98.85</v>
      </c>
      <c r="N33" s="64">
        <v>26.4</v>
      </c>
      <c r="O33" s="64">
        <v>0</v>
      </c>
      <c r="P33" s="64">
        <v>0.83</v>
      </c>
      <c r="Q33" s="64">
        <v>16.059999999999999</v>
      </c>
      <c r="R33" s="198"/>
      <c r="S33" s="198"/>
      <c r="T33" s="198"/>
      <c r="U33" s="198"/>
    </row>
    <row r="34" spans="1:21" s="12" customFormat="1" x14ac:dyDescent="0.25">
      <c r="A34" s="214" t="s">
        <v>2962</v>
      </c>
      <c r="B34" s="64">
        <v>18.059999999999999</v>
      </c>
      <c r="C34" s="64">
        <v>31.57</v>
      </c>
      <c r="D34" s="64">
        <v>33.200000000000003</v>
      </c>
      <c r="E34" s="64">
        <v>1.19</v>
      </c>
      <c r="F34" s="64">
        <v>3.73</v>
      </c>
      <c r="G34" s="64">
        <v>95.73</v>
      </c>
      <c r="H34" s="64">
        <v>33.28</v>
      </c>
      <c r="I34" s="64">
        <v>1.51</v>
      </c>
      <c r="J34" s="64">
        <v>0.13</v>
      </c>
      <c r="K34" s="64">
        <v>336.99</v>
      </c>
      <c r="L34" s="64">
        <v>23.6</v>
      </c>
      <c r="M34" s="64">
        <v>98.85</v>
      </c>
      <c r="N34" s="64">
        <v>36.4</v>
      </c>
      <c r="O34" s="64">
        <v>0</v>
      </c>
      <c r="P34" s="64">
        <v>0.85</v>
      </c>
      <c r="Q34" s="64">
        <v>15.82</v>
      </c>
      <c r="R34" s="198"/>
      <c r="S34" s="198"/>
      <c r="T34" s="198"/>
      <c r="U34" s="198"/>
    </row>
    <row r="35" spans="1:21" s="12" customFormat="1" x14ac:dyDescent="0.25">
      <c r="A35" s="214" t="s">
        <v>2963</v>
      </c>
      <c r="B35" s="64">
        <v>27</v>
      </c>
      <c r="C35" s="64">
        <v>33.880000000000003</v>
      </c>
      <c r="D35" s="64">
        <v>41.64</v>
      </c>
      <c r="E35" s="64">
        <v>1.91</v>
      </c>
      <c r="F35" s="64">
        <v>3.41</v>
      </c>
      <c r="G35" s="64">
        <v>93.51</v>
      </c>
      <c r="H35" s="64">
        <v>33.28</v>
      </c>
      <c r="I35" s="64">
        <v>1.48</v>
      </c>
      <c r="J35" s="64">
        <v>0.11</v>
      </c>
      <c r="K35" s="64">
        <v>325.8</v>
      </c>
      <c r="L35" s="64">
        <v>23.93</v>
      </c>
      <c r="M35" s="64">
        <v>98.85</v>
      </c>
      <c r="N35" s="64">
        <v>57.5</v>
      </c>
      <c r="O35" s="64">
        <v>0</v>
      </c>
      <c r="P35" s="64">
        <v>1</v>
      </c>
      <c r="Q35" s="64">
        <v>15.07</v>
      </c>
      <c r="R35" s="198"/>
      <c r="S35" s="198"/>
      <c r="T35" s="198"/>
      <c r="U35" s="198"/>
    </row>
    <row r="36" spans="1:21" s="12" customFormat="1" x14ac:dyDescent="0.25">
      <c r="A36" s="214" t="s">
        <v>2964</v>
      </c>
      <c r="B36" s="64">
        <v>25.03</v>
      </c>
      <c r="C36" s="64">
        <v>30.75</v>
      </c>
      <c r="D36" s="64">
        <v>38.33</v>
      </c>
      <c r="E36" s="64">
        <v>1.9</v>
      </c>
      <c r="F36" s="64">
        <v>3.06</v>
      </c>
      <c r="G36" s="64">
        <v>93.51</v>
      </c>
      <c r="H36" s="64">
        <v>33.28</v>
      </c>
      <c r="I36" s="64">
        <v>1.5</v>
      </c>
      <c r="J36" s="64">
        <v>0.04</v>
      </c>
      <c r="K36" s="64">
        <v>33.93</v>
      </c>
      <c r="L36" s="64">
        <v>24.33</v>
      </c>
      <c r="M36" s="64">
        <v>98.67</v>
      </c>
      <c r="N36" s="64">
        <v>60.5</v>
      </c>
      <c r="O36" s="64">
        <v>0</v>
      </c>
      <c r="P36" s="64">
        <v>0.97</v>
      </c>
      <c r="Q36" s="64">
        <v>15.64</v>
      </c>
      <c r="R36" s="198"/>
      <c r="S36" s="198"/>
      <c r="T36" s="198"/>
      <c r="U36" s="198"/>
    </row>
    <row r="37" spans="1:21" s="12" customFormat="1" x14ac:dyDescent="0.25">
      <c r="A37" s="214" t="s">
        <v>2965</v>
      </c>
      <c r="B37" s="64">
        <v>21.55</v>
      </c>
      <c r="C37" s="64">
        <v>16.43</v>
      </c>
      <c r="D37" s="64">
        <v>27.64</v>
      </c>
      <c r="E37" s="64">
        <v>1.69</v>
      </c>
      <c r="F37" s="64">
        <v>2.39</v>
      </c>
      <c r="G37" s="64">
        <v>93.51</v>
      </c>
      <c r="H37" s="64">
        <v>33.28</v>
      </c>
      <c r="I37" s="64">
        <v>1.45</v>
      </c>
      <c r="J37" s="64">
        <v>0.28000000000000003</v>
      </c>
      <c r="K37" s="64">
        <v>348.86</v>
      </c>
      <c r="L37" s="64">
        <v>24.94</v>
      </c>
      <c r="M37" s="64">
        <v>96.41</v>
      </c>
      <c r="N37" s="64">
        <v>107.6</v>
      </c>
      <c r="O37" s="64">
        <v>0</v>
      </c>
      <c r="P37" s="64">
        <v>0.89</v>
      </c>
      <c r="Q37" s="64">
        <v>16.34</v>
      </c>
      <c r="R37" s="198"/>
      <c r="S37" s="198"/>
      <c r="T37" s="198"/>
      <c r="U37" s="198"/>
    </row>
    <row r="38" spans="1:21" s="12" customFormat="1" x14ac:dyDescent="0.25">
      <c r="A38" s="214" t="s">
        <v>2966</v>
      </c>
      <c r="B38" s="64">
        <v>18.66</v>
      </c>
      <c r="C38" s="64">
        <v>21.57</v>
      </c>
      <c r="D38" s="64">
        <v>28.16</v>
      </c>
      <c r="E38" s="64">
        <v>1.86</v>
      </c>
      <c r="F38" s="64">
        <v>2.0499999999999998</v>
      </c>
      <c r="G38" s="64">
        <v>109.9</v>
      </c>
      <c r="H38" s="64">
        <v>31.49</v>
      </c>
      <c r="I38" s="64">
        <v>1.53</v>
      </c>
      <c r="J38" s="64">
        <v>0.28999999999999998</v>
      </c>
      <c r="K38" s="64">
        <v>160.30000000000001</v>
      </c>
      <c r="L38" s="64">
        <v>25.1</v>
      </c>
      <c r="M38" s="64">
        <v>95.22</v>
      </c>
      <c r="N38" s="64">
        <v>178.2</v>
      </c>
      <c r="O38" s="64">
        <v>0</v>
      </c>
      <c r="P38" s="64">
        <v>0.91</v>
      </c>
      <c r="Q38" s="64">
        <v>17.079999999999998</v>
      </c>
      <c r="R38" s="198"/>
      <c r="S38" s="198"/>
      <c r="T38" s="198"/>
      <c r="U38" s="198"/>
    </row>
    <row r="39" spans="1:21" s="12" customFormat="1" x14ac:dyDescent="0.25">
      <c r="A39" s="214" t="s">
        <v>2967</v>
      </c>
      <c r="B39" s="64">
        <v>17.11</v>
      </c>
      <c r="C39" s="64">
        <v>14.65</v>
      </c>
      <c r="D39" s="64">
        <v>23.1</v>
      </c>
      <c r="E39" s="64">
        <v>1.63</v>
      </c>
      <c r="F39" s="64">
        <v>0.92</v>
      </c>
      <c r="G39" s="64">
        <v>112.67</v>
      </c>
      <c r="H39" s="64">
        <v>31.49</v>
      </c>
      <c r="I39" s="64">
        <v>1.5</v>
      </c>
      <c r="J39" s="64">
        <v>0.28000000000000003</v>
      </c>
      <c r="K39" s="64">
        <v>153.97</v>
      </c>
      <c r="L39" s="64">
        <v>25.63</v>
      </c>
      <c r="M39" s="64">
        <v>92.52</v>
      </c>
      <c r="N39" s="64">
        <v>225.9</v>
      </c>
      <c r="O39" s="64">
        <v>0</v>
      </c>
      <c r="P39" s="64">
        <v>0.92</v>
      </c>
      <c r="Q39" s="64">
        <v>16.63</v>
      </c>
      <c r="R39" s="198"/>
      <c r="S39" s="198"/>
      <c r="T39" s="198"/>
      <c r="U39" s="198"/>
    </row>
    <row r="40" spans="1:21" s="12" customFormat="1" x14ac:dyDescent="0.25">
      <c r="A40" s="214" t="s">
        <v>2968</v>
      </c>
      <c r="B40" s="64">
        <v>19.41</v>
      </c>
      <c r="C40" s="64">
        <v>17.75</v>
      </c>
      <c r="D40" s="64">
        <v>26.66</v>
      </c>
      <c r="E40" s="64">
        <v>1.96</v>
      </c>
      <c r="F40" s="64">
        <v>3.43</v>
      </c>
      <c r="G40" s="64">
        <v>112.67</v>
      </c>
      <c r="H40" s="64">
        <v>31.49</v>
      </c>
      <c r="I40" s="64">
        <v>1.53</v>
      </c>
      <c r="J40" s="64">
        <v>0.04</v>
      </c>
      <c r="K40" s="64">
        <v>34.159999999999997</v>
      </c>
      <c r="L40" s="64">
        <v>26.68</v>
      </c>
      <c r="M40" s="64">
        <v>87.36</v>
      </c>
      <c r="N40" s="64">
        <v>267</v>
      </c>
      <c r="O40" s="64">
        <v>0</v>
      </c>
      <c r="P40" s="64">
        <v>0.97</v>
      </c>
      <c r="Q40" s="64">
        <v>16.87</v>
      </c>
      <c r="R40" s="198"/>
      <c r="S40" s="198"/>
      <c r="T40" s="198"/>
      <c r="U40" s="198"/>
    </row>
    <row r="41" spans="1:21" s="12" customFormat="1" x14ac:dyDescent="0.25">
      <c r="A41" s="214" t="s">
        <v>2969</v>
      </c>
      <c r="B41" s="64">
        <v>20.6</v>
      </c>
      <c r="C41" s="64">
        <v>19.899999999999999</v>
      </c>
      <c r="D41" s="64">
        <v>28.8</v>
      </c>
      <c r="E41" s="64">
        <v>3.18</v>
      </c>
      <c r="F41" s="64">
        <v>3.09</v>
      </c>
      <c r="G41" s="64">
        <v>112.67</v>
      </c>
      <c r="H41" s="64">
        <v>31.49</v>
      </c>
      <c r="I41" s="64">
        <v>1.54</v>
      </c>
      <c r="J41" s="64">
        <v>0.79</v>
      </c>
      <c r="K41" s="64">
        <v>339.42</v>
      </c>
      <c r="L41" s="64">
        <v>28.81</v>
      </c>
      <c r="M41" s="64">
        <v>77.2</v>
      </c>
      <c r="N41" s="64">
        <v>316.39999999999998</v>
      </c>
      <c r="O41" s="64">
        <v>0</v>
      </c>
      <c r="P41" s="64">
        <v>0.94</v>
      </c>
      <c r="Q41" s="64">
        <v>16.07</v>
      </c>
      <c r="R41" s="198"/>
      <c r="S41" s="198"/>
      <c r="T41" s="198"/>
      <c r="U41" s="198"/>
    </row>
    <row r="42" spans="1:21" s="12" customFormat="1" x14ac:dyDescent="0.25">
      <c r="A42" s="214" t="s">
        <v>2970</v>
      </c>
      <c r="B42" s="64">
        <v>18.670000000000002</v>
      </c>
      <c r="C42" s="64">
        <v>17.3</v>
      </c>
      <c r="D42" s="64">
        <v>25.81</v>
      </c>
      <c r="E42" s="64">
        <v>2.68</v>
      </c>
      <c r="F42" s="64">
        <v>3.05</v>
      </c>
      <c r="G42" s="64">
        <v>114.17</v>
      </c>
      <c r="H42" s="64">
        <v>31.62</v>
      </c>
      <c r="I42" s="64">
        <v>1.45</v>
      </c>
      <c r="J42" s="64">
        <v>0.35</v>
      </c>
      <c r="K42" s="64">
        <v>1.81</v>
      </c>
      <c r="L42" s="64">
        <v>28.97</v>
      </c>
      <c r="M42" s="64">
        <v>76.739999999999995</v>
      </c>
      <c r="N42" s="64">
        <v>378.8</v>
      </c>
      <c r="O42" s="64">
        <v>0</v>
      </c>
      <c r="P42" s="64">
        <v>0.93</v>
      </c>
      <c r="Q42" s="64">
        <v>15.97</v>
      </c>
      <c r="R42" s="198"/>
      <c r="S42" s="198"/>
      <c r="T42" s="198"/>
      <c r="U42" s="198"/>
    </row>
    <row r="43" spans="1:21" s="12" customFormat="1" x14ac:dyDescent="0.25">
      <c r="A43" s="214" t="s">
        <v>2971</v>
      </c>
      <c r="B43" s="64">
        <v>16.239999999999998</v>
      </c>
      <c r="C43" s="64">
        <v>17.309999999999999</v>
      </c>
      <c r="D43" s="64">
        <v>23.86</v>
      </c>
      <c r="E43" s="64">
        <v>3.28</v>
      </c>
      <c r="F43" s="64">
        <v>4.8099999999999996</v>
      </c>
      <c r="G43" s="64">
        <v>114.43</v>
      </c>
      <c r="H43" s="64">
        <v>31.62</v>
      </c>
      <c r="I43" s="64">
        <v>1.48</v>
      </c>
      <c r="J43" s="64">
        <v>0.33</v>
      </c>
      <c r="K43" s="64">
        <v>69.86</v>
      </c>
      <c r="L43" s="64">
        <v>28.75</v>
      </c>
      <c r="M43" s="64">
        <v>77.760000000000005</v>
      </c>
      <c r="N43" s="64">
        <v>438.6</v>
      </c>
      <c r="O43" s="64">
        <v>0</v>
      </c>
      <c r="P43" s="64">
        <v>0.87</v>
      </c>
      <c r="Q43" s="64">
        <v>16.62</v>
      </c>
      <c r="R43" s="198"/>
      <c r="S43" s="198"/>
      <c r="T43" s="198"/>
      <c r="U43" s="198"/>
    </row>
    <row r="44" spans="1:21" s="12" customFormat="1" x14ac:dyDescent="0.25">
      <c r="A44" s="214" t="s">
        <v>2972</v>
      </c>
      <c r="B44" s="64">
        <v>15.54</v>
      </c>
      <c r="C44" s="64">
        <v>23.38</v>
      </c>
      <c r="D44" s="64">
        <v>26.66</v>
      </c>
      <c r="E44" s="64">
        <v>2.57</v>
      </c>
      <c r="F44" s="64">
        <v>12.08</v>
      </c>
      <c r="G44" s="64">
        <v>114.43</v>
      </c>
      <c r="H44" s="64">
        <v>31.62</v>
      </c>
      <c r="I44" s="64">
        <v>1.5</v>
      </c>
      <c r="J44" s="64">
        <v>0.17</v>
      </c>
      <c r="K44" s="64">
        <v>53.3</v>
      </c>
      <c r="L44" s="64">
        <v>28.8</v>
      </c>
      <c r="M44" s="64">
        <v>78.150000000000006</v>
      </c>
      <c r="N44" s="64">
        <v>485.7</v>
      </c>
      <c r="O44" s="64">
        <v>0</v>
      </c>
      <c r="P44" s="64">
        <v>0.83</v>
      </c>
      <c r="Q44" s="64">
        <v>17.02</v>
      </c>
      <c r="R44" s="198"/>
      <c r="S44" s="198"/>
      <c r="T44" s="198"/>
      <c r="U44" s="198"/>
    </row>
    <row r="45" spans="1:21" s="12" customFormat="1" x14ac:dyDescent="0.25">
      <c r="A45" s="214" t="s">
        <v>2973</v>
      </c>
      <c r="B45" s="64">
        <v>11.04</v>
      </c>
      <c r="C45" s="64">
        <v>22.91</v>
      </c>
      <c r="D45" s="64">
        <v>22.79</v>
      </c>
      <c r="E45" s="64">
        <v>3.5</v>
      </c>
      <c r="F45" s="64">
        <v>14.25</v>
      </c>
      <c r="G45" s="64">
        <v>114.43</v>
      </c>
      <c r="H45" s="64">
        <v>31.62</v>
      </c>
      <c r="I45" s="64">
        <v>1.44</v>
      </c>
      <c r="J45" s="64">
        <v>0.65</v>
      </c>
      <c r="K45" s="64">
        <v>128.44</v>
      </c>
      <c r="L45" s="64">
        <v>28.6</v>
      </c>
      <c r="M45" s="64">
        <v>77.849999999999994</v>
      </c>
      <c r="N45" s="64">
        <v>520.1</v>
      </c>
      <c r="O45" s="64">
        <v>0</v>
      </c>
      <c r="P45" s="64">
        <v>0.7</v>
      </c>
      <c r="Q45" s="64">
        <v>17.809999999999999</v>
      </c>
      <c r="R45" s="198"/>
      <c r="S45" s="198"/>
      <c r="T45" s="198"/>
      <c r="U45" s="198"/>
    </row>
    <row r="46" spans="1:21" s="12" customFormat="1" x14ac:dyDescent="0.25">
      <c r="A46" s="214" t="s">
        <v>2974</v>
      </c>
      <c r="B46" s="64">
        <v>9.76</v>
      </c>
      <c r="C46" s="64">
        <v>18.48</v>
      </c>
      <c r="D46" s="64">
        <v>19.32</v>
      </c>
      <c r="E46" s="64">
        <v>2.48</v>
      </c>
      <c r="F46" s="64">
        <v>16.899999999999999</v>
      </c>
      <c r="G46" s="64">
        <v>110.45</v>
      </c>
      <c r="H46" s="64">
        <v>29.91</v>
      </c>
      <c r="I46" s="64">
        <v>1.49</v>
      </c>
      <c r="J46" s="64">
        <v>0.39</v>
      </c>
      <c r="K46" s="64">
        <v>116.85</v>
      </c>
      <c r="L46" s="64">
        <v>28.3</v>
      </c>
      <c r="M46" s="64">
        <v>78.87</v>
      </c>
      <c r="N46" s="64">
        <v>356.6</v>
      </c>
      <c r="O46" s="64">
        <v>0</v>
      </c>
      <c r="P46" s="64">
        <v>0.7</v>
      </c>
      <c r="Q46" s="64">
        <v>18.739999999999998</v>
      </c>
      <c r="R46" s="198"/>
      <c r="S46" s="198"/>
      <c r="T46" s="198"/>
      <c r="U46" s="198"/>
    </row>
    <row r="47" spans="1:21" s="12" customFormat="1" x14ac:dyDescent="0.25">
      <c r="A47" s="214" t="s">
        <v>2975</v>
      </c>
      <c r="B47" s="64">
        <v>11.66</v>
      </c>
      <c r="C47" s="64">
        <v>24.83</v>
      </c>
      <c r="D47" s="64">
        <v>24.34</v>
      </c>
      <c r="E47" s="64">
        <v>2.96</v>
      </c>
      <c r="F47" s="64">
        <v>15.63</v>
      </c>
      <c r="G47" s="64">
        <v>109.78</v>
      </c>
      <c r="H47" s="64">
        <v>29.91</v>
      </c>
      <c r="I47" s="64">
        <v>1.48</v>
      </c>
      <c r="J47" s="64">
        <v>0.22</v>
      </c>
      <c r="K47" s="64">
        <v>96.42</v>
      </c>
      <c r="L47" s="64">
        <v>28.19</v>
      </c>
      <c r="M47" s="64">
        <v>79.27</v>
      </c>
      <c r="N47" s="64">
        <v>271.10000000000002</v>
      </c>
      <c r="O47" s="64">
        <v>0</v>
      </c>
      <c r="P47" s="64">
        <v>0.77</v>
      </c>
      <c r="Q47" s="64">
        <v>19.260000000000002</v>
      </c>
      <c r="R47" s="198"/>
      <c r="S47" s="198"/>
      <c r="T47" s="198"/>
      <c r="U47" s="198"/>
    </row>
    <row r="48" spans="1:21" s="12" customFormat="1" x14ac:dyDescent="0.25">
      <c r="A48" s="214" t="s">
        <v>2976</v>
      </c>
      <c r="B48" s="64">
        <v>11.94</v>
      </c>
      <c r="C48" s="64">
        <v>18.16</v>
      </c>
      <c r="D48" s="64">
        <v>20.89</v>
      </c>
      <c r="E48" s="64">
        <v>2.93</v>
      </c>
      <c r="F48" s="64">
        <v>4.38</v>
      </c>
      <c r="G48" s="64">
        <v>109.78</v>
      </c>
      <c r="H48" s="64">
        <v>29.91</v>
      </c>
      <c r="I48" s="64">
        <v>1.52</v>
      </c>
      <c r="J48" s="64">
        <v>0.44</v>
      </c>
      <c r="K48" s="64">
        <v>99.01</v>
      </c>
      <c r="L48" s="64">
        <v>28.02</v>
      </c>
      <c r="M48" s="64">
        <v>77.62</v>
      </c>
      <c r="N48" s="64">
        <v>391.3</v>
      </c>
      <c r="O48" s="64">
        <v>0</v>
      </c>
      <c r="P48" s="64">
        <v>0.84</v>
      </c>
      <c r="Q48" s="64">
        <v>19.3</v>
      </c>
      <c r="R48" s="198"/>
      <c r="S48" s="198"/>
      <c r="T48" s="198"/>
      <c r="U48" s="198"/>
    </row>
    <row r="49" spans="1:21" s="12" customFormat="1" x14ac:dyDescent="0.25">
      <c r="A49" s="214" t="s">
        <v>2977</v>
      </c>
      <c r="B49" s="64">
        <v>12</v>
      </c>
      <c r="C49" s="64">
        <v>16.82</v>
      </c>
      <c r="D49" s="64">
        <v>20.2</v>
      </c>
      <c r="E49" s="64">
        <v>3.56</v>
      </c>
      <c r="F49" s="64">
        <v>6.23</v>
      </c>
      <c r="G49" s="64">
        <v>109.78</v>
      </c>
      <c r="H49" s="64">
        <v>29.91</v>
      </c>
      <c r="I49" s="64">
        <v>1.52</v>
      </c>
      <c r="J49" s="64">
        <v>0.22</v>
      </c>
      <c r="K49" s="64">
        <v>46.4</v>
      </c>
      <c r="L49" s="64">
        <v>28.85</v>
      </c>
      <c r="M49" s="64">
        <v>73.260000000000005</v>
      </c>
      <c r="N49" s="64">
        <v>482.4</v>
      </c>
      <c r="O49" s="64">
        <v>0</v>
      </c>
      <c r="P49" s="64">
        <v>0.84</v>
      </c>
      <c r="Q49" s="64">
        <v>19.73</v>
      </c>
      <c r="R49" s="198"/>
      <c r="S49" s="198"/>
      <c r="T49" s="198"/>
      <c r="U49" s="198"/>
    </row>
    <row r="50" spans="1:21" s="12" customFormat="1" x14ac:dyDescent="0.25">
      <c r="A50" s="214" t="s">
        <v>2978</v>
      </c>
      <c r="B50" s="64">
        <v>10.41</v>
      </c>
      <c r="C50" s="64">
        <v>18.649999999999999</v>
      </c>
      <c r="D50" s="64">
        <v>19.93</v>
      </c>
      <c r="E50" s="64">
        <v>4.71</v>
      </c>
      <c r="F50" s="64">
        <v>14.21</v>
      </c>
      <c r="G50" s="64">
        <v>91.86</v>
      </c>
      <c r="H50" s="64">
        <v>30.02</v>
      </c>
      <c r="I50" s="64">
        <v>1.43</v>
      </c>
      <c r="J50" s="64">
        <v>0.25</v>
      </c>
      <c r="K50" s="64">
        <v>123.52</v>
      </c>
      <c r="L50" s="64">
        <v>29.58</v>
      </c>
      <c r="M50" s="64">
        <v>67.430000000000007</v>
      </c>
      <c r="N50" s="64">
        <v>477.8</v>
      </c>
      <c r="O50" s="64">
        <v>0</v>
      </c>
      <c r="P50" s="64">
        <v>0.79</v>
      </c>
      <c r="Q50" s="64">
        <v>19.350000000000001</v>
      </c>
      <c r="R50" s="198"/>
      <c r="S50" s="198"/>
      <c r="T50" s="198"/>
      <c r="U50" s="198"/>
    </row>
    <row r="51" spans="1:21" s="12" customFormat="1" x14ac:dyDescent="0.25">
      <c r="A51" s="214" t="s">
        <v>2979</v>
      </c>
      <c r="B51" s="64">
        <v>5.96</v>
      </c>
      <c r="C51" s="64">
        <v>17.02</v>
      </c>
      <c r="D51" s="64">
        <v>15.46</v>
      </c>
      <c r="E51" s="64">
        <v>7.48</v>
      </c>
      <c r="F51" s="64">
        <v>11.99</v>
      </c>
      <c r="G51" s="64">
        <v>88.83</v>
      </c>
      <c r="H51" s="64">
        <v>30.02</v>
      </c>
      <c r="I51" s="64">
        <v>1.53</v>
      </c>
      <c r="J51" s="64">
        <v>0.71</v>
      </c>
      <c r="K51" s="64">
        <v>111.63</v>
      </c>
      <c r="L51" s="64">
        <v>29.27</v>
      </c>
      <c r="M51" s="64">
        <v>67.08</v>
      </c>
      <c r="N51" s="64">
        <v>669.3</v>
      </c>
      <c r="O51" s="64">
        <v>0</v>
      </c>
      <c r="P51" s="64">
        <v>0.7</v>
      </c>
      <c r="Q51" s="64">
        <v>18.03</v>
      </c>
      <c r="R51" s="198"/>
      <c r="S51" s="198"/>
      <c r="T51" s="198"/>
      <c r="U51" s="198"/>
    </row>
    <row r="52" spans="1:21" s="12" customFormat="1" x14ac:dyDescent="0.25">
      <c r="A52" s="214" t="s">
        <v>2980</v>
      </c>
      <c r="B52" s="64">
        <v>3.58</v>
      </c>
      <c r="C52" s="64">
        <v>17.45</v>
      </c>
      <c r="D52" s="64">
        <v>13.79</v>
      </c>
      <c r="E52" s="64">
        <v>9.49</v>
      </c>
      <c r="F52" s="64">
        <v>18.27</v>
      </c>
      <c r="G52" s="64">
        <v>88.83</v>
      </c>
      <c r="H52" s="64">
        <v>30.02</v>
      </c>
      <c r="I52" s="64">
        <v>1.52</v>
      </c>
      <c r="J52" s="64">
        <v>0.47</v>
      </c>
      <c r="K52" s="64">
        <v>141.87</v>
      </c>
      <c r="L52" s="64">
        <v>29.61</v>
      </c>
      <c r="M52" s="64">
        <v>66.23</v>
      </c>
      <c r="N52" s="64">
        <v>434.7</v>
      </c>
      <c r="O52" s="64">
        <v>0</v>
      </c>
      <c r="P52" s="64">
        <v>0.63</v>
      </c>
      <c r="Q52" s="64">
        <v>16.66</v>
      </c>
      <c r="R52" s="198"/>
      <c r="S52" s="198"/>
      <c r="T52" s="198"/>
      <c r="U52" s="198"/>
    </row>
    <row r="53" spans="1:21" s="12" customFormat="1" x14ac:dyDescent="0.25">
      <c r="A53" s="214" t="s">
        <v>2981</v>
      </c>
      <c r="B53" s="64">
        <v>2.34</v>
      </c>
      <c r="C53" s="64">
        <v>18.03</v>
      </c>
      <c r="D53" s="64">
        <v>13.12</v>
      </c>
      <c r="E53" s="64">
        <v>10.73</v>
      </c>
      <c r="F53" s="64">
        <v>8.5</v>
      </c>
      <c r="G53" s="64">
        <v>88.83</v>
      </c>
      <c r="H53" s="64">
        <v>30.02</v>
      </c>
      <c r="I53" s="64">
        <v>1.52</v>
      </c>
      <c r="J53" s="64">
        <v>0.6</v>
      </c>
      <c r="K53" s="64">
        <v>326.02</v>
      </c>
      <c r="L53" s="64">
        <v>29.59</v>
      </c>
      <c r="M53" s="64">
        <v>67.430000000000007</v>
      </c>
      <c r="N53" s="64">
        <v>188.5</v>
      </c>
      <c r="O53" s="64">
        <v>0</v>
      </c>
      <c r="P53" s="64">
        <v>0.6</v>
      </c>
      <c r="Q53" s="64">
        <v>15.19</v>
      </c>
      <c r="R53" s="198"/>
      <c r="S53" s="198"/>
      <c r="T53" s="198"/>
      <c r="U53" s="198"/>
    </row>
    <row r="54" spans="1:21" s="12" customFormat="1" x14ac:dyDescent="0.25">
      <c r="A54" s="214" t="s">
        <v>2982</v>
      </c>
      <c r="B54" s="64">
        <v>2.4700000000000002</v>
      </c>
      <c r="C54" s="64">
        <v>17.170000000000002</v>
      </c>
      <c r="D54" s="64">
        <v>12.74</v>
      </c>
      <c r="E54" s="64">
        <v>12.95</v>
      </c>
      <c r="F54" s="64">
        <v>3.61</v>
      </c>
      <c r="G54" s="64">
        <v>83.15</v>
      </c>
      <c r="H54" s="64">
        <v>31.39</v>
      </c>
      <c r="I54" s="64">
        <v>1.42</v>
      </c>
      <c r="J54" s="64">
        <v>0.6</v>
      </c>
      <c r="K54" s="64">
        <v>334.6</v>
      </c>
      <c r="L54" s="64">
        <v>27.51</v>
      </c>
      <c r="M54" s="64">
        <v>73.81</v>
      </c>
      <c r="N54" s="64">
        <v>234.2</v>
      </c>
      <c r="O54" s="64">
        <v>0</v>
      </c>
      <c r="P54" s="64">
        <v>0.62</v>
      </c>
      <c r="Q54" s="64">
        <v>14.22</v>
      </c>
      <c r="R54" s="198"/>
      <c r="S54" s="198"/>
      <c r="T54" s="198"/>
      <c r="U54" s="198"/>
    </row>
    <row r="55" spans="1:21" s="12" customFormat="1" x14ac:dyDescent="0.25">
      <c r="A55" s="214" t="s">
        <v>2983</v>
      </c>
      <c r="B55" s="64">
        <v>4.46</v>
      </c>
      <c r="C55" s="64">
        <v>19.829999999999998</v>
      </c>
      <c r="D55" s="64">
        <v>15.81</v>
      </c>
      <c r="E55" s="64">
        <v>11.55</v>
      </c>
      <c r="F55" s="64">
        <v>4.8499999999999996</v>
      </c>
      <c r="G55" s="64">
        <v>82.2</v>
      </c>
      <c r="H55" s="64">
        <v>31.39</v>
      </c>
      <c r="I55" s="64">
        <v>1.51</v>
      </c>
      <c r="J55" s="64">
        <v>1.26</v>
      </c>
      <c r="K55" s="64">
        <v>339.92</v>
      </c>
      <c r="L55" s="64">
        <v>27.6</v>
      </c>
      <c r="M55" s="64">
        <v>72.28</v>
      </c>
      <c r="N55" s="64">
        <v>257</v>
      </c>
      <c r="O55" s="64">
        <v>0</v>
      </c>
      <c r="P55" s="64">
        <v>0.66</v>
      </c>
      <c r="Q55" s="64">
        <v>13.52</v>
      </c>
      <c r="R55" s="198"/>
      <c r="S55" s="198"/>
      <c r="T55" s="198"/>
      <c r="U55" s="198"/>
    </row>
    <row r="56" spans="1:21" s="12" customFormat="1" x14ac:dyDescent="0.25">
      <c r="A56" s="214" t="s">
        <v>2984</v>
      </c>
      <c r="B56" s="64">
        <v>4.03</v>
      </c>
      <c r="C56" s="64">
        <v>21.47</v>
      </c>
      <c r="D56" s="64">
        <v>16.37</v>
      </c>
      <c r="E56" s="64">
        <v>7.75</v>
      </c>
      <c r="F56" s="64">
        <v>5.92</v>
      </c>
      <c r="G56" s="64">
        <v>82.2</v>
      </c>
      <c r="H56" s="64">
        <v>31.39</v>
      </c>
      <c r="I56" s="64">
        <v>1.47</v>
      </c>
      <c r="J56" s="64">
        <v>1.64</v>
      </c>
      <c r="K56" s="64">
        <v>338.26</v>
      </c>
      <c r="L56" s="64">
        <v>25.67</v>
      </c>
      <c r="M56" s="64">
        <v>85.7</v>
      </c>
      <c r="N56" s="64">
        <v>289.60000000000002</v>
      </c>
      <c r="O56" s="64">
        <v>0</v>
      </c>
      <c r="P56" s="64">
        <v>0.62</v>
      </c>
      <c r="Q56" s="64">
        <v>13.98</v>
      </c>
      <c r="R56" s="198"/>
      <c r="S56" s="198"/>
      <c r="T56" s="198"/>
      <c r="U56" s="198"/>
    </row>
    <row r="57" spans="1:21" s="12" customFormat="1" x14ac:dyDescent="0.25">
      <c r="A57" s="214" t="s">
        <v>2985</v>
      </c>
      <c r="B57" s="64">
        <v>4.47</v>
      </c>
      <c r="C57" s="64">
        <v>21.06</v>
      </c>
      <c r="D57" s="64">
        <v>16.5</v>
      </c>
      <c r="E57" s="64">
        <v>9.11</v>
      </c>
      <c r="F57" s="64">
        <v>6.98</v>
      </c>
      <c r="G57" s="64">
        <v>82.2</v>
      </c>
      <c r="H57" s="64">
        <v>31.39</v>
      </c>
      <c r="I57" s="64">
        <v>1.51</v>
      </c>
      <c r="J57" s="64">
        <v>1.56</v>
      </c>
      <c r="K57" s="64">
        <v>336.95</v>
      </c>
      <c r="L57" s="64">
        <v>25.99</v>
      </c>
      <c r="M57" s="64">
        <v>80.42</v>
      </c>
      <c r="N57" s="64">
        <v>406.9</v>
      </c>
      <c r="O57" s="64">
        <v>0</v>
      </c>
      <c r="P57" s="64">
        <v>0.59</v>
      </c>
      <c r="Q57" s="64">
        <v>13.22</v>
      </c>
      <c r="R57" s="198"/>
      <c r="S57" s="198"/>
      <c r="T57" s="198"/>
      <c r="U57" s="198"/>
    </row>
    <row r="58" spans="1:21" s="12" customFormat="1" x14ac:dyDescent="0.25">
      <c r="A58" s="214" t="s">
        <v>2986</v>
      </c>
      <c r="B58" s="64">
        <v>8.61</v>
      </c>
      <c r="C58" s="64">
        <v>23.52</v>
      </c>
      <c r="D58" s="64">
        <v>21.18</v>
      </c>
      <c r="E58" s="64">
        <v>6.02</v>
      </c>
      <c r="F58" s="64">
        <v>6.89</v>
      </c>
      <c r="G58" s="64">
        <v>60.44</v>
      </c>
      <c r="H58" s="64">
        <v>28.04</v>
      </c>
      <c r="I58" s="64">
        <v>1.48</v>
      </c>
      <c r="J58" s="64">
        <v>1.07</v>
      </c>
      <c r="K58" s="64">
        <v>337.07</v>
      </c>
      <c r="L58" s="64">
        <v>27.18</v>
      </c>
      <c r="M58" s="64">
        <v>72.89</v>
      </c>
      <c r="N58" s="64">
        <v>321.60000000000002</v>
      </c>
      <c r="O58" s="64">
        <v>0</v>
      </c>
      <c r="P58" s="64">
        <v>0.62</v>
      </c>
      <c r="Q58" s="64">
        <v>13.85</v>
      </c>
      <c r="R58" s="198"/>
      <c r="S58" s="198"/>
      <c r="T58" s="198"/>
      <c r="U58" s="198"/>
    </row>
    <row r="59" spans="1:21" s="12" customFormat="1" x14ac:dyDescent="0.25">
      <c r="A59" s="214" t="s">
        <v>2987</v>
      </c>
      <c r="B59" s="64">
        <v>14.72</v>
      </c>
      <c r="C59" s="64">
        <v>30.07</v>
      </c>
      <c r="D59" s="64">
        <v>29.69</v>
      </c>
      <c r="E59" s="64">
        <v>7.38</v>
      </c>
      <c r="F59" s="64">
        <v>6.16</v>
      </c>
      <c r="G59" s="64">
        <v>56.77</v>
      </c>
      <c r="H59" s="64">
        <v>28.04</v>
      </c>
      <c r="I59" s="64">
        <v>1.5</v>
      </c>
      <c r="J59" s="64">
        <v>1.35</v>
      </c>
      <c r="K59" s="64">
        <v>335.58</v>
      </c>
      <c r="L59" s="64">
        <v>27.46</v>
      </c>
      <c r="M59" s="64">
        <v>72.53</v>
      </c>
      <c r="N59" s="64">
        <v>426.8</v>
      </c>
      <c r="O59" s="64">
        <v>0</v>
      </c>
      <c r="P59" s="64">
        <v>0.67</v>
      </c>
      <c r="Q59" s="64">
        <v>13.14</v>
      </c>
      <c r="R59" s="198"/>
      <c r="S59" s="198"/>
      <c r="T59" s="198"/>
      <c r="U59" s="198"/>
    </row>
    <row r="60" spans="1:21" s="12" customFormat="1" x14ac:dyDescent="0.25">
      <c r="A60" s="214" t="s">
        <v>2988</v>
      </c>
      <c r="B60" s="64">
        <v>10.37</v>
      </c>
      <c r="C60" s="64">
        <v>27.63</v>
      </c>
      <c r="D60" s="64">
        <v>24.86</v>
      </c>
      <c r="E60" s="64">
        <v>7.15</v>
      </c>
      <c r="F60" s="64">
        <v>8.01</v>
      </c>
      <c r="G60" s="64">
        <v>56.77</v>
      </c>
      <c r="H60" s="64">
        <v>28.04</v>
      </c>
      <c r="I60" s="64">
        <v>1.46</v>
      </c>
      <c r="J60" s="64">
        <v>1.98</v>
      </c>
      <c r="K60" s="64">
        <v>339.6</v>
      </c>
      <c r="L60" s="64">
        <v>28.71</v>
      </c>
      <c r="M60" s="64">
        <v>70.97</v>
      </c>
      <c r="N60" s="64">
        <v>593.70000000000005</v>
      </c>
      <c r="O60" s="64">
        <v>0</v>
      </c>
      <c r="P60" s="64">
        <v>0.65</v>
      </c>
      <c r="Q60" s="64">
        <v>13.95</v>
      </c>
      <c r="R60" s="198"/>
      <c r="S60" s="198"/>
      <c r="T60" s="198"/>
      <c r="U60" s="198"/>
    </row>
    <row r="61" spans="1:21" s="12" customFormat="1" x14ac:dyDescent="0.25">
      <c r="A61" s="214" t="s">
        <v>2989</v>
      </c>
      <c r="B61" s="64">
        <v>6.4</v>
      </c>
      <c r="C61" s="64">
        <v>33.46</v>
      </c>
      <c r="D61" s="64">
        <v>24.89</v>
      </c>
      <c r="E61" s="64">
        <v>7.54</v>
      </c>
      <c r="F61" s="64">
        <v>4.59</v>
      </c>
      <c r="G61" s="64">
        <v>56.77</v>
      </c>
      <c r="H61" s="64">
        <v>28.04</v>
      </c>
      <c r="I61" s="64">
        <v>1.56</v>
      </c>
      <c r="J61" s="64">
        <v>1.08</v>
      </c>
      <c r="K61" s="64">
        <v>336.09</v>
      </c>
      <c r="L61" s="64">
        <v>29.81</v>
      </c>
      <c r="M61" s="64">
        <v>69.099999999999994</v>
      </c>
      <c r="N61" s="64">
        <v>515.1</v>
      </c>
      <c r="O61" s="64">
        <v>0</v>
      </c>
      <c r="P61" s="64">
        <v>0.67</v>
      </c>
      <c r="Q61" s="64">
        <v>13.32</v>
      </c>
      <c r="R61" s="198"/>
      <c r="S61" s="198"/>
      <c r="T61" s="198"/>
      <c r="U61" s="198"/>
    </row>
    <row r="62" spans="1:21" s="12" customFormat="1" x14ac:dyDescent="0.25">
      <c r="A62" s="214" t="s">
        <v>2990</v>
      </c>
      <c r="B62" s="64">
        <v>7.78</v>
      </c>
      <c r="C62" s="64">
        <v>35.409999999999997</v>
      </c>
      <c r="D62" s="64">
        <v>27.07</v>
      </c>
      <c r="E62" s="64">
        <v>8.59</v>
      </c>
      <c r="F62" s="64">
        <v>4</v>
      </c>
      <c r="G62" s="64">
        <v>76.05</v>
      </c>
      <c r="H62" s="64">
        <v>27.99</v>
      </c>
      <c r="I62" s="64">
        <v>1.53</v>
      </c>
      <c r="J62" s="64">
        <v>1.26</v>
      </c>
      <c r="K62" s="64">
        <v>338.32</v>
      </c>
      <c r="L62" s="64">
        <v>30.87</v>
      </c>
      <c r="M62" s="64">
        <v>65.849999999999994</v>
      </c>
      <c r="N62" s="64">
        <v>499.5</v>
      </c>
      <c r="O62" s="64">
        <v>0</v>
      </c>
      <c r="P62" s="64">
        <v>0.75</v>
      </c>
      <c r="Q62" s="64">
        <v>12.21</v>
      </c>
      <c r="R62" s="198"/>
      <c r="S62" s="198"/>
      <c r="T62" s="198"/>
      <c r="U62" s="198"/>
    </row>
    <row r="63" spans="1:21" s="12" customFormat="1" x14ac:dyDescent="0.25">
      <c r="A63" s="214" t="s">
        <v>2991</v>
      </c>
      <c r="B63" s="64">
        <v>7.43</v>
      </c>
      <c r="C63" s="64">
        <v>27.92</v>
      </c>
      <c r="D63" s="64">
        <v>22.65</v>
      </c>
      <c r="E63" s="64">
        <v>6.67</v>
      </c>
      <c r="F63" s="64">
        <v>2.0299999999999998</v>
      </c>
      <c r="G63" s="64">
        <v>79.31</v>
      </c>
      <c r="H63" s="64">
        <v>27.99</v>
      </c>
      <c r="I63" s="64">
        <v>1.49</v>
      </c>
      <c r="J63" s="64">
        <v>1.71</v>
      </c>
      <c r="K63" s="64">
        <v>338.34</v>
      </c>
      <c r="L63" s="64">
        <v>30.78</v>
      </c>
      <c r="M63" s="64">
        <v>65.16</v>
      </c>
      <c r="N63" s="64">
        <v>453.3</v>
      </c>
      <c r="O63" s="64">
        <v>0</v>
      </c>
      <c r="P63" s="64">
        <v>0.77</v>
      </c>
      <c r="Q63" s="64">
        <v>12.17</v>
      </c>
      <c r="R63" s="198"/>
      <c r="S63" s="198"/>
      <c r="T63" s="198"/>
      <c r="U63" s="198"/>
    </row>
    <row r="64" spans="1:21" s="12" customFormat="1" x14ac:dyDescent="0.25">
      <c r="A64" s="214" t="s">
        <v>2992</v>
      </c>
      <c r="B64" s="64">
        <v>8.43</v>
      </c>
      <c r="C64" s="64">
        <v>26.58</v>
      </c>
      <c r="D64" s="64">
        <v>22.72</v>
      </c>
      <c r="E64" s="64">
        <v>7.65</v>
      </c>
      <c r="F64" s="64">
        <v>2.2999999999999998</v>
      </c>
      <c r="G64" s="64">
        <v>79.31</v>
      </c>
      <c r="H64" s="64">
        <v>27.99</v>
      </c>
      <c r="I64" s="64">
        <v>1.47</v>
      </c>
      <c r="J64" s="64">
        <v>1.5</v>
      </c>
      <c r="K64" s="64">
        <v>339.02</v>
      </c>
      <c r="L64" s="64">
        <v>30.47</v>
      </c>
      <c r="M64" s="64">
        <v>63.79</v>
      </c>
      <c r="N64" s="64">
        <v>386.6</v>
      </c>
      <c r="O64" s="64">
        <v>0</v>
      </c>
      <c r="P64" s="64">
        <v>0.78</v>
      </c>
      <c r="Q64" s="64">
        <v>12.39</v>
      </c>
      <c r="R64" s="198"/>
      <c r="S64" s="198"/>
      <c r="T64" s="198"/>
      <c r="U64" s="198"/>
    </row>
    <row r="65" spans="1:21" s="12" customFormat="1" x14ac:dyDescent="0.25">
      <c r="A65" s="214" t="s">
        <v>2993</v>
      </c>
      <c r="B65" s="64">
        <v>10.210000000000001</v>
      </c>
      <c r="C65" s="64">
        <v>27.13</v>
      </c>
      <c r="D65" s="64">
        <v>24.46</v>
      </c>
      <c r="E65" s="64">
        <v>7.37</v>
      </c>
      <c r="F65" s="64">
        <v>3.68</v>
      </c>
      <c r="G65" s="64">
        <v>79.31</v>
      </c>
      <c r="H65" s="64">
        <v>27.99</v>
      </c>
      <c r="I65" s="64">
        <v>1.46</v>
      </c>
      <c r="J65" s="64">
        <v>1.0900000000000001</v>
      </c>
      <c r="K65" s="64">
        <v>337.46</v>
      </c>
      <c r="L65" s="64">
        <v>30.97</v>
      </c>
      <c r="M65" s="64">
        <v>65.45</v>
      </c>
      <c r="N65" s="64">
        <v>352.5</v>
      </c>
      <c r="O65" s="64">
        <v>0</v>
      </c>
      <c r="P65" s="64">
        <v>0.86</v>
      </c>
      <c r="Q65" s="64">
        <v>11.81</v>
      </c>
      <c r="R65" s="198"/>
      <c r="S65" s="198"/>
      <c r="T65" s="198"/>
      <c r="U65" s="198"/>
    </row>
    <row r="66" spans="1:21" s="12" customFormat="1" x14ac:dyDescent="0.25">
      <c r="A66" s="214" t="s">
        <v>2994</v>
      </c>
      <c r="B66" s="64">
        <v>11.58</v>
      </c>
      <c r="C66" s="64">
        <v>26.92</v>
      </c>
      <c r="D66" s="64">
        <v>25.43</v>
      </c>
      <c r="E66" s="64">
        <v>6.54</v>
      </c>
      <c r="F66" s="64">
        <v>2.59</v>
      </c>
      <c r="G66" s="64">
        <v>94.55</v>
      </c>
      <c r="H66" s="64">
        <v>33.83</v>
      </c>
      <c r="I66" s="64">
        <v>1.44</v>
      </c>
      <c r="J66" s="64">
        <v>1.02</v>
      </c>
      <c r="K66" s="64">
        <v>340.85</v>
      </c>
      <c r="L66" s="64">
        <v>30.73</v>
      </c>
      <c r="M66" s="64">
        <v>64.88</v>
      </c>
      <c r="N66" s="64">
        <v>246.1</v>
      </c>
      <c r="O66" s="64">
        <v>0</v>
      </c>
      <c r="P66" s="64">
        <v>0.89</v>
      </c>
      <c r="Q66" s="64">
        <v>11.57</v>
      </c>
      <c r="R66" s="198"/>
      <c r="S66" s="198"/>
      <c r="T66" s="198"/>
      <c r="U66" s="198"/>
    </row>
    <row r="67" spans="1:21" s="12" customFormat="1" x14ac:dyDescent="0.25">
      <c r="A67" s="214" t="s">
        <v>2995</v>
      </c>
      <c r="B67" s="64">
        <v>12.48</v>
      </c>
      <c r="C67" s="64">
        <v>27.68</v>
      </c>
      <c r="D67" s="64">
        <v>26.58</v>
      </c>
      <c r="E67" s="64">
        <v>5.88</v>
      </c>
      <c r="F67" s="64">
        <v>4.8099999999999996</v>
      </c>
      <c r="G67" s="64">
        <v>97.13</v>
      </c>
      <c r="H67" s="64">
        <v>33.83</v>
      </c>
      <c r="I67" s="64">
        <v>1.54</v>
      </c>
      <c r="J67" s="64">
        <v>1.1000000000000001</v>
      </c>
      <c r="K67" s="64">
        <v>336.2</v>
      </c>
      <c r="L67" s="64">
        <v>30.15</v>
      </c>
      <c r="M67" s="64">
        <v>63.42</v>
      </c>
      <c r="N67" s="64">
        <v>201.9</v>
      </c>
      <c r="O67" s="64">
        <v>0</v>
      </c>
      <c r="P67" s="64">
        <v>0.91</v>
      </c>
      <c r="Q67" s="64">
        <v>12.57</v>
      </c>
      <c r="R67" s="198"/>
      <c r="S67" s="198"/>
      <c r="T67" s="198"/>
      <c r="U67" s="198"/>
    </row>
    <row r="68" spans="1:21" s="12" customFormat="1" x14ac:dyDescent="0.25">
      <c r="A68" s="214" t="s">
        <v>2996</v>
      </c>
      <c r="B68" s="64">
        <v>13.78</v>
      </c>
      <c r="C68" s="64">
        <v>37.39</v>
      </c>
      <c r="D68" s="64">
        <v>32.979999999999997</v>
      </c>
      <c r="E68" s="64">
        <v>6.78</v>
      </c>
      <c r="F68" s="64">
        <v>14.83</v>
      </c>
      <c r="G68" s="64">
        <v>97.13</v>
      </c>
      <c r="H68" s="64">
        <v>33.83</v>
      </c>
      <c r="I68" s="64">
        <v>1.5</v>
      </c>
      <c r="J68" s="64">
        <v>1.01</v>
      </c>
      <c r="K68" s="64">
        <v>343.52</v>
      </c>
      <c r="L68" s="64">
        <v>29.54</v>
      </c>
      <c r="M68" s="64">
        <v>65.59</v>
      </c>
      <c r="N68" s="64">
        <v>152.1</v>
      </c>
      <c r="O68" s="64">
        <v>0</v>
      </c>
      <c r="P68" s="64">
        <v>0.89</v>
      </c>
      <c r="Q68" s="64">
        <v>12.82</v>
      </c>
      <c r="R68" s="198"/>
      <c r="S68" s="198"/>
      <c r="T68" s="198"/>
      <c r="U68" s="198"/>
    </row>
    <row r="69" spans="1:21" s="12" customFormat="1" x14ac:dyDescent="0.25">
      <c r="A69" s="214" t="s">
        <v>2997</v>
      </c>
      <c r="B69" s="64">
        <v>20.93</v>
      </c>
      <c r="C69" s="64">
        <v>56.09</v>
      </c>
      <c r="D69" s="64">
        <v>49.03</v>
      </c>
      <c r="E69" s="64">
        <v>6.73</v>
      </c>
      <c r="F69" s="64">
        <v>13.93</v>
      </c>
      <c r="G69" s="64">
        <v>97.13</v>
      </c>
      <c r="H69" s="64">
        <v>33.83</v>
      </c>
      <c r="I69" s="64">
        <v>1.6</v>
      </c>
      <c r="J69" s="64">
        <v>0.61</v>
      </c>
      <c r="K69" s="64">
        <v>337.26</v>
      </c>
      <c r="L69" s="64">
        <v>29.05</v>
      </c>
      <c r="M69" s="64">
        <v>66.27</v>
      </c>
      <c r="N69" s="64">
        <v>137.69999999999999</v>
      </c>
      <c r="O69" s="64">
        <v>0</v>
      </c>
      <c r="P69" s="64">
        <v>0.99</v>
      </c>
      <c r="Q69" s="64">
        <v>10.9</v>
      </c>
      <c r="R69" s="198"/>
      <c r="S69" s="198"/>
      <c r="T69" s="198"/>
      <c r="U69" s="198"/>
    </row>
    <row r="70" spans="1:21" s="12" customFormat="1" x14ac:dyDescent="0.25">
      <c r="A70" s="214" t="s">
        <v>2998</v>
      </c>
      <c r="B70" s="64">
        <v>20.170000000000002</v>
      </c>
      <c r="C70" s="64">
        <v>48.63</v>
      </c>
      <c r="D70" s="64">
        <v>44.3</v>
      </c>
      <c r="E70" s="64">
        <v>5.17</v>
      </c>
      <c r="F70" s="64">
        <v>11.51</v>
      </c>
      <c r="G70" s="64">
        <v>104.88</v>
      </c>
      <c r="H70" s="64">
        <v>36.770000000000003</v>
      </c>
      <c r="I70" s="64">
        <v>1.51</v>
      </c>
      <c r="J70" s="64">
        <v>0.75</v>
      </c>
      <c r="K70" s="64">
        <v>343.84</v>
      </c>
      <c r="L70" s="64">
        <v>28.9</v>
      </c>
      <c r="M70" s="64">
        <v>68.760000000000005</v>
      </c>
      <c r="N70" s="64">
        <v>128.4</v>
      </c>
      <c r="O70" s="64">
        <v>0</v>
      </c>
      <c r="P70" s="64">
        <v>1.1100000000000001</v>
      </c>
      <c r="Q70" s="64">
        <v>9.35</v>
      </c>
      <c r="R70" s="198"/>
      <c r="S70" s="198"/>
      <c r="T70" s="198"/>
      <c r="U70" s="198"/>
    </row>
    <row r="71" spans="1:21" s="12" customFormat="1" x14ac:dyDescent="0.25">
      <c r="A71" s="214" t="s">
        <v>2999</v>
      </c>
      <c r="B71" s="64">
        <v>22.93</v>
      </c>
      <c r="C71" s="64">
        <v>66.8</v>
      </c>
      <c r="D71" s="64">
        <v>56.55</v>
      </c>
      <c r="E71" s="64">
        <v>4.99</v>
      </c>
      <c r="F71" s="64">
        <v>17.71</v>
      </c>
      <c r="G71" s="64">
        <v>106.19</v>
      </c>
      <c r="H71" s="64">
        <v>36.770000000000003</v>
      </c>
      <c r="I71" s="64">
        <v>1.47</v>
      </c>
      <c r="J71" s="64">
        <v>0.2</v>
      </c>
      <c r="K71" s="64">
        <v>1.98</v>
      </c>
      <c r="L71" s="64">
        <v>28.47</v>
      </c>
      <c r="M71" s="64">
        <v>71.34</v>
      </c>
      <c r="N71" s="64">
        <v>109.5</v>
      </c>
      <c r="O71" s="64">
        <v>0</v>
      </c>
      <c r="P71" s="64">
        <v>1.29</v>
      </c>
      <c r="Q71" s="64">
        <v>9.9700000000000006</v>
      </c>
      <c r="R71" s="198"/>
      <c r="S71" s="198"/>
      <c r="T71" s="198"/>
      <c r="U71" s="198"/>
    </row>
    <row r="72" spans="1:21" s="12" customFormat="1" x14ac:dyDescent="0.25">
      <c r="A72" s="214" t="s">
        <v>3000</v>
      </c>
      <c r="B72" s="64">
        <v>14.6</v>
      </c>
      <c r="C72" s="64">
        <v>37.06</v>
      </c>
      <c r="D72" s="64">
        <v>33.450000000000003</v>
      </c>
      <c r="E72" s="64">
        <v>2.23</v>
      </c>
      <c r="F72" s="64">
        <v>7.48</v>
      </c>
      <c r="G72" s="64">
        <v>106.19</v>
      </c>
      <c r="H72" s="64">
        <v>36.770000000000003</v>
      </c>
      <c r="I72" s="64">
        <v>1.54</v>
      </c>
      <c r="J72" s="64">
        <v>0.62</v>
      </c>
      <c r="K72" s="64">
        <v>339.57</v>
      </c>
      <c r="L72" s="64">
        <v>28.13</v>
      </c>
      <c r="M72" s="64">
        <v>72.86</v>
      </c>
      <c r="N72" s="64">
        <v>90.1</v>
      </c>
      <c r="O72" s="64">
        <v>0</v>
      </c>
      <c r="P72" s="64">
        <v>1.03</v>
      </c>
      <c r="Q72" s="64">
        <v>11.12</v>
      </c>
      <c r="R72" s="198"/>
      <c r="S72" s="198"/>
      <c r="T72" s="198"/>
      <c r="U72" s="198"/>
    </row>
    <row r="73" spans="1:21" s="12" customFormat="1" x14ac:dyDescent="0.25">
      <c r="A73" s="214" t="s">
        <v>3001</v>
      </c>
      <c r="B73" s="64">
        <v>19.47</v>
      </c>
      <c r="C73" s="64">
        <v>46.61</v>
      </c>
      <c r="D73" s="64">
        <v>42.63</v>
      </c>
      <c r="E73" s="64">
        <v>3.66</v>
      </c>
      <c r="F73" s="64">
        <v>9.3800000000000008</v>
      </c>
      <c r="G73" s="64">
        <v>106.19</v>
      </c>
      <c r="H73" s="64">
        <v>36.770000000000003</v>
      </c>
      <c r="I73" s="64">
        <v>1.53</v>
      </c>
      <c r="J73" s="64">
        <v>0.43</v>
      </c>
      <c r="K73" s="64">
        <v>340.55</v>
      </c>
      <c r="L73" s="64">
        <v>28.07</v>
      </c>
      <c r="M73" s="64">
        <v>75.12</v>
      </c>
      <c r="N73" s="64">
        <v>64.7</v>
      </c>
      <c r="O73" s="64">
        <v>0</v>
      </c>
      <c r="P73" s="64">
        <v>1.21</v>
      </c>
      <c r="Q73" s="64">
        <v>12.55</v>
      </c>
      <c r="R73" s="198"/>
      <c r="S73" s="198"/>
      <c r="T73" s="198"/>
      <c r="U73" s="198"/>
    </row>
    <row r="74" spans="1:21" s="12" customFormat="1" x14ac:dyDescent="0.25">
      <c r="A74" s="214" t="s">
        <v>3002</v>
      </c>
      <c r="B74" s="64">
        <v>15.58</v>
      </c>
      <c r="C74" s="64">
        <v>27.59</v>
      </c>
      <c r="D74" s="64">
        <v>29.01</v>
      </c>
      <c r="E74" s="64">
        <v>9.06</v>
      </c>
      <c r="F74" s="64">
        <v>6.12</v>
      </c>
      <c r="G74" s="64">
        <v>117.21</v>
      </c>
      <c r="H74" s="64">
        <v>36.85</v>
      </c>
      <c r="I74" s="64">
        <v>1.52</v>
      </c>
      <c r="J74" s="64">
        <v>1.06</v>
      </c>
      <c r="K74" s="64">
        <v>340.43</v>
      </c>
      <c r="L74" s="64">
        <v>27.75</v>
      </c>
      <c r="M74" s="64">
        <v>79.63</v>
      </c>
      <c r="N74" s="64">
        <v>55</v>
      </c>
      <c r="O74" s="64">
        <v>0</v>
      </c>
      <c r="P74" s="64">
        <v>1.07</v>
      </c>
      <c r="Q74" s="64">
        <v>13.1</v>
      </c>
      <c r="R74" s="198"/>
      <c r="S74" s="198"/>
      <c r="T74" s="198"/>
      <c r="U74" s="198"/>
    </row>
    <row r="75" spans="1:21" s="12" customFormat="1" x14ac:dyDescent="0.25">
      <c r="A75" s="214" t="s">
        <v>3003</v>
      </c>
      <c r="B75" s="64">
        <v>14.47</v>
      </c>
      <c r="C75" s="64">
        <v>30.57</v>
      </c>
      <c r="D75" s="64">
        <v>29.77</v>
      </c>
      <c r="E75" s="64">
        <v>13.57</v>
      </c>
      <c r="F75" s="64">
        <v>7.62</v>
      </c>
      <c r="G75" s="64">
        <v>119.08</v>
      </c>
      <c r="H75" s="64">
        <v>36.85</v>
      </c>
      <c r="I75" s="64">
        <v>1.51</v>
      </c>
      <c r="J75" s="64">
        <v>0.79</v>
      </c>
      <c r="K75" s="64">
        <v>326.92</v>
      </c>
      <c r="L75" s="64">
        <v>27.21</v>
      </c>
      <c r="M75" s="64">
        <v>85.26</v>
      </c>
      <c r="N75" s="64">
        <v>50.7</v>
      </c>
      <c r="O75" s="64">
        <v>0</v>
      </c>
      <c r="P75" s="64">
        <v>1.05</v>
      </c>
      <c r="Q75" s="64">
        <v>13.02</v>
      </c>
      <c r="R75" s="198"/>
      <c r="S75" s="198"/>
      <c r="T75" s="198"/>
      <c r="U75" s="198"/>
    </row>
    <row r="76" spans="1:21" s="12" customFormat="1" x14ac:dyDescent="0.25">
      <c r="A76" s="214" t="s">
        <v>3004</v>
      </c>
      <c r="B76" s="64">
        <v>15.58</v>
      </c>
      <c r="C76" s="64">
        <v>37.29</v>
      </c>
      <c r="D76" s="64">
        <v>34.36</v>
      </c>
      <c r="E76" s="64">
        <v>10.31</v>
      </c>
      <c r="F76" s="64">
        <v>11.64</v>
      </c>
      <c r="G76" s="64">
        <v>119.08</v>
      </c>
      <c r="H76" s="64">
        <v>36.85</v>
      </c>
      <c r="I76" s="64">
        <v>1.48</v>
      </c>
      <c r="J76" s="64">
        <v>0.61</v>
      </c>
      <c r="K76" s="64">
        <v>325.68</v>
      </c>
      <c r="L76" s="64">
        <v>27.01</v>
      </c>
      <c r="M76" s="64">
        <v>87.13</v>
      </c>
      <c r="N76" s="64">
        <v>46.3</v>
      </c>
      <c r="O76" s="64">
        <v>0</v>
      </c>
      <c r="P76" s="64">
        <v>1.1599999999999999</v>
      </c>
      <c r="Q76" s="64">
        <v>12.36</v>
      </c>
      <c r="R76" s="198"/>
      <c r="S76" s="198"/>
      <c r="T76" s="198"/>
      <c r="U76" s="198"/>
    </row>
    <row r="77" spans="1:21" s="12" customFormat="1" x14ac:dyDescent="0.25">
      <c r="A77" s="214" t="s">
        <v>3005</v>
      </c>
      <c r="B77" s="64">
        <v>19.05</v>
      </c>
      <c r="C77" s="64">
        <v>32.39</v>
      </c>
      <c r="D77" s="64">
        <v>34.450000000000003</v>
      </c>
      <c r="E77" s="64">
        <v>7.4</v>
      </c>
      <c r="F77" s="64">
        <v>5.27</v>
      </c>
      <c r="G77" s="64">
        <v>119.08</v>
      </c>
      <c r="H77" s="64">
        <v>36.85</v>
      </c>
      <c r="I77" s="64">
        <v>1.49</v>
      </c>
      <c r="J77" s="64">
        <v>0.53</v>
      </c>
      <c r="K77" s="64">
        <v>332.01</v>
      </c>
      <c r="L77" s="64">
        <v>26.88</v>
      </c>
      <c r="M77" s="64">
        <v>88.92</v>
      </c>
      <c r="N77" s="64">
        <v>34.4</v>
      </c>
      <c r="O77" s="64">
        <v>0</v>
      </c>
      <c r="P77" s="64">
        <v>1.17</v>
      </c>
      <c r="Q77" s="64">
        <v>12.01</v>
      </c>
      <c r="R77" s="198"/>
      <c r="S77" s="198"/>
      <c r="T77" s="198"/>
      <c r="U77" s="198"/>
    </row>
    <row r="78" spans="1:21" s="12" customFormat="1" x14ac:dyDescent="0.25">
      <c r="A78" s="214" t="s">
        <v>3006</v>
      </c>
      <c r="B78" s="64">
        <v>18.239999999999998</v>
      </c>
      <c r="C78" s="64">
        <v>35.75</v>
      </c>
      <c r="D78" s="64">
        <v>35.65</v>
      </c>
      <c r="E78" s="64">
        <v>6.62</v>
      </c>
      <c r="F78" s="64">
        <v>3.61</v>
      </c>
      <c r="G78" s="64">
        <v>102.75</v>
      </c>
      <c r="H78" s="64">
        <v>36.67</v>
      </c>
      <c r="I78" s="64">
        <v>1.48</v>
      </c>
      <c r="J78" s="64">
        <v>0.53</v>
      </c>
      <c r="K78" s="64">
        <v>328.11</v>
      </c>
      <c r="L78" s="64">
        <v>26.59</v>
      </c>
      <c r="M78" s="64">
        <v>91.52</v>
      </c>
      <c r="N78" s="64">
        <v>22.5</v>
      </c>
      <c r="O78" s="64">
        <v>0</v>
      </c>
      <c r="P78" s="64">
        <v>1.19</v>
      </c>
      <c r="Q78" s="64">
        <v>13.79</v>
      </c>
      <c r="R78" s="198"/>
      <c r="S78" s="198"/>
      <c r="T78" s="198"/>
      <c r="U78" s="198"/>
    </row>
    <row r="79" spans="1:21" s="12" customFormat="1" x14ac:dyDescent="0.25">
      <c r="A79" s="214" t="s">
        <v>3007</v>
      </c>
      <c r="B79" s="64">
        <v>16.850000000000001</v>
      </c>
      <c r="C79" s="64">
        <v>30.83</v>
      </c>
      <c r="D79" s="64">
        <v>31.82</v>
      </c>
      <c r="E79" s="64">
        <v>6.95</v>
      </c>
      <c r="F79" s="64">
        <v>6.74</v>
      </c>
      <c r="G79" s="64">
        <v>99.99</v>
      </c>
      <c r="H79" s="64">
        <v>36.67</v>
      </c>
      <c r="I79" s="64">
        <v>1.55</v>
      </c>
      <c r="J79" s="64">
        <v>0.69</v>
      </c>
      <c r="K79" s="64">
        <v>324.89999999999998</v>
      </c>
      <c r="L79" s="64">
        <v>26.2</v>
      </c>
      <c r="M79" s="64">
        <v>93.8</v>
      </c>
      <c r="N79" s="64">
        <v>12.3</v>
      </c>
      <c r="O79" s="64">
        <v>0</v>
      </c>
      <c r="P79" s="64">
        <v>1.21</v>
      </c>
      <c r="Q79" s="64">
        <v>13.63</v>
      </c>
      <c r="R79" s="198"/>
      <c r="S79" s="198"/>
      <c r="T79" s="198"/>
      <c r="U79" s="198"/>
    </row>
    <row r="80" spans="1:21" s="12" customFormat="1" x14ac:dyDescent="0.25">
      <c r="A80" s="214" t="s">
        <v>3008</v>
      </c>
      <c r="B80" s="64">
        <v>17.72</v>
      </c>
      <c r="C80" s="64">
        <v>42.32</v>
      </c>
      <c r="D80" s="64">
        <v>38.86</v>
      </c>
      <c r="E80" s="64">
        <v>5.17</v>
      </c>
      <c r="F80" s="64">
        <v>4.71</v>
      </c>
      <c r="G80" s="64">
        <v>99.99</v>
      </c>
      <c r="H80" s="64">
        <v>36.67</v>
      </c>
      <c r="I80" s="64">
        <v>1.54</v>
      </c>
      <c r="J80" s="64">
        <v>0.2</v>
      </c>
      <c r="K80" s="64">
        <v>6.82</v>
      </c>
      <c r="L80" s="64">
        <v>25.85</v>
      </c>
      <c r="M80" s="64">
        <v>95.23</v>
      </c>
      <c r="N80" s="64">
        <v>9.6</v>
      </c>
      <c r="O80" s="64">
        <v>0</v>
      </c>
      <c r="P80" s="64">
        <v>1.3</v>
      </c>
      <c r="Q80" s="64">
        <v>13.29</v>
      </c>
      <c r="R80" s="198"/>
      <c r="S80" s="198"/>
      <c r="T80" s="198"/>
      <c r="U80" s="198"/>
    </row>
    <row r="81" spans="1:26" s="12" customFormat="1" x14ac:dyDescent="0.25">
      <c r="A81" s="214" t="s">
        <v>3009</v>
      </c>
      <c r="B81" s="64">
        <v>14.12</v>
      </c>
      <c r="C81" s="64">
        <v>26.16</v>
      </c>
      <c r="D81" s="64">
        <v>27.05</v>
      </c>
      <c r="E81" s="64">
        <v>4.16</v>
      </c>
      <c r="F81" s="64">
        <v>2.58</v>
      </c>
      <c r="G81" s="64">
        <v>99.99</v>
      </c>
      <c r="H81" s="64">
        <v>36.67</v>
      </c>
      <c r="I81" s="64">
        <v>1.54</v>
      </c>
      <c r="J81" s="64">
        <v>1.23</v>
      </c>
      <c r="K81" s="64">
        <v>154.58000000000001</v>
      </c>
      <c r="L81" s="64">
        <v>24.04</v>
      </c>
      <c r="M81" s="64">
        <v>92.23</v>
      </c>
      <c r="N81" s="64">
        <v>12.8</v>
      </c>
      <c r="O81" s="64">
        <v>0</v>
      </c>
      <c r="P81" s="64">
        <v>1.1200000000000001</v>
      </c>
      <c r="Q81" s="64">
        <v>13.61</v>
      </c>
      <c r="R81" s="198"/>
      <c r="S81" s="198"/>
      <c r="T81" s="198"/>
      <c r="U81" s="198"/>
    </row>
    <row r="82" spans="1:26" s="12" customFormat="1" x14ac:dyDescent="0.25">
      <c r="A82" s="214" t="s">
        <v>3010</v>
      </c>
      <c r="B82" s="64">
        <v>11.26</v>
      </c>
      <c r="C82" s="64">
        <v>20.95</v>
      </c>
      <c r="D82" s="64">
        <v>21.89</v>
      </c>
      <c r="E82" s="64">
        <v>4.17</v>
      </c>
      <c r="F82" s="64">
        <v>2.62</v>
      </c>
      <c r="G82" s="64">
        <v>97.57</v>
      </c>
      <c r="H82" s="64">
        <v>31.91</v>
      </c>
      <c r="I82" s="64">
        <v>1.47</v>
      </c>
      <c r="J82" s="64">
        <v>0.32</v>
      </c>
      <c r="K82" s="64">
        <v>191.97</v>
      </c>
      <c r="L82" s="64">
        <v>22.77</v>
      </c>
      <c r="M82" s="64">
        <v>86.52</v>
      </c>
      <c r="N82" s="64">
        <v>10.8</v>
      </c>
      <c r="O82" s="64">
        <v>0</v>
      </c>
      <c r="P82" s="64">
        <v>0.98</v>
      </c>
      <c r="Q82" s="64">
        <v>13.83</v>
      </c>
      <c r="R82" s="198"/>
      <c r="S82" s="198"/>
      <c r="T82" s="198"/>
      <c r="U82" s="198"/>
    </row>
    <row r="83" spans="1:26" s="12" customFormat="1" x14ac:dyDescent="0.25">
      <c r="A83" s="214" t="s">
        <v>3011</v>
      </c>
      <c r="B83" s="64">
        <v>7.97</v>
      </c>
      <c r="C83" s="64">
        <v>20.260000000000002</v>
      </c>
      <c r="D83" s="64">
        <v>18.86</v>
      </c>
      <c r="E83" s="64">
        <v>3.82</v>
      </c>
      <c r="F83" s="64">
        <v>2.86</v>
      </c>
      <c r="G83" s="64">
        <v>97.16</v>
      </c>
      <c r="H83" s="64">
        <v>31.91</v>
      </c>
      <c r="I83" s="64">
        <v>1.48</v>
      </c>
      <c r="J83" s="64">
        <v>0.34</v>
      </c>
      <c r="K83" s="64">
        <v>20.02</v>
      </c>
      <c r="L83" s="64">
        <v>22.33</v>
      </c>
      <c r="M83" s="64">
        <v>90.01</v>
      </c>
      <c r="N83" s="64">
        <v>10.199999999999999</v>
      </c>
      <c r="O83" s="64">
        <v>0</v>
      </c>
      <c r="P83" s="64">
        <v>0.89</v>
      </c>
      <c r="Q83" s="64">
        <v>13.49</v>
      </c>
      <c r="R83" s="198"/>
      <c r="S83" s="198"/>
      <c r="T83" s="198"/>
      <c r="U83" s="198"/>
    </row>
    <row r="84" spans="1:26" s="12" customFormat="1" x14ac:dyDescent="0.25">
      <c r="A84" s="214" t="s">
        <v>3012</v>
      </c>
      <c r="B84" s="64">
        <v>5.72</v>
      </c>
      <c r="C84" s="64">
        <v>19.12</v>
      </c>
      <c r="D84" s="64">
        <v>16.43</v>
      </c>
      <c r="E84" s="64">
        <v>4.16</v>
      </c>
      <c r="F84" s="64">
        <v>2.0499999999999998</v>
      </c>
      <c r="G84" s="64">
        <v>97.16</v>
      </c>
      <c r="H84" s="64">
        <v>31.91</v>
      </c>
      <c r="I84" s="64">
        <v>1.47</v>
      </c>
      <c r="J84" s="64">
        <v>0.03</v>
      </c>
      <c r="K84" s="64">
        <v>94.27</v>
      </c>
      <c r="L84" s="64">
        <v>22.21</v>
      </c>
      <c r="M84" s="64">
        <v>96.98</v>
      </c>
      <c r="N84" s="64">
        <v>8</v>
      </c>
      <c r="O84" s="64">
        <v>0</v>
      </c>
      <c r="P84" s="64">
        <v>0.86</v>
      </c>
      <c r="Q84" s="64">
        <v>12.34</v>
      </c>
      <c r="R84" s="198"/>
      <c r="S84" s="198"/>
      <c r="T84" s="198"/>
      <c r="U84" s="198"/>
    </row>
    <row r="85" spans="1:26" s="12" customFormat="1" x14ac:dyDescent="0.25">
      <c r="A85" s="214" t="s">
        <v>3013</v>
      </c>
      <c r="B85" s="64">
        <v>4.67</v>
      </c>
      <c r="C85" s="64">
        <v>17.93</v>
      </c>
      <c r="D85" s="64">
        <v>14.94</v>
      </c>
      <c r="E85" s="64">
        <v>4.4000000000000004</v>
      </c>
      <c r="F85" s="64">
        <v>2.23</v>
      </c>
      <c r="G85" s="64">
        <v>97.16</v>
      </c>
      <c r="H85" s="64">
        <v>31.91</v>
      </c>
      <c r="I85" s="64">
        <v>1.52</v>
      </c>
      <c r="J85" s="64">
        <v>0.2</v>
      </c>
      <c r="K85" s="64">
        <v>143.11000000000001</v>
      </c>
      <c r="L85" s="64">
        <v>22.45</v>
      </c>
      <c r="M85" s="64">
        <v>97.96</v>
      </c>
      <c r="N85" s="64">
        <v>8.5</v>
      </c>
      <c r="O85" s="64">
        <v>0</v>
      </c>
      <c r="P85" s="64">
        <v>0.75</v>
      </c>
      <c r="Q85" s="64">
        <v>12.52</v>
      </c>
      <c r="R85" s="198"/>
      <c r="S85" s="198"/>
      <c r="T85" s="198"/>
      <c r="U85" s="198"/>
    </row>
    <row r="86" spans="1:26" s="12" customFormat="1" x14ac:dyDescent="0.25">
      <c r="A86" s="214" t="s">
        <v>3014</v>
      </c>
      <c r="B86" s="64">
        <v>4.3</v>
      </c>
      <c r="C86" s="64">
        <v>15.57</v>
      </c>
      <c r="D86" s="64">
        <v>13.34</v>
      </c>
      <c r="E86" s="64">
        <v>4.24</v>
      </c>
      <c r="F86" s="64">
        <v>1.57</v>
      </c>
      <c r="G86" s="64">
        <v>68.13</v>
      </c>
      <c r="H86" s="64">
        <v>21.2</v>
      </c>
      <c r="I86" s="64">
        <v>1.41</v>
      </c>
      <c r="J86" s="64">
        <v>0</v>
      </c>
      <c r="K86" s="64">
        <v>256.63</v>
      </c>
      <c r="L86" s="64">
        <v>22.68</v>
      </c>
      <c r="M86" s="64">
        <v>97.91</v>
      </c>
      <c r="N86" s="64">
        <v>8.8000000000000007</v>
      </c>
      <c r="O86" s="64">
        <v>0</v>
      </c>
      <c r="P86" s="64">
        <v>0.82</v>
      </c>
      <c r="Q86" s="64">
        <v>11.65</v>
      </c>
      <c r="R86" s="198"/>
      <c r="S86" s="198"/>
      <c r="T86" s="198"/>
      <c r="U86" s="198"/>
    </row>
    <row r="87" spans="1:26" s="12" customFormat="1" x14ac:dyDescent="0.25">
      <c r="A87" s="214" t="s">
        <v>3015</v>
      </c>
      <c r="B87" s="64">
        <v>4.2699999999999996</v>
      </c>
      <c r="C87" s="64">
        <v>14.93</v>
      </c>
      <c r="D87" s="64">
        <v>12.95</v>
      </c>
      <c r="E87" s="64">
        <v>2.74</v>
      </c>
      <c r="F87" s="64">
        <v>2.67</v>
      </c>
      <c r="G87" s="64">
        <v>63.23</v>
      </c>
      <c r="H87" s="64">
        <v>21.2</v>
      </c>
      <c r="I87" s="64">
        <v>1.47</v>
      </c>
      <c r="J87" s="64">
        <v>0.21</v>
      </c>
      <c r="K87" s="64">
        <v>122.95</v>
      </c>
      <c r="L87" s="64">
        <v>22.82</v>
      </c>
      <c r="M87" s="64">
        <v>96.15</v>
      </c>
      <c r="N87" s="64">
        <v>9.3000000000000007</v>
      </c>
      <c r="O87" s="64">
        <v>0</v>
      </c>
      <c r="P87" s="64">
        <v>0.81</v>
      </c>
      <c r="Q87" s="64">
        <v>12.08</v>
      </c>
      <c r="R87" s="198"/>
      <c r="S87" s="198"/>
      <c r="T87" s="198"/>
      <c r="U87" s="198"/>
    </row>
    <row r="88" spans="1:26" s="12" customFormat="1" x14ac:dyDescent="0.25">
      <c r="A88" s="214" t="s">
        <v>3016</v>
      </c>
      <c r="B88" s="64">
        <v>4.28</v>
      </c>
      <c r="C88" s="64">
        <v>13.9</v>
      </c>
      <c r="D88" s="64">
        <v>12.4</v>
      </c>
      <c r="E88" s="64">
        <v>2.69</v>
      </c>
      <c r="F88" s="64">
        <v>1.91</v>
      </c>
      <c r="G88" s="64">
        <v>63.23</v>
      </c>
      <c r="H88" s="64">
        <v>21.2</v>
      </c>
      <c r="I88" s="64">
        <v>1.47</v>
      </c>
      <c r="J88" s="64">
        <v>0.13</v>
      </c>
      <c r="K88" s="64">
        <v>186.19</v>
      </c>
      <c r="L88" s="64">
        <v>22.94</v>
      </c>
      <c r="M88" s="64">
        <v>92.96</v>
      </c>
      <c r="N88" s="64">
        <v>9.4</v>
      </c>
      <c r="O88" s="64">
        <v>0</v>
      </c>
      <c r="P88" s="64">
        <v>0.81</v>
      </c>
      <c r="Q88" s="64">
        <v>11.67</v>
      </c>
      <c r="R88" s="198"/>
      <c r="S88" s="198"/>
      <c r="T88" s="198"/>
      <c r="U88" s="198"/>
    </row>
    <row r="89" spans="1:26" s="12" customFormat="1" x14ac:dyDescent="0.25">
      <c r="A89" s="214" t="s">
        <v>3017</v>
      </c>
      <c r="B89" s="64">
        <v>5.04</v>
      </c>
      <c r="C89" s="64">
        <v>16.059999999999999</v>
      </c>
      <c r="D89" s="64">
        <v>14.2</v>
      </c>
      <c r="E89" s="64">
        <v>4.05</v>
      </c>
      <c r="F89" s="64">
        <v>1.26</v>
      </c>
      <c r="G89" s="64">
        <v>63.23</v>
      </c>
      <c r="H89" s="64">
        <v>21.2</v>
      </c>
      <c r="I89" s="64">
        <v>1.57</v>
      </c>
      <c r="J89" s="64">
        <v>0.35</v>
      </c>
      <c r="K89" s="64">
        <v>133.88999999999999</v>
      </c>
      <c r="L89" s="64">
        <v>23.04</v>
      </c>
      <c r="M89" s="64">
        <v>89.28</v>
      </c>
      <c r="N89" s="64">
        <v>9.6999999999999993</v>
      </c>
      <c r="O89" s="64">
        <v>0</v>
      </c>
      <c r="P89" s="64">
        <v>0.81</v>
      </c>
      <c r="Q89" s="64">
        <v>11.87</v>
      </c>
      <c r="R89" s="198"/>
      <c r="S89" s="198"/>
      <c r="T89" s="198"/>
      <c r="U89" s="198"/>
    </row>
    <row r="90" spans="1:26" s="12" customFormat="1" x14ac:dyDescent="0.25">
      <c r="A90" s="214" t="s">
        <v>3018</v>
      </c>
      <c r="B90" s="64">
        <v>5.41</v>
      </c>
      <c r="C90" s="64">
        <v>17.54</v>
      </c>
      <c r="D90" s="64">
        <v>15.31</v>
      </c>
      <c r="E90" s="64">
        <v>5.35</v>
      </c>
      <c r="F90" s="64">
        <v>1.87</v>
      </c>
      <c r="G90" s="64">
        <v>48.56</v>
      </c>
      <c r="H90" s="64">
        <v>17.48</v>
      </c>
      <c r="I90" s="64">
        <v>1.41</v>
      </c>
      <c r="J90" s="64">
        <v>0.64</v>
      </c>
      <c r="K90" s="64">
        <v>139.86000000000001</v>
      </c>
      <c r="L90" s="64">
        <v>22.8</v>
      </c>
      <c r="M90" s="64">
        <v>90.59</v>
      </c>
      <c r="N90" s="64">
        <v>9.9</v>
      </c>
      <c r="O90" s="64">
        <v>0</v>
      </c>
      <c r="P90" s="64">
        <v>0.75</v>
      </c>
      <c r="Q90" s="64">
        <v>11.98</v>
      </c>
      <c r="R90" s="198"/>
      <c r="S90" s="198"/>
      <c r="T90" s="198"/>
      <c r="U90" s="198"/>
    </row>
    <row r="91" spans="1:26" s="12" customFormat="1" x14ac:dyDescent="0.25">
      <c r="A91" s="214" t="s">
        <v>3019</v>
      </c>
      <c r="B91" s="64">
        <v>6.36</v>
      </c>
      <c r="C91" s="64">
        <v>22.08</v>
      </c>
      <c r="D91" s="64">
        <v>18.579999999999998</v>
      </c>
      <c r="E91" s="64">
        <v>4.4000000000000004</v>
      </c>
      <c r="F91" s="64">
        <v>5.45</v>
      </c>
      <c r="G91" s="64">
        <v>46.08</v>
      </c>
      <c r="H91" s="64">
        <v>17.48</v>
      </c>
      <c r="I91" s="64">
        <v>1.5</v>
      </c>
      <c r="J91" s="64">
        <v>0.37</v>
      </c>
      <c r="K91" s="64">
        <v>156.44999999999999</v>
      </c>
      <c r="L91" s="64">
        <v>22.72</v>
      </c>
      <c r="M91" s="64">
        <v>91.48</v>
      </c>
      <c r="N91" s="64">
        <v>8.9</v>
      </c>
      <c r="O91" s="64">
        <v>0</v>
      </c>
      <c r="P91" s="64">
        <v>0.7</v>
      </c>
      <c r="Q91" s="64">
        <v>12.25</v>
      </c>
      <c r="R91" s="198"/>
      <c r="S91" s="198"/>
      <c r="T91" s="198"/>
      <c r="U91" s="198"/>
    </row>
    <row r="92" spans="1:26" s="12" customFormat="1" x14ac:dyDescent="0.25">
      <c r="A92" s="214" t="s">
        <v>3020</v>
      </c>
      <c r="B92" s="64">
        <v>7.03</v>
      </c>
      <c r="C92" s="64">
        <v>18.38</v>
      </c>
      <c r="D92" s="64">
        <v>17.07</v>
      </c>
      <c r="E92" s="64">
        <v>4.96</v>
      </c>
      <c r="F92" s="64">
        <v>4.6399999999999997</v>
      </c>
      <c r="G92" s="64">
        <v>46.08</v>
      </c>
      <c r="H92" s="64">
        <v>17.48</v>
      </c>
      <c r="I92" s="64">
        <v>1.49</v>
      </c>
      <c r="J92" s="64">
        <v>0.18</v>
      </c>
      <c r="K92" s="64">
        <v>320.2</v>
      </c>
      <c r="L92" s="64">
        <v>22.64</v>
      </c>
      <c r="M92" s="64">
        <v>95.86</v>
      </c>
      <c r="N92" s="64">
        <v>9.1999999999999993</v>
      </c>
      <c r="O92" s="64">
        <v>0</v>
      </c>
      <c r="P92" s="64">
        <v>0.77</v>
      </c>
      <c r="Q92" s="64">
        <v>12.67</v>
      </c>
      <c r="R92" s="198"/>
      <c r="S92" s="198"/>
      <c r="T92" s="198"/>
      <c r="U92" s="198"/>
    </row>
    <row r="93" spans="1:26" s="12" customFormat="1" x14ac:dyDescent="0.25">
      <c r="A93" s="214" t="s">
        <v>3021</v>
      </c>
      <c r="B93" s="64">
        <v>8.82</v>
      </c>
      <c r="C93" s="64">
        <v>18.39</v>
      </c>
      <c r="D93" s="64">
        <v>18.52</v>
      </c>
      <c r="E93" s="64">
        <v>4.25</v>
      </c>
      <c r="F93" s="64">
        <v>3.17</v>
      </c>
      <c r="G93" s="64">
        <v>46.08</v>
      </c>
      <c r="H93" s="64">
        <v>17.48</v>
      </c>
      <c r="I93" s="64">
        <v>1.55</v>
      </c>
      <c r="J93" s="64">
        <v>0.14000000000000001</v>
      </c>
      <c r="K93" s="64">
        <v>336.63</v>
      </c>
      <c r="L93" s="64">
        <v>22.24</v>
      </c>
      <c r="M93" s="64">
        <v>98.86</v>
      </c>
      <c r="N93" s="64">
        <v>9.5</v>
      </c>
      <c r="O93" s="64">
        <v>0</v>
      </c>
      <c r="P93" s="64">
        <v>0.85</v>
      </c>
      <c r="Q93" s="64">
        <v>12.91</v>
      </c>
      <c r="R93" s="198"/>
      <c r="S93" s="198"/>
      <c r="T93" s="198"/>
      <c r="U93" s="198"/>
    </row>
    <row r="94" spans="1:26" s="12" customFormat="1" x14ac:dyDescent="0.25">
      <c r="A94" s="214" t="s">
        <v>3022</v>
      </c>
      <c r="B94" s="64">
        <v>7.97</v>
      </c>
      <c r="C94" s="64">
        <v>16</v>
      </c>
      <c r="D94" s="64">
        <v>16.510000000000002</v>
      </c>
      <c r="E94" s="64">
        <v>3.49</v>
      </c>
      <c r="F94" s="64">
        <v>3.3</v>
      </c>
      <c r="G94" s="64">
        <v>44.15</v>
      </c>
      <c r="H94" s="64">
        <v>12.41</v>
      </c>
      <c r="I94" s="64">
        <v>1.42</v>
      </c>
      <c r="J94" s="64">
        <v>0.24</v>
      </c>
      <c r="K94" s="64">
        <v>345.88</v>
      </c>
      <c r="L94" s="64">
        <v>21.94</v>
      </c>
      <c r="M94" s="64">
        <v>98.36</v>
      </c>
      <c r="N94" s="64">
        <v>9.5</v>
      </c>
      <c r="O94" s="64">
        <v>0</v>
      </c>
      <c r="P94" s="64">
        <v>0.8</v>
      </c>
      <c r="Q94" s="64">
        <v>13.33</v>
      </c>
      <c r="R94" s="198"/>
      <c r="S94" s="198"/>
      <c r="T94" s="198"/>
      <c r="U94" s="198"/>
    </row>
    <row r="95" spans="1:26" s="12" customFormat="1" x14ac:dyDescent="0.25">
      <c r="A95" s="214" t="s">
        <v>3023</v>
      </c>
      <c r="B95" s="64">
        <v>13.33</v>
      </c>
      <c r="C95" s="64">
        <v>12.94</v>
      </c>
      <c r="D95" s="64">
        <v>19.13</v>
      </c>
      <c r="E95" s="64">
        <v>4</v>
      </c>
      <c r="F95" s="64">
        <v>2.95</v>
      </c>
      <c r="G95" s="64">
        <v>43.82</v>
      </c>
      <c r="H95" s="64">
        <v>12.41</v>
      </c>
      <c r="I95" s="64">
        <v>1.54</v>
      </c>
      <c r="J95" s="64">
        <v>0.22</v>
      </c>
      <c r="K95" s="64">
        <v>356.82</v>
      </c>
      <c r="L95" s="64">
        <v>21.79</v>
      </c>
      <c r="M95" s="64">
        <v>98.36</v>
      </c>
      <c r="N95" s="64">
        <v>9.3000000000000007</v>
      </c>
      <c r="O95" s="64">
        <v>0</v>
      </c>
      <c r="P95" s="64">
        <v>0.82</v>
      </c>
      <c r="Q95" s="64">
        <v>11.01</v>
      </c>
      <c r="R95" s="198"/>
      <c r="S95" s="198"/>
      <c r="T95" s="198"/>
      <c r="U95" s="198"/>
    </row>
    <row r="96" spans="1:26" s="12" customFormat="1" x14ac:dyDescent="0.25">
      <c r="A96" s="214" t="s">
        <v>3024</v>
      </c>
      <c r="B96" s="64">
        <v>9.91</v>
      </c>
      <c r="C96" s="64">
        <v>11.25</v>
      </c>
      <c r="D96" s="64">
        <v>15.45</v>
      </c>
      <c r="E96" s="64">
        <v>3.54</v>
      </c>
      <c r="F96" s="64">
        <v>0.7</v>
      </c>
      <c r="G96" s="64">
        <v>43.82</v>
      </c>
      <c r="H96" s="64">
        <v>12.41</v>
      </c>
      <c r="I96" s="64">
        <v>1.45</v>
      </c>
      <c r="J96" s="64">
        <v>0.05</v>
      </c>
      <c r="K96" s="64">
        <v>250.73</v>
      </c>
      <c r="L96" s="64">
        <v>21.7</v>
      </c>
      <c r="M96" s="64">
        <v>98.36</v>
      </c>
      <c r="N96" s="64">
        <v>9.3000000000000007</v>
      </c>
      <c r="O96" s="64">
        <v>0</v>
      </c>
      <c r="P96" s="64">
        <v>0.8</v>
      </c>
      <c r="Q96" s="64">
        <v>12.98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3025</v>
      </c>
      <c r="B97" s="64">
        <v>10.24</v>
      </c>
      <c r="C97" s="64">
        <v>13.32</v>
      </c>
      <c r="D97" s="64">
        <v>16.850000000000001</v>
      </c>
      <c r="E97" s="64">
        <v>3.69</v>
      </c>
      <c r="F97" s="64">
        <v>0.71</v>
      </c>
      <c r="G97" s="64">
        <v>43.82</v>
      </c>
      <c r="H97" s="64">
        <v>12.41</v>
      </c>
      <c r="I97" s="64">
        <v>1.46</v>
      </c>
      <c r="J97" s="64">
        <v>0.16</v>
      </c>
      <c r="K97" s="64">
        <v>131.55000000000001</v>
      </c>
      <c r="L97" s="64">
        <v>21.67</v>
      </c>
      <c r="M97" s="64">
        <v>98.87</v>
      </c>
      <c r="N97" s="64">
        <v>9.6</v>
      </c>
      <c r="O97" s="64">
        <v>0</v>
      </c>
      <c r="P97" s="64">
        <v>0.79</v>
      </c>
      <c r="Q97" s="64">
        <v>13.44</v>
      </c>
      <c r="R97" s="198"/>
      <c r="S97" s="198"/>
      <c r="T97" s="198"/>
      <c r="U97" s="198"/>
    </row>
    <row r="98" spans="1:33" s="12" customFormat="1" x14ac:dyDescent="0.25">
      <c r="A98" s="214" t="s">
        <v>3026</v>
      </c>
      <c r="B98" s="64">
        <v>10.19</v>
      </c>
      <c r="C98" s="64">
        <v>10.99</v>
      </c>
      <c r="D98" s="64">
        <v>15.53</v>
      </c>
      <c r="E98" s="64">
        <v>3.33</v>
      </c>
      <c r="F98" s="64">
        <v>0.74</v>
      </c>
      <c r="G98" s="64">
        <v>37</v>
      </c>
      <c r="H98" s="64">
        <v>15.28</v>
      </c>
      <c r="I98" s="64">
        <v>1.46</v>
      </c>
      <c r="J98" s="64">
        <v>0.03</v>
      </c>
      <c r="K98" s="64">
        <v>58.98</v>
      </c>
      <c r="L98" s="64">
        <v>21.69</v>
      </c>
      <c r="M98" s="64">
        <v>98.37</v>
      </c>
      <c r="N98" s="64">
        <v>9.8000000000000007</v>
      </c>
      <c r="O98" s="64">
        <v>0</v>
      </c>
      <c r="P98" s="64">
        <v>0.8</v>
      </c>
      <c r="Q98" s="64">
        <v>13.14</v>
      </c>
      <c r="R98" s="198"/>
      <c r="S98" s="198"/>
      <c r="T98" s="198"/>
      <c r="U98" s="198"/>
    </row>
    <row r="99" spans="1:33" s="12" customFormat="1" x14ac:dyDescent="0.25">
      <c r="A99" s="214" t="s">
        <v>3027</v>
      </c>
      <c r="B99" s="64">
        <v>9.67</v>
      </c>
      <c r="C99" s="64">
        <v>12.46</v>
      </c>
      <c r="D99" s="64">
        <v>15.92</v>
      </c>
      <c r="E99" s="64">
        <v>3.72</v>
      </c>
      <c r="F99" s="64">
        <v>0.61</v>
      </c>
      <c r="G99" s="64">
        <v>35.85</v>
      </c>
      <c r="H99" s="64">
        <v>15.28</v>
      </c>
      <c r="I99" s="64">
        <v>1.49</v>
      </c>
      <c r="J99" s="64">
        <v>0.01</v>
      </c>
      <c r="K99" s="64">
        <v>261.64</v>
      </c>
      <c r="L99" s="64">
        <v>21.74</v>
      </c>
      <c r="M99" s="64">
        <v>98.37</v>
      </c>
      <c r="N99" s="64">
        <v>9.4</v>
      </c>
      <c r="O99" s="64">
        <v>0</v>
      </c>
      <c r="P99" s="64">
        <v>0.77</v>
      </c>
      <c r="Q99" s="64">
        <v>13.53</v>
      </c>
      <c r="R99" s="198"/>
      <c r="S99" s="198"/>
      <c r="T99" s="198"/>
      <c r="U99" s="198"/>
    </row>
    <row r="100" spans="1:33" s="12" customFormat="1" x14ac:dyDescent="0.25">
      <c r="A100" s="214" t="s">
        <v>3028</v>
      </c>
      <c r="B100" s="64">
        <v>9.77</v>
      </c>
      <c r="C100" s="64">
        <v>10.93</v>
      </c>
      <c r="D100" s="64">
        <v>15.16</v>
      </c>
      <c r="E100" s="64">
        <v>3.04</v>
      </c>
      <c r="F100" s="64">
        <v>0.93</v>
      </c>
      <c r="G100" s="64">
        <v>35.85</v>
      </c>
      <c r="H100" s="64">
        <v>15.28</v>
      </c>
      <c r="I100" s="64">
        <v>1.55</v>
      </c>
      <c r="J100" s="64">
        <v>0.03</v>
      </c>
      <c r="K100" s="64">
        <v>275.67</v>
      </c>
      <c r="L100" s="64">
        <v>21.8</v>
      </c>
      <c r="M100" s="64">
        <v>98.36</v>
      </c>
      <c r="N100" s="64">
        <v>9.5</v>
      </c>
      <c r="O100" s="64">
        <v>0</v>
      </c>
      <c r="P100" s="64">
        <v>0.78</v>
      </c>
      <c r="Q100" s="64">
        <v>13.02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3029</v>
      </c>
      <c r="B101" s="64">
        <v>9.4600000000000009</v>
      </c>
      <c r="C101" s="64">
        <v>10.54</v>
      </c>
      <c r="D101" s="64">
        <v>14.69</v>
      </c>
      <c r="E101" s="64">
        <v>3.48</v>
      </c>
      <c r="F101" s="64">
        <v>0.32</v>
      </c>
      <c r="G101" s="64">
        <v>35.85</v>
      </c>
      <c r="H101" s="64">
        <v>15.28</v>
      </c>
      <c r="I101" s="64">
        <v>1.46</v>
      </c>
      <c r="J101" s="64">
        <v>7.0000000000000007E-2</v>
      </c>
      <c r="K101" s="64">
        <v>332.46</v>
      </c>
      <c r="L101" s="64">
        <v>21.68</v>
      </c>
      <c r="M101" s="64">
        <v>98.88</v>
      </c>
      <c r="N101" s="64">
        <v>9.4</v>
      </c>
      <c r="O101" s="64">
        <v>0</v>
      </c>
      <c r="P101" s="64">
        <v>0.74</v>
      </c>
      <c r="Q101" s="64">
        <v>13.47</v>
      </c>
      <c r="R101" s="198"/>
      <c r="S101" s="198"/>
      <c r="T101" s="198"/>
      <c r="U101" s="198"/>
    </row>
    <row r="102" spans="1:33" s="12" customFormat="1" x14ac:dyDescent="0.25">
      <c r="A102" s="214" t="s">
        <v>3030</v>
      </c>
      <c r="B102" s="64">
        <v>9.07</v>
      </c>
      <c r="C102" s="64">
        <v>9.99</v>
      </c>
      <c r="D102" s="64">
        <v>14.08</v>
      </c>
      <c r="E102" s="64">
        <v>3.45</v>
      </c>
      <c r="F102" s="64">
        <v>1.05</v>
      </c>
      <c r="G102" s="64">
        <v>28.37</v>
      </c>
      <c r="H102" s="64">
        <v>15.25</v>
      </c>
      <c r="I102" s="64">
        <v>1.41</v>
      </c>
      <c r="J102" s="64">
        <v>0.12</v>
      </c>
      <c r="K102" s="64">
        <v>20.75</v>
      </c>
      <c r="L102" s="64">
        <v>21.68</v>
      </c>
      <c r="M102" s="64">
        <v>98.39</v>
      </c>
      <c r="N102" s="64">
        <v>9.3000000000000007</v>
      </c>
      <c r="O102" s="64">
        <v>0</v>
      </c>
      <c r="P102" s="64">
        <v>0.74</v>
      </c>
      <c r="Q102" s="64">
        <v>12.87</v>
      </c>
      <c r="R102" s="198"/>
      <c r="S102" s="198"/>
      <c r="T102" s="198"/>
      <c r="U102" s="198"/>
    </row>
    <row r="103" spans="1:33" s="12" customFormat="1" x14ac:dyDescent="0.25">
      <c r="A103" s="214" t="s">
        <v>3031</v>
      </c>
      <c r="B103" s="64">
        <v>7.61</v>
      </c>
      <c r="C103" s="64">
        <v>13.53</v>
      </c>
      <c r="D103" s="64">
        <v>14.86</v>
      </c>
      <c r="E103" s="64">
        <v>3.06</v>
      </c>
      <c r="F103" s="64">
        <v>2.7</v>
      </c>
      <c r="G103" s="64">
        <v>27.11</v>
      </c>
      <c r="H103" s="64">
        <v>15.25</v>
      </c>
      <c r="I103" s="64">
        <v>1.57</v>
      </c>
      <c r="J103" s="64">
        <v>0.01</v>
      </c>
      <c r="K103" s="64">
        <v>337.13</v>
      </c>
      <c r="L103" s="64">
        <v>21.68</v>
      </c>
      <c r="M103" s="64">
        <v>98.39</v>
      </c>
      <c r="N103" s="64">
        <v>9.3000000000000007</v>
      </c>
      <c r="O103" s="64">
        <v>0</v>
      </c>
      <c r="P103" s="64">
        <v>0.67</v>
      </c>
      <c r="Q103" s="64">
        <v>13.7</v>
      </c>
      <c r="R103" s="198"/>
      <c r="S103" s="198"/>
      <c r="T103" s="198"/>
      <c r="U103" s="198"/>
    </row>
    <row r="104" spans="1:33" s="12" customFormat="1" x14ac:dyDescent="0.25">
      <c r="A104" s="214" t="s">
        <v>3032</v>
      </c>
      <c r="B104" s="64">
        <v>6.74</v>
      </c>
      <c r="C104" s="64">
        <v>13.33</v>
      </c>
      <c r="D104" s="64">
        <v>14.05</v>
      </c>
      <c r="E104" s="64">
        <v>2.0099999999999998</v>
      </c>
      <c r="F104" s="64">
        <v>3.57</v>
      </c>
      <c r="G104" s="64">
        <v>27.11</v>
      </c>
      <c r="H104" s="64">
        <v>15.25</v>
      </c>
      <c r="I104" s="64">
        <v>1.52</v>
      </c>
      <c r="J104" s="64">
        <v>0.1</v>
      </c>
      <c r="K104" s="64">
        <v>186.32</v>
      </c>
      <c r="L104" s="64">
        <v>21.74</v>
      </c>
      <c r="M104" s="64">
        <v>98.39</v>
      </c>
      <c r="N104" s="64">
        <v>9.4</v>
      </c>
      <c r="O104" s="64">
        <v>0</v>
      </c>
      <c r="P104" s="64">
        <v>0.56999999999999995</v>
      </c>
      <c r="Q104" s="64">
        <v>13.85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2.34</v>
      </c>
      <c r="C106" s="67">
        <f>MIN(C9:C104)</f>
        <v>9.99</v>
      </c>
      <c r="D106" s="67">
        <f t="shared" ref="D106:Q106" si="0">MIN(D9:D104)</f>
        <v>12.4</v>
      </c>
      <c r="E106" s="67">
        <f t="shared" si="0"/>
        <v>0.42</v>
      </c>
      <c r="F106" s="67">
        <f t="shared" si="0"/>
        <v>0.32</v>
      </c>
      <c r="G106" s="67">
        <f t="shared" si="0"/>
        <v>27.11</v>
      </c>
      <c r="H106" s="67">
        <f t="shared" si="0"/>
        <v>12.41</v>
      </c>
      <c r="I106" s="67">
        <f t="shared" si="0"/>
        <v>1.41</v>
      </c>
      <c r="J106" s="67">
        <f t="shared" si="0"/>
        <v>0</v>
      </c>
      <c r="K106" s="67">
        <f t="shared" si="0"/>
        <v>1.81</v>
      </c>
      <c r="L106" s="67">
        <f t="shared" si="0"/>
        <v>21.67</v>
      </c>
      <c r="M106" s="67">
        <f t="shared" si="0"/>
        <v>63.42</v>
      </c>
      <c r="N106" s="67">
        <f t="shared" si="0"/>
        <v>8</v>
      </c>
      <c r="O106" s="67">
        <f t="shared" si="0"/>
        <v>0</v>
      </c>
      <c r="P106" s="67">
        <f t="shared" si="0"/>
        <v>0.45</v>
      </c>
      <c r="Q106" s="67">
        <f t="shared" si="0"/>
        <v>9.35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</v>
      </c>
      <c r="C107" s="66">
        <f t="shared" ref="C107:Q107" si="1">MAX(C9:C104)</f>
        <v>66.8</v>
      </c>
      <c r="D107" s="66">
        <f t="shared" si="1"/>
        <v>56.55</v>
      </c>
      <c r="E107" s="66">
        <f t="shared" si="1"/>
        <v>13.57</v>
      </c>
      <c r="F107" s="66">
        <f t="shared" si="1"/>
        <v>18.27</v>
      </c>
      <c r="G107" s="66">
        <f t="shared" si="1"/>
        <v>119.08</v>
      </c>
      <c r="H107" s="66">
        <f t="shared" si="1"/>
        <v>36.85</v>
      </c>
      <c r="I107" s="66">
        <f t="shared" si="1"/>
        <v>1.6</v>
      </c>
      <c r="J107" s="66">
        <f t="shared" si="1"/>
        <v>1.98</v>
      </c>
      <c r="K107" s="66">
        <f t="shared" si="1"/>
        <v>357.71</v>
      </c>
      <c r="L107" s="66">
        <f t="shared" si="1"/>
        <v>30.97</v>
      </c>
      <c r="M107" s="66">
        <f t="shared" si="1"/>
        <v>98.88</v>
      </c>
      <c r="N107" s="66">
        <f t="shared" si="1"/>
        <v>669.3</v>
      </c>
      <c r="O107" s="66">
        <f t="shared" si="1"/>
        <v>0</v>
      </c>
      <c r="P107" s="66">
        <f t="shared" si="1"/>
        <v>1.3</v>
      </c>
      <c r="Q107" s="66">
        <f t="shared" si="1"/>
        <v>19.73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11.235833333333334</v>
      </c>
      <c r="C108" s="67">
        <f t="shared" ref="C108:Q108" si="2">AVERAGE(C9:C104)</f>
        <v>22.896354166666665</v>
      </c>
      <c r="D108" s="67">
        <f t="shared" si="2"/>
        <v>22.93822916666667</v>
      </c>
      <c r="E108" s="67">
        <f t="shared" si="2"/>
        <v>4.099895833333334</v>
      </c>
      <c r="F108" s="67">
        <f t="shared" si="2"/>
        <v>4.8057291666666657</v>
      </c>
      <c r="G108" s="67">
        <f t="shared" si="2"/>
        <v>81.876562499999977</v>
      </c>
      <c r="H108" s="67">
        <f t="shared" si="2"/>
        <v>28.934374999999989</v>
      </c>
      <c r="I108" s="67">
        <f t="shared" si="2"/>
        <v>1.4963541666666667</v>
      </c>
      <c r="J108" s="67">
        <f t="shared" si="2"/>
        <v>0.44281250000000011</v>
      </c>
      <c r="K108" s="67">
        <f t="shared" si="2"/>
        <v>227.52916666666678</v>
      </c>
      <c r="L108" s="67">
        <f t="shared" si="2"/>
        <v>25.346874999999986</v>
      </c>
      <c r="M108" s="67">
        <f t="shared" si="2"/>
        <v>87.831666666666635</v>
      </c>
      <c r="N108" s="67">
        <f t="shared" si="2"/>
        <v>134.59479166666662</v>
      </c>
      <c r="O108" s="67">
        <f t="shared" si="2"/>
        <v>0</v>
      </c>
      <c r="P108" s="67">
        <f t="shared" si="2"/>
        <v>0.85072916666666643</v>
      </c>
      <c r="Q108" s="67">
        <f t="shared" si="2"/>
        <v>14.542187499999999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5.3412392937390818</v>
      </c>
      <c r="C109" s="67">
        <f t="shared" ref="C109:Q109" si="3">STDEV(C9:C104)</f>
        <v>9.9257028514004162</v>
      </c>
      <c r="D109" s="67">
        <f t="shared" si="3"/>
        <v>8.426124038063076</v>
      </c>
      <c r="E109" s="67">
        <f t="shared" si="3"/>
        <v>2.950187324932604</v>
      </c>
      <c r="F109" s="67">
        <f t="shared" si="3"/>
        <v>4.2174364238284703</v>
      </c>
      <c r="G109" s="67">
        <f t="shared" si="3"/>
        <v>26.286679349379828</v>
      </c>
      <c r="H109" s="67">
        <f t="shared" si="3"/>
        <v>6.9171966960308042</v>
      </c>
      <c r="I109" s="67">
        <f t="shared" si="3"/>
        <v>4.109346962248428E-2</v>
      </c>
      <c r="J109" s="67">
        <f t="shared" si="3"/>
        <v>0.45025303558402768</v>
      </c>
      <c r="K109" s="67">
        <f t="shared" si="3"/>
        <v>121.44325898534845</v>
      </c>
      <c r="L109" s="67">
        <f t="shared" si="3"/>
        <v>2.915075267602897</v>
      </c>
      <c r="M109" s="67">
        <f t="shared" si="3"/>
        <v>12.604965910863879</v>
      </c>
      <c r="N109" s="67">
        <f t="shared" si="3"/>
        <v>179.64141907219494</v>
      </c>
      <c r="O109" s="67">
        <f t="shared" si="3"/>
        <v>0</v>
      </c>
      <c r="P109" s="67">
        <f t="shared" si="3"/>
        <v>0.16233976580432755</v>
      </c>
      <c r="Q109" s="67">
        <f t="shared" si="3"/>
        <v>2.2650535967285097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3033</v>
      </c>
      <c r="B9" s="64">
        <v>6.1</v>
      </c>
      <c r="C9" s="64">
        <v>11.9</v>
      </c>
      <c r="D9" s="64">
        <v>12.75</v>
      </c>
      <c r="E9" s="64">
        <v>2.61</v>
      </c>
      <c r="F9" s="64">
        <v>4.0999999999999996</v>
      </c>
      <c r="G9" s="64">
        <v>27.11</v>
      </c>
      <c r="H9" s="64">
        <v>15.25</v>
      </c>
      <c r="I9" s="64">
        <v>1.51</v>
      </c>
      <c r="J9" s="64">
        <v>0.06</v>
      </c>
      <c r="K9" s="64">
        <v>149.91999999999999</v>
      </c>
      <c r="L9" s="64">
        <v>21.64</v>
      </c>
      <c r="M9" s="64">
        <v>98.89</v>
      </c>
      <c r="N9" s="64">
        <v>9.4</v>
      </c>
      <c r="O9" s="64">
        <v>0</v>
      </c>
      <c r="P9" s="64">
        <v>0.59</v>
      </c>
      <c r="Q9" s="64">
        <v>14.33</v>
      </c>
      <c r="R9" s="198"/>
      <c r="S9" s="198"/>
      <c r="T9" s="198"/>
      <c r="U9" s="198"/>
    </row>
    <row r="10" spans="1:21" s="12" customFormat="1" x14ac:dyDescent="0.25">
      <c r="A10" s="214" t="s">
        <v>3034</v>
      </c>
      <c r="B10" s="64">
        <v>4.9800000000000004</v>
      </c>
      <c r="C10" s="64">
        <v>11.42</v>
      </c>
      <c r="D10" s="64">
        <v>11.59</v>
      </c>
      <c r="E10" s="64">
        <v>2.99</v>
      </c>
      <c r="F10" s="64">
        <v>7.14</v>
      </c>
      <c r="G10" s="64">
        <v>24.91</v>
      </c>
      <c r="H10" s="64">
        <v>11.89</v>
      </c>
      <c r="I10" s="64">
        <v>1.49</v>
      </c>
      <c r="J10" s="64">
        <v>0.06</v>
      </c>
      <c r="K10" s="64">
        <v>164.46</v>
      </c>
      <c r="L10" s="64">
        <v>21.59</v>
      </c>
      <c r="M10" s="64">
        <v>98.42</v>
      </c>
      <c r="N10" s="64">
        <v>9.4</v>
      </c>
      <c r="O10" s="64">
        <v>0</v>
      </c>
      <c r="P10" s="64">
        <v>0.45</v>
      </c>
      <c r="Q10" s="64">
        <v>14.96</v>
      </c>
      <c r="R10" s="198"/>
      <c r="S10" s="198"/>
      <c r="T10" s="198"/>
      <c r="U10" s="198"/>
    </row>
    <row r="11" spans="1:21" s="12" customFormat="1" x14ac:dyDescent="0.25">
      <c r="A11" s="214" t="s">
        <v>3035</v>
      </c>
      <c r="B11" s="64">
        <v>7.2</v>
      </c>
      <c r="C11" s="64">
        <v>10.65</v>
      </c>
      <c r="D11" s="64">
        <v>12.95</v>
      </c>
      <c r="E11" s="64">
        <v>3</v>
      </c>
      <c r="F11" s="64">
        <v>2.15</v>
      </c>
      <c r="G11" s="64">
        <v>24.54</v>
      </c>
      <c r="H11" s="64">
        <v>11.89</v>
      </c>
      <c r="I11" s="64">
        <v>1.52</v>
      </c>
      <c r="J11" s="64">
        <v>0.09</v>
      </c>
      <c r="K11" s="64">
        <v>210.45</v>
      </c>
      <c r="L11" s="64">
        <v>21.6</v>
      </c>
      <c r="M11" s="64">
        <v>98.39</v>
      </c>
      <c r="N11" s="64">
        <v>9.3000000000000007</v>
      </c>
      <c r="O11" s="64">
        <v>0</v>
      </c>
      <c r="P11" s="64">
        <v>0.68</v>
      </c>
      <c r="Q11" s="64">
        <v>14.55</v>
      </c>
      <c r="R11" s="198"/>
      <c r="S11" s="198"/>
      <c r="T11" s="198"/>
      <c r="U11" s="198"/>
    </row>
    <row r="12" spans="1:21" s="12" customFormat="1" x14ac:dyDescent="0.25">
      <c r="A12" s="214" t="s">
        <v>3036</v>
      </c>
      <c r="B12" s="64">
        <v>8.51</v>
      </c>
      <c r="C12" s="64">
        <v>9.35</v>
      </c>
      <c r="D12" s="64">
        <v>13.28</v>
      </c>
      <c r="E12" s="64">
        <v>2.69</v>
      </c>
      <c r="F12" s="64">
        <v>0.48</v>
      </c>
      <c r="G12" s="64">
        <v>24.54</v>
      </c>
      <c r="H12" s="64">
        <v>11.89</v>
      </c>
      <c r="I12" s="64">
        <v>1.49</v>
      </c>
      <c r="J12" s="64">
        <v>0.09</v>
      </c>
      <c r="K12" s="64">
        <v>207.11</v>
      </c>
      <c r="L12" s="64">
        <v>21.77</v>
      </c>
      <c r="M12" s="64">
        <v>98.4</v>
      </c>
      <c r="N12" s="64">
        <v>9.3000000000000007</v>
      </c>
      <c r="O12" s="64">
        <v>0</v>
      </c>
      <c r="P12" s="64">
        <v>0.66</v>
      </c>
      <c r="Q12" s="64">
        <v>14.49</v>
      </c>
      <c r="R12" s="198"/>
      <c r="S12" s="198"/>
      <c r="T12" s="198"/>
      <c r="U12" s="198"/>
    </row>
    <row r="13" spans="1:21" s="12" customFormat="1" x14ac:dyDescent="0.25">
      <c r="A13" s="214" t="s">
        <v>3037</v>
      </c>
      <c r="B13" s="64">
        <v>8.52</v>
      </c>
      <c r="C13" s="64">
        <v>8.3800000000000008</v>
      </c>
      <c r="D13" s="64">
        <v>12.75</v>
      </c>
      <c r="E13" s="64">
        <v>3.13</v>
      </c>
      <c r="F13" s="64">
        <v>0.87</v>
      </c>
      <c r="G13" s="64">
        <v>24.54</v>
      </c>
      <c r="H13" s="64">
        <v>11.89</v>
      </c>
      <c r="I13" s="64">
        <v>1.5</v>
      </c>
      <c r="J13" s="64">
        <v>0.08</v>
      </c>
      <c r="K13" s="64">
        <v>5.4</v>
      </c>
      <c r="L13" s="64">
        <v>21.67</v>
      </c>
      <c r="M13" s="64">
        <v>98.9</v>
      </c>
      <c r="N13" s="64">
        <v>9.5</v>
      </c>
      <c r="O13" s="64">
        <v>0</v>
      </c>
      <c r="P13" s="64">
        <v>0.64</v>
      </c>
      <c r="Q13" s="64">
        <v>14.12</v>
      </c>
      <c r="R13" s="198"/>
      <c r="S13" s="198"/>
      <c r="T13" s="198"/>
      <c r="U13" s="198"/>
    </row>
    <row r="14" spans="1:21" s="12" customFormat="1" x14ac:dyDescent="0.25">
      <c r="A14" s="214" t="s">
        <v>3038</v>
      </c>
      <c r="B14" s="64">
        <v>8.2200000000000006</v>
      </c>
      <c r="C14" s="64">
        <v>8.5299999999999994</v>
      </c>
      <c r="D14" s="64">
        <v>12.59</v>
      </c>
      <c r="E14" s="64">
        <v>3.27</v>
      </c>
      <c r="F14" s="64">
        <v>0.76</v>
      </c>
      <c r="G14" s="64">
        <v>23.3</v>
      </c>
      <c r="H14" s="64">
        <v>8.51</v>
      </c>
      <c r="I14" s="64">
        <v>1.6</v>
      </c>
      <c r="J14" s="64">
        <v>0.03</v>
      </c>
      <c r="K14" s="64">
        <v>284.92</v>
      </c>
      <c r="L14" s="64">
        <v>21.66</v>
      </c>
      <c r="M14" s="64">
        <v>98.9</v>
      </c>
      <c r="N14" s="64">
        <v>9.4</v>
      </c>
      <c r="O14" s="64">
        <v>0</v>
      </c>
      <c r="P14" s="64">
        <v>0.63</v>
      </c>
      <c r="Q14" s="64">
        <v>14.32</v>
      </c>
      <c r="R14" s="198"/>
      <c r="S14" s="198"/>
      <c r="T14" s="198"/>
      <c r="U14" s="198"/>
    </row>
    <row r="15" spans="1:21" s="12" customFormat="1" x14ac:dyDescent="0.25">
      <c r="A15" s="214" t="s">
        <v>3039</v>
      </c>
      <c r="B15" s="64">
        <v>8.0500000000000007</v>
      </c>
      <c r="C15" s="64">
        <v>8.07</v>
      </c>
      <c r="D15" s="64">
        <v>12.2</v>
      </c>
      <c r="E15" s="64">
        <v>3.55</v>
      </c>
      <c r="F15" s="64">
        <v>0.98</v>
      </c>
      <c r="G15" s="64">
        <v>23.09</v>
      </c>
      <c r="H15" s="64">
        <v>8.51</v>
      </c>
      <c r="I15" s="64">
        <v>1.51</v>
      </c>
      <c r="J15" s="64">
        <v>0.06</v>
      </c>
      <c r="K15" s="64">
        <v>12.55</v>
      </c>
      <c r="L15" s="64">
        <v>21.67</v>
      </c>
      <c r="M15" s="64">
        <v>98.9</v>
      </c>
      <c r="N15" s="64">
        <v>9.4</v>
      </c>
      <c r="O15" s="64">
        <v>0</v>
      </c>
      <c r="P15" s="64">
        <v>0.64</v>
      </c>
      <c r="Q15" s="64">
        <v>13.57</v>
      </c>
      <c r="R15" s="198"/>
      <c r="S15" s="198"/>
      <c r="T15" s="198"/>
      <c r="U15" s="198"/>
    </row>
    <row r="16" spans="1:21" s="12" customFormat="1" x14ac:dyDescent="0.25">
      <c r="A16" s="214" t="s">
        <v>3040</v>
      </c>
      <c r="B16" s="64">
        <v>7.78</v>
      </c>
      <c r="C16" s="64">
        <v>8.11</v>
      </c>
      <c r="D16" s="64">
        <v>12.01</v>
      </c>
      <c r="E16" s="64">
        <v>3.71</v>
      </c>
      <c r="F16" s="64">
        <v>0.28999999999999998</v>
      </c>
      <c r="G16" s="64">
        <v>23.09</v>
      </c>
      <c r="H16" s="64">
        <v>8.51</v>
      </c>
      <c r="I16" s="64">
        <v>1.51</v>
      </c>
      <c r="J16" s="64">
        <v>0.05</v>
      </c>
      <c r="K16" s="64">
        <v>23.25</v>
      </c>
      <c r="L16" s="64">
        <v>21.62</v>
      </c>
      <c r="M16" s="64">
        <v>98.9</v>
      </c>
      <c r="N16" s="64">
        <v>9.4</v>
      </c>
      <c r="O16" s="64">
        <v>0</v>
      </c>
      <c r="P16" s="64">
        <v>0.6</v>
      </c>
      <c r="Q16" s="64">
        <v>14.03</v>
      </c>
      <c r="R16" s="198"/>
      <c r="S16" s="198"/>
      <c r="T16" s="198"/>
      <c r="U16" s="198"/>
    </row>
    <row r="17" spans="1:21" s="12" customFormat="1" x14ac:dyDescent="0.25">
      <c r="A17" s="214" t="s">
        <v>3041</v>
      </c>
      <c r="B17" s="64">
        <v>7.42</v>
      </c>
      <c r="C17" s="64">
        <v>7.81</v>
      </c>
      <c r="D17" s="64">
        <v>11.55</v>
      </c>
      <c r="E17" s="64">
        <v>3.22</v>
      </c>
      <c r="F17" s="64">
        <v>0.66</v>
      </c>
      <c r="G17" s="64">
        <v>23.09</v>
      </c>
      <c r="H17" s="64">
        <v>8.51</v>
      </c>
      <c r="I17" s="64">
        <v>1.47</v>
      </c>
      <c r="J17" s="64">
        <v>0.05</v>
      </c>
      <c r="K17" s="64">
        <v>330.91</v>
      </c>
      <c r="L17" s="64">
        <v>21.51</v>
      </c>
      <c r="M17" s="64">
        <v>98.9</v>
      </c>
      <c r="N17" s="64">
        <v>9.4</v>
      </c>
      <c r="O17" s="64">
        <v>0</v>
      </c>
      <c r="P17" s="64">
        <v>0.59</v>
      </c>
      <c r="Q17" s="64">
        <v>13.59</v>
      </c>
      <c r="R17" s="198"/>
      <c r="S17" s="198"/>
      <c r="T17" s="198"/>
      <c r="U17" s="198"/>
    </row>
    <row r="18" spans="1:21" s="12" customFormat="1" x14ac:dyDescent="0.25">
      <c r="A18" s="214" t="s">
        <v>3042</v>
      </c>
      <c r="B18" s="64">
        <v>6.26</v>
      </c>
      <c r="C18" s="64">
        <v>8.6</v>
      </c>
      <c r="D18" s="64">
        <v>11.06</v>
      </c>
      <c r="E18" s="64">
        <v>3.16</v>
      </c>
      <c r="F18" s="64">
        <v>4.59</v>
      </c>
      <c r="G18" s="64">
        <v>17.03</v>
      </c>
      <c r="H18" s="64">
        <v>6.19</v>
      </c>
      <c r="I18" s="64">
        <v>1.45</v>
      </c>
      <c r="J18" s="64">
        <v>0</v>
      </c>
      <c r="K18" s="64">
        <v>255.78</v>
      </c>
      <c r="L18" s="64">
        <v>21.47</v>
      </c>
      <c r="M18" s="64">
        <v>98.88</v>
      </c>
      <c r="N18" s="64">
        <v>9.4</v>
      </c>
      <c r="O18" s="64">
        <v>0</v>
      </c>
      <c r="P18" s="64">
        <v>0.45</v>
      </c>
      <c r="Q18" s="64">
        <v>13.93</v>
      </c>
      <c r="R18" s="198"/>
      <c r="S18" s="198"/>
      <c r="T18" s="198"/>
      <c r="U18" s="198"/>
    </row>
    <row r="19" spans="1:21" s="12" customFormat="1" x14ac:dyDescent="0.25">
      <c r="A19" s="214" t="s">
        <v>3043</v>
      </c>
      <c r="B19" s="64">
        <v>5.57</v>
      </c>
      <c r="C19" s="64">
        <v>9.64</v>
      </c>
      <c r="D19" s="64">
        <v>11.08</v>
      </c>
      <c r="E19" s="64">
        <v>3.04</v>
      </c>
      <c r="F19" s="64">
        <v>3.12</v>
      </c>
      <c r="G19" s="64">
        <v>16</v>
      </c>
      <c r="H19" s="64">
        <v>6.19</v>
      </c>
      <c r="I19" s="64">
        <v>1.52</v>
      </c>
      <c r="J19" s="64">
        <v>0.02</v>
      </c>
      <c r="K19" s="64">
        <v>9.32</v>
      </c>
      <c r="L19" s="64">
        <v>21.47</v>
      </c>
      <c r="M19" s="64">
        <v>98.9</v>
      </c>
      <c r="N19" s="64">
        <v>9.1999999999999993</v>
      </c>
      <c r="O19" s="64">
        <v>0</v>
      </c>
      <c r="P19" s="64">
        <v>0.48</v>
      </c>
      <c r="Q19" s="64">
        <v>13.92</v>
      </c>
      <c r="R19" s="198"/>
      <c r="S19" s="198"/>
      <c r="T19" s="198"/>
      <c r="U19" s="198"/>
    </row>
    <row r="20" spans="1:21" s="12" customFormat="1" x14ac:dyDescent="0.25">
      <c r="A20" s="214" t="s">
        <v>3044</v>
      </c>
      <c r="B20" s="64">
        <v>5.19</v>
      </c>
      <c r="C20" s="64">
        <v>10.18</v>
      </c>
      <c r="D20" s="64">
        <v>11.07</v>
      </c>
      <c r="E20" s="64">
        <v>3.13</v>
      </c>
      <c r="F20" s="64">
        <v>3.76</v>
      </c>
      <c r="G20" s="64">
        <v>16</v>
      </c>
      <c r="H20" s="64">
        <v>6.19</v>
      </c>
      <c r="I20" s="64">
        <v>1.54</v>
      </c>
      <c r="J20" s="64">
        <v>0.01</v>
      </c>
      <c r="K20" s="64">
        <v>348.12</v>
      </c>
      <c r="L20" s="64">
        <v>21.42</v>
      </c>
      <c r="M20" s="64">
        <v>98.89</v>
      </c>
      <c r="N20" s="64">
        <v>9.3000000000000007</v>
      </c>
      <c r="O20" s="64">
        <v>0</v>
      </c>
      <c r="P20" s="64">
        <v>0.47</v>
      </c>
      <c r="Q20" s="64">
        <v>14.25</v>
      </c>
      <c r="R20" s="198"/>
      <c r="S20" s="198"/>
      <c r="T20" s="198"/>
      <c r="U20" s="198"/>
    </row>
    <row r="21" spans="1:21" s="12" customFormat="1" x14ac:dyDescent="0.25">
      <c r="A21" s="214" t="s">
        <v>3045</v>
      </c>
      <c r="B21" s="64">
        <v>5.76</v>
      </c>
      <c r="C21" s="64">
        <v>10.54</v>
      </c>
      <c r="D21" s="64">
        <v>11.73</v>
      </c>
      <c r="E21" s="64">
        <v>2.66</v>
      </c>
      <c r="F21" s="64">
        <v>3.3</v>
      </c>
      <c r="G21" s="64">
        <v>16</v>
      </c>
      <c r="H21" s="64">
        <v>6.19</v>
      </c>
      <c r="I21" s="64">
        <v>1.52</v>
      </c>
      <c r="J21" s="64">
        <v>0.05</v>
      </c>
      <c r="K21" s="64">
        <v>343.27</v>
      </c>
      <c r="L21" s="64">
        <v>21.38</v>
      </c>
      <c r="M21" s="64">
        <v>98.89</v>
      </c>
      <c r="N21" s="64">
        <v>9.3000000000000007</v>
      </c>
      <c r="O21" s="64">
        <v>0</v>
      </c>
      <c r="P21" s="64">
        <v>0.46</v>
      </c>
      <c r="Q21" s="64">
        <v>14.59</v>
      </c>
      <c r="R21" s="198"/>
      <c r="S21" s="198"/>
      <c r="T21" s="198"/>
      <c r="U21" s="198"/>
    </row>
    <row r="22" spans="1:21" s="12" customFormat="1" x14ac:dyDescent="0.25">
      <c r="A22" s="214" t="s">
        <v>3046</v>
      </c>
      <c r="B22" s="64">
        <v>5.94</v>
      </c>
      <c r="C22" s="64">
        <v>9.8699999999999992</v>
      </c>
      <c r="D22" s="64">
        <v>11.5</v>
      </c>
      <c r="E22" s="64">
        <v>2.4500000000000002</v>
      </c>
      <c r="F22" s="64">
        <v>2.71</v>
      </c>
      <c r="G22" s="64">
        <v>16.41</v>
      </c>
      <c r="H22" s="64">
        <v>6.38</v>
      </c>
      <c r="I22" s="64">
        <v>1.49</v>
      </c>
      <c r="J22" s="64">
        <v>0.04</v>
      </c>
      <c r="K22" s="64">
        <v>140.81</v>
      </c>
      <c r="L22" s="64">
        <v>21.39</v>
      </c>
      <c r="M22" s="64">
        <v>98.88</v>
      </c>
      <c r="N22" s="64">
        <v>9.1</v>
      </c>
      <c r="O22" s="64">
        <v>0</v>
      </c>
      <c r="P22" s="64">
        <v>0.48</v>
      </c>
      <c r="Q22" s="64">
        <v>14.58</v>
      </c>
      <c r="R22" s="198"/>
      <c r="S22" s="198"/>
      <c r="T22" s="198"/>
      <c r="U22" s="198"/>
    </row>
    <row r="23" spans="1:21" s="12" customFormat="1" x14ac:dyDescent="0.25">
      <c r="A23" s="214" t="s">
        <v>3047</v>
      </c>
      <c r="B23" s="64">
        <v>6.39</v>
      </c>
      <c r="C23" s="64">
        <v>9.2899999999999991</v>
      </c>
      <c r="D23" s="64">
        <v>11.55</v>
      </c>
      <c r="E23" s="64">
        <v>2.21</v>
      </c>
      <c r="F23" s="64">
        <v>0.99</v>
      </c>
      <c r="G23" s="64">
        <v>16.48</v>
      </c>
      <c r="H23" s="64">
        <v>6.38</v>
      </c>
      <c r="I23" s="64">
        <v>1.51</v>
      </c>
      <c r="J23" s="64">
        <v>0.06</v>
      </c>
      <c r="K23" s="64">
        <v>219.29</v>
      </c>
      <c r="L23" s="64">
        <v>21.33</v>
      </c>
      <c r="M23" s="64">
        <v>98.91</v>
      </c>
      <c r="N23" s="64">
        <v>9.1</v>
      </c>
      <c r="O23" s="64">
        <v>0</v>
      </c>
      <c r="P23" s="64">
        <v>0.52</v>
      </c>
      <c r="Q23" s="64">
        <v>14.56</v>
      </c>
      <c r="R23" s="198"/>
      <c r="S23" s="198"/>
      <c r="T23" s="198"/>
      <c r="U23" s="198"/>
    </row>
    <row r="24" spans="1:21" s="12" customFormat="1" x14ac:dyDescent="0.25">
      <c r="A24" s="214" t="s">
        <v>3048</v>
      </c>
      <c r="B24" s="64">
        <v>6.63</v>
      </c>
      <c r="C24" s="64">
        <v>8.44</v>
      </c>
      <c r="D24" s="64">
        <v>11.27</v>
      </c>
      <c r="E24" s="64">
        <v>1.31</v>
      </c>
      <c r="F24" s="64">
        <v>0.3</v>
      </c>
      <c r="G24" s="64">
        <v>16.48</v>
      </c>
      <c r="H24" s="64">
        <v>6.38</v>
      </c>
      <c r="I24" s="64">
        <v>1.51</v>
      </c>
      <c r="J24" s="64">
        <v>0.03</v>
      </c>
      <c r="K24" s="64">
        <v>134.44999999999999</v>
      </c>
      <c r="L24" s="64">
        <v>21.35</v>
      </c>
      <c r="M24" s="64">
        <v>98.9</v>
      </c>
      <c r="N24" s="64">
        <v>9.1999999999999993</v>
      </c>
      <c r="O24" s="64">
        <v>0</v>
      </c>
      <c r="P24" s="64">
        <v>0.49</v>
      </c>
      <c r="Q24" s="64">
        <v>14.89</v>
      </c>
      <c r="R24" s="198"/>
      <c r="S24" s="198"/>
      <c r="T24" s="198"/>
      <c r="U24" s="198"/>
    </row>
    <row r="25" spans="1:21" s="12" customFormat="1" x14ac:dyDescent="0.25">
      <c r="A25" s="214" t="s">
        <v>3049</v>
      </c>
      <c r="B25" s="64">
        <v>6.5</v>
      </c>
      <c r="C25" s="64">
        <v>7.52</v>
      </c>
      <c r="D25" s="64">
        <v>10.66</v>
      </c>
      <c r="E25" s="64">
        <v>1.93</v>
      </c>
      <c r="F25" s="64">
        <v>1.0900000000000001</v>
      </c>
      <c r="G25" s="64">
        <v>16.48</v>
      </c>
      <c r="H25" s="64">
        <v>6.38</v>
      </c>
      <c r="I25" s="64">
        <v>1.46</v>
      </c>
      <c r="J25" s="64">
        <v>0</v>
      </c>
      <c r="K25" s="64">
        <v>31.41</v>
      </c>
      <c r="L25" s="64">
        <v>21.34</v>
      </c>
      <c r="M25" s="64">
        <v>98.91</v>
      </c>
      <c r="N25" s="64">
        <v>9.1999999999999993</v>
      </c>
      <c r="O25" s="64">
        <v>0</v>
      </c>
      <c r="P25" s="64">
        <v>0.49</v>
      </c>
      <c r="Q25" s="64">
        <v>14.22</v>
      </c>
      <c r="R25" s="198"/>
      <c r="S25" s="198"/>
      <c r="T25" s="198"/>
      <c r="U25" s="198"/>
    </row>
    <row r="26" spans="1:21" s="12" customFormat="1" x14ac:dyDescent="0.25">
      <c r="A26" s="214" t="s">
        <v>3050</v>
      </c>
      <c r="B26" s="64">
        <v>6.34</v>
      </c>
      <c r="C26" s="64">
        <v>7.9</v>
      </c>
      <c r="D26" s="64">
        <v>10.74</v>
      </c>
      <c r="E26" s="64">
        <v>1.97</v>
      </c>
      <c r="F26" s="64">
        <v>0.16</v>
      </c>
      <c r="G26" s="64">
        <v>15.09</v>
      </c>
      <c r="H26" s="64">
        <v>5.52</v>
      </c>
      <c r="I26" s="64">
        <v>1.54</v>
      </c>
      <c r="J26" s="64">
        <v>7.0000000000000007E-2</v>
      </c>
      <c r="K26" s="64">
        <v>354.37</v>
      </c>
      <c r="L26" s="64">
        <v>21.31</v>
      </c>
      <c r="M26" s="64">
        <v>98.9</v>
      </c>
      <c r="N26" s="64">
        <v>9.1999999999999993</v>
      </c>
      <c r="O26" s="64">
        <v>0</v>
      </c>
      <c r="P26" s="64">
        <v>0.46</v>
      </c>
      <c r="Q26" s="64">
        <v>14.78</v>
      </c>
      <c r="R26" s="198"/>
      <c r="S26" s="198"/>
      <c r="T26" s="198"/>
      <c r="U26" s="198"/>
    </row>
    <row r="27" spans="1:21" s="12" customFormat="1" x14ac:dyDescent="0.25">
      <c r="A27" s="214" t="s">
        <v>3051</v>
      </c>
      <c r="B27" s="64">
        <v>6.12</v>
      </c>
      <c r="C27" s="64">
        <v>7.47</v>
      </c>
      <c r="D27" s="64">
        <v>10.32</v>
      </c>
      <c r="E27" s="64">
        <v>1.73</v>
      </c>
      <c r="F27" s="64">
        <v>0.85</v>
      </c>
      <c r="G27" s="64">
        <v>14.85</v>
      </c>
      <c r="H27" s="64">
        <v>5.52</v>
      </c>
      <c r="I27" s="64">
        <v>1.45</v>
      </c>
      <c r="J27" s="64">
        <v>0.26</v>
      </c>
      <c r="K27" s="64">
        <v>160.97999999999999</v>
      </c>
      <c r="L27" s="64">
        <v>21.31</v>
      </c>
      <c r="M27" s="64">
        <v>98.9</v>
      </c>
      <c r="N27" s="64">
        <v>9.1</v>
      </c>
      <c r="O27" s="64">
        <v>0</v>
      </c>
      <c r="P27" s="64">
        <v>0.47</v>
      </c>
      <c r="Q27" s="64">
        <v>14.24</v>
      </c>
      <c r="R27" s="198"/>
      <c r="S27" s="198"/>
      <c r="T27" s="198"/>
      <c r="U27" s="198"/>
    </row>
    <row r="28" spans="1:21" s="12" customFormat="1" x14ac:dyDescent="0.25">
      <c r="A28" s="214" t="s">
        <v>3052</v>
      </c>
      <c r="B28" s="64">
        <v>5.96</v>
      </c>
      <c r="C28" s="64">
        <v>7.68</v>
      </c>
      <c r="D28" s="64">
        <v>10.31</v>
      </c>
      <c r="E28" s="64">
        <v>2.14</v>
      </c>
      <c r="F28" s="64">
        <v>0.25</v>
      </c>
      <c r="G28" s="64">
        <v>14.85</v>
      </c>
      <c r="H28" s="64">
        <v>5.52</v>
      </c>
      <c r="I28" s="64">
        <v>1.53</v>
      </c>
      <c r="J28" s="64">
        <v>0.1</v>
      </c>
      <c r="K28" s="64">
        <v>114.2</v>
      </c>
      <c r="L28" s="64">
        <v>21.31</v>
      </c>
      <c r="M28" s="64">
        <v>98.9</v>
      </c>
      <c r="N28" s="64">
        <v>9.4</v>
      </c>
      <c r="O28" s="64">
        <v>0</v>
      </c>
      <c r="P28" s="64">
        <v>0.44</v>
      </c>
      <c r="Q28" s="64">
        <v>14.64</v>
      </c>
      <c r="R28" s="198"/>
      <c r="S28" s="198"/>
      <c r="T28" s="198"/>
      <c r="U28" s="198"/>
    </row>
    <row r="29" spans="1:21" s="12" customFormat="1" x14ac:dyDescent="0.25">
      <c r="A29" s="214" t="s">
        <v>3053</v>
      </c>
      <c r="B29" s="64">
        <v>5.85</v>
      </c>
      <c r="C29" s="64">
        <v>7.32</v>
      </c>
      <c r="D29" s="64">
        <v>10.029999999999999</v>
      </c>
      <c r="E29" s="64">
        <v>1.49</v>
      </c>
      <c r="F29" s="64">
        <v>0.71</v>
      </c>
      <c r="G29" s="64">
        <v>14.85</v>
      </c>
      <c r="H29" s="64">
        <v>5.52</v>
      </c>
      <c r="I29" s="64">
        <v>1.53</v>
      </c>
      <c r="J29" s="64">
        <v>0.22</v>
      </c>
      <c r="K29" s="64">
        <v>179.38</v>
      </c>
      <c r="L29" s="64">
        <v>21.39</v>
      </c>
      <c r="M29" s="64">
        <v>98.91</v>
      </c>
      <c r="N29" s="64">
        <v>9.5</v>
      </c>
      <c r="O29" s="64">
        <v>0</v>
      </c>
      <c r="P29" s="64">
        <v>0.44</v>
      </c>
      <c r="Q29" s="64">
        <v>14.06</v>
      </c>
      <c r="R29" s="198"/>
      <c r="S29" s="198"/>
      <c r="T29" s="198"/>
      <c r="U29" s="198"/>
    </row>
    <row r="30" spans="1:21" s="12" customFormat="1" x14ac:dyDescent="0.25">
      <c r="A30" s="214" t="s">
        <v>3054</v>
      </c>
      <c r="B30" s="64">
        <v>5.32</v>
      </c>
      <c r="C30" s="64">
        <v>8.58</v>
      </c>
      <c r="D30" s="64">
        <v>10.29</v>
      </c>
      <c r="E30" s="64">
        <v>1.41</v>
      </c>
      <c r="F30" s="64">
        <v>2.38</v>
      </c>
      <c r="G30" s="64">
        <v>15.74</v>
      </c>
      <c r="H30" s="64">
        <v>4.1399999999999997</v>
      </c>
      <c r="I30" s="64">
        <v>1.44</v>
      </c>
      <c r="J30" s="64">
        <v>0.33</v>
      </c>
      <c r="K30" s="64">
        <v>142.78</v>
      </c>
      <c r="L30" s="64">
        <v>21.43</v>
      </c>
      <c r="M30" s="64">
        <v>98.92</v>
      </c>
      <c r="N30" s="64">
        <v>9.6999999999999993</v>
      </c>
      <c r="O30" s="64">
        <v>0</v>
      </c>
      <c r="P30" s="64">
        <v>0.38</v>
      </c>
      <c r="Q30" s="64">
        <v>15.03</v>
      </c>
      <c r="R30" s="198"/>
      <c r="S30" s="198"/>
      <c r="T30" s="198"/>
      <c r="U30" s="198"/>
    </row>
    <row r="31" spans="1:21" s="12" customFormat="1" x14ac:dyDescent="0.25">
      <c r="A31" s="214" t="s">
        <v>3055</v>
      </c>
      <c r="B31" s="64">
        <v>5.47</v>
      </c>
      <c r="C31" s="64">
        <v>8.58</v>
      </c>
      <c r="D31" s="64">
        <v>10.41</v>
      </c>
      <c r="E31" s="64">
        <v>1.44</v>
      </c>
      <c r="F31" s="64">
        <v>1.91</v>
      </c>
      <c r="G31" s="64">
        <v>15.89</v>
      </c>
      <c r="H31" s="64">
        <v>4.1399999999999997</v>
      </c>
      <c r="I31" s="64">
        <v>1.52</v>
      </c>
      <c r="J31" s="64">
        <v>0.03</v>
      </c>
      <c r="K31" s="64">
        <v>24.61</v>
      </c>
      <c r="L31" s="64">
        <v>21.48</v>
      </c>
      <c r="M31" s="64">
        <v>98.92</v>
      </c>
      <c r="N31" s="64">
        <v>10.1</v>
      </c>
      <c r="O31" s="64">
        <v>0</v>
      </c>
      <c r="P31" s="64">
        <v>0.41</v>
      </c>
      <c r="Q31" s="64">
        <v>15.05</v>
      </c>
      <c r="R31" s="198"/>
      <c r="S31" s="198"/>
      <c r="T31" s="198"/>
      <c r="U31" s="198"/>
    </row>
    <row r="32" spans="1:21" s="12" customFormat="1" x14ac:dyDescent="0.25">
      <c r="A32" s="214" t="s">
        <v>3056</v>
      </c>
      <c r="B32" s="64">
        <v>5.42</v>
      </c>
      <c r="C32" s="64">
        <v>10.64</v>
      </c>
      <c r="D32" s="64">
        <v>11.51</v>
      </c>
      <c r="E32" s="64">
        <v>1.5</v>
      </c>
      <c r="F32" s="64">
        <v>2.77</v>
      </c>
      <c r="G32" s="64">
        <v>15.89</v>
      </c>
      <c r="H32" s="64">
        <v>4.1399999999999997</v>
      </c>
      <c r="I32" s="64">
        <v>1.43</v>
      </c>
      <c r="J32" s="64">
        <v>0.35</v>
      </c>
      <c r="K32" s="64">
        <v>150.09</v>
      </c>
      <c r="L32" s="64">
        <v>21.51</v>
      </c>
      <c r="M32" s="64">
        <v>98.92</v>
      </c>
      <c r="N32" s="64">
        <v>12.9</v>
      </c>
      <c r="O32" s="64">
        <v>0</v>
      </c>
      <c r="P32" s="64">
        <v>0.38</v>
      </c>
      <c r="Q32" s="64">
        <v>15.35</v>
      </c>
      <c r="R32" s="198"/>
      <c r="S32" s="198"/>
      <c r="T32" s="198"/>
      <c r="U32" s="198"/>
    </row>
    <row r="33" spans="1:21" s="12" customFormat="1" x14ac:dyDescent="0.25">
      <c r="A33" s="214" t="s">
        <v>3057</v>
      </c>
      <c r="B33" s="64">
        <v>5.82</v>
      </c>
      <c r="C33" s="64">
        <v>10.81</v>
      </c>
      <c r="D33" s="64">
        <v>11.93</v>
      </c>
      <c r="E33" s="64">
        <v>1.9</v>
      </c>
      <c r="F33" s="64">
        <v>3.07</v>
      </c>
      <c r="G33" s="64">
        <v>15.89</v>
      </c>
      <c r="H33" s="64">
        <v>4.1399999999999997</v>
      </c>
      <c r="I33" s="64">
        <v>1.47</v>
      </c>
      <c r="J33" s="64">
        <v>0.26</v>
      </c>
      <c r="K33" s="64">
        <v>153.35</v>
      </c>
      <c r="L33" s="64">
        <v>21.58</v>
      </c>
      <c r="M33" s="64">
        <v>98.91</v>
      </c>
      <c r="N33" s="64">
        <v>18.600000000000001</v>
      </c>
      <c r="O33" s="64">
        <v>0</v>
      </c>
      <c r="P33" s="64">
        <v>0.41</v>
      </c>
      <c r="Q33" s="64">
        <v>15.63</v>
      </c>
      <c r="R33" s="198"/>
      <c r="S33" s="198"/>
      <c r="T33" s="198"/>
      <c r="U33" s="198"/>
    </row>
    <row r="34" spans="1:21" s="12" customFormat="1" x14ac:dyDescent="0.25">
      <c r="A34" s="214" t="s">
        <v>3058</v>
      </c>
      <c r="B34" s="64">
        <v>6.55</v>
      </c>
      <c r="C34" s="64">
        <v>10.94</v>
      </c>
      <c r="D34" s="64">
        <v>12.58</v>
      </c>
      <c r="E34" s="64">
        <v>2.23</v>
      </c>
      <c r="F34" s="64">
        <v>1.95</v>
      </c>
      <c r="G34" s="64">
        <v>17.329999999999998</v>
      </c>
      <c r="H34" s="64">
        <v>6.53</v>
      </c>
      <c r="I34" s="64">
        <v>1.43</v>
      </c>
      <c r="J34" s="64">
        <v>7.0000000000000007E-2</v>
      </c>
      <c r="K34" s="64">
        <v>254.51</v>
      </c>
      <c r="L34" s="64">
        <v>21.63</v>
      </c>
      <c r="M34" s="64">
        <v>98.88</v>
      </c>
      <c r="N34" s="64">
        <v>25.5</v>
      </c>
      <c r="O34" s="64">
        <v>0</v>
      </c>
      <c r="P34" s="64">
        <v>0.41</v>
      </c>
      <c r="Q34" s="64">
        <v>15.47</v>
      </c>
      <c r="R34" s="198"/>
      <c r="S34" s="198"/>
      <c r="T34" s="198"/>
      <c r="U34" s="198"/>
    </row>
    <row r="35" spans="1:21" s="12" customFormat="1" x14ac:dyDescent="0.25">
      <c r="A35" s="214" t="s">
        <v>3059</v>
      </c>
      <c r="B35" s="64">
        <v>6.25</v>
      </c>
      <c r="C35" s="64">
        <v>8.9499999999999993</v>
      </c>
      <c r="D35" s="64">
        <v>11.25</v>
      </c>
      <c r="E35" s="64">
        <v>1.81</v>
      </c>
      <c r="F35" s="64">
        <v>0.78</v>
      </c>
      <c r="G35" s="64">
        <v>17.59</v>
      </c>
      <c r="H35" s="64">
        <v>6.53</v>
      </c>
      <c r="I35" s="64">
        <v>1.43</v>
      </c>
      <c r="J35" s="64">
        <v>0.03</v>
      </c>
      <c r="K35" s="64">
        <v>194.98</v>
      </c>
      <c r="L35" s="64">
        <v>21.7</v>
      </c>
      <c r="M35" s="64">
        <v>98.9</v>
      </c>
      <c r="N35" s="64">
        <v>35</v>
      </c>
      <c r="O35" s="64">
        <v>0</v>
      </c>
      <c r="P35" s="64">
        <v>0.42</v>
      </c>
      <c r="Q35" s="64">
        <v>15.4</v>
      </c>
      <c r="R35" s="198"/>
      <c r="S35" s="198"/>
      <c r="T35" s="198"/>
      <c r="U35" s="198"/>
    </row>
    <row r="36" spans="1:21" s="12" customFormat="1" x14ac:dyDescent="0.25">
      <c r="A36" s="214" t="s">
        <v>3060</v>
      </c>
      <c r="B36" s="64">
        <v>6.04</v>
      </c>
      <c r="C36" s="64">
        <v>8.59</v>
      </c>
      <c r="D36" s="64">
        <v>10.88</v>
      </c>
      <c r="E36" s="64">
        <v>2.11</v>
      </c>
      <c r="F36" s="64">
        <v>0.54</v>
      </c>
      <c r="G36" s="64">
        <v>17.59</v>
      </c>
      <c r="H36" s="64">
        <v>6.53</v>
      </c>
      <c r="I36" s="64">
        <v>1.57</v>
      </c>
      <c r="J36" s="64">
        <v>0.09</v>
      </c>
      <c r="K36" s="64">
        <v>171.34</v>
      </c>
      <c r="L36" s="64">
        <v>21.75</v>
      </c>
      <c r="M36" s="64">
        <v>98.88</v>
      </c>
      <c r="N36" s="64">
        <v>42.3</v>
      </c>
      <c r="O36" s="64">
        <v>0</v>
      </c>
      <c r="P36" s="64">
        <v>0.41</v>
      </c>
      <c r="Q36" s="64">
        <v>15.37</v>
      </c>
      <c r="R36" s="198"/>
      <c r="S36" s="198"/>
      <c r="T36" s="198"/>
      <c r="U36" s="198"/>
    </row>
    <row r="37" spans="1:21" s="12" customFormat="1" x14ac:dyDescent="0.25">
      <c r="A37" s="214" t="s">
        <v>3061</v>
      </c>
      <c r="B37" s="64">
        <v>5.93</v>
      </c>
      <c r="C37" s="64">
        <v>7.89</v>
      </c>
      <c r="D37" s="64">
        <v>10.4</v>
      </c>
      <c r="E37" s="64">
        <v>2.0099999999999998</v>
      </c>
      <c r="F37" s="64">
        <v>0.72</v>
      </c>
      <c r="G37" s="64">
        <v>17.59</v>
      </c>
      <c r="H37" s="64">
        <v>6.53</v>
      </c>
      <c r="I37" s="64">
        <v>1.49</v>
      </c>
      <c r="J37" s="64">
        <v>0.47</v>
      </c>
      <c r="K37" s="64">
        <v>152.71</v>
      </c>
      <c r="L37" s="64">
        <v>21.83</v>
      </c>
      <c r="M37" s="64">
        <v>98.88</v>
      </c>
      <c r="N37" s="64">
        <v>60.6</v>
      </c>
      <c r="O37" s="64">
        <v>0</v>
      </c>
      <c r="P37" s="64">
        <v>0.42</v>
      </c>
      <c r="Q37" s="64">
        <v>14.47</v>
      </c>
      <c r="R37" s="198"/>
      <c r="S37" s="198"/>
      <c r="T37" s="198"/>
      <c r="U37" s="198"/>
    </row>
    <row r="38" spans="1:21" s="12" customFormat="1" x14ac:dyDescent="0.25">
      <c r="A38" s="214" t="s">
        <v>3062</v>
      </c>
      <c r="B38" s="64">
        <v>5.78</v>
      </c>
      <c r="C38" s="64">
        <v>8.25</v>
      </c>
      <c r="D38" s="64">
        <v>10.47</v>
      </c>
      <c r="E38" s="64">
        <v>1.51</v>
      </c>
      <c r="F38" s="64">
        <v>1</v>
      </c>
      <c r="G38" s="64">
        <v>17.12</v>
      </c>
      <c r="H38" s="64">
        <v>8.56</v>
      </c>
      <c r="I38" s="64">
        <v>1.51</v>
      </c>
      <c r="J38" s="64">
        <v>0.56000000000000005</v>
      </c>
      <c r="K38" s="64">
        <v>153.97</v>
      </c>
      <c r="L38" s="64">
        <v>21.94</v>
      </c>
      <c r="M38" s="64">
        <v>98.88</v>
      </c>
      <c r="N38" s="64">
        <v>79.099999999999994</v>
      </c>
      <c r="O38" s="64">
        <v>0</v>
      </c>
      <c r="P38" s="64">
        <v>0.41</v>
      </c>
      <c r="Q38" s="64">
        <v>14.7</v>
      </c>
      <c r="R38" s="198"/>
      <c r="S38" s="198"/>
      <c r="T38" s="198"/>
      <c r="U38" s="198"/>
    </row>
    <row r="39" spans="1:21" s="12" customFormat="1" x14ac:dyDescent="0.25">
      <c r="A39" s="214" t="s">
        <v>3063</v>
      </c>
      <c r="B39" s="64">
        <v>5.72</v>
      </c>
      <c r="C39" s="64">
        <v>8.0299999999999994</v>
      </c>
      <c r="D39" s="64">
        <v>10.32</v>
      </c>
      <c r="E39" s="64">
        <v>1.25</v>
      </c>
      <c r="F39" s="64">
        <v>0.94</v>
      </c>
      <c r="G39" s="64">
        <v>17.04</v>
      </c>
      <c r="H39" s="64">
        <v>8.56</v>
      </c>
      <c r="I39" s="64">
        <v>1.46</v>
      </c>
      <c r="J39" s="64">
        <v>0.75</v>
      </c>
      <c r="K39" s="64">
        <v>148.41999999999999</v>
      </c>
      <c r="L39" s="64">
        <v>22.13</v>
      </c>
      <c r="M39" s="64">
        <v>98.88</v>
      </c>
      <c r="N39" s="64">
        <v>110.1</v>
      </c>
      <c r="O39" s="64">
        <v>0</v>
      </c>
      <c r="P39" s="64">
        <v>0.43</v>
      </c>
      <c r="Q39" s="64">
        <v>14.37</v>
      </c>
      <c r="R39" s="198"/>
      <c r="S39" s="198"/>
      <c r="T39" s="198"/>
      <c r="U39" s="198"/>
    </row>
    <row r="40" spans="1:21" s="12" customFormat="1" x14ac:dyDescent="0.25">
      <c r="A40" s="214" t="s">
        <v>3064</v>
      </c>
      <c r="B40" s="64">
        <v>5.65</v>
      </c>
      <c r="C40" s="64">
        <v>8.5399999999999991</v>
      </c>
      <c r="D40" s="64">
        <v>10.53</v>
      </c>
      <c r="E40" s="64">
        <v>1.35</v>
      </c>
      <c r="F40" s="64">
        <v>1.32</v>
      </c>
      <c r="G40" s="64">
        <v>17.04</v>
      </c>
      <c r="H40" s="64">
        <v>8.56</v>
      </c>
      <c r="I40" s="64">
        <v>1.44</v>
      </c>
      <c r="J40" s="64">
        <v>0.18</v>
      </c>
      <c r="K40" s="64">
        <v>164.99</v>
      </c>
      <c r="L40" s="64">
        <v>22.4</v>
      </c>
      <c r="M40" s="64">
        <v>98.87</v>
      </c>
      <c r="N40" s="64">
        <v>141.80000000000001</v>
      </c>
      <c r="O40" s="64">
        <v>0</v>
      </c>
      <c r="P40" s="64">
        <v>0.41</v>
      </c>
      <c r="Q40" s="64">
        <v>14.73</v>
      </c>
      <c r="R40" s="198"/>
      <c r="S40" s="198"/>
      <c r="T40" s="198"/>
      <c r="U40" s="198"/>
    </row>
    <row r="41" spans="1:21" s="12" customFormat="1" x14ac:dyDescent="0.25">
      <c r="A41" s="214" t="s">
        <v>3065</v>
      </c>
      <c r="B41" s="64">
        <v>5.62</v>
      </c>
      <c r="C41" s="64">
        <v>8.41</v>
      </c>
      <c r="D41" s="64">
        <v>10.44</v>
      </c>
      <c r="E41" s="64">
        <v>2.2200000000000002</v>
      </c>
      <c r="F41" s="64">
        <v>0.95</v>
      </c>
      <c r="G41" s="64">
        <v>17.04</v>
      </c>
      <c r="H41" s="64">
        <v>8.56</v>
      </c>
      <c r="I41" s="64">
        <v>1.41</v>
      </c>
      <c r="J41" s="64">
        <v>0.02</v>
      </c>
      <c r="K41" s="64">
        <v>44.57</v>
      </c>
      <c r="L41" s="64">
        <v>22.74</v>
      </c>
      <c r="M41" s="64">
        <v>98.86</v>
      </c>
      <c r="N41" s="64">
        <v>174.6</v>
      </c>
      <c r="O41" s="64">
        <v>0</v>
      </c>
      <c r="P41" s="64">
        <v>0.44</v>
      </c>
      <c r="Q41" s="64">
        <v>14.27</v>
      </c>
      <c r="R41" s="198"/>
      <c r="S41" s="198"/>
      <c r="T41" s="198"/>
      <c r="U41" s="198"/>
    </row>
    <row r="42" spans="1:21" s="12" customFormat="1" x14ac:dyDescent="0.25">
      <c r="A42" s="214" t="s">
        <v>3066</v>
      </c>
      <c r="B42" s="64">
        <v>7.05</v>
      </c>
      <c r="C42" s="64">
        <v>11.14</v>
      </c>
      <c r="D42" s="64">
        <v>13.1</v>
      </c>
      <c r="E42" s="64">
        <v>2.5299999999999998</v>
      </c>
      <c r="F42" s="64">
        <v>1.36</v>
      </c>
      <c r="G42" s="64">
        <v>23.38</v>
      </c>
      <c r="H42" s="64">
        <v>9.3000000000000007</v>
      </c>
      <c r="I42" s="64">
        <v>1.52</v>
      </c>
      <c r="J42" s="64">
        <v>0.03</v>
      </c>
      <c r="K42" s="64">
        <v>31.23</v>
      </c>
      <c r="L42" s="64">
        <v>23.52</v>
      </c>
      <c r="M42" s="64">
        <v>98.21</v>
      </c>
      <c r="N42" s="64">
        <v>224</v>
      </c>
      <c r="O42" s="64">
        <v>0</v>
      </c>
      <c r="P42" s="64">
        <v>0.47</v>
      </c>
      <c r="Q42" s="64">
        <v>15.3</v>
      </c>
      <c r="R42" s="198"/>
      <c r="S42" s="198"/>
      <c r="T42" s="198"/>
      <c r="U42" s="198"/>
    </row>
    <row r="43" spans="1:21" s="12" customFormat="1" x14ac:dyDescent="0.25">
      <c r="A43" s="214" t="s">
        <v>3067</v>
      </c>
      <c r="B43" s="64">
        <v>6.38</v>
      </c>
      <c r="C43" s="64">
        <v>10.23</v>
      </c>
      <c r="D43" s="64">
        <v>12.05</v>
      </c>
      <c r="E43" s="64">
        <v>2.79</v>
      </c>
      <c r="F43" s="64">
        <v>2.25</v>
      </c>
      <c r="G43" s="64">
        <v>24.45</v>
      </c>
      <c r="H43" s="64">
        <v>9.3000000000000007</v>
      </c>
      <c r="I43" s="64">
        <v>1.56</v>
      </c>
      <c r="J43" s="64">
        <v>7.0000000000000007E-2</v>
      </c>
      <c r="K43" s="64">
        <v>39.74</v>
      </c>
      <c r="L43" s="64">
        <v>23.76</v>
      </c>
      <c r="M43" s="64">
        <v>97.7</v>
      </c>
      <c r="N43" s="64">
        <v>255.1</v>
      </c>
      <c r="O43" s="64">
        <v>0</v>
      </c>
      <c r="P43" s="64">
        <v>0.49</v>
      </c>
      <c r="Q43" s="64">
        <v>14.65</v>
      </c>
      <c r="R43" s="198"/>
      <c r="S43" s="198"/>
      <c r="T43" s="198"/>
      <c r="U43" s="198"/>
    </row>
    <row r="44" spans="1:21" s="12" customFormat="1" x14ac:dyDescent="0.25">
      <c r="A44" s="214" t="s">
        <v>3068</v>
      </c>
      <c r="B44" s="64">
        <v>8.36</v>
      </c>
      <c r="C44" s="64">
        <v>12.09</v>
      </c>
      <c r="D44" s="64">
        <v>14.67</v>
      </c>
      <c r="E44" s="64">
        <v>2.2400000000000002</v>
      </c>
      <c r="F44" s="64">
        <v>1.1000000000000001</v>
      </c>
      <c r="G44" s="64">
        <v>24.45</v>
      </c>
      <c r="H44" s="64">
        <v>9.3000000000000007</v>
      </c>
      <c r="I44" s="64">
        <v>1.51</v>
      </c>
      <c r="J44" s="64">
        <v>0.08</v>
      </c>
      <c r="K44" s="64">
        <v>14.92</v>
      </c>
      <c r="L44" s="64">
        <v>24.8</v>
      </c>
      <c r="M44" s="64">
        <v>93.96</v>
      </c>
      <c r="N44" s="64">
        <v>460.4</v>
      </c>
      <c r="O44" s="64">
        <v>0</v>
      </c>
      <c r="P44" s="64">
        <v>0.52</v>
      </c>
      <c r="Q44" s="64">
        <v>14.97</v>
      </c>
      <c r="R44" s="198"/>
      <c r="S44" s="198"/>
      <c r="T44" s="198"/>
      <c r="U44" s="198"/>
    </row>
    <row r="45" spans="1:21" s="12" customFormat="1" x14ac:dyDescent="0.25">
      <c r="A45" s="214" t="s">
        <v>3069</v>
      </c>
      <c r="B45" s="64">
        <v>7.33</v>
      </c>
      <c r="C45" s="64">
        <v>11.12</v>
      </c>
      <c r="D45" s="64">
        <v>13.31</v>
      </c>
      <c r="E45" s="64">
        <v>2.29</v>
      </c>
      <c r="F45" s="64">
        <v>1.23</v>
      </c>
      <c r="G45" s="64">
        <v>24.45</v>
      </c>
      <c r="H45" s="64">
        <v>9.3000000000000007</v>
      </c>
      <c r="I45" s="64">
        <v>1.49</v>
      </c>
      <c r="J45" s="64">
        <v>0.26</v>
      </c>
      <c r="K45" s="64">
        <v>333.18</v>
      </c>
      <c r="L45" s="64">
        <v>25.96</v>
      </c>
      <c r="M45" s="64">
        <v>88.7</v>
      </c>
      <c r="N45" s="64">
        <v>356.8</v>
      </c>
      <c r="O45" s="64">
        <v>0</v>
      </c>
      <c r="P45" s="64">
        <v>0.53</v>
      </c>
      <c r="Q45" s="64">
        <v>14.6</v>
      </c>
      <c r="R45" s="198"/>
      <c r="S45" s="198"/>
      <c r="T45" s="198"/>
      <c r="U45" s="198"/>
    </row>
    <row r="46" spans="1:21" s="12" customFormat="1" x14ac:dyDescent="0.25">
      <c r="A46" s="214" t="s">
        <v>3070</v>
      </c>
      <c r="B46" s="64">
        <v>8.1300000000000008</v>
      </c>
      <c r="C46" s="64">
        <v>14.01</v>
      </c>
      <c r="D46" s="64">
        <v>15.54</v>
      </c>
      <c r="E46" s="64">
        <v>2.83</v>
      </c>
      <c r="F46" s="64">
        <v>1.84</v>
      </c>
      <c r="G46" s="64">
        <v>33.49</v>
      </c>
      <c r="H46" s="64">
        <v>12.46</v>
      </c>
      <c r="I46" s="64">
        <v>1.45</v>
      </c>
      <c r="J46" s="64">
        <v>0.08</v>
      </c>
      <c r="K46" s="64">
        <v>349.77</v>
      </c>
      <c r="L46" s="64">
        <v>26.1</v>
      </c>
      <c r="M46" s="64">
        <v>86.5</v>
      </c>
      <c r="N46" s="64">
        <v>452.6</v>
      </c>
      <c r="O46" s="64">
        <v>0</v>
      </c>
      <c r="P46" s="64">
        <v>0.56999999999999995</v>
      </c>
      <c r="Q46" s="64">
        <v>14.99</v>
      </c>
      <c r="R46" s="198"/>
      <c r="S46" s="198"/>
      <c r="T46" s="198"/>
      <c r="U46" s="198"/>
    </row>
    <row r="47" spans="1:21" s="12" customFormat="1" x14ac:dyDescent="0.25">
      <c r="A47" s="214" t="s">
        <v>3071</v>
      </c>
      <c r="B47" s="64">
        <v>7.69</v>
      </c>
      <c r="C47" s="64">
        <v>11.65</v>
      </c>
      <c r="D47" s="64">
        <v>13.89</v>
      </c>
      <c r="E47" s="64">
        <v>2.56</v>
      </c>
      <c r="F47" s="64">
        <v>0.59</v>
      </c>
      <c r="G47" s="64">
        <v>35.020000000000003</v>
      </c>
      <c r="H47" s="64">
        <v>12.46</v>
      </c>
      <c r="I47" s="64">
        <v>1.51</v>
      </c>
      <c r="J47" s="64">
        <v>0.17</v>
      </c>
      <c r="K47" s="64">
        <v>358.39</v>
      </c>
      <c r="L47" s="64">
        <v>27.33</v>
      </c>
      <c r="M47" s="64">
        <v>81.5</v>
      </c>
      <c r="N47" s="64">
        <v>444.3</v>
      </c>
      <c r="O47" s="64">
        <v>0</v>
      </c>
      <c r="P47" s="64">
        <v>0.59</v>
      </c>
      <c r="Q47" s="64">
        <v>14.88</v>
      </c>
      <c r="R47" s="198"/>
      <c r="S47" s="198"/>
      <c r="T47" s="198"/>
      <c r="U47" s="198"/>
    </row>
    <row r="48" spans="1:21" s="12" customFormat="1" x14ac:dyDescent="0.25">
      <c r="A48" s="214" t="s">
        <v>3072</v>
      </c>
      <c r="B48" s="64">
        <v>9.34</v>
      </c>
      <c r="C48" s="64">
        <v>9.31</v>
      </c>
      <c r="D48" s="64">
        <v>13.92</v>
      </c>
      <c r="E48" s="64">
        <v>2.27</v>
      </c>
      <c r="F48" s="64">
        <v>0.7</v>
      </c>
      <c r="G48" s="64">
        <v>35.020000000000003</v>
      </c>
      <c r="H48" s="64">
        <v>12.46</v>
      </c>
      <c r="I48" s="64">
        <v>1.51</v>
      </c>
      <c r="J48" s="64">
        <v>0.05</v>
      </c>
      <c r="K48" s="64">
        <v>240.68</v>
      </c>
      <c r="L48" s="64">
        <v>26.38</v>
      </c>
      <c r="M48" s="64">
        <v>85.11</v>
      </c>
      <c r="N48" s="64">
        <v>397.5</v>
      </c>
      <c r="O48" s="64">
        <v>0</v>
      </c>
      <c r="P48" s="64">
        <v>0.63</v>
      </c>
      <c r="Q48" s="64">
        <v>14.47</v>
      </c>
      <c r="R48" s="198"/>
      <c r="S48" s="198"/>
      <c r="T48" s="198"/>
      <c r="U48" s="198"/>
    </row>
    <row r="49" spans="1:21" s="12" customFormat="1" x14ac:dyDescent="0.25">
      <c r="A49" s="214" t="s">
        <v>3073</v>
      </c>
      <c r="B49" s="64">
        <v>7.69</v>
      </c>
      <c r="C49" s="64">
        <v>10.34</v>
      </c>
      <c r="D49" s="64">
        <v>13.17</v>
      </c>
      <c r="E49" s="64">
        <v>2.3199999999999998</v>
      </c>
      <c r="F49" s="64">
        <v>1</v>
      </c>
      <c r="G49" s="64">
        <v>35.020000000000003</v>
      </c>
      <c r="H49" s="64">
        <v>12.46</v>
      </c>
      <c r="I49" s="64">
        <v>1.5</v>
      </c>
      <c r="J49" s="64">
        <v>0.16</v>
      </c>
      <c r="K49" s="64">
        <v>353.52</v>
      </c>
      <c r="L49" s="64">
        <v>27.03</v>
      </c>
      <c r="M49" s="64">
        <v>81.8</v>
      </c>
      <c r="N49" s="64">
        <v>415.6</v>
      </c>
      <c r="O49" s="64">
        <v>0</v>
      </c>
      <c r="P49" s="64">
        <v>0.68</v>
      </c>
      <c r="Q49" s="64">
        <v>13.85</v>
      </c>
      <c r="R49" s="198"/>
      <c r="S49" s="198"/>
      <c r="T49" s="198"/>
      <c r="U49" s="198"/>
    </row>
    <row r="50" spans="1:21" s="12" customFormat="1" x14ac:dyDescent="0.25">
      <c r="A50" s="214" t="s">
        <v>3074</v>
      </c>
      <c r="B50" s="64">
        <v>8.1999999999999993</v>
      </c>
      <c r="C50" s="64">
        <v>12.44</v>
      </c>
      <c r="D50" s="64">
        <v>14.74</v>
      </c>
      <c r="E50" s="64">
        <v>2.62</v>
      </c>
      <c r="F50" s="64">
        <v>0.83</v>
      </c>
      <c r="G50" s="64">
        <v>50.07</v>
      </c>
      <c r="H50" s="64">
        <v>16.47</v>
      </c>
      <c r="I50" s="64">
        <v>1.5</v>
      </c>
      <c r="J50" s="64">
        <v>0.41</v>
      </c>
      <c r="K50" s="64">
        <v>341.49</v>
      </c>
      <c r="L50" s="64">
        <v>27.69</v>
      </c>
      <c r="M50" s="64">
        <v>81.09</v>
      </c>
      <c r="N50" s="64">
        <v>411.6</v>
      </c>
      <c r="O50" s="64">
        <v>0</v>
      </c>
      <c r="P50" s="64">
        <v>0.77</v>
      </c>
      <c r="Q50" s="64">
        <v>14.41</v>
      </c>
      <c r="R50" s="198"/>
      <c r="S50" s="198"/>
      <c r="T50" s="198"/>
      <c r="U50" s="198"/>
    </row>
    <row r="51" spans="1:21" s="12" customFormat="1" x14ac:dyDescent="0.25">
      <c r="A51" s="214" t="s">
        <v>3075</v>
      </c>
      <c r="B51" s="64">
        <v>9.4700000000000006</v>
      </c>
      <c r="C51" s="64">
        <v>15.68</v>
      </c>
      <c r="D51" s="64">
        <v>17.54</v>
      </c>
      <c r="E51" s="64">
        <v>2.78</v>
      </c>
      <c r="F51" s="64">
        <v>2.7</v>
      </c>
      <c r="G51" s="64">
        <v>52.61</v>
      </c>
      <c r="H51" s="64">
        <v>16.47</v>
      </c>
      <c r="I51" s="64">
        <v>1.49</v>
      </c>
      <c r="J51" s="64">
        <v>0.28999999999999998</v>
      </c>
      <c r="K51" s="64">
        <v>344.01</v>
      </c>
      <c r="L51" s="64">
        <v>28.9</v>
      </c>
      <c r="M51" s="64">
        <v>74.790000000000006</v>
      </c>
      <c r="N51" s="64">
        <v>490.7</v>
      </c>
      <c r="O51" s="64">
        <v>0</v>
      </c>
      <c r="P51" s="64">
        <v>1.07</v>
      </c>
      <c r="Q51" s="64">
        <v>13.55</v>
      </c>
      <c r="R51" s="198"/>
      <c r="S51" s="198"/>
      <c r="T51" s="198"/>
      <c r="U51" s="198"/>
    </row>
    <row r="52" spans="1:21" s="12" customFormat="1" x14ac:dyDescent="0.25">
      <c r="A52" s="214" t="s">
        <v>3076</v>
      </c>
      <c r="B52" s="64">
        <v>8.01</v>
      </c>
      <c r="C52" s="64">
        <v>24.03</v>
      </c>
      <c r="D52" s="64">
        <v>20.98</v>
      </c>
      <c r="E52" s="64">
        <v>2.48</v>
      </c>
      <c r="F52" s="64">
        <v>2.56</v>
      </c>
      <c r="G52" s="64">
        <v>52.61</v>
      </c>
      <c r="H52" s="64">
        <v>16.47</v>
      </c>
      <c r="I52" s="64">
        <v>1.48</v>
      </c>
      <c r="J52" s="64">
        <v>0.45</v>
      </c>
      <c r="K52" s="64">
        <v>339.24</v>
      </c>
      <c r="L52" s="64">
        <v>29.5</v>
      </c>
      <c r="M52" s="64">
        <v>72.56</v>
      </c>
      <c r="N52" s="64">
        <v>622.5</v>
      </c>
      <c r="O52" s="64">
        <v>0</v>
      </c>
      <c r="P52" s="64">
        <v>1.3</v>
      </c>
      <c r="Q52" s="64">
        <v>13.73</v>
      </c>
      <c r="R52" s="198"/>
      <c r="S52" s="198"/>
      <c r="T52" s="198"/>
      <c r="U52" s="198"/>
    </row>
    <row r="53" spans="1:21" s="12" customFormat="1" x14ac:dyDescent="0.25">
      <c r="A53" s="214" t="s">
        <v>3077</v>
      </c>
      <c r="B53" s="64">
        <v>8.7100000000000009</v>
      </c>
      <c r="C53" s="64">
        <v>34.520000000000003</v>
      </c>
      <c r="D53" s="64">
        <v>27.33</v>
      </c>
      <c r="E53" s="64">
        <v>2.68</v>
      </c>
      <c r="F53" s="64">
        <v>4.08</v>
      </c>
      <c r="G53" s="64">
        <v>52.61</v>
      </c>
      <c r="H53" s="64">
        <v>16.47</v>
      </c>
      <c r="I53" s="64">
        <v>1.44</v>
      </c>
      <c r="J53" s="64">
        <v>0.1</v>
      </c>
      <c r="K53" s="64">
        <v>324.49</v>
      </c>
      <c r="L53" s="64">
        <v>29.23</v>
      </c>
      <c r="M53" s="64">
        <v>72.239999999999995</v>
      </c>
      <c r="N53" s="64">
        <v>685.9</v>
      </c>
      <c r="O53" s="64">
        <v>0</v>
      </c>
      <c r="P53" s="64">
        <v>1.47</v>
      </c>
      <c r="Q53" s="64">
        <v>14.46</v>
      </c>
      <c r="R53" s="198"/>
      <c r="S53" s="198"/>
      <c r="T53" s="198"/>
      <c r="U53" s="198"/>
    </row>
    <row r="54" spans="1:21" s="12" customFormat="1" x14ac:dyDescent="0.25">
      <c r="A54" s="214" t="s">
        <v>3078</v>
      </c>
      <c r="B54" s="64">
        <v>9.18</v>
      </c>
      <c r="C54" s="64">
        <v>33.450000000000003</v>
      </c>
      <c r="D54" s="64">
        <v>27.11</v>
      </c>
      <c r="E54" s="64">
        <v>2.78</v>
      </c>
      <c r="F54" s="64">
        <v>6</v>
      </c>
      <c r="G54" s="64">
        <v>83.44</v>
      </c>
      <c r="H54" s="64">
        <v>27.04</v>
      </c>
      <c r="I54" s="64">
        <v>1.52</v>
      </c>
      <c r="J54" s="64">
        <v>7.0000000000000007E-2</v>
      </c>
      <c r="K54" s="64">
        <v>335.25</v>
      </c>
      <c r="L54" s="64">
        <v>30.13</v>
      </c>
      <c r="M54" s="64">
        <v>68.19</v>
      </c>
      <c r="N54" s="64">
        <v>678.5</v>
      </c>
      <c r="O54" s="64">
        <v>0</v>
      </c>
      <c r="P54" s="64">
        <v>1.51</v>
      </c>
      <c r="Q54" s="64">
        <v>14.32</v>
      </c>
      <c r="R54" s="198"/>
      <c r="S54" s="198"/>
      <c r="T54" s="198"/>
      <c r="U54" s="198"/>
    </row>
    <row r="55" spans="1:21" s="12" customFormat="1" x14ac:dyDescent="0.25">
      <c r="A55" s="214" t="s">
        <v>3079</v>
      </c>
      <c r="B55" s="64">
        <v>8.9700000000000006</v>
      </c>
      <c r="C55" s="64">
        <v>33.1</v>
      </c>
      <c r="D55" s="64">
        <v>26.75</v>
      </c>
      <c r="E55" s="64">
        <v>3.01</v>
      </c>
      <c r="F55" s="64">
        <v>16.46</v>
      </c>
      <c r="G55" s="64">
        <v>88.64</v>
      </c>
      <c r="H55" s="64">
        <v>27.04</v>
      </c>
      <c r="I55" s="64">
        <v>1.49</v>
      </c>
      <c r="J55" s="64">
        <v>0.3</v>
      </c>
      <c r="K55" s="64">
        <v>347.61</v>
      </c>
      <c r="L55" s="64">
        <v>29.76</v>
      </c>
      <c r="M55" s="64">
        <v>70.989999999999995</v>
      </c>
      <c r="N55" s="64">
        <v>616.29999999999995</v>
      </c>
      <c r="O55" s="64">
        <v>0</v>
      </c>
      <c r="P55" s="64">
        <v>1.57</v>
      </c>
      <c r="Q55" s="64">
        <v>13.2</v>
      </c>
      <c r="R55" s="198"/>
      <c r="S55" s="198"/>
      <c r="T55" s="198"/>
      <c r="U55" s="198"/>
    </row>
    <row r="56" spans="1:21" s="12" customFormat="1" x14ac:dyDescent="0.25">
      <c r="A56" s="214" t="s">
        <v>3080</v>
      </c>
      <c r="B56" s="64">
        <v>8.43</v>
      </c>
      <c r="C56" s="64">
        <v>27.74</v>
      </c>
      <c r="D56" s="64">
        <v>23.36</v>
      </c>
      <c r="E56" s="64">
        <v>1.54</v>
      </c>
      <c r="F56" s="64">
        <v>7.72</v>
      </c>
      <c r="G56" s="64">
        <v>88.64</v>
      </c>
      <c r="H56" s="64">
        <v>27.04</v>
      </c>
      <c r="I56" s="64">
        <v>1.46</v>
      </c>
      <c r="J56" s="64">
        <v>0.36</v>
      </c>
      <c r="K56" s="64">
        <v>335.52</v>
      </c>
      <c r="L56" s="64">
        <v>30.58</v>
      </c>
      <c r="M56" s="64">
        <v>68.069999999999993</v>
      </c>
      <c r="N56" s="64">
        <v>448.8</v>
      </c>
      <c r="O56" s="64">
        <v>0</v>
      </c>
      <c r="P56" s="64">
        <v>1.53</v>
      </c>
      <c r="Q56" s="64">
        <v>12.14</v>
      </c>
      <c r="R56" s="198"/>
      <c r="S56" s="198"/>
      <c r="T56" s="198"/>
      <c r="U56" s="198"/>
    </row>
    <row r="57" spans="1:21" s="12" customFormat="1" x14ac:dyDescent="0.25">
      <c r="A57" s="214" t="s">
        <v>3081</v>
      </c>
      <c r="B57" s="64">
        <v>9.75</v>
      </c>
      <c r="C57" s="64">
        <v>28.98</v>
      </c>
      <c r="D57" s="64">
        <v>25.11</v>
      </c>
      <c r="E57" s="64">
        <v>2.29</v>
      </c>
      <c r="F57" s="64">
        <v>8.31</v>
      </c>
      <c r="G57" s="64">
        <v>88.64</v>
      </c>
      <c r="H57" s="64">
        <v>27.04</v>
      </c>
      <c r="I57" s="64">
        <v>1.55</v>
      </c>
      <c r="J57" s="64">
        <v>0.53</v>
      </c>
      <c r="K57" s="64">
        <v>336.49</v>
      </c>
      <c r="L57" s="64">
        <v>30.74</v>
      </c>
      <c r="M57" s="64">
        <v>68.38</v>
      </c>
      <c r="N57" s="64">
        <v>461.3</v>
      </c>
      <c r="O57" s="64">
        <v>0</v>
      </c>
      <c r="P57" s="64">
        <v>1.64</v>
      </c>
      <c r="Q57" s="64">
        <v>12.02</v>
      </c>
      <c r="R57" s="198"/>
      <c r="S57" s="198"/>
      <c r="T57" s="198"/>
      <c r="U57" s="198"/>
    </row>
    <row r="58" spans="1:21" s="12" customFormat="1" x14ac:dyDescent="0.25">
      <c r="A58" s="214" t="s">
        <v>3082</v>
      </c>
      <c r="B58" s="64">
        <v>6.86</v>
      </c>
      <c r="C58" s="64">
        <v>28.89</v>
      </c>
      <c r="D58" s="64">
        <v>22.73</v>
      </c>
      <c r="E58" s="64">
        <v>2.61</v>
      </c>
      <c r="F58" s="64">
        <v>2.5499999999999998</v>
      </c>
      <c r="G58" s="64">
        <v>113.04</v>
      </c>
      <c r="H58" s="64">
        <v>30.55</v>
      </c>
      <c r="I58" s="64">
        <v>1.5</v>
      </c>
      <c r="J58" s="64">
        <v>7.0000000000000007E-2</v>
      </c>
      <c r="K58" s="64">
        <v>317.11</v>
      </c>
      <c r="L58" s="64">
        <v>29.86</v>
      </c>
      <c r="M58" s="64">
        <v>69.66</v>
      </c>
      <c r="N58" s="64">
        <v>629.6</v>
      </c>
      <c r="O58" s="64">
        <v>0</v>
      </c>
      <c r="P58" s="64">
        <v>1.66</v>
      </c>
      <c r="Q58" s="64">
        <v>12.59</v>
      </c>
      <c r="R58" s="198"/>
      <c r="S58" s="198"/>
      <c r="T58" s="198"/>
      <c r="U58" s="198"/>
    </row>
    <row r="59" spans="1:21" s="12" customFormat="1" x14ac:dyDescent="0.25">
      <c r="A59" s="214" t="s">
        <v>3083</v>
      </c>
      <c r="B59" s="64">
        <v>5.77</v>
      </c>
      <c r="C59" s="64">
        <v>25.27</v>
      </c>
      <c r="D59" s="64">
        <v>19.86</v>
      </c>
      <c r="E59" s="64">
        <v>2.2599999999999998</v>
      </c>
      <c r="F59" s="64">
        <v>3.04</v>
      </c>
      <c r="G59" s="64">
        <v>117.16</v>
      </c>
      <c r="H59" s="64">
        <v>30.55</v>
      </c>
      <c r="I59" s="64">
        <v>1.42</v>
      </c>
      <c r="J59" s="64">
        <v>0.13</v>
      </c>
      <c r="K59" s="64">
        <v>343.22</v>
      </c>
      <c r="L59" s="64">
        <v>28.98</v>
      </c>
      <c r="M59" s="64">
        <v>72.48</v>
      </c>
      <c r="N59" s="64">
        <v>475.1</v>
      </c>
      <c r="O59" s="64">
        <v>0</v>
      </c>
      <c r="P59" s="64">
        <v>1.6</v>
      </c>
      <c r="Q59" s="64">
        <v>12.62</v>
      </c>
      <c r="R59" s="198"/>
      <c r="S59" s="198"/>
      <c r="T59" s="198"/>
      <c r="U59" s="198"/>
    </row>
    <row r="60" spans="1:21" s="12" customFormat="1" x14ac:dyDescent="0.25">
      <c r="A60" s="214" t="s">
        <v>3084</v>
      </c>
      <c r="B60" s="64">
        <v>4.37</v>
      </c>
      <c r="C60" s="64">
        <v>24.61</v>
      </c>
      <c r="D60" s="64">
        <v>18.37</v>
      </c>
      <c r="E60" s="64">
        <v>2.4900000000000002</v>
      </c>
      <c r="F60" s="64">
        <v>6.09</v>
      </c>
      <c r="G60" s="64">
        <v>117.16</v>
      </c>
      <c r="H60" s="64">
        <v>30.55</v>
      </c>
      <c r="I60" s="64">
        <v>1.56</v>
      </c>
      <c r="J60" s="64">
        <v>0.11</v>
      </c>
      <c r="K60" s="64">
        <v>331.29</v>
      </c>
      <c r="L60" s="64">
        <v>29.2</v>
      </c>
      <c r="M60" s="64">
        <v>71.73</v>
      </c>
      <c r="N60" s="64">
        <v>419.2</v>
      </c>
      <c r="O60" s="64">
        <v>0</v>
      </c>
      <c r="P60" s="64">
        <v>1.54</v>
      </c>
      <c r="Q60" s="64">
        <v>11.93</v>
      </c>
      <c r="R60" s="198"/>
      <c r="S60" s="198"/>
      <c r="T60" s="198"/>
      <c r="U60" s="198"/>
    </row>
    <row r="61" spans="1:21" s="12" customFormat="1" x14ac:dyDescent="0.25">
      <c r="A61" s="214" t="s">
        <v>3085</v>
      </c>
      <c r="B61" s="64">
        <v>4.91</v>
      </c>
      <c r="C61" s="64">
        <v>26.44</v>
      </c>
      <c r="D61" s="64">
        <v>19.82</v>
      </c>
      <c r="E61" s="64">
        <v>2.31</v>
      </c>
      <c r="F61" s="64">
        <v>5.78</v>
      </c>
      <c r="G61" s="64">
        <v>117.16</v>
      </c>
      <c r="H61" s="64">
        <v>30.55</v>
      </c>
      <c r="I61" s="64">
        <v>1.52</v>
      </c>
      <c r="J61" s="64">
        <v>0.45</v>
      </c>
      <c r="K61" s="64">
        <v>328.56</v>
      </c>
      <c r="L61" s="64">
        <v>29.51</v>
      </c>
      <c r="M61" s="64">
        <v>71.91</v>
      </c>
      <c r="N61" s="64">
        <v>409.8</v>
      </c>
      <c r="O61" s="64">
        <v>0</v>
      </c>
      <c r="P61" s="64">
        <v>1.31</v>
      </c>
      <c r="Q61" s="64">
        <v>11.13</v>
      </c>
      <c r="R61" s="198"/>
      <c r="S61" s="198"/>
      <c r="T61" s="198"/>
      <c r="U61" s="198"/>
    </row>
    <row r="62" spans="1:21" s="12" customFormat="1" x14ac:dyDescent="0.25">
      <c r="A62" s="214" t="s">
        <v>3086</v>
      </c>
      <c r="B62" s="64">
        <v>4.92</v>
      </c>
      <c r="C62" s="64">
        <v>25.57</v>
      </c>
      <c r="D62" s="64">
        <v>19.350000000000001</v>
      </c>
      <c r="E62" s="64">
        <v>2.2599999999999998</v>
      </c>
      <c r="F62" s="64">
        <v>3.43</v>
      </c>
      <c r="G62" s="64">
        <v>107.2</v>
      </c>
      <c r="H62" s="64">
        <v>32.270000000000003</v>
      </c>
      <c r="I62" s="64">
        <v>1.56</v>
      </c>
      <c r="J62" s="64">
        <v>0.3</v>
      </c>
      <c r="K62" s="64">
        <v>338.93</v>
      </c>
      <c r="L62" s="64">
        <v>30.12</v>
      </c>
      <c r="M62" s="64">
        <v>67.78</v>
      </c>
      <c r="N62" s="64">
        <v>561.79999999999995</v>
      </c>
      <c r="O62" s="64">
        <v>0</v>
      </c>
      <c r="P62" s="64">
        <v>1.39</v>
      </c>
      <c r="Q62" s="64">
        <v>10.59</v>
      </c>
      <c r="R62" s="198"/>
      <c r="S62" s="198"/>
      <c r="T62" s="198"/>
      <c r="U62" s="198"/>
    </row>
    <row r="63" spans="1:21" s="12" customFormat="1" x14ac:dyDescent="0.25">
      <c r="A63" s="214" t="s">
        <v>3087</v>
      </c>
      <c r="B63" s="64">
        <v>4.2</v>
      </c>
      <c r="C63" s="64">
        <v>21.82</v>
      </c>
      <c r="D63" s="64">
        <v>16.7</v>
      </c>
      <c r="E63" s="64">
        <v>2.99</v>
      </c>
      <c r="F63" s="64">
        <v>4.59</v>
      </c>
      <c r="G63" s="64">
        <v>105.52</v>
      </c>
      <c r="H63" s="64">
        <v>32.270000000000003</v>
      </c>
      <c r="I63" s="64">
        <v>1.47</v>
      </c>
      <c r="J63" s="64">
        <v>0.23</v>
      </c>
      <c r="K63" s="64">
        <v>348.09</v>
      </c>
      <c r="L63" s="64">
        <v>29.76</v>
      </c>
      <c r="M63" s="64">
        <v>69.010000000000005</v>
      </c>
      <c r="N63" s="64">
        <v>433.9</v>
      </c>
      <c r="O63" s="64">
        <v>0</v>
      </c>
      <c r="P63" s="64">
        <v>1.31</v>
      </c>
      <c r="Q63" s="64">
        <v>11.04</v>
      </c>
      <c r="R63" s="198"/>
      <c r="S63" s="198"/>
      <c r="T63" s="198"/>
      <c r="U63" s="198"/>
    </row>
    <row r="64" spans="1:21" s="12" customFormat="1" x14ac:dyDescent="0.25">
      <c r="A64" s="214" t="s">
        <v>3088</v>
      </c>
      <c r="B64" s="64">
        <v>2.86</v>
      </c>
      <c r="C64" s="64">
        <v>20.23</v>
      </c>
      <c r="D64" s="64">
        <v>14.75</v>
      </c>
      <c r="E64" s="64">
        <v>2.09</v>
      </c>
      <c r="F64" s="64">
        <v>6.49</v>
      </c>
      <c r="G64" s="64">
        <v>105.52</v>
      </c>
      <c r="H64" s="64">
        <v>32.270000000000003</v>
      </c>
      <c r="I64" s="64">
        <v>1.47</v>
      </c>
      <c r="J64" s="64">
        <v>0.28000000000000003</v>
      </c>
      <c r="K64" s="64">
        <v>341.79</v>
      </c>
      <c r="L64" s="64">
        <v>30.11</v>
      </c>
      <c r="M64" s="64">
        <v>68.28</v>
      </c>
      <c r="N64" s="64">
        <v>413</v>
      </c>
      <c r="O64" s="64">
        <v>0</v>
      </c>
      <c r="P64" s="64">
        <v>1.19</v>
      </c>
      <c r="Q64" s="64">
        <v>11.37</v>
      </c>
      <c r="R64" s="198"/>
      <c r="S64" s="198"/>
      <c r="T64" s="198"/>
      <c r="U64" s="198"/>
    </row>
    <row r="65" spans="1:21" s="12" customFormat="1" x14ac:dyDescent="0.25">
      <c r="A65" s="214" t="s">
        <v>3089</v>
      </c>
      <c r="B65" s="64">
        <v>2.4900000000000002</v>
      </c>
      <c r="C65" s="64">
        <v>19.29</v>
      </c>
      <c r="D65" s="64">
        <v>13.93</v>
      </c>
      <c r="E65" s="64">
        <v>1.84</v>
      </c>
      <c r="F65" s="64">
        <v>5.55</v>
      </c>
      <c r="G65" s="64">
        <v>105.52</v>
      </c>
      <c r="H65" s="64">
        <v>32.270000000000003</v>
      </c>
      <c r="I65" s="64">
        <v>1.54</v>
      </c>
      <c r="J65" s="64">
        <v>0.25</v>
      </c>
      <c r="K65" s="64">
        <v>12.18</v>
      </c>
      <c r="L65" s="64">
        <v>29.04</v>
      </c>
      <c r="M65" s="64">
        <v>71.37</v>
      </c>
      <c r="N65" s="64">
        <v>397.2</v>
      </c>
      <c r="O65" s="64">
        <v>0</v>
      </c>
      <c r="P65" s="64">
        <v>1.1499999999999999</v>
      </c>
      <c r="Q65" s="64">
        <v>11.55</v>
      </c>
      <c r="R65" s="198"/>
      <c r="S65" s="198"/>
      <c r="T65" s="198"/>
      <c r="U65" s="198"/>
    </row>
    <row r="66" spans="1:21" s="12" customFormat="1" x14ac:dyDescent="0.25">
      <c r="A66" s="214" t="s">
        <v>3090</v>
      </c>
      <c r="B66" s="64">
        <v>2.5499999999999998</v>
      </c>
      <c r="C66" s="64">
        <v>18.79</v>
      </c>
      <c r="D66" s="64">
        <v>13.71</v>
      </c>
      <c r="E66" s="64">
        <v>2.4500000000000002</v>
      </c>
      <c r="F66" s="64">
        <v>11.88</v>
      </c>
      <c r="G66" s="64">
        <v>92.22</v>
      </c>
      <c r="H66" s="64">
        <v>31.53</v>
      </c>
      <c r="I66" s="64">
        <v>1.55</v>
      </c>
      <c r="J66" s="64">
        <v>0.25</v>
      </c>
      <c r="K66" s="64">
        <v>351.57</v>
      </c>
      <c r="L66" s="64">
        <v>29.49</v>
      </c>
      <c r="M66" s="64">
        <v>69.44</v>
      </c>
      <c r="N66" s="64">
        <v>295.39999999999998</v>
      </c>
      <c r="O66" s="64">
        <v>0</v>
      </c>
      <c r="P66" s="64">
        <v>1.02</v>
      </c>
      <c r="Q66" s="64">
        <v>11.62</v>
      </c>
      <c r="R66" s="198"/>
      <c r="S66" s="198"/>
      <c r="T66" s="198"/>
      <c r="U66" s="198"/>
    </row>
    <row r="67" spans="1:21" s="12" customFormat="1" x14ac:dyDescent="0.25">
      <c r="A67" s="214" t="s">
        <v>3091</v>
      </c>
      <c r="B67" s="64">
        <v>2.39</v>
      </c>
      <c r="C67" s="64">
        <v>21.69</v>
      </c>
      <c r="D67" s="64">
        <v>15.18</v>
      </c>
      <c r="E67" s="64">
        <v>2.54</v>
      </c>
      <c r="F67" s="64">
        <v>12.72</v>
      </c>
      <c r="G67" s="64">
        <v>89.98</v>
      </c>
      <c r="H67" s="64">
        <v>31.53</v>
      </c>
      <c r="I67" s="64">
        <v>1.5</v>
      </c>
      <c r="J67" s="64">
        <v>0.11</v>
      </c>
      <c r="K67" s="64">
        <v>7.51</v>
      </c>
      <c r="L67" s="64">
        <v>28.65</v>
      </c>
      <c r="M67" s="64">
        <v>75.64</v>
      </c>
      <c r="N67" s="64">
        <v>281.10000000000002</v>
      </c>
      <c r="O67" s="64">
        <v>0</v>
      </c>
      <c r="P67" s="64">
        <v>0.9</v>
      </c>
      <c r="Q67" s="64">
        <v>11.18</v>
      </c>
      <c r="R67" s="198"/>
      <c r="S67" s="198"/>
      <c r="T67" s="198"/>
      <c r="U67" s="198"/>
    </row>
    <row r="68" spans="1:21" s="12" customFormat="1" x14ac:dyDescent="0.25">
      <c r="A68" s="214" t="s">
        <v>3092</v>
      </c>
      <c r="B68" s="64">
        <v>2.12</v>
      </c>
      <c r="C68" s="64">
        <v>20.32</v>
      </c>
      <c r="D68" s="64">
        <v>14.21</v>
      </c>
      <c r="E68" s="64">
        <v>2.4500000000000002</v>
      </c>
      <c r="F68" s="64">
        <v>6.42</v>
      </c>
      <c r="G68" s="64">
        <v>89.98</v>
      </c>
      <c r="H68" s="64">
        <v>31.53</v>
      </c>
      <c r="I68" s="64">
        <v>1.57</v>
      </c>
      <c r="J68" s="64">
        <v>0.34</v>
      </c>
      <c r="K68" s="64">
        <v>8.6199999999999992</v>
      </c>
      <c r="L68" s="64">
        <v>28.07</v>
      </c>
      <c r="M68" s="64">
        <v>78.319999999999993</v>
      </c>
      <c r="N68" s="64">
        <v>267.8</v>
      </c>
      <c r="O68" s="64">
        <v>0</v>
      </c>
      <c r="P68" s="64">
        <v>0.84</v>
      </c>
      <c r="Q68" s="64">
        <v>10.57</v>
      </c>
      <c r="R68" s="198"/>
      <c r="S68" s="198"/>
      <c r="T68" s="198"/>
      <c r="U68" s="198"/>
    </row>
    <row r="69" spans="1:21" s="12" customFormat="1" x14ac:dyDescent="0.25">
      <c r="A69" s="214" t="s">
        <v>3093</v>
      </c>
      <c r="B69" s="64">
        <v>2.29</v>
      </c>
      <c r="C69" s="64">
        <v>17.84</v>
      </c>
      <c r="D69" s="64">
        <v>12.97</v>
      </c>
      <c r="E69" s="64">
        <v>2.08</v>
      </c>
      <c r="F69" s="64">
        <v>5.09</v>
      </c>
      <c r="G69" s="64">
        <v>89.98</v>
      </c>
      <c r="H69" s="64">
        <v>31.53</v>
      </c>
      <c r="I69" s="64">
        <v>1.57</v>
      </c>
      <c r="J69" s="64">
        <v>0.35</v>
      </c>
      <c r="K69" s="64">
        <v>17.850000000000001</v>
      </c>
      <c r="L69" s="64">
        <v>28.34</v>
      </c>
      <c r="M69" s="64">
        <v>75.16</v>
      </c>
      <c r="N69" s="64">
        <v>228.9</v>
      </c>
      <c r="O69" s="64">
        <v>0</v>
      </c>
      <c r="P69" s="64">
        <v>0.81</v>
      </c>
      <c r="Q69" s="64">
        <v>9.91</v>
      </c>
      <c r="R69" s="198"/>
      <c r="S69" s="198"/>
      <c r="T69" s="198"/>
      <c r="U69" s="198"/>
    </row>
    <row r="70" spans="1:21" s="12" customFormat="1" x14ac:dyDescent="0.25">
      <c r="A70" s="214" t="s">
        <v>3094</v>
      </c>
      <c r="B70" s="64">
        <v>2.52</v>
      </c>
      <c r="C70" s="64">
        <v>16.96</v>
      </c>
      <c r="D70" s="64">
        <v>12.67</v>
      </c>
      <c r="E70" s="64">
        <v>2.13</v>
      </c>
      <c r="F70" s="64">
        <v>3.22</v>
      </c>
      <c r="G70" s="64">
        <v>75.13</v>
      </c>
      <c r="H70" s="64">
        <v>31.13</v>
      </c>
      <c r="I70" s="64">
        <v>1.51</v>
      </c>
      <c r="J70" s="64">
        <v>0.39</v>
      </c>
      <c r="K70" s="64">
        <v>17.61</v>
      </c>
      <c r="L70" s="64">
        <v>28.01</v>
      </c>
      <c r="M70" s="64">
        <v>70.34</v>
      </c>
      <c r="N70" s="64">
        <v>209.3</v>
      </c>
      <c r="O70" s="64">
        <v>0</v>
      </c>
      <c r="P70" s="64">
        <v>0.78</v>
      </c>
      <c r="Q70" s="64">
        <v>10.87</v>
      </c>
      <c r="R70" s="198"/>
      <c r="S70" s="198"/>
      <c r="T70" s="198"/>
      <c r="U70" s="198"/>
    </row>
    <row r="71" spans="1:21" s="12" customFormat="1" x14ac:dyDescent="0.25">
      <c r="A71" s="214" t="s">
        <v>3095</v>
      </c>
      <c r="B71" s="64">
        <v>2.3199999999999998</v>
      </c>
      <c r="C71" s="64">
        <v>15.99</v>
      </c>
      <c r="D71" s="64">
        <v>11.98</v>
      </c>
      <c r="E71" s="64">
        <v>2.5499999999999998</v>
      </c>
      <c r="F71" s="64">
        <v>3.62</v>
      </c>
      <c r="G71" s="64">
        <v>72.62</v>
      </c>
      <c r="H71" s="64">
        <v>31.13</v>
      </c>
      <c r="I71" s="64">
        <v>1.5</v>
      </c>
      <c r="J71" s="64">
        <v>0.26</v>
      </c>
      <c r="K71" s="64">
        <v>19.190000000000001</v>
      </c>
      <c r="L71" s="64">
        <v>27.7</v>
      </c>
      <c r="M71" s="64">
        <v>74.989999999999995</v>
      </c>
      <c r="N71" s="64">
        <v>176.1</v>
      </c>
      <c r="O71" s="64">
        <v>0</v>
      </c>
      <c r="P71" s="64">
        <v>0.72</v>
      </c>
      <c r="Q71" s="64">
        <v>10.25</v>
      </c>
      <c r="R71" s="198"/>
      <c r="S71" s="198"/>
      <c r="T71" s="198"/>
      <c r="U71" s="198"/>
    </row>
    <row r="72" spans="1:21" s="12" customFormat="1" x14ac:dyDescent="0.25">
      <c r="A72" s="214" t="s">
        <v>3096</v>
      </c>
      <c r="B72" s="64">
        <v>2.36</v>
      </c>
      <c r="C72" s="64">
        <v>15.12</v>
      </c>
      <c r="D72" s="64">
        <v>11.53</v>
      </c>
      <c r="E72" s="64">
        <v>2.11</v>
      </c>
      <c r="F72" s="64">
        <v>3.72</v>
      </c>
      <c r="G72" s="64">
        <v>72.62</v>
      </c>
      <c r="H72" s="64">
        <v>31.13</v>
      </c>
      <c r="I72" s="64">
        <v>1.51</v>
      </c>
      <c r="J72" s="64">
        <v>0.28999999999999998</v>
      </c>
      <c r="K72" s="64">
        <v>6.41</v>
      </c>
      <c r="L72" s="64">
        <v>27.7</v>
      </c>
      <c r="M72" s="64">
        <v>77.010000000000005</v>
      </c>
      <c r="N72" s="64">
        <v>147.4</v>
      </c>
      <c r="O72" s="64">
        <v>0</v>
      </c>
      <c r="P72" s="64">
        <v>0.69</v>
      </c>
      <c r="Q72" s="64">
        <v>9.1300000000000008</v>
      </c>
      <c r="R72" s="198"/>
      <c r="S72" s="198"/>
      <c r="T72" s="198"/>
      <c r="U72" s="198"/>
    </row>
    <row r="73" spans="1:21" s="12" customFormat="1" x14ac:dyDescent="0.25">
      <c r="A73" s="214" t="s">
        <v>3097</v>
      </c>
      <c r="B73" s="64">
        <v>2.5</v>
      </c>
      <c r="C73" s="64">
        <v>14.93</v>
      </c>
      <c r="D73" s="64">
        <v>11.54</v>
      </c>
      <c r="E73" s="64">
        <v>2.4</v>
      </c>
      <c r="F73" s="64">
        <v>2.74</v>
      </c>
      <c r="G73" s="64">
        <v>72.62</v>
      </c>
      <c r="H73" s="64">
        <v>31.13</v>
      </c>
      <c r="I73" s="64">
        <v>1.47</v>
      </c>
      <c r="J73" s="64">
        <v>0.28999999999999998</v>
      </c>
      <c r="K73" s="64">
        <v>23.8</v>
      </c>
      <c r="L73" s="64">
        <v>27.42</v>
      </c>
      <c r="M73" s="64">
        <v>76.650000000000006</v>
      </c>
      <c r="N73" s="64">
        <v>106.1</v>
      </c>
      <c r="O73" s="64">
        <v>0</v>
      </c>
      <c r="P73" s="64">
        <v>0.68</v>
      </c>
      <c r="Q73" s="64">
        <v>9.85</v>
      </c>
      <c r="R73" s="198"/>
      <c r="S73" s="198"/>
      <c r="T73" s="198"/>
      <c r="U73" s="198"/>
    </row>
    <row r="74" spans="1:21" s="12" customFormat="1" x14ac:dyDescent="0.25">
      <c r="A74" s="214" t="s">
        <v>3098</v>
      </c>
      <c r="B74" s="64">
        <v>2.99</v>
      </c>
      <c r="C74" s="64">
        <v>16.8</v>
      </c>
      <c r="D74" s="64">
        <v>12.96</v>
      </c>
      <c r="E74" s="64">
        <v>2.82</v>
      </c>
      <c r="F74" s="64">
        <v>2.4300000000000002</v>
      </c>
      <c r="G74" s="64">
        <v>66.59</v>
      </c>
      <c r="H74" s="64">
        <v>26.04</v>
      </c>
      <c r="I74" s="64">
        <v>1.49</v>
      </c>
      <c r="J74" s="64">
        <v>0.34</v>
      </c>
      <c r="K74" s="64">
        <v>15</v>
      </c>
      <c r="L74" s="64">
        <v>27.21</v>
      </c>
      <c r="M74" s="64">
        <v>77.44</v>
      </c>
      <c r="N74" s="64">
        <v>85.9</v>
      </c>
      <c r="O74" s="64">
        <v>0</v>
      </c>
      <c r="P74" s="64">
        <v>0.67</v>
      </c>
      <c r="Q74" s="64">
        <v>9.9700000000000006</v>
      </c>
      <c r="R74" s="198"/>
      <c r="S74" s="198"/>
      <c r="T74" s="198"/>
      <c r="U74" s="198"/>
    </row>
    <row r="75" spans="1:21" s="12" customFormat="1" x14ac:dyDescent="0.25">
      <c r="A75" s="214" t="s">
        <v>3099</v>
      </c>
      <c r="B75" s="64">
        <v>3.29</v>
      </c>
      <c r="C75" s="64">
        <v>17.12</v>
      </c>
      <c r="D75" s="64">
        <v>13.38</v>
      </c>
      <c r="E75" s="64">
        <v>2.94</v>
      </c>
      <c r="F75" s="64">
        <v>3.33</v>
      </c>
      <c r="G75" s="64">
        <v>65.58</v>
      </c>
      <c r="H75" s="64">
        <v>26.04</v>
      </c>
      <c r="I75" s="64">
        <v>1.47</v>
      </c>
      <c r="J75" s="64">
        <v>0.31</v>
      </c>
      <c r="K75" s="64">
        <v>16.39</v>
      </c>
      <c r="L75" s="64">
        <v>26.95</v>
      </c>
      <c r="M75" s="64">
        <v>81.78</v>
      </c>
      <c r="N75" s="64">
        <v>56.5</v>
      </c>
      <c r="O75" s="64">
        <v>0</v>
      </c>
      <c r="P75" s="64">
        <v>0.65</v>
      </c>
      <c r="Q75" s="64">
        <v>9.15</v>
      </c>
      <c r="R75" s="198"/>
      <c r="S75" s="198"/>
      <c r="T75" s="198"/>
      <c r="U75" s="198"/>
    </row>
    <row r="76" spans="1:21" s="12" customFormat="1" x14ac:dyDescent="0.25">
      <c r="A76" s="214" t="s">
        <v>3100</v>
      </c>
      <c r="B76" s="64">
        <v>3.12</v>
      </c>
      <c r="C76" s="64">
        <v>15.42</v>
      </c>
      <c r="D76" s="64">
        <v>12.31</v>
      </c>
      <c r="E76" s="64">
        <v>2.38</v>
      </c>
      <c r="F76" s="64">
        <v>1.1499999999999999</v>
      </c>
      <c r="G76" s="64">
        <v>65.58</v>
      </c>
      <c r="H76" s="64">
        <v>26.04</v>
      </c>
      <c r="I76" s="64">
        <v>1.48</v>
      </c>
      <c r="J76" s="64">
        <v>0.33</v>
      </c>
      <c r="K76" s="64">
        <v>19.11</v>
      </c>
      <c r="L76" s="64">
        <v>26.47</v>
      </c>
      <c r="M76" s="64">
        <v>85.81</v>
      </c>
      <c r="N76" s="64">
        <v>33.9</v>
      </c>
      <c r="O76" s="64">
        <v>0</v>
      </c>
      <c r="P76" s="64">
        <v>0.64</v>
      </c>
      <c r="Q76" s="64">
        <v>10.55</v>
      </c>
      <c r="R76" s="198"/>
      <c r="S76" s="198"/>
      <c r="T76" s="198"/>
      <c r="U76" s="198"/>
    </row>
    <row r="77" spans="1:21" s="12" customFormat="1" x14ac:dyDescent="0.25">
      <c r="A77" s="214" t="s">
        <v>3101</v>
      </c>
      <c r="B77" s="64">
        <v>3.87</v>
      </c>
      <c r="C77" s="64">
        <v>17.43</v>
      </c>
      <c r="D77" s="64">
        <v>14.01</v>
      </c>
      <c r="E77" s="64">
        <v>2.37</v>
      </c>
      <c r="F77" s="64">
        <v>2.66</v>
      </c>
      <c r="G77" s="64">
        <v>65.58</v>
      </c>
      <c r="H77" s="64">
        <v>26.04</v>
      </c>
      <c r="I77" s="64">
        <v>1.48</v>
      </c>
      <c r="J77" s="64">
        <v>0.24</v>
      </c>
      <c r="K77" s="64">
        <v>23.4</v>
      </c>
      <c r="L77" s="64">
        <v>25.93</v>
      </c>
      <c r="M77" s="64">
        <v>86.39</v>
      </c>
      <c r="N77" s="64">
        <v>26.6</v>
      </c>
      <c r="O77" s="64">
        <v>0</v>
      </c>
      <c r="P77" s="64">
        <v>0.62</v>
      </c>
      <c r="Q77" s="64">
        <v>11.01</v>
      </c>
      <c r="R77" s="198"/>
      <c r="S77" s="198"/>
      <c r="T77" s="198"/>
      <c r="U77" s="198"/>
    </row>
    <row r="78" spans="1:21" s="12" customFormat="1" x14ac:dyDescent="0.25">
      <c r="A78" s="214" t="s">
        <v>3102</v>
      </c>
      <c r="B78" s="64">
        <v>3.59</v>
      </c>
      <c r="C78" s="64">
        <v>16.11</v>
      </c>
      <c r="D78" s="64">
        <v>13.06</v>
      </c>
      <c r="E78" s="64">
        <v>2.61</v>
      </c>
      <c r="F78" s="64">
        <v>2.06</v>
      </c>
      <c r="G78" s="64">
        <v>59.29</v>
      </c>
      <c r="H78" s="64">
        <v>23.19</v>
      </c>
      <c r="I78" s="64">
        <v>1.41</v>
      </c>
      <c r="J78" s="64">
        <v>0.36</v>
      </c>
      <c r="K78" s="64">
        <v>14.74</v>
      </c>
      <c r="L78" s="64">
        <v>25.75</v>
      </c>
      <c r="M78" s="64">
        <v>87.04</v>
      </c>
      <c r="N78" s="64">
        <v>17.7</v>
      </c>
      <c r="O78" s="64">
        <v>0</v>
      </c>
      <c r="P78" s="64">
        <v>0.6</v>
      </c>
      <c r="Q78" s="64">
        <v>9.58</v>
      </c>
      <c r="R78" s="198"/>
      <c r="S78" s="198"/>
      <c r="T78" s="198"/>
      <c r="U78" s="198"/>
    </row>
    <row r="79" spans="1:21" s="12" customFormat="1" x14ac:dyDescent="0.25">
      <c r="A79" s="214" t="s">
        <v>3103</v>
      </c>
      <c r="B79" s="64">
        <v>5.0999999999999996</v>
      </c>
      <c r="C79" s="64">
        <v>16.079999999999998</v>
      </c>
      <c r="D79" s="64">
        <v>14.26</v>
      </c>
      <c r="E79" s="64">
        <v>1.88</v>
      </c>
      <c r="F79" s="64">
        <v>1.89</v>
      </c>
      <c r="G79" s="64">
        <v>58.22</v>
      </c>
      <c r="H79" s="64">
        <v>23.19</v>
      </c>
      <c r="I79" s="64">
        <v>1.52</v>
      </c>
      <c r="J79" s="64">
        <v>0.56000000000000005</v>
      </c>
      <c r="K79" s="64">
        <v>343.74</v>
      </c>
      <c r="L79" s="64">
        <v>25.31</v>
      </c>
      <c r="M79" s="64">
        <v>87.05</v>
      </c>
      <c r="N79" s="64">
        <v>13.8</v>
      </c>
      <c r="O79" s="64">
        <v>0</v>
      </c>
      <c r="P79" s="64">
        <v>0.61</v>
      </c>
      <c r="Q79" s="64">
        <v>10.11</v>
      </c>
      <c r="R79" s="198"/>
      <c r="S79" s="198"/>
      <c r="T79" s="198"/>
      <c r="U79" s="198"/>
    </row>
    <row r="80" spans="1:21" s="12" customFormat="1" x14ac:dyDescent="0.25">
      <c r="A80" s="214" t="s">
        <v>3104</v>
      </c>
      <c r="B80" s="64">
        <v>6.53</v>
      </c>
      <c r="C80" s="64">
        <v>17.559999999999999</v>
      </c>
      <c r="D80" s="64">
        <v>16.22</v>
      </c>
      <c r="E80" s="64">
        <v>3.03</v>
      </c>
      <c r="F80" s="64">
        <v>2.96</v>
      </c>
      <c r="G80" s="64">
        <v>58.22</v>
      </c>
      <c r="H80" s="64">
        <v>23.19</v>
      </c>
      <c r="I80" s="64">
        <v>1.45</v>
      </c>
      <c r="J80" s="64">
        <v>0.34</v>
      </c>
      <c r="K80" s="64">
        <v>0.97</v>
      </c>
      <c r="L80" s="64">
        <v>24.89</v>
      </c>
      <c r="M80" s="64">
        <v>87.34</v>
      </c>
      <c r="N80" s="64">
        <v>10.1</v>
      </c>
      <c r="O80" s="64">
        <v>0</v>
      </c>
      <c r="P80" s="64">
        <v>0.61</v>
      </c>
      <c r="Q80" s="64">
        <v>10.49</v>
      </c>
      <c r="R80" s="198"/>
      <c r="S80" s="198"/>
      <c r="T80" s="198"/>
      <c r="U80" s="198"/>
    </row>
    <row r="81" spans="1:26" s="12" customFormat="1" x14ac:dyDescent="0.25">
      <c r="A81" s="214" t="s">
        <v>3105</v>
      </c>
      <c r="B81" s="64">
        <v>7.32</v>
      </c>
      <c r="C81" s="64">
        <v>18.61</v>
      </c>
      <c r="D81" s="64">
        <v>17.43</v>
      </c>
      <c r="E81" s="64">
        <v>2.97</v>
      </c>
      <c r="F81" s="64">
        <v>2.89</v>
      </c>
      <c r="G81" s="64">
        <v>58.22</v>
      </c>
      <c r="H81" s="64">
        <v>23.19</v>
      </c>
      <c r="I81" s="64">
        <v>1.47</v>
      </c>
      <c r="J81" s="64">
        <v>0.33</v>
      </c>
      <c r="K81" s="64">
        <v>336.83</v>
      </c>
      <c r="L81" s="64">
        <v>24.56</v>
      </c>
      <c r="M81" s="64">
        <v>88.57</v>
      </c>
      <c r="N81" s="64">
        <v>9.5</v>
      </c>
      <c r="O81" s="64">
        <v>0</v>
      </c>
      <c r="P81" s="64">
        <v>0.63</v>
      </c>
      <c r="Q81" s="64">
        <v>10.1</v>
      </c>
      <c r="R81" s="198"/>
      <c r="S81" s="198"/>
      <c r="T81" s="198"/>
      <c r="U81" s="198"/>
    </row>
    <row r="82" spans="1:26" s="12" customFormat="1" x14ac:dyDescent="0.25">
      <c r="A82" s="214" t="s">
        <v>3106</v>
      </c>
      <c r="B82" s="64">
        <v>6.91</v>
      </c>
      <c r="C82" s="64">
        <v>20.99</v>
      </c>
      <c r="D82" s="64">
        <v>18.420000000000002</v>
      </c>
      <c r="E82" s="64">
        <v>3.05</v>
      </c>
      <c r="F82" s="64">
        <v>2.59</v>
      </c>
      <c r="G82" s="64">
        <v>50.42</v>
      </c>
      <c r="H82" s="64">
        <v>19.45</v>
      </c>
      <c r="I82" s="64">
        <v>1.54</v>
      </c>
      <c r="J82" s="64">
        <v>0.28000000000000003</v>
      </c>
      <c r="K82" s="64">
        <v>331.62</v>
      </c>
      <c r="L82" s="64">
        <v>24.4</v>
      </c>
      <c r="M82" s="64">
        <v>88.55</v>
      </c>
      <c r="N82" s="64">
        <v>9.1</v>
      </c>
      <c r="O82" s="64">
        <v>0</v>
      </c>
      <c r="P82" s="64">
        <v>0.69</v>
      </c>
      <c r="Q82" s="64">
        <v>10.8</v>
      </c>
      <c r="R82" s="198"/>
      <c r="S82" s="198"/>
      <c r="T82" s="198"/>
      <c r="U82" s="198"/>
    </row>
    <row r="83" spans="1:26" s="12" customFormat="1" x14ac:dyDescent="0.25">
      <c r="A83" s="214" t="s">
        <v>3107</v>
      </c>
      <c r="B83" s="64">
        <v>7.48</v>
      </c>
      <c r="C83" s="64">
        <v>13.63</v>
      </c>
      <c r="D83" s="64">
        <v>14.81</v>
      </c>
      <c r="E83" s="64">
        <v>2.44</v>
      </c>
      <c r="F83" s="64">
        <v>1.99</v>
      </c>
      <c r="G83" s="64">
        <v>49.11</v>
      </c>
      <c r="H83" s="64">
        <v>19.45</v>
      </c>
      <c r="I83" s="64">
        <v>1.57</v>
      </c>
      <c r="J83" s="64">
        <v>0.4</v>
      </c>
      <c r="K83" s="64">
        <v>331.42</v>
      </c>
      <c r="L83" s="64">
        <v>24.39</v>
      </c>
      <c r="M83" s="64">
        <v>87.08</v>
      </c>
      <c r="N83" s="64">
        <v>8.9</v>
      </c>
      <c r="O83" s="64">
        <v>0</v>
      </c>
      <c r="P83" s="64">
        <v>0.67</v>
      </c>
      <c r="Q83" s="64">
        <v>10.53</v>
      </c>
      <c r="R83" s="198"/>
      <c r="S83" s="198"/>
      <c r="T83" s="198"/>
      <c r="U83" s="198"/>
    </row>
    <row r="84" spans="1:26" s="12" customFormat="1" x14ac:dyDescent="0.25">
      <c r="A84" s="214" t="s">
        <v>3108</v>
      </c>
      <c r="B84" s="64">
        <v>9.11</v>
      </c>
      <c r="C84" s="64">
        <v>17.37</v>
      </c>
      <c r="D84" s="64">
        <v>18.18</v>
      </c>
      <c r="E84" s="64">
        <v>2.76</v>
      </c>
      <c r="F84" s="64">
        <v>0.86</v>
      </c>
      <c r="G84" s="64">
        <v>49.11</v>
      </c>
      <c r="H84" s="64">
        <v>19.45</v>
      </c>
      <c r="I84" s="64">
        <v>1.52</v>
      </c>
      <c r="J84" s="64">
        <v>0.17</v>
      </c>
      <c r="K84" s="64">
        <v>348.36</v>
      </c>
      <c r="L84" s="64">
        <v>24.38</v>
      </c>
      <c r="M84" s="64">
        <v>87.43</v>
      </c>
      <c r="N84" s="64">
        <v>9.1</v>
      </c>
      <c r="O84" s="64">
        <v>0</v>
      </c>
      <c r="P84" s="64">
        <v>0.72</v>
      </c>
      <c r="Q84" s="64">
        <v>11</v>
      </c>
      <c r="R84" s="198"/>
      <c r="S84" s="198"/>
      <c r="T84" s="198"/>
      <c r="U84" s="198"/>
    </row>
    <row r="85" spans="1:26" s="12" customFormat="1" x14ac:dyDescent="0.25">
      <c r="A85" s="214" t="s">
        <v>3109</v>
      </c>
      <c r="B85" s="64">
        <v>9.98</v>
      </c>
      <c r="C85" s="64">
        <v>16.62</v>
      </c>
      <c r="D85" s="64">
        <v>18.46</v>
      </c>
      <c r="E85" s="64">
        <v>2.56</v>
      </c>
      <c r="F85" s="64">
        <v>1.05</v>
      </c>
      <c r="G85" s="64">
        <v>49.11</v>
      </c>
      <c r="H85" s="64">
        <v>19.45</v>
      </c>
      <c r="I85" s="64">
        <v>1.52</v>
      </c>
      <c r="J85" s="64">
        <v>0.16</v>
      </c>
      <c r="K85" s="64">
        <v>333.74</v>
      </c>
      <c r="L85" s="64">
        <v>24.22</v>
      </c>
      <c r="M85" s="64">
        <v>89.65</v>
      </c>
      <c r="N85" s="64">
        <v>9.1999999999999993</v>
      </c>
      <c r="O85" s="64">
        <v>0</v>
      </c>
      <c r="P85" s="64">
        <v>0.81</v>
      </c>
      <c r="Q85" s="64">
        <v>10.3</v>
      </c>
      <c r="R85" s="198"/>
      <c r="S85" s="198"/>
      <c r="T85" s="198"/>
      <c r="U85" s="198"/>
    </row>
    <row r="86" spans="1:26" s="12" customFormat="1" x14ac:dyDescent="0.25">
      <c r="A86" s="214" t="s">
        <v>3110</v>
      </c>
      <c r="B86" s="64">
        <v>9.93</v>
      </c>
      <c r="C86" s="64">
        <v>15.34</v>
      </c>
      <c r="D86" s="64">
        <v>17.72</v>
      </c>
      <c r="E86" s="64">
        <v>2.62</v>
      </c>
      <c r="F86" s="64">
        <v>0.39</v>
      </c>
      <c r="G86" s="64">
        <v>53.7</v>
      </c>
      <c r="H86" s="64">
        <v>16.48</v>
      </c>
      <c r="I86" s="64">
        <v>1.47</v>
      </c>
      <c r="J86" s="64">
        <v>0.2</v>
      </c>
      <c r="K86" s="64">
        <v>8.42</v>
      </c>
      <c r="L86" s="64">
        <v>24.2</v>
      </c>
      <c r="M86" s="64">
        <v>88.72</v>
      </c>
      <c r="N86" s="64">
        <v>9</v>
      </c>
      <c r="O86" s="64">
        <v>0</v>
      </c>
      <c r="P86" s="64">
        <v>0.86</v>
      </c>
      <c r="Q86" s="64">
        <v>10.84</v>
      </c>
      <c r="R86" s="198"/>
      <c r="S86" s="198"/>
      <c r="T86" s="198"/>
      <c r="U86" s="198"/>
    </row>
    <row r="87" spans="1:26" s="12" customFormat="1" x14ac:dyDescent="0.25">
      <c r="A87" s="214" t="s">
        <v>3111</v>
      </c>
      <c r="B87" s="64">
        <v>10.08</v>
      </c>
      <c r="C87" s="64">
        <v>14.24</v>
      </c>
      <c r="D87" s="64">
        <v>17.239999999999998</v>
      </c>
      <c r="E87" s="64">
        <v>3.09</v>
      </c>
      <c r="F87" s="64">
        <v>0.87</v>
      </c>
      <c r="G87" s="64">
        <v>54.47</v>
      </c>
      <c r="H87" s="64">
        <v>16.48</v>
      </c>
      <c r="I87" s="64">
        <v>1.57</v>
      </c>
      <c r="J87" s="64">
        <v>0.19</v>
      </c>
      <c r="K87" s="64">
        <v>20.79</v>
      </c>
      <c r="L87" s="64">
        <v>23.97</v>
      </c>
      <c r="M87" s="64">
        <v>91.78</v>
      </c>
      <c r="N87" s="64">
        <v>9.1</v>
      </c>
      <c r="O87" s="64">
        <v>0</v>
      </c>
      <c r="P87" s="64">
        <v>0.86</v>
      </c>
      <c r="Q87" s="64">
        <v>10.9</v>
      </c>
      <c r="R87" s="198"/>
      <c r="S87" s="198"/>
      <c r="T87" s="198"/>
      <c r="U87" s="198"/>
    </row>
    <row r="88" spans="1:26" s="12" customFormat="1" x14ac:dyDescent="0.25">
      <c r="A88" s="214" t="s">
        <v>3112</v>
      </c>
      <c r="B88" s="64">
        <v>10.34</v>
      </c>
      <c r="C88" s="64">
        <v>17.48</v>
      </c>
      <c r="D88" s="64">
        <v>19.23</v>
      </c>
      <c r="E88" s="64">
        <v>1.58</v>
      </c>
      <c r="F88" s="64">
        <v>0.35</v>
      </c>
      <c r="G88" s="64">
        <v>54.47</v>
      </c>
      <c r="H88" s="64">
        <v>16.48</v>
      </c>
      <c r="I88" s="64">
        <v>1.48</v>
      </c>
      <c r="J88" s="64">
        <v>0.12</v>
      </c>
      <c r="K88" s="64">
        <v>17.46</v>
      </c>
      <c r="L88" s="64">
        <v>23.79</v>
      </c>
      <c r="M88" s="64">
        <v>93.51</v>
      </c>
      <c r="N88" s="64">
        <v>9.1</v>
      </c>
      <c r="O88" s="64">
        <v>0</v>
      </c>
      <c r="P88" s="64">
        <v>0.95</v>
      </c>
      <c r="Q88" s="64">
        <v>11.58</v>
      </c>
      <c r="R88" s="198"/>
      <c r="S88" s="198"/>
      <c r="T88" s="198"/>
      <c r="U88" s="198"/>
    </row>
    <row r="89" spans="1:26" s="12" customFormat="1" x14ac:dyDescent="0.25">
      <c r="A89" s="214" t="s">
        <v>3113</v>
      </c>
      <c r="B89" s="64">
        <v>16.87</v>
      </c>
      <c r="C89" s="64">
        <v>30.1</v>
      </c>
      <c r="D89" s="64">
        <v>31.43</v>
      </c>
      <c r="E89" s="64">
        <v>3.25</v>
      </c>
      <c r="F89" s="64">
        <v>2.54</v>
      </c>
      <c r="G89" s="64">
        <v>54.47</v>
      </c>
      <c r="H89" s="64">
        <v>16.48</v>
      </c>
      <c r="I89" s="64">
        <v>1.48</v>
      </c>
      <c r="J89" s="64">
        <v>0.11</v>
      </c>
      <c r="K89" s="64">
        <v>7.64</v>
      </c>
      <c r="L89" s="64">
        <v>23.69</v>
      </c>
      <c r="M89" s="64">
        <v>96.07</v>
      </c>
      <c r="N89" s="64">
        <v>9.1</v>
      </c>
      <c r="O89" s="64">
        <v>0</v>
      </c>
      <c r="P89" s="64">
        <v>1.53</v>
      </c>
      <c r="Q89" s="64">
        <v>10.69</v>
      </c>
      <c r="R89" s="198"/>
      <c r="S89" s="198"/>
      <c r="T89" s="198"/>
      <c r="U89" s="198"/>
    </row>
    <row r="90" spans="1:26" s="12" customFormat="1" x14ac:dyDescent="0.25">
      <c r="A90" s="214" t="s">
        <v>3114</v>
      </c>
      <c r="B90" s="64">
        <v>13.17</v>
      </c>
      <c r="C90" s="64">
        <v>22.77</v>
      </c>
      <c r="D90" s="64">
        <v>24.42</v>
      </c>
      <c r="E90" s="64">
        <v>3.56</v>
      </c>
      <c r="F90" s="64">
        <v>1.62</v>
      </c>
      <c r="G90" s="64">
        <v>61.75</v>
      </c>
      <c r="H90" s="64">
        <v>20.47</v>
      </c>
      <c r="I90" s="64">
        <v>1.53</v>
      </c>
      <c r="J90" s="64">
        <v>0.14000000000000001</v>
      </c>
      <c r="K90" s="64">
        <v>22.97</v>
      </c>
      <c r="L90" s="64">
        <v>23.71</v>
      </c>
      <c r="M90" s="64">
        <v>96.32</v>
      </c>
      <c r="N90" s="64">
        <v>9</v>
      </c>
      <c r="O90" s="64">
        <v>0</v>
      </c>
      <c r="P90" s="64">
        <v>1.17</v>
      </c>
      <c r="Q90" s="64">
        <v>10.11</v>
      </c>
      <c r="R90" s="198"/>
      <c r="S90" s="198"/>
      <c r="T90" s="198"/>
      <c r="U90" s="198"/>
    </row>
    <row r="91" spans="1:26" s="12" customFormat="1" x14ac:dyDescent="0.25">
      <c r="A91" s="214" t="s">
        <v>3115</v>
      </c>
      <c r="B91" s="64">
        <v>12.3</v>
      </c>
      <c r="C91" s="64">
        <v>18.78</v>
      </c>
      <c r="D91" s="64">
        <v>21.52</v>
      </c>
      <c r="E91" s="64">
        <v>2.78</v>
      </c>
      <c r="F91" s="64">
        <v>1.1299999999999999</v>
      </c>
      <c r="G91" s="64">
        <v>62.98</v>
      </c>
      <c r="H91" s="64">
        <v>20.47</v>
      </c>
      <c r="I91" s="64">
        <v>1.48</v>
      </c>
      <c r="J91" s="64">
        <v>0.17</v>
      </c>
      <c r="K91" s="64">
        <v>28.08</v>
      </c>
      <c r="L91" s="64">
        <v>23.74</v>
      </c>
      <c r="M91" s="64">
        <v>96.01</v>
      </c>
      <c r="N91" s="64">
        <v>8.9</v>
      </c>
      <c r="O91" s="64">
        <v>0</v>
      </c>
      <c r="P91" s="64">
        <v>1.1200000000000001</v>
      </c>
      <c r="Q91" s="64">
        <v>11.09</v>
      </c>
      <c r="R91" s="198"/>
      <c r="S91" s="198"/>
      <c r="T91" s="198"/>
      <c r="U91" s="198"/>
    </row>
    <row r="92" spans="1:26" s="12" customFormat="1" x14ac:dyDescent="0.25">
      <c r="A92" s="214" t="s">
        <v>3116</v>
      </c>
      <c r="B92" s="64">
        <v>14.3</v>
      </c>
      <c r="C92" s="64">
        <v>18.329999999999998</v>
      </c>
      <c r="D92" s="64">
        <v>22.88</v>
      </c>
      <c r="E92" s="64">
        <v>2.69</v>
      </c>
      <c r="F92" s="64">
        <v>1.92</v>
      </c>
      <c r="G92" s="64">
        <v>62.98</v>
      </c>
      <c r="H92" s="64">
        <v>20.47</v>
      </c>
      <c r="I92" s="64">
        <v>1.56</v>
      </c>
      <c r="J92" s="64">
        <v>0.15</v>
      </c>
      <c r="K92" s="64">
        <v>15.19</v>
      </c>
      <c r="L92" s="64">
        <v>23.65</v>
      </c>
      <c r="M92" s="64">
        <v>96.86</v>
      </c>
      <c r="N92" s="64">
        <v>9.1</v>
      </c>
      <c r="O92" s="64">
        <v>0</v>
      </c>
      <c r="P92" s="64">
        <v>1.08</v>
      </c>
      <c r="Q92" s="64">
        <v>11.25</v>
      </c>
      <c r="R92" s="198"/>
      <c r="S92" s="198"/>
      <c r="T92" s="198"/>
      <c r="U92" s="198"/>
    </row>
    <row r="93" spans="1:26" s="12" customFormat="1" x14ac:dyDescent="0.25">
      <c r="A93" s="214" t="s">
        <v>3117</v>
      </c>
      <c r="B93" s="64">
        <v>11.08</v>
      </c>
      <c r="C93" s="64">
        <v>15.78</v>
      </c>
      <c r="D93" s="64">
        <v>18.88</v>
      </c>
      <c r="E93" s="64">
        <v>3.51</v>
      </c>
      <c r="F93" s="64">
        <v>2.15</v>
      </c>
      <c r="G93" s="64">
        <v>62.98</v>
      </c>
      <c r="H93" s="64">
        <v>20.47</v>
      </c>
      <c r="I93" s="64">
        <v>1.5</v>
      </c>
      <c r="J93" s="64">
        <v>0.19</v>
      </c>
      <c r="K93" s="64">
        <v>27.68</v>
      </c>
      <c r="L93" s="64">
        <v>23.61</v>
      </c>
      <c r="M93" s="64">
        <v>97.59</v>
      </c>
      <c r="N93" s="64">
        <v>9</v>
      </c>
      <c r="O93" s="64">
        <v>0</v>
      </c>
      <c r="P93" s="64">
        <v>1.04</v>
      </c>
      <c r="Q93" s="64">
        <v>11.47</v>
      </c>
      <c r="R93" s="198"/>
      <c r="S93" s="198"/>
      <c r="T93" s="198"/>
      <c r="U93" s="198"/>
    </row>
    <row r="94" spans="1:26" s="12" customFormat="1" x14ac:dyDescent="0.25">
      <c r="A94" s="214" t="s">
        <v>3118</v>
      </c>
      <c r="B94" s="64">
        <v>10.77</v>
      </c>
      <c r="C94" s="64">
        <v>13.09</v>
      </c>
      <c r="D94" s="64">
        <v>17.149999999999999</v>
      </c>
      <c r="E94" s="64">
        <v>2.78</v>
      </c>
      <c r="F94" s="64">
        <v>0.82</v>
      </c>
      <c r="G94" s="64">
        <v>60</v>
      </c>
      <c r="H94" s="64">
        <v>20.399999999999999</v>
      </c>
      <c r="I94" s="64">
        <v>1.58</v>
      </c>
      <c r="J94" s="64">
        <v>0.18</v>
      </c>
      <c r="K94" s="64">
        <v>21.69</v>
      </c>
      <c r="L94" s="64">
        <v>23.53</v>
      </c>
      <c r="M94" s="64">
        <v>98.43</v>
      </c>
      <c r="N94" s="64">
        <v>9.1</v>
      </c>
      <c r="O94" s="64">
        <v>0</v>
      </c>
      <c r="P94" s="64">
        <v>1.05</v>
      </c>
      <c r="Q94" s="64">
        <v>11.74</v>
      </c>
      <c r="R94" s="198"/>
      <c r="S94" s="198"/>
      <c r="T94" s="198"/>
      <c r="U94" s="198"/>
    </row>
    <row r="95" spans="1:26" s="12" customFormat="1" x14ac:dyDescent="0.25">
      <c r="A95" s="214" t="s">
        <v>3119</v>
      </c>
      <c r="B95" s="64">
        <v>10.99</v>
      </c>
      <c r="C95" s="64">
        <v>12.72</v>
      </c>
      <c r="D95" s="64">
        <v>17.12</v>
      </c>
      <c r="E95" s="64">
        <v>3.25</v>
      </c>
      <c r="F95" s="64">
        <v>0.42</v>
      </c>
      <c r="G95" s="64">
        <v>59.5</v>
      </c>
      <c r="H95" s="64">
        <v>20.399999999999999</v>
      </c>
      <c r="I95" s="64">
        <v>1.53</v>
      </c>
      <c r="J95" s="64">
        <v>0.24</v>
      </c>
      <c r="K95" s="64">
        <v>22.96</v>
      </c>
      <c r="L95" s="64">
        <v>23.49</v>
      </c>
      <c r="M95" s="64">
        <v>96.9</v>
      </c>
      <c r="N95" s="64">
        <v>9.1</v>
      </c>
      <c r="O95" s="64">
        <v>0</v>
      </c>
      <c r="P95" s="64">
        <v>1.01</v>
      </c>
      <c r="Q95" s="64">
        <v>11.96</v>
      </c>
      <c r="R95" s="198"/>
      <c r="S95" s="198"/>
      <c r="T95" s="198"/>
      <c r="U95" s="198"/>
    </row>
    <row r="96" spans="1:26" s="12" customFormat="1" x14ac:dyDescent="0.25">
      <c r="A96" s="214" t="s">
        <v>3120</v>
      </c>
      <c r="B96" s="64">
        <v>10.81</v>
      </c>
      <c r="C96" s="64">
        <v>12.29</v>
      </c>
      <c r="D96" s="64">
        <v>16.75</v>
      </c>
      <c r="E96" s="64">
        <v>2.78</v>
      </c>
      <c r="F96" s="64">
        <v>0.38</v>
      </c>
      <c r="G96" s="64">
        <v>59.5</v>
      </c>
      <c r="H96" s="64">
        <v>20.399999999999999</v>
      </c>
      <c r="I96" s="64">
        <v>1.51</v>
      </c>
      <c r="J96" s="64">
        <v>0.22</v>
      </c>
      <c r="K96" s="64">
        <v>7.23</v>
      </c>
      <c r="L96" s="64">
        <v>23.4</v>
      </c>
      <c r="M96" s="64">
        <v>96.76</v>
      </c>
      <c r="N96" s="64">
        <v>9.1</v>
      </c>
      <c r="O96" s="64">
        <v>0</v>
      </c>
      <c r="P96" s="64">
        <v>1</v>
      </c>
      <c r="Q96" s="64">
        <v>12.24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3121</v>
      </c>
      <c r="B97" s="64">
        <v>10.34</v>
      </c>
      <c r="C97" s="64">
        <v>12.26</v>
      </c>
      <c r="D97" s="64">
        <v>16.350000000000001</v>
      </c>
      <c r="E97" s="64">
        <v>2.79</v>
      </c>
      <c r="F97" s="64">
        <v>0.72</v>
      </c>
      <c r="G97" s="64">
        <v>59.5</v>
      </c>
      <c r="H97" s="64">
        <v>20.399999999999999</v>
      </c>
      <c r="I97" s="64">
        <v>1.54</v>
      </c>
      <c r="J97" s="64">
        <v>0.21</v>
      </c>
      <c r="K97" s="64">
        <v>31.37</v>
      </c>
      <c r="L97" s="64">
        <v>23.39</v>
      </c>
      <c r="M97" s="64">
        <v>96.38</v>
      </c>
      <c r="N97" s="64">
        <v>9.1</v>
      </c>
      <c r="O97" s="64">
        <v>0</v>
      </c>
      <c r="P97" s="64">
        <v>0.97</v>
      </c>
      <c r="Q97" s="64">
        <v>11.84</v>
      </c>
      <c r="R97" s="198"/>
      <c r="S97" s="198"/>
      <c r="T97" s="198"/>
      <c r="U97" s="198"/>
    </row>
    <row r="98" spans="1:33" s="12" customFormat="1" x14ac:dyDescent="0.25">
      <c r="A98" s="214" t="s">
        <v>3122</v>
      </c>
      <c r="B98" s="64">
        <v>9.68</v>
      </c>
      <c r="C98" s="64">
        <v>12.49</v>
      </c>
      <c r="D98" s="64">
        <v>15.95</v>
      </c>
      <c r="E98" s="64">
        <v>2.91</v>
      </c>
      <c r="F98" s="64">
        <v>0.28000000000000003</v>
      </c>
      <c r="G98" s="64">
        <v>54.81</v>
      </c>
      <c r="H98" s="64">
        <v>18.399999999999999</v>
      </c>
      <c r="I98" s="64">
        <v>1.55</v>
      </c>
      <c r="J98" s="64">
        <v>0.25</v>
      </c>
      <c r="K98" s="64">
        <v>356.22</v>
      </c>
      <c r="L98" s="64">
        <v>23.36</v>
      </c>
      <c r="M98" s="64">
        <v>96.85</v>
      </c>
      <c r="N98" s="64">
        <v>9.1999999999999993</v>
      </c>
      <c r="O98" s="64">
        <v>0</v>
      </c>
      <c r="P98" s="64">
        <v>0.95</v>
      </c>
      <c r="Q98" s="64">
        <v>11.87</v>
      </c>
      <c r="R98" s="198"/>
      <c r="S98" s="198"/>
      <c r="T98" s="198"/>
      <c r="U98" s="198"/>
    </row>
    <row r="99" spans="1:33" s="12" customFormat="1" x14ac:dyDescent="0.25">
      <c r="A99" s="214" t="s">
        <v>3123</v>
      </c>
      <c r="B99" s="64">
        <v>9.2899999999999991</v>
      </c>
      <c r="C99" s="64">
        <v>12.51</v>
      </c>
      <c r="D99" s="64">
        <v>15.65</v>
      </c>
      <c r="E99" s="64">
        <v>3.11</v>
      </c>
      <c r="F99" s="64">
        <v>0.75</v>
      </c>
      <c r="G99" s="64">
        <v>54.02</v>
      </c>
      <c r="H99" s="64">
        <v>18.399999999999999</v>
      </c>
      <c r="I99" s="64">
        <v>1.53</v>
      </c>
      <c r="J99" s="64">
        <v>0.23</v>
      </c>
      <c r="K99" s="64">
        <v>332.51</v>
      </c>
      <c r="L99" s="64">
        <v>23.18</v>
      </c>
      <c r="M99" s="64">
        <v>98.28</v>
      </c>
      <c r="N99" s="64">
        <v>9.1</v>
      </c>
      <c r="O99" s="64">
        <v>0</v>
      </c>
      <c r="P99" s="64">
        <v>0.95</v>
      </c>
      <c r="Q99" s="64">
        <v>11.34</v>
      </c>
      <c r="R99" s="198"/>
      <c r="S99" s="198"/>
      <c r="T99" s="198"/>
      <c r="U99" s="198"/>
    </row>
    <row r="100" spans="1:33" s="12" customFormat="1" x14ac:dyDescent="0.25">
      <c r="A100" s="214" t="s">
        <v>3124</v>
      </c>
      <c r="B100" s="64">
        <v>9.98</v>
      </c>
      <c r="C100" s="64">
        <v>15.52</v>
      </c>
      <c r="D100" s="64">
        <v>17.86</v>
      </c>
      <c r="E100" s="64">
        <v>2.79</v>
      </c>
      <c r="F100" s="64">
        <v>1</v>
      </c>
      <c r="G100" s="64">
        <v>54.02</v>
      </c>
      <c r="H100" s="64">
        <v>18.399999999999999</v>
      </c>
      <c r="I100" s="64">
        <v>1.42</v>
      </c>
      <c r="J100" s="64">
        <v>0.15</v>
      </c>
      <c r="K100" s="64">
        <v>340.43</v>
      </c>
      <c r="L100" s="64">
        <v>23.07</v>
      </c>
      <c r="M100" s="64">
        <v>98.84</v>
      </c>
      <c r="N100" s="64">
        <v>9.1</v>
      </c>
      <c r="O100" s="64">
        <v>0</v>
      </c>
      <c r="P100" s="64">
        <v>1.01</v>
      </c>
      <c r="Q100" s="64">
        <v>11.89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3125</v>
      </c>
      <c r="B101" s="64">
        <v>13.02</v>
      </c>
      <c r="C101" s="64">
        <v>25.9</v>
      </c>
      <c r="D101" s="64">
        <v>26.03</v>
      </c>
      <c r="E101" s="64">
        <v>3.01</v>
      </c>
      <c r="F101" s="64">
        <v>5.34</v>
      </c>
      <c r="G101" s="64">
        <v>54.02</v>
      </c>
      <c r="H101" s="64">
        <v>18.399999999999999</v>
      </c>
      <c r="I101" s="64">
        <v>1.56</v>
      </c>
      <c r="J101" s="64">
        <v>0.1</v>
      </c>
      <c r="K101" s="64">
        <v>6.54</v>
      </c>
      <c r="L101" s="64">
        <v>23.17</v>
      </c>
      <c r="M101" s="64">
        <v>98.44</v>
      </c>
      <c r="N101" s="64">
        <v>9.1999999999999993</v>
      </c>
      <c r="O101" s="64">
        <v>0</v>
      </c>
      <c r="P101" s="64">
        <v>1.1000000000000001</v>
      </c>
      <c r="Q101" s="64">
        <v>11.52</v>
      </c>
      <c r="R101" s="198"/>
      <c r="S101" s="198"/>
      <c r="T101" s="198"/>
      <c r="U101" s="198"/>
    </row>
    <row r="102" spans="1:33" s="12" customFormat="1" x14ac:dyDescent="0.25">
      <c r="A102" s="214" t="s">
        <v>3126</v>
      </c>
      <c r="B102" s="64">
        <v>9.6999999999999993</v>
      </c>
      <c r="C102" s="64">
        <v>18.66</v>
      </c>
      <c r="D102" s="64">
        <v>19.36</v>
      </c>
      <c r="E102" s="64">
        <v>2.68</v>
      </c>
      <c r="F102" s="64">
        <v>2.65</v>
      </c>
      <c r="G102" s="64">
        <v>55.58</v>
      </c>
      <c r="H102" s="64">
        <v>16.93</v>
      </c>
      <c r="I102" s="64">
        <v>1.42</v>
      </c>
      <c r="J102" s="64">
        <v>0.11</v>
      </c>
      <c r="K102" s="64">
        <v>19.73</v>
      </c>
      <c r="L102" s="64">
        <v>23.15</v>
      </c>
      <c r="M102" s="64">
        <v>98.1</v>
      </c>
      <c r="N102" s="64">
        <v>9.1999999999999993</v>
      </c>
      <c r="O102" s="64">
        <v>0</v>
      </c>
      <c r="P102" s="64">
        <v>1</v>
      </c>
      <c r="Q102" s="64">
        <v>11.17</v>
      </c>
      <c r="R102" s="198"/>
      <c r="S102" s="198"/>
      <c r="T102" s="198"/>
      <c r="U102" s="198"/>
    </row>
    <row r="103" spans="1:33" s="12" customFormat="1" x14ac:dyDescent="0.25">
      <c r="A103" s="214" t="s">
        <v>3127</v>
      </c>
      <c r="B103" s="64">
        <v>8.82</v>
      </c>
      <c r="C103" s="64">
        <v>13.36</v>
      </c>
      <c r="D103" s="64">
        <v>15.74</v>
      </c>
      <c r="E103" s="64">
        <v>3.06</v>
      </c>
      <c r="F103" s="64">
        <v>2.4300000000000002</v>
      </c>
      <c r="G103" s="64">
        <v>55.85</v>
      </c>
      <c r="H103" s="64">
        <v>16.93</v>
      </c>
      <c r="I103" s="64">
        <v>1.44</v>
      </c>
      <c r="J103" s="64">
        <v>0.12</v>
      </c>
      <c r="K103" s="64">
        <v>3.54</v>
      </c>
      <c r="L103" s="64">
        <v>22.84</v>
      </c>
      <c r="M103" s="64">
        <v>98.85</v>
      </c>
      <c r="N103" s="64">
        <v>9.3000000000000007</v>
      </c>
      <c r="O103" s="64">
        <v>0</v>
      </c>
      <c r="P103" s="64">
        <v>0.95</v>
      </c>
      <c r="Q103" s="64">
        <v>12.15</v>
      </c>
      <c r="R103" s="198"/>
      <c r="S103" s="198"/>
      <c r="T103" s="198"/>
      <c r="U103" s="198"/>
    </row>
    <row r="104" spans="1:33" s="12" customFormat="1" x14ac:dyDescent="0.25">
      <c r="A104" s="214" t="s">
        <v>3128</v>
      </c>
      <c r="B104" s="64">
        <v>9.49</v>
      </c>
      <c r="C104" s="64">
        <v>13.08</v>
      </c>
      <c r="D104" s="64">
        <v>16.12</v>
      </c>
      <c r="E104" s="64">
        <v>0.53</v>
      </c>
      <c r="F104" s="64">
        <v>1.67</v>
      </c>
      <c r="G104" s="64">
        <v>55.85</v>
      </c>
      <c r="H104" s="64">
        <v>16.93</v>
      </c>
      <c r="I104" s="64">
        <v>1.48</v>
      </c>
      <c r="J104" s="64">
        <v>0.15</v>
      </c>
      <c r="K104" s="64">
        <v>26.92</v>
      </c>
      <c r="L104" s="64">
        <v>22.7</v>
      </c>
      <c r="M104" s="64">
        <v>98.85</v>
      </c>
      <c r="N104" s="64">
        <v>9.3000000000000007</v>
      </c>
      <c r="O104" s="64">
        <v>0</v>
      </c>
      <c r="P104" s="64">
        <v>0.95</v>
      </c>
      <c r="Q104" s="64">
        <v>11.77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2.12</v>
      </c>
      <c r="C106" s="67">
        <f>MIN(C9:C104)</f>
        <v>7.32</v>
      </c>
      <c r="D106" s="67">
        <f t="shared" ref="D106:Q106" si="0">MIN(D9:D104)</f>
        <v>10.029999999999999</v>
      </c>
      <c r="E106" s="67">
        <f t="shared" si="0"/>
        <v>0.53</v>
      </c>
      <c r="F106" s="67">
        <f t="shared" si="0"/>
        <v>0.16</v>
      </c>
      <c r="G106" s="67">
        <f t="shared" si="0"/>
        <v>14.85</v>
      </c>
      <c r="H106" s="67">
        <f t="shared" si="0"/>
        <v>4.1399999999999997</v>
      </c>
      <c r="I106" s="67">
        <f t="shared" si="0"/>
        <v>1.41</v>
      </c>
      <c r="J106" s="67">
        <f t="shared" si="0"/>
        <v>0</v>
      </c>
      <c r="K106" s="67">
        <f t="shared" si="0"/>
        <v>0.97</v>
      </c>
      <c r="L106" s="67">
        <f t="shared" si="0"/>
        <v>21.31</v>
      </c>
      <c r="M106" s="67">
        <f t="shared" si="0"/>
        <v>67.78</v>
      </c>
      <c r="N106" s="67">
        <f t="shared" si="0"/>
        <v>8.9</v>
      </c>
      <c r="O106" s="67">
        <f t="shared" si="0"/>
        <v>0</v>
      </c>
      <c r="P106" s="67">
        <f t="shared" si="0"/>
        <v>0.38</v>
      </c>
      <c r="Q106" s="67">
        <f t="shared" si="0"/>
        <v>9.1300000000000008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16.87</v>
      </c>
      <c r="C107" s="66">
        <f t="shared" ref="C107:Q107" si="1">MAX(C9:C104)</f>
        <v>34.520000000000003</v>
      </c>
      <c r="D107" s="66">
        <f t="shared" si="1"/>
        <v>31.43</v>
      </c>
      <c r="E107" s="66">
        <f t="shared" si="1"/>
        <v>3.71</v>
      </c>
      <c r="F107" s="66">
        <f t="shared" si="1"/>
        <v>16.46</v>
      </c>
      <c r="G107" s="66">
        <f t="shared" si="1"/>
        <v>117.16</v>
      </c>
      <c r="H107" s="66">
        <f t="shared" si="1"/>
        <v>32.270000000000003</v>
      </c>
      <c r="I107" s="66">
        <f t="shared" si="1"/>
        <v>1.6</v>
      </c>
      <c r="J107" s="66">
        <f t="shared" si="1"/>
        <v>0.75</v>
      </c>
      <c r="K107" s="66">
        <f t="shared" si="1"/>
        <v>358.39</v>
      </c>
      <c r="L107" s="66">
        <f t="shared" si="1"/>
        <v>30.74</v>
      </c>
      <c r="M107" s="66">
        <f t="shared" si="1"/>
        <v>98.92</v>
      </c>
      <c r="N107" s="66">
        <f t="shared" si="1"/>
        <v>685.9</v>
      </c>
      <c r="O107" s="66">
        <f t="shared" si="1"/>
        <v>0</v>
      </c>
      <c r="P107" s="66">
        <f t="shared" si="1"/>
        <v>1.66</v>
      </c>
      <c r="Q107" s="66">
        <f t="shared" si="1"/>
        <v>15.63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7.0544791666666669</v>
      </c>
      <c r="C108" s="67">
        <f t="shared" ref="C108:Q108" si="2">AVERAGE(C9:C104)</f>
        <v>15.092812499999994</v>
      </c>
      <c r="D108" s="67">
        <f t="shared" si="2"/>
        <v>15.278854166666671</v>
      </c>
      <c r="E108" s="67">
        <f t="shared" si="2"/>
        <v>2.4820833333333341</v>
      </c>
      <c r="F108" s="67">
        <f t="shared" si="2"/>
        <v>2.6722916666666676</v>
      </c>
      <c r="G108" s="67">
        <f t="shared" si="2"/>
        <v>49.290937500000013</v>
      </c>
      <c r="H108" s="67">
        <f t="shared" si="2"/>
        <v>17.058750000000014</v>
      </c>
      <c r="I108" s="67">
        <f t="shared" si="2"/>
        <v>1.4999999999999993</v>
      </c>
      <c r="J108" s="67">
        <f t="shared" si="2"/>
        <v>0.19927083333333331</v>
      </c>
      <c r="K108" s="67">
        <f t="shared" si="2"/>
        <v>167.79812500000006</v>
      </c>
      <c r="L108" s="67">
        <f t="shared" si="2"/>
        <v>24.654062500000009</v>
      </c>
      <c r="M108" s="67">
        <f t="shared" si="2"/>
        <v>89.367708333333326</v>
      </c>
      <c r="N108" s="67">
        <f t="shared" si="2"/>
        <v>148.46666666666673</v>
      </c>
      <c r="O108" s="67">
        <f t="shared" si="2"/>
        <v>0</v>
      </c>
      <c r="P108" s="67">
        <f t="shared" si="2"/>
        <v>0.79645833333333371</v>
      </c>
      <c r="Q108" s="67">
        <f t="shared" si="2"/>
        <v>12.741770833333332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2.8910358259505915</v>
      </c>
      <c r="C109" s="67">
        <f t="shared" ref="C109:Q109" si="3">STDEV(C9:C104)</f>
        <v>6.7008068175839215</v>
      </c>
      <c r="D109" s="67">
        <f t="shared" si="3"/>
        <v>4.6524490143514958</v>
      </c>
      <c r="E109" s="67">
        <f t="shared" si="3"/>
        <v>0.58940454638409523</v>
      </c>
      <c r="F109" s="67">
        <f t="shared" si="3"/>
        <v>2.7361507649930275</v>
      </c>
      <c r="G109" s="67">
        <f t="shared" si="3"/>
        <v>29.680957215310684</v>
      </c>
      <c r="H109" s="67">
        <f t="shared" si="3"/>
        <v>9.1004972969959841</v>
      </c>
      <c r="I109" s="67">
        <f t="shared" si="3"/>
        <v>4.28215390957205E-2</v>
      </c>
      <c r="J109" s="67">
        <f t="shared" si="3"/>
        <v>0.14771412498233966</v>
      </c>
      <c r="K109" s="67">
        <f t="shared" si="3"/>
        <v>142.62745945340112</v>
      </c>
      <c r="L109" s="67">
        <f t="shared" si="3"/>
        <v>3.0352020926818928</v>
      </c>
      <c r="M109" s="67">
        <f t="shared" si="3"/>
        <v>11.186766475021599</v>
      </c>
      <c r="N109" s="67">
        <f t="shared" si="3"/>
        <v>202.2004839739464</v>
      </c>
      <c r="O109" s="67">
        <f t="shared" si="3"/>
        <v>0</v>
      </c>
      <c r="P109" s="67">
        <f t="shared" si="3"/>
        <v>0.35407694425949304</v>
      </c>
      <c r="Q109" s="67">
        <f t="shared" si="3"/>
        <v>1.878879282300026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R16" sqref="R16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01-09-2023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01-09-2023 00:15</v>
      </c>
      <c r="B9" s="61">
        <f>'01'!B108</f>
        <v>20.943854166666664</v>
      </c>
      <c r="C9" s="61">
        <f>'01'!C108</f>
        <v>30.754166666666681</v>
      </c>
      <c r="D9" s="61">
        <f>'01'!D108</f>
        <v>35.051041666666677</v>
      </c>
      <c r="E9" s="61">
        <f>'01'!E108</f>
        <v>5.0852083333333331</v>
      </c>
      <c r="F9" s="61">
        <f>'01'!F108</f>
        <v>8.2999999999999989</v>
      </c>
      <c r="G9" s="99">
        <f>'01'!$G$108</f>
        <v>79.3483333333334</v>
      </c>
      <c r="H9" s="61">
        <f>'01'!H108</f>
        <v>23.744791666666668</v>
      </c>
      <c r="I9" s="61">
        <f>'01'!I108</f>
        <v>0.1162499999999999</v>
      </c>
      <c r="J9" s="61">
        <f>'01'!J108</f>
        <v>0.19979166666666673</v>
      </c>
      <c r="K9" s="61">
        <f>'01'!K108</f>
        <v>232.85843750000001</v>
      </c>
      <c r="L9" s="61">
        <f>'01'!L108</f>
        <v>27.216145833333343</v>
      </c>
      <c r="M9" s="61">
        <f>'01'!M108</f>
        <v>82.613541666666706</v>
      </c>
      <c r="N9" s="61">
        <f>'01'!N108</f>
        <v>163.17708333333329</v>
      </c>
      <c r="O9" s="61">
        <f>'01'!O108</f>
        <v>0.10416666666666664</v>
      </c>
      <c r="P9" s="202">
        <f>'01'!P108</f>
        <v>0.87385416666666671</v>
      </c>
      <c r="Q9" s="61">
        <f>'01'!Q108</f>
        <v>18.705520833333345</v>
      </c>
      <c r="R9" s="118"/>
      <c r="S9" s="118"/>
      <c r="T9" s="118"/>
      <c r="U9" s="118"/>
    </row>
    <row r="10" spans="1:21" x14ac:dyDescent="0.25">
      <c r="A10" s="94" t="str">
        <f>'02'!$B$2</f>
        <v>02-09-2023 00:15</v>
      </c>
      <c r="B10" s="61">
        <f>'02'!B108</f>
        <v>12.442500000000001</v>
      </c>
      <c r="C10" s="61">
        <f>'02'!C108</f>
        <v>20.847282608695654</v>
      </c>
      <c r="D10" s="61">
        <f>'02'!D108</f>
        <v>26.616630434782618</v>
      </c>
      <c r="E10" s="61">
        <f>'02'!E108</f>
        <v>3.4290526315789465</v>
      </c>
      <c r="F10" s="61">
        <f>'02'!F108</f>
        <v>8.4566315789473681</v>
      </c>
      <c r="G10" s="61">
        <f>'02'!G108</f>
        <v>66.326666666666682</v>
      </c>
      <c r="H10" s="61">
        <f>'02'!H108</f>
        <v>16.150322580645163</v>
      </c>
      <c r="I10" s="61">
        <f>'02'!I108</f>
        <v>0.1172916666666667</v>
      </c>
      <c r="J10" s="61">
        <f>'02'!J108</f>
        <v>0.53864583333333338</v>
      </c>
      <c r="K10" s="61">
        <f>'02'!K108</f>
        <v>234.15083333333328</v>
      </c>
      <c r="L10" s="61">
        <f>'02'!L108</f>
        <v>27.854687500000001</v>
      </c>
      <c r="M10" s="61">
        <f>'02'!M108</f>
        <v>78.624062499999965</v>
      </c>
      <c r="N10" s="61">
        <f>'02'!N108</f>
        <v>195.05624999999995</v>
      </c>
      <c r="O10" s="61">
        <f>'02'!O108</f>
        <v>6.2500000000000012E-3</v>
      </c>
      <c r="P10" s="202">
        <f>'02'!P108</f>
        <v>0.57239583333333355</v>
      </c>
      <c r="Q10" s="61">
        <f>'02'!Q108</f>
        <v>17.599270833333335</v>
      </c>
      <c r="R10" s="118"/>
      <c r="S10" s="118"/>
      <c r="T10" s="118"/>
      <c r="U10" s="118"/>
    </row>
    <row r="11" spans="1:21" x14ac:dyDescent="0.25">
      <c r="A11" s="94" t="str">
        <f>'03'!$B$2</f>
        <v>03-09-2023 00:15</v>
      </c>
      <c r="B11" s="61">
        <f>'03'!B108</f>
        <v>8.0343749999999989</v>
      </c>
      <c r="C11" s="61">
        <f>'03'!C108</f>
        <v>14.42552083333333</v>
      </c>
      <c r="D11" s="61">
        <f>'03'!D108</f>
        <v>22.46031249999999</v>
      </c>
      <c r="E11" s="61">
        <f>'03'!E108</f>
        <v>1.3523958333333332</v>
      </c>
      <c r="F11" s="61">
        <f>'03'!F108</f>
        <v>2.6097916666666658</v>
      </c>
      <c r="G11" s="61">
        <f>'03'!G108</f>
        <v>32.935937500000009</v>
      </c>
      <c r="H11" s="61">
        <f>'03'!H108</f>
        <v>10.340520833333334</v>
      </c>
      <c r="I11" s="61">
        <f>'03'!I108</f>
        <v>0.12416666666666659</v>
      </c>
      <c r="J11" s="61">
        <f>'03'!J108</f>
        <v>0.29562499999999992</v>
      </c>
      <c r="K11" s="61">
        <f>'03'!K108</f>
        <v>160.56208333333339</v>
      </c>
      <c r="L11" s="61">
        <f>'03'!L108</f>
        <v>23.332708333333329</v>
      </c>
      <c r="M11" s="61">
        <f>'03'!M108</f>
        <v>95.463020833333303</v>
      </c>
      <c r="N11" s="61">
        <f>'03'!N108</f>
        <v>83.265625000000014</v>
      </c>
      <c r="O11" s="61">
        <f>'03'!O108</f>
        <v>6.8750000000000006E-2</v>
      </c>
      <c r="P11" s="202">
        <f>'03'!P108</f>
        <v>0.57666666666666655</v>
      </c>
      <c r="Q11" s="61">
        <f>'03'!Q108</f>
        <v>16.968421052631573</v>
      </c>
      <c r="R11" s="118"/>
      <c r="S11" s="118"/>
      <c r="T11" s="118"/>
      <c r="U11" s="118"/>
    </row>
    <row r="12" spans="1:21" x14ac:dyDescent="0.25">
      <c r="A12" s="94" t="str">
        <f>'04'!$B$2</f>
        <v>04-09-2023 00:15</v>
      </c>
      <c r="B12" s="61">
        <f>'04'!B108</f>
        <v>7.6188541666666687</v>
      </c>
      <c r="C12" s="61">
        <f>'04'!C108</f>
        <v>17.493541666666665</v>
      </c>
      <c r="D12" s="61">
        <f>'04'!D108</f>
        <v>25.11333333333333</v>
      </c>
      <c r="E12" s="61">
        <f>'04'!E108</f>
        <v>1.7492708333333333</v>
      </c>
      <c r="F12" s="61">
        <f>'04'!F108</f>
        <v>3.2313541666666663</v>
      </c>
      <c r="G12" s="61">
        <f>'04'!G108</f>
        <v>37.884166666666665</v>
      </c>
      <c r="H12" s="61">
        <f>'04'!H108</f>
        <v>12.217083333333333</v>
      </c>
      <c r="I12" s="61">
        <f>'04'!I108</f>
        <v>0.12197916666666653</v>
      </c>
      <c r="J12" s="61">
        <f>'04'!J108</f>
        <v>0.37770833333333326</v>
      </c>
      <c r="K12" s="61">
        <f>'04'!K108</f>
        <v>201.04354166666675</v>
      </c>
      <c r="L12" s="61">
        <f>'04'!L108</f>
        <v>22.872812500000006</v>
      </c>
      <c r="M12" s="61">
        <f>'04'!M108</f>
        <v>94.962500000000034</v>
      </c>
      <c r="N12" s="61">
        <f>'04'!N108</f>
        <v>107.42604166666672</v>
      </c>
      <c r="O12" s="61">
        <f>'04'!O108</f>
        <v>0.13958333333333331</v>
      </c>
      <c r="P12" s="202">
        <f>'04'!P108</f>
        <v>0.76218750000000002</v>
      </c>
      <c r="Q12" s="61">
        <f>'04'!Q108</f>
        <v>14.549270833333329</v>
      </c>
      <c r="R12" s="118"/>
      <c r="S12" s="118"/>
      <c r="T12" s="118"/>
      <c r="U12" s="118"/>
    </row>
    <row r="13" spans="1:21" x14ac:dyDescent="0.25">
      <c r="A13" s="94" t="str">
        <f>'05'!$B$2</f>
        <v>05-09-2023 00:15</v>
      </c>
      <c r="B13" s="61">
        <f>'05'!B108</f>
        <v>9.6558333333333337</v>
      </c>
      <c r="C13" s="61">
        <f>'05'!C108</f>
        <v>19.888958333333335</v>
      </c>
      <c r="D13" s="61">
        <f>'05'!D108</f>
        <v>29.544374999999999</v>
      </c>
      <c r="E13" s="61">
        <f>'05'!E108</f>
        <v>2.1664583333333334</v>
      </c>
      <c r="F13" s="61">
        <f>'05'!F108</f>
        <v>6.5113541666666679</v>
      </c>
      <c r="G13" s="61">
        <f>'05'!G108</f>
        <v>47.938229166666638</v>
      </c>
      <c r="H13" s="61">
        <f>'05'!H108</f>
        <v>18.0434375</v>
      </c>
      <c r="I13" s="61">
        <f>'05'!I108</f>
        <v>0.12302083333333312</v>
      </c>
      <c r="J13" s="61">
        <f>'05'!J108</f>
        <v>0.48635416666666681</v>
      </c>
      <c r="K13" s="61">
        <f>'05'!K108</f>
        <v>162.40364583333334</v>
      </c>
      <c r="L13" s="61">
        <f>'05'!L108</f>
        <v>24.022604166666667</v>
      </c>
      <c r="M13" s="61">
        <f>'05'!M108</f>
        <v>89.711562499999999</v>
      </c>
      <c r="N13" s="61">
        <f>'05'!N108</f>
        <v>150.8572916666667</v>
      </c>
      <c r="O13" s="61">
        <f>'05'!O108</f>
        <v>2.0833333333333333E-3</v>
      </c>
      <c r="P13" s="202">
        <f>'05'!P108</f>
        <v>0.70114583333333347</v>
      </c>
      <c r="Q13" s="61">
        <f>'05'!Q108</f>
        <v>18.608541666666664</v>
      </c>
      <c r="R13" s="118"/>
      <c r="S13" s="118"/>
      <c r="T13" s="118"/>
      <c r="U13" s="118"/>
    </row>
    <row r="14" spans="1:21" x14ac:dyDescent="0.25">
      <c r="A14" s="94" t="str">
        <f>'06'!$B$2</f>
        <v>06-09-2023 00:15</v>
      </c>
      <c r="B14" s="61">
        <f>'06'!B108</f>
        <v>6.6319791666666648</v>
      </c>
      <c r="C14" s="61">
        <f>'06'!C108</f>
        <v>14.365416666666674</v>
      </c>
      <c r="D14" s="61">
        <f>'06'!D108</f>
        <v>20.996979166666666</v>
      </c>
      <c r="E14" s="61">
        <f>'06'!E108</f>
        <v>1.66625</v>
      </c>
      <c r="F14" s="61">
        <f>'06'!F108</f>
        <v>5.7404166666666683</v>
      </c>
      <c r="G14" s="61">
        <f>'06'!G108</f>
        <v>28.243333333333336</v>
      </c>
      <c r="H14" s="61">
        <f>'06'!H108</f>
        <v>9.0127083333333378</v>
      </c>
      <c r="I14" s="61">
        <f>'06'!I108</f>
        <v>0.12312499999999982</v>
      </c>
      <c r="J14" s="61">
        <f>'06'!J108</f>
        <v>0.70322916666666646</v>
      </c>
      <c r="K14" s="61">
        <f>'06'!K108</f>
        <v>121.09270833333333</v>
      </c>
      <c r="L14" s="61">
        <f>'06'!L108</f>
        <v>24.63572916666666</v>
      </c>
      <c r="M14" s="61">
        <f>'06'!M108</f>
        <v>89.898020833333348</v>
      </c>
      <c r="N14" s="61">
        <f>'06'!N108</f>
        <v>191.04374999999996</v>
      </c>
      <c r="O14" s="61">
        <f>'06'!O108</f>
        <v>0.21875000000000003</v>
      </c>
      <c r="P14" s="202">
        <f>'06'!P108</f>
        <v>0.480104166666667</v>
      </c>
      <c r="Q14" s="61">
        <f>'06'!Q108</f>
        <v>21.992708333333329</v>
      </c>
      <c r="R14" s="118"/>
      <c r="S14" s="118"/>
      <c r="T14" s="118"/>
      <c r="U14" s="118"/>
    </row>
    <row r="15" spans="1:21" x14ac:dyDescent="0.25">
      <c r="A15" s="94" t="str">
        <f>'07'!$B$2</f>
        <v>07-09-2023 00:15</v>
      </c>
      <c r="B15" s="61">
        <f>'07'!B108</f>
        <v>5.4238541666666658</v>
      </c>
      <c r="C15" s="61">
        <f>'07'!C108</f>
        <v>10.969791666666666</v>
      </c>
      <c r="D15" s="61">
        <f>'07'!D108</f>
        <v>16.39385416666666</v>
      </c>
      <c r="E15" s="61">
        <f>'07'!E108</f>
        <v>1.5587499999999999</v>
      </c>
      <c r="F15" s="61">
        <f>'07'!F108</f>
        <v>4.0458333333333334</v>
      </c>
      <c r="G15" s="100">
        <f>'07'!$G$108</f>
        <v>12.577604166666669</v>
      </c>
      <c r="H15" s="61">
        <f>'07'!H108</f>
        <v>5.4921875</v>
      </c>
      <c r="I15" s="61">
        <f>'07'!I108</f>
        <v>0.12437499999999985</v>
      </c>
      <c r="J15" s="61">
        <f>'07'!J108</f>
        <v>0.3897916666666667</v>
      </c>
      <c r="K15" s="61">
        <f>'07'!K108</f>
        <v>149.99541666666667</v>
      </c>
      <c r="L15" s="61">
        <f>'07'!L108</f>
        <v>23.513541666666658</v>
      </c>
      <c r="M15" s="61">
        <f>'07'!M108</f>
        <v>94.544270833333428</v>
      </c>
      <c r="N15" s="61">
        <f>'07'!N108</f>
        <v>157.42708333333329</v>
      </c>
      <c r="O15" s="61">
        <f>'07'!O108</f>
        <v>0.11249999999999999</v>
      </c>
      <c r="P15" s="202">
        <f>'07'!P108</f>
        <v>0.40781249999999974</v>
      </c>
      <c r="Q15" s="61">
        <f>'07'!Q108</f>
        <v>19.186979166666671</v>
      </c>
      <c r="R15" s="118"/>
      <c r="S15" s="118"/>
      <c r="T15" s="118"/>
      <c r="U15" s="118"/>
    </row>
    <row r="16" spans="1:21" x14ac:dyDescent="0.25">
      <c r="A16" s="94" t="str">
        <f>'08'!$B$2</f>
        <v>08-09-2023 00:15</v>
      </c>
      <c r="B16" s="61">
        <f>'08'!B108</f>
        <v>5.303541666666665</v>
      </c>
      <c r="C16" s="61">
        <f>'08'!C108</f>
        <v>10.139583333333333</v>
      </c>
      <c r="D16" s="61">
        <f>'08'!D108</f>
        <v>15.4434375</v>
      </c>
      <c r="E16" s="61">
        <f>'08'!E108</f>
        <v>1.6030526315789473</v>
      </c>
      <c r="F16" s="61">
        <f>'08'!F108</f>
        <v>2.7142708333333334</v>
      </c>
      <c r="G16" s="100">
        <f>'08'!$G$108</f>
        <v>11.491666666666674</v>
      </c>
      <c r="H16" s="61">
        <f>'08'!H108</f>
        <v>4.3151041666666652</v>
      </c>
      <c r="I16" s="61">
        <f>'08'!I108</f>
        <v>0.11958333333333315</v>
      </c>
      <c r="J16" s="61">
        <f>'08'!J108</f>
        <v>0.31364583333333335</v>
      </c>
      <c r="K16" s="61">
        <f>'08'!K108</f>
        <v>172.37374999999997</v>
      </c>
      <c r="L16" s="61">
        <f>'08'!L108</f>
        <v>23.393854166666674</v>
      </c>
      <c r="M16" s="61">
        <f>'08'!M108</f>
        <v>96.193645833333292</v>
      </c>
      <c r="N16" s="61">
        <f>'08'!N108</f>
        <v>100.19583333333331</v>
      </c>
      <c r="O16" s="61">
        <f>'08'!O108</f>
        <v>0</v>
      </c>
      <c r="P16" s="202">
        <f>'08'!P108</f>
        <v>0.27093749999999978</v>
      </c>
      <c r="Q16" s="61">
        <f>'08'!Q108</f>
        <v>14.373437500000001</v>
      </c>
      <c r="R16" s="118"/>
      <c r="S16" s="118"/>
      <c r="T16" s="118"/>
      <c r="U16" s="118"/>
    </row>
    <row r="17" spans="1:21" x14ac:dyDescent="0.25">
      <c r="A17" s="94" t="str">
        <f>'09'!$B$2</f>
        <v>09-09-2023 00:15</v>
      </c>
      <c r="B17" s="61">
        <f>'09'!B108</f>
        <v>5.285312499999999</v>
      </c>
      <c r="C17" s="61">
        <f>'09'!C108</f>
        <v>10.7290625</v>
      </c>
      <c r="D17" s="61">
        <f>'09'!D108</f>
        <v>16.013854166666668</v>
      </c>
      <c r="E17" s="61">
        <f>'09'!E108</f>
        <v>1.4824999999999999</v>
      </c>
      <c r="F17" s="61">
        <f>'09'!F108</f>
        <v>3.4148958333333339</v>
      </c>
      <c r="G17" s="100">
        <f>'09'!$G$108</f>
        <v>16.477812499999995</v>
      </c>
      <c r="H17" s="61">
        <f>'09'!H108</f>
        <v>5.9945833333333338</v>
      </c>
      <c r="I17" s="61">
        <f>'09'!I108</f>
        <v>0.11937499999999984</v>
      </c>
      <c r="J17" s="61">
        <f>'09'!J108</f>
        <v>0.30260416666666662</v>
      </c>
      <c r="K17" s="61">
        <f>'09'!K108</f>
        <v>144.92187499999994</v>
      </c>
      <c r="L17" s="61">
        <f>'09'!L108</f>
        <v>24.20645833333333</v>
      </c>
      <c r="M17" s="61">
        <f>'09'!M108</f>
        <v>90.868749999999977</v>
      </c>
      <c r="N17" s="61">
        <f>'09'!N108</f>
        <v>105.61666666666663</v>
      </c>
      <c r="O17" s="61">
        <f>'09'!O108</f>
        <v>0</v>
      </c>
      <c r="P17" s="202">
        <f>'09'!P108</f>
        <v>0.29468749999999999</v>
      </c>
      <c r="Q17" s="61">
        <f>'09'!Q108</f>
        <v>14.068333333333328</v>
      </c>
      <c r="R17" s="118"/>
      <c r="S17" s="118"/>
      <c r="T17" s="118"/>
      <c r="U17" s="118"/>
    </row>
    <row r="18" spans="1:21" x14ac:dyDescent="0.25">
      <c r="A18" s="94" t="str">
        <f>'10'!$B$2</f>
        <v>10-09-2023 00:15</v>
      </c>
      <c r="B18" s="61">
        <f>'10'!B108</f>
        <v>5.2259375000000032</v>
      </c>
      <c r="C18" s="61">
        <f>'10'!C108</f>
        <v>10.319479166666669</v>
      </c>
      <c r="D18" s="61">
        <f>'10'!D108</f>
        <v>15.545729166666668</v>
      </c>
      <c r="E18" s="61">
        <f>'10'!E108</f>
        <v>1.2282291666666667</v>
      </c>
      <c r="F18" s="61">
        <f>'10'!F108</f>
        <v>2.7056250000000013</v>
      </c>
      <c r="G18" s="101">
        <f>'10'!$G$108</f>
        <v>21.849791666666672</v>
      </c>
      <c r="H18" s="61">
        <f>'10'!H108</f>
        <v>8.5903124999999978</v>
      </c>
      <c r="I18" s="61">
        <f>'10'!I108</f>
        <v>0.11937499999999983</v>
      </c>
      <c r="J18" s="61">
        <f>'10'!J108</f>
        <v>0.36250000000000021</v>
      </c>
      <c r="K18" s="61">
        <f>'10'!K108</f>
        <v>106.63354166666664</v>
      </c>
      <c r="L18" s="61">
        <f>'10'!L108</f>
        <v>24.316666666666666</v>
      </c>
      <c r="M18" s="61">
        <f>'10'!M108</f>
        <v>93.529062499999895</v>
      </c>
      <c r="N18" s="61">
        <f>'10'!N108</f>
        <v>134.09583333333325</v>
      </c>
      <c r="O18" s="61">
        <f>'10'!O108</f>
        <v>3.5416666666666673E-2</v>
      </c>
      <c r="P18" s="202">
        <f>'10'!P108</f>
        <v>0.35729166666666673</v>
      </c>
      <c r="Q18" s="61">
        <f>'10'!Q108</f>
        <v>16.549687499999997</v>
      </c>
      <c r="R18" s="118"/>
      <c r="S18" s="118"/>
      <c r="T18" s="118"/>
      <c r="U18" s="118"/>
    </row>
    <row r="19" spans="1:21" x14ac:dyDescent="0.25">
      <c r="A19" s="94" t="str">
        <f>'11'!$B$2</f>
        <v>11-09-2023 00:15</v>
      </c>
      <c r="B19" s="61">
        <f>'11'!B108</f>
        <v>12.893333333333331</v>
      </c>
      <c r="C19" s="61">
        <f>'11'!C108</f>
        <v>14.337708333333339</v>
      </c>
      <c r="D19" s="61">
        <f>'11'!D108</f>
        <v>27.228854166666665</v>
      </c>
      <c r="E19" s="61">
        <f>'11'!E108</f>
        <v>4.5930208333333331</v>
      </c>
      <c r="F19" s="61">
        <f>'11'!F108</f>
        <v>2.2065625000000004</v>
      </c>
      <c r="G19" s="99">
        <f>'11'!$G$108</f>
        <v>36.702043010752696</v>
      </c>
      <c r="H19" s="61">
        <f>'11'!H108</f>
        <v>12.894623655913986</v>
      </c>
      <c r="I19" s="61">
        <f>'11'!I108</f>
        <v>0.11427083333333322</v>
      </c>
      <c r="J19" s="61">
        <f>'11'!J108</f>
        <v>0.23770833333333338</v>
      </c>
      <c r="K19" s="61">
        <f>'11'!K108</f>
        <v>138.41041666666663</v>
      </c>
      <c r="L19" s="61">
        <f>'11'!L108</f>
        <v>24.713750000000019</v>
      </c>
      <c r="M19" s="61">
        <f>'11'!M108</f>
        <v>92.575208333333308</v>
      </c>
      <c r="N19" s="61">
        <f>'11'!N108</f>
        <v>99.683333333333323</v>
      </c>
      <c r="O19" s="61">
        <f>'11'!O108</f>
        <v>2.0833333333333333E-3</v>
      </c>
      <c r="P19" s="202">
        <f>'11'!P108</f>
        <v>0.57989583333333339</v>
      </c>
      <c r="Q19" s="61">
        <f>'11'!Q108</f>
        <v>12.8021875</v>
      </c>
      <c r="R19" s="118"/>
      <c r="S19" s="118"/>
      <c r="T19" s="118"/>
      <c r="U19" s="118"/>
    </row>
    <row r="20" spans="1:21" x14ac:dyDescent="0.25">
      <c r="A20" s="94" t="str">
        <f>'12'!$B$2</f>
        <v>12-09-2023 00:15</v>
      </c>
      <c r="B20" s="61">
        <f>'12'!B108</f>
        <v>7.8425000000000002</v>
      </c>
      <c r="C20" s="61">
        <f>'12'!C108</f>
        <v>13.022395833333336</v>
      </c>
      <c r="D20" s="61">
        <f>'12'!D108</f>
        <v>20.864270833333332</v>
      </c>
      <c r="E20" s="61">
        <f>'12'!E108</f>
        <v>1.4539583333333346</v>
      </c>
      <c r="F20" s="61">
        <f>'12'!F108</f>
        <v>1.8441666666666672</v>
      </c>
      <c r="G20" s="101">
        <f>'12'!$G$108</f>
        <v>40.823333333333316</v>
      </c>
      <c r="H20" s="61">
        <f>'12'!H108</f>
        <v>14.556145833333339</v>
      </c>
      <c r="I20" s="61">
        <f>'12'!I108</f>
        <v>0.11749999999999988</v>
      </c>
      <c r="J20" s="61">
        <f>'12'!J108</f>
        <v>0.29375000000000001</v>
      </c>
      <c r="K20" s="61">
        <f>'12'!K108</f>
        <v>136.82187500000001</v>
      </c>
      <c r="L20" s="61">
        <f>'12'!L108</f>
        <v>25.314999999999987</v>
      </c>
      <c r="M20" s="61">
        <f>'12'!M108</f>
        <v>89.258124999999964</v>
      </c>
      <c r="N20" s="61">
        <f>'12'!N108</f>
        <v>140.61250000000004</v>
      </c>
      <c r="O20" s="61">
        <f>'12'!O108</f>
        <v>3.5416666666666673E-2</v>
      </c>
      <c r="P20" s="202">
        <f>'12'!P108</f>
        <v>0.55302083333333363</v>
      </c>
      <c r="Q20" s="61">
        <f>'12'!Q108</f>
        <v>12.442395833333331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13-09-2023 00:15</v>
      </c>
      <c r="B21" s="91">
        <f>'13'!B108</f>
        <v>7.8235555555555543</v>
      </c>
      <c r="C21" s="91">
        <f>'13'!C108</f>
        <v>13.522111111111103</v>
      </c>
      <c r="D21" s="91">
        <f>'13'!D108</f>
        <v>21.34522222222223</v>
      </c>
      <c r="E21" s="91">
        <f>'13'!E108</f>
        <v>2.2743333333333338</v>
      </c>
      <c r="F21" s="91">
        <f>'13'!F108</f>
        <v>1.7505555555555561</v>
      </c>
      <c r="G21" s="100">
        <f>'13'!$G$108</f>
        <v>35.06911111111112</v>
      </c>
      <c r="H21" s="91">
        <f>'13'!H108</f>
        <v>11.262222222222221</v>
      </c>
      <c r="I21" s="91">
        <f>'13'!I108</f>
        <v>0.1165555555555555</v>
      </c>
      <c r="J21" s="91">
        <f>'13'!J108</f>
        <v>0.5993333333333335</v>
      </c>
      <c r="K21" s="91">
        <f>'13'!K108</f>
        <v>236.84788888888892</v>
      </c>
      <c r="L21" s="91">
        <f>'13'!L108</f>
        <v>24.330777777777776</v>
      </c>
      <c r="M21" s="91">
        <f>'13'!M108</f>
        <v>90.656333333333336</v>
      </c>
      <c r="N21" s="91">
        <f>'13'!N108</f>
        <v>125.67444444444448</v>
      </c>
      <c r="O21" s="91">
        <f>'13'!O108</f>
        <v>0.4844444444444444</v>
      </c>
      <c r="P21" s="203">
        <f>'13'!P108</f>
        <v>0.45688888888888901</v>
      </c>
      <c r="Q21" s="91">
        <f>'13'!Q108</f>
        <v>13.437111111111115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14-09-2023 00:15</v>
      </c>
      <c r="B22" s="90">
        <f>'14'!B108</f>
        <v>7.2277419354838708</v>
      </c>
      <c r="C22" s="90">
        <f>'14'!C108</f>
        <v>13.939784946236555</v>
      </c>
      <c r="D22" s="90">
        <f>'14'!D108</f>
        <v>21.168494623655924</v>
      </c>
      <c r="E22" s="90">
        <f>'14'!E108</f>
        <v>4.0915853658536578</v>
      </c>
      <c r="F22" s="90">
        <f>'14'!F108</f>
        <v>2.3926086956521737</v>
      </c>
      <c r="G22" s="100">
        <f>'14'!$G$108</f>
        <v>28.284042553191487</v>
      </c>
      <c r="H22" s="100">
        <f>'14'!$G$108</f>
        <v>28.284042553191487</v>
      </c>
      <c r="I22" s="90">
        <f>'14'!I108</f>
        <v>1.7571428571428573</v>
      </c>
      <c r="J22" s="90">
        <f>'14'!J108</f>
        <v>0.28361702127659566</v>
      </c>
      <c r="K22" s="90">
        <f>'14'!K108</f>
        <v>169.07000000000005</v>
      </c>
      <c r="L22" s="90">
        <f>'14'!L108</f>
        <v>23.121702127659564</v>
      </c>
      <c r="M22" s="90">
        <f>'14'!M108</f>
        <v>95.98744680851064</v>
      </c>
      <c r="N22" s="90">
        <f>'14'!N108</f>
        <v>72.524468085106406</v>
      </c>
      <c r="O22" s="90">
        <f>'14'!O108</f>
        <v>0.83829787234042552</v>
      </c>
      <c r="P22" s="204">
        <f>'14'!P108</f>
        <v>0.53212765957446784</v>
      </c>
      <c r="Q22" s="90">
        <f>'14'!Q108</f>
        <v>15.767802197802199</v>
      </c>
      <c r="R22" s="206"/>
      <c r="S22" s="206"/>
      <c r="T22" s="206"/>
      <c r="U22" s="206"/>
    </row>
    <row r="23" spans="1:21" x14ac:dyDescent="0.25">
      <c r="A23" s="94" t="str">
        <f>'15'!$B$2</f>
        <v>15-09-2023 00:15</v>
      </c>
      <c r="B23" s="61">
        <f>'15'!B108</f>
        <v>3.4817708333333344</v>
      </c>
      <c r="C23" s="61">
        <f>'15'!C108</f>
        <v>9.7840624999999992</v>
      </c>
      <c r="D23" s="61">
        <f>'15'!D108</f>
        <v>13.265625</v>
      </c>
      <c r="E23" s="61">
        <f>'15'!E108</f>
        <v>4.3104166666666668</v>
      </c>
      <c r="F23" s="61">
        <f>'15'!F108</f>
        <v>1.5798958333333328</v>
      </c>
      <c r="G23" s="100">
        <f>'15'!$G$108</f>
        <v>10.718705882352936</v>
      </c>
      <c r="H23" s="61">
        <f>'15'!H108</f>
        <v>5.0641176470588247</v>
      </c>
      <c r="I23" s="61">
        <f>'15'!I108</f>
        <v>1.7991666666666675</v>
      </c>
      <c r="J23" s="61">
        <f>'15'!J108</f>
        <v>0.59197916666666661</v>
      </c>
      <c r="K23" s="61">
        <f>'15'!K108</f>
        <v>153.93635416666669</v>
      </c>
      <c r="L23" s="61">
        <f>'15'!L108</f>
        <v>22.788645833333337</v>
      </c>
      <c r="M23" s="61">
        <f>'15'!M108</f>
        <v>96.883437499999943</v>
      </c>
      <c r="N23" s="61">
        <f>'15'!N108</f>
        <v>33.403225806451609</v>
      </c>
      <c r="O23" s="61">
        <f>'15'!O108</f>
        <v>0.24374999999999999</v>
      </c>
      <c r="P23" s="202">
        <f>'15'!P108</f>
        <v>0.32906249999999992</v>
      </c>
      <c r="Q23" s="61">
        <f>'15'!Q108</f>
        <v>8.7681249999999995</v>
      </c>
      <c r="R23" s="118"/>
      <c r="S23" s="118"/>
      <c r="T23" s="118"/>
      <c r="U23" s="118"/>
    </row>
    <row r="24" spans="1:21" x14ac:dyDescent="0.25">
      <c r="A24" s="94" t="str">
        <f>'16'!$B$2</f>
        <v>16-09-2023 00:15</v>
      </c>
      <c r="B24" s="61">
        <f>'16'!B108</f>
        <v>4.2632291666666662</v>
      </c>
      <c r="C24" s="61">
        <f>'16'!C108</f>
        <v>11.575104166666662</v>
      </c>
      <c r="D24" s="61">
        <f>'16'!D108</f>
        <v>15.837916666666667</v>
      </c>
      <c r="E24" s="61">
        <f>'16'!E108</f>
        <v>4.2321875000000011</v>
      </c>
      <c r="F24" s="61">
        <f>'16'!F108</f>
        <v>1.9146875000000003</v>
      </c>
      <c r="G24" s="100">
        <f>'16'!$G$108</f>
        <v>20.264270833333338</v>
      </c>
      <c r="H24" s="61">
        <f>'16'!H108</f>
        <v>8.7568750000000062</v>
      </c>
      <c r="I24" s="61">
        <f>'16'!I108</f>
        <v>1.8031250000000008</v>
      </c>
      <c r="J24" s="61">
        <f>'16'!J108</f>
        <v>0.38187500000000019</v>
      </c>
      <c r="K24" s="61">
        <f>'16'!K108</f>
        <v>130.58062499999991</v>
      </c>
      <c r="L24" s="61">
        <f>'16'!L108</f>
        <v>24.458229166666666</v>
      </c>
      <c r="M24" s="61">
        <f>'16'!M108</f>
        <v>88.433437499999982</v>
      </c>
      <c r="N24" s="61">
        <f>'16'!N108</f>
        <v>151.31999999999994</v>
      </c>
      <c r="O24" s="61">
        <f>'16'!O108</f>
        <v>0</v>
      </c>
      <c r="P24" s="202">
        <f>'16'!P108</f>
        <v>0.33874999999999994</v>
      </c>
      <c r="Q24" s="61">
        <f>'16'!Q108</f>
        <v>4.334044943820226</v>
      </c>
      <c r="R24" s="118"/>
      <c r="S24" s="118"/>
      <c r="T24" s="118"/>
      <c r="U24" s="118"/>
    </row>
    <row r="25" spans="1:21" x14ac:dyDescent="0.25">
      <c r="A25" s="94" t="str">
        <f>'17'!$B$2</f>
        <v>17-09-2023 00:15</v>
      </c>
      <c r="B25" s="61">
        <f>'17'!B108</f>
        <v>7.1684374999999996</v>
      </c>
      <c r="C25" s="61">
        <f>'17'!C108</f>
        <v>13.509270833333337</v>
      </c>
      <c r="D25" s="61">
        <f>'17'!D108</f>
        <v>20.675833333333337</v>
      </c>
      <c r="E25" s="61">
        <f>'17'!E108</f>
        <v>4.2347916666666672</v>
      </c>
      <c r="F25" s="61">
        <f>'17'!F108</f>
        <v>2.3454166666666665</v>
      </c>
      <c r="G25" s="101">
        <f>'17'!$G$108</f>
        <v>27.401770833333334</v>
      </c>
      <c r="H25" s="61">
        <f>'17'!H108</f>
        <v>9.5570833333333365</v>
      </c>
      <c r="I25" s="61">
        <f>'17'!I108</f>
        <v>1.7977083333333332</v>
      </c>
      <c r="J25" s="61">
        <f>'17'!J108</f>
        <v>0.17614583333333342</v>
      </c>
      <c r="K25" s="61">
        <f>'17'!K108</f>
        <v>161.50437499999992</v>
      </c>
      <c r="L25" s="61">
        <f>'17'!L108</f>
        <v>25.849374999999998</v>
      </c>
      <c r="M25" s="61">
        <f>'17'!M108</f>
        <v>81.031354166666702</v>
      </c>
      <c r="N25" s="61">
        <f>'17'!N108</f>
        <v>226.91562500000006</v>
      </c>
      <c r="O25" s="61">
        <f>'17'!O108</f>
        <v>0</v>
      </c>
      <c r="P25" s="202">
        <f>'17'!P108</f>
        <v>0.47489583333333335</v>
      </c>
      <c r="Q25" s="61">
        <f>'17'!Q108</f>
        <v>12.76395833333333</v>
      </c>
      <c r="R25" s="118"/>
      <c r="S25" s="118"/>
      <c r="T25" s="118"/>
      <c r="U25" s="118"/>
    </row>
    <row r="26" spans="1:21" x14ac:dyDescent="0.25">
      <c r="A26" s="94" t="str">
        <f>'18'!$B$2</f>
        <v>18-09-2023 00:15</v>
      </c>
      <c r="B26" s="61">
        <f>'18'!B108</f>
        <v>9.0953125000000039</v>
      </c>
      <c r="C26" s="61">
        <f>'18'!C108</f>
        <v>15.762500000000003</v>
      </c>
      <c r="D26" s="61">
        <f>'18'!D108</f>
        <v>24.856979166666672</v>
      </c>
      <c r="E26" s="61">
        <f>'18'!E108</f>
        <v>4.1686458333333354</v>
      </c>
      <c r="F26" s="61">
        <f>'18'!F108</f>
        <v>3.5995833333333334</v>
      </c>
      <c r="G26" s="99">
        <f>'18'!$G$108</f>
        <v>38.384583333333318</v>
      </c>
      <c r="H26" s="61">
        <f>'18'!H108</f>
        <v>12.984687499999994</v>
      </c>
      <c r="I26" s="61">
        <f>'18'!I108</f>
        <v>1.8027083333333342</v>
      </c>
      <c r="J26" s="61">
        <f>'18'!J108</f>
        <v>0.26968421052631597</v>
      </c>
      <c r="K26" s="61">
        <f>'18'!K108</f>
        <v>220.21687499999996</v>
      </c>
      <c r="L26" s="61">
        <f>'18'!L108</f>
        <v>27.443645833333331</v>
      </c>
      <c r="M26" s="61">
        <f>'18'!M108</f>
        <v>77.020729166666669</v>
      </c>
      <c r="N26" s="61">
        <f>'18'!N108</f>
        <v>184.15543478260884</v>
      </c>
      <c r="O26" s="61">
        <f>'18'!O108</f>
        <v>0</v>
      </c>
      <c r="P26" s="202">
        <f>'18'!P108</f>
        <v>0.57552083333333326</v>
      </c>
      <c r="Q26" s="61">
        <f>'18'!Q108</f>
        <v>7.5716666666666681</v>
      </c>
      <c r="R26" s="118"/>
      <c r="S26" s="118"/>
      <c r="T26" s="118"/>
      <c r="U26" s="118"/>
    </row>
    <row r="27" spans="1:21" x14ac:dyDescent="0.25">
      <c r="A27" s="94" t="str">
        <f>'19'!$B$2</f>
        <v>19-09-2023 00:15</v>
      </c>
      <c r="B27" s="61">
        <f>'19'!B108</f>
        <v>9.9271875000000023</v>
      </c>
      <c r="C27" s="61">
        <f>'19'!C108</f>
        <v>15.68895833333333</v>
      </c>
      <c r="D27" s="61">
        <f>'19'!D108</f>
        <v>25.607187500000006</v>
      </c>
      <c r="E27" s="61">
        <f>'19'!E108</f>
        <v>4.5114583333333327</v>
      </c>
      <c r="F27" s="61">
        <f>'19'!F108</f>
        <v>3.3288541666666678</v>
      </c>
      <c r="G27" s="61">
        <f>'19'!G108</f>
        <v>51.247187500000017</v>
      </c>
      <c r="H27" s="61">
        <f>'19'!H108</f>
        <v>18.581145833333348</v>
      </c>
      <c r="I27" s="61">
        <f>'19'!I108</f>
        <v>1.804895833333334</v>
      </c>
      <c r="J27" s="61">
        <f>'19'!J108</f>
        <v>0.63166666666666671</v>
      </c>
      <c r="K27" s="61">
        <f>'19'!K108</f>
        <v>312.88343750000007</v>
      </c>
      <c r="L27" s="61">
        <f>'19'!L108</f>
        <v>27.912812500000001</v>
      </c>
      <c r="M27" s="61">
        <f>'19'!M108</f>
        <v>77.541979166666678</v>
      </c>
      <c r="N27" s="61">
        <f>'19'!N108</f>
        <v>197.19791666666671</v>
      </c>
      <c r="O27" s="61">
        <f>'19'!O108</f>
        <v>0</v>
      </c>
      <c r="P27" s="202">
        <f>'19'!P108</f>
        <v>0.61541666666666683</v>
      </c>
      <c r="Q27" s="61">
        <f>'19'!Q108</f>
        <v>7.401562499999998</v>
      </c>
      <c r="R27" s="118"/>
      <c r="S27" s="118"/>
      <c r="T27" s="118"/>
      <c r="U27" s="118"/>
    </row>
    <row r="28" spans="1:21" x14ac:dyDescent="0.25">
      <c r="A28" s="94" t="str">
        <f>'20'!$B$2</f>
        <v>20-09-2023 00:15</v>
      </c>
      <c r="B28" s="61">
        <f>'20'!B108</f>
        <v>8.5410416666666631</v>
      </c>
      <c r="C28" s="61">
        <f>'20'!C108</f>
        <v>14.390520833333333</v>
      </c>
      <c r="D28" s="61">
        <f>'20'!D108</f>
        <v>22.931249999999991</v>
      </c>
      <c r="E28" s="61">
        <f>'20'!E108</f>
        <v>6.0214583333333325</v>
      </c>
      <c r="F28" s="61">
        <f>'20'!F108</f>
        <v>3.455937500000001</v>
      </c>
      <c r="G28" s="61">
        <f>'20'!G108</f>
        <v>52.078645833333319</v>
      </c>
      <c r="H28" s="61">
        <f>'20'!H108</f>
        <v>19.122708333333328</v>
      </c>
      <c r="I28" s="61">
        <f>'20'!I108</f>
        <v>1.7963541666666671</v>
      </c>
      <c r="J28" s="61">
        <f>'20'!J108</f>
        <v>0.55062500000000003</v>
      </c>
      <c r="K28" s="61">
        <f>'20'!K108</f>
        <v>250.62791666666666</v>
      </c>
      <c r="L28" s="61">
        <f>'20'!L108</f>
        <v>25.736875000000001</v>
      </c>
      <c r="M28" s="61">
        <f>'20'!M108</f>
        <v>86.761041666666657</v>
      </c>
      <c r="N28" s="61">
        <f>'20'!N108</f>
        <v>119.75208333333335</v>
      </c>
      <c r="O28" s="61">
        <f>'20'!O108</f>
        <v>0.17083333333333336</v>
      </c>
      <c r="P28" s="202">
        <f>'20'!P108</f>
        <v>0.65437499999999982</v>
      </c>
      <c r="Q28" s="61">
        <f>'20'!Q108</f>
        <v>7.7610416666666682</v>
      </c>
      <c r="R28" s="118"/>
      <c r="S28" s="118"/>
      <c r="T28" s="118"/>
      <c r="U28" s="118"/>
    </row>
    <row r="29" spans="1:21" x14ac:dyDescent="0.25">
      <c r="A29" s="94" t="str">
        <f>'21'!$B$2</f>
        <v>21-09-2023 00:15</v>
      </c>
      <c r="B29" s="61">
        <f>'21'!B108</f>
        <v>6.3917582417582439</v>
      </c>
      <c r="C29" s="61">
        <f>'21'!C108</f>
        <v>12.73010989010989</v>
      </c>
      <c r="D29" s="61">
        <f>'21'!D108</f>
        <v>19.110329670329669</v>
      </c>
      <c r="E29" s="61">
        <f>'21'!E108</f>
        <v>3.4928723404255342</v>
      </c>
      <c r="F29" s="61">
        <f>'21'!F108</f>
        <v>1.7293684210526314</v>
      </c>
      <c r="G29" s="61">
        <f>'21'!G108</f>
        <v>26.851777777777791</v>
      </c>
      <c r="H29" s="61">
        <f>'21'!H108</f>
        <v>6.7602597402597402</v>
      </c>
      <c r="I29" s="61">
        <f>'21'!I108</f>
        <v>1.7995833333333335</v>
      </c>
      <c r="J29" s="61">
        <f>'21'!J108</f>
        <v>0.32333333333333347</v>
      </c>
      <c r="K29" s="61">
        <f>'21'!K108</f>
        <v>200.18000000000004</v>
      </c>
      <c r="L29" s="61">
        <f>'21'!L108</f>
        <v>23.038020833333338</v>
      </c>
      <c r="M29" s="61">
        <f>'21'!M108</f>
        <v>96.123854166666646</v>
      </c>
      <c r="N29" s="61">
        <f>'21'!N108</f>
        <v>79.71041666666666</v>
      </c>
      <c r="O29" s="61">
        <f>'21'!O108</f>
        <v>4.3750000000000011E-2</v>
      </c>
      <c r="P29" s="202">
        <f>'21'!P108</f>
        <v>0.55708333333333349</v>
      </c>
      <c r="Q29" s="61">
        <f>'21'!Q108</f>
        <v>5.8185416666666656</v>
      </c>
      <c r="R29" s="118"/>
      <c r="S29" s="118"/>
      <c r="T29" s="118"/>
      <c r="U29" s="118"/>
    </row>
    <row r="30" spans="1:21" x14ac:dyDescent="0.25">
      <c r="A30" s="94" t="str">
        <f>'22'!$B$2</f>
        <v>22-09-2023 00:15</v>
      </c>
      <c r="B30" s="61">
        <f>'22'!B108</f>
        <v>8.3772916666666664</v>
      </c>
      <c r="C30" s="61">
        <f>'22'!C108</f>
        <v>11.809270833333336</v>
      </c>
      <c r="D30" s="61">
        <f>'22'!D108</f>
        <v>20.184895833333329</v>
      </c>
      <c r="E30" s="61">
        <f>'22'!E108</f>
        <v>1.3244791666666671</v>
      </c>
      <c r="F30" s="61">
        <f>'22'!F108</f>
        <v>0.78406250000000011</v>
      </c>
      <c r="G30" s="61">
        <f>'22'!G108</f>
        <v>16.796770833333337</v>
      </c>
      <c r="H30" s="61">
        <f>'22'!H108</f>
        <v>5.5079166666666692</v>
      </c>
      <c r="I30" s="61">
        <f>'22'!I108</f>
        <v>1.6587499999999997</v>
      </c>
      <c r="J30" s="61">
        <f>'22'!J108</f>
        <v>0.18437500000000004</v>
      </c>
      <c r="K30" s="61">
        <f>'22'!K108</f>
        <v>82.144270833333337</v>
      </c>
      <c r="L30" s="61">
        <f>'22'!L108</f>
        <v>22.125520833333336</v>
      </c>
      <c r="M30" s="61">
        <f>'22'!M108</f>
        <v>98.831666666666763</v>
      </c>
      <c r="N30" s="61">
        <f>'22'!N108</f>
        <v>46.475000000000001</v>
      </c>
      <c r="O30" s="61">
        <f>'22'!O108</f>
        <v>0</v>
      </c>
      <c r="P30" s="202">
        <f>'22'!P108</f>
        <v>0.56666666666666654</v>
      </c>
      <c r="Q30" s="61">
        <f>'22'!Q108</f>
        <v>11.94375</v>
      </c>
      <c r="R30" s="118"/>
      <c r="S30" s="118"/>
      <c r="T30" s="118"/>
      <c r="U30" s="118"/>
    </row>
    <row r="31" spans="1:21" x14ac:dyDescent="0.25">
      <c r="A31" s="94" t="str">
        <f>'23'!$B$2</f>
        <v>23-09-2023 00:15</v>
      </c>
      <c r="B31" s="61">
        <f>'23'!B108</f>
        <v>4.8691666666666684</v>
      </c>
      <c r="C31" s="61">
        <f>'23'!C108</f>
        <v>11.7475</v>
      </c>
      <c r="D31" s="61">
        <f>'23'!D108</f>
        <v>16.6171875</v>
      </c>
      <c r="E31" s="61">
        <f>'23'!E108</f>
        <v>0.88687499999999975</v>
      </c>
      <c r="F31" s="61">
        <f>'23'!F108</f>
        <v>1.3753125000000004</v>
      </c>
      <c r="G31" s="61">
        <f>'23'!G108</f>
        <v>20.70604166666666</v>
      </c>
      <c r="H31" s="61">
        <f>'23'!H108</f>
        <v>6.142500000000001</v>
      </c>
      <c r="I31" s="61">
        <f>'23'!I108</f>
        <v>1.5043750000000005</v>
      </c>
      <c r="J31" s="61">
        <f>'23'!J108</f>
        <v>0.20416666666666661</v>
      </c>
      <c r="K31" s="61">
        <f>'23'!K108</f>
        <v>64.61958333333331</v>
      </c>
      <c r="L31" s="61">
        <f>'23'!L108</f>
        <v>23.078125000000004</v>
      </c>
      <c r="M31" s="61">
        <f>'23'!M108</f>
        <v>96.408645833333367</v>
      </c>
      <c r="N31" s="61">
        <f>'23'!N108</f>
        <v>100.76979166666668</v>
      </c>
      <c r="O31" s="61">
        <f>'23'!O108</f>
        <v>0</v>
      </c>
      <c r="P31" s="202">
        <f>'23'!P108</f>
        <v>0.45114583333333336</v>
      </c>
      <c r="Q31" s="61">
        <f>'23'!Q108</f>
        <v>10.402395833333335</v>
      </c>
      <c r="R31" s="118"/>
      <c r="S31" s="207"/>
      <c r="T31" s="118"/>
      <c r="U31" s="118"/>
    </row>
    <row r="32" spans="1:21" x14ac:dyDescent="0.25">
      <c r="A32" s="94" t="str">
        <f>'24'!$B$2</f>
        <v>24-09-2023 00:15</v>
      </c>
      <c r="B32" s="61">
        <f>'24'!B108</f>
        <v>5.6822916666666652</v>
      </c>
      <c r="C32" s="61">
        <f>'24'!C108</f>
        <v>12.023020833333334</v>
      </c>
      <c r="D32" s="61">
        <f>'24'!D108</f>
        <v>17.705416666666661</v>
      </c>
      <c r="E32" s="61">
        <f>'24'!E108</f>
        <v>1.0707291666666663</v>
      </c>
      <c r="F32" s="61">
        <f>'24'!F108</f>
        <v>2.4786458333333328</v>
      </c>
      <c r="G32" s="61">
        <f>'24'!G108</f>
        <v>33.122083333333329</v>
      </c>
      <c r="H32" s="61">
        <f>'24'!H108</f>
        <v>11.623333333333326</v>
      </c>
      <c r="I32" s="61">
        <f>'24'!I108</f>
        <v>1.5046875000000002</v>
      </c>
      <c r="J32" s="61">
        <f>'24'!J108</f>
        <v>0.14531249999999993</v>
      </c>
      <c r="K32" s="61">
        <f>'24'!K108</f>
        <v>143.32989583333327</v>
      </c>
      <c r="L32" s="61">
        <f>'24'!L108</f>
        <v>23.961770833333333</v>
      </c>
      <c r="M32" s="61">
        <f>'24'!M108</f>
        <v>93.86749999999995</v>
      </c>
      <c r="N32" s="61">
        <f>'24'!N108</f>
        <v>137.81666666666666</v>
      </c>
      <c r="O32" s="61">
        <f>'24'!O108</f>
        <v>0</v>
      </c>
      <c r="P32" s="202">
        <f>'24'!P108</f>
        <v>0.51968749999999986</v>
      </c>
      <c r="Q32" s="61">
        <f>'24'!Q108</f>
        <v>11.8890625</v>
      </c>
      <c r="R32" s="118"/>
      <c r="S32" s="118"/>
      <c r="T32" s="118"/>
      <c r="U32" s="118"/>
    </row>
    <row r="33" spans="1:21" x14ac:dyDescent="0.25">
      <c r="A33" s="94" t="str">
        <f>'25'!$B$2</f>
        <v>25-09-2023 00:15</v>
      </c>
      <c r="B33" s="61">
        <f>'25'!B108</f>
        <v>10.279895833333336</v>
      </c>
      <c r="C33" s="61">
        <f>'25'!C108</f>
        <v>18.902708333333326</v>
      </c>
      <c r="D33" s="61">
        <f>'25'!D108</f>
        <v>23.335312499999997</v>
      </c>
      <c r="E33" s="61">
        <f>'25'!E108</f>
        <v>1.9765625000000007</v>
      </c>
      <c r="F33" s="61">
        <f>'25'!F108</f>
        <v>4.3301041666666649</v>
      </c>
      <c r="G33" s="61">
        <f>'25'!G108</f>
        <v>61.266979166666694</v>
      </c>
      <c r="H33" s="61">
        <f>'25'!H108</f>
        <v>16.441979166666673</v>
      </c>
      <c r="I33" s="61">
        <f>'25'!I108</f>
        <v>1.5046875000000008</v>
      </c>
      <c r="J33" s="61">
        <f>'25'!J108</f>
        <v>0.26552083333333337</v>
      </c>
      <c r="K33" s="61">
        <f>'25'!K108</f>
        <v>236.36822916666668</v>
      </c>
      <c r="L33" s="61">
        <f>'25'!L108</f>
        <v>24.11833333333335</v>
      </c>
      <c r="M33" s="61">
        <f>'25'!M108</f>
        <v>91.351458333333383</v>
      </c>
      <c r="N33" s="61">
        <f>'25'!N108</f>
        <v>120.8177083333333</v>
      </c>
      <c r="O33" s="61">
        <f>'25'!O108</f>
        <v>0</v>
      </c>
      <c r="P33" s="202">
        <f>'25'!P108</f>
        <v>0.80197916666666658</v>
      </c>
      <c r="Q33" s="61">
        <f>'25'!Q108</f>
        <v>13.480833333333328</v>
      </c>
      <c r="R33" s="118"/>
      <c r="S33" s="207"/>
      <c r="T33" s="118"/>
      <c r="U33" s="118"/>
    </row>
    <row r="34" spans="1:21" x14ac:dyDescent="0.25">
      <c r="A34" s="94" t="str">
        <f>'26'!$B$2</f>
        <v>26-09-2023 00:15</v>
      </c>
      <c r="B34" s="61">
        <f>'26'!B108</f>
        <v>9.505104166666662</v>
      </c>
      <c r="C34" s="61">
        <f>'26'!C108</f>
        <v>20.007708333333337</v>
      </c>
      <c r="D34" s="61">
        <f>'26'!D108</f>
        <v>19.953750000000003</v>
      </c>
      <c r="E34" s="61">
        <f>'26'!E108</f>
        <v>2.5264583333333328</v>
      </c>
      <c r="F34" s="61">
        <f>'26'!F108</f>
        <v>4.0245833333333332</v>
      </c>
      <c r="G34" s="61">
        <f>'26'!G108</f>
        <v>71.28188235294121</v>
      </c>
      <c r="H34" s="61">
        <f>'26'!H108</f>
        <v>20.229647058823534</v>
      </c>
      <c r="I34" s="61">
        <f>'26'!I108</f>
        <v>1.5003124999999997</v>
      </c>
      <c r="J34" s="61">
        <f>'26'!J108</f>
        <v>0.49635416666666682</v>
      </c>
      <c r="K34" s="61">
        <f>'26'!K108</f>
        <v>213.90385416666666</v>
      </c>
      <c r="L34" s="61">
        <f>'26'!L108</f>
        <v>25.123437499999998</v>
      </c>
      <c r="M34" s="61">
        <f>'26'!M108</f>
        <v>87.02385416666668</v>
      </c>
      <c r="N34" s="61">
        <f>'26'!N108</f>
        <v>176.41562500000001</v>
      </c>
      <c r="O34" s="61">
        <f>'26'!O108</f>
        <v>0</v>
      </c>
      <c r="P34" s="202">
        <f>'26'!P108</f>
        <v>0.72958333333333314</v>
      </c>
      <c r="Q34" s="61">
        <f>'26'!Q108</f>
        <v>13.564583333333331</v>
      </c>
      <c r="R34" s="118"/>
      <c r="S34" s="118"/>
      <c r="T34" s="118"/>
      <c r="U34" s="118"/>
    </row>
    <row r="35" spans="1:21" x14ac:dyDescent="0.25">
      <c r="A35" s="94" t="str">
        <f>'27'!$B$2</f>
        <v>27-09-2023 00:15</v>
      </c>
      <c r="B35" s="61">
        <f>'27'!B108</f>
        <v>11.478124999999999</v>
      </c>
      <c r="C35" s="61">
        <f>'27'!C108</f>
        <v>28.16385416666667</v>
      </c>
      <c r="D35" s="61">
        <f>'27'!D108</f>
        <v>26.039270833333322</v>
      </c>
      <c r="E35" s="61">
        <f>'27'!E108</f>
        <v>2.9702083333333333</v>
      </c>
      <c r="F35" s="61">
        <f>'27'!F108</f>
        <v>6.355416666666664</v>
      </c>
      <c r="G35" s="61">
        <f>'27'!G108</f>
        <v>86.299270833333324</v>
      </c>
      <c r="H35" s="61">
        <f>'27'!H108</f>
        <v>26.565625000000008</v>
      </c>
      <c r="I35" s="61">
        <f>'27'!I108</f>
        <v>1.4931250000000003</v>
      </c>
      <c r="J35" s="61">
        <f>'27'!J108</f>
        <v>0.26020833333333326</v>
      </c>
      <c r="K35" s="61">
        <f>'27'!K108</f>
        <v>221.33510416666672</v>
      </c>
      <c r="L35" s="61">
        <f>'27'!L108</f>
        <v>25.532604166666662</v>
      </c>
      <c r="M35" s="61">
        <f>'27'!M108</f>
        <v>88.212083333333354</v>
      </c>
      <c r="N35" s="61">
        <f>'27'!N108</f>
        <v>117.84270833333336</v>
      </c>
      <c r="O35" s="61">
        <f>'27'!O108</f>
        <v>0</v>
      </c>
      <c r="P35" s="202">
        <f>'27'!P108</f>
        <v>0.94166666666666687</v>
      </c>
      <c r="Q35" s="61">
        <f>'27'!Q108</f>
        <v>14.146354166666669</v>
      </c>
      <c r="R35" s="118"/>
      <c r="S35" s="118"/>
      <c r="T35" s="118"/>
      <c r="U35" s="118"/>
    </row>
    <row r="36" spans="1:21" x14ac:dyDescent="0.25">
      <c r="A36" s="94" t="str">
        <f>'28'!$B$2</f>
        <v>28-09-2023 00:15</v>
      </c>
      <c r="B36" s="61">
        <f>'28'!B108</f>
        <v>12.245833333333332</v>
      </c>
      <c r="C36" s="61">
        <f>'28'!C108</f>
        <v>27.54624999999999</v>
      </c>
      <c r="D36" s="61">
        <f>'28'!D108</f>
        <v>26.314583333333331</v>
      </c>
      <c r="E36" s="61">
        <f>'28'!E108</f>
        <v>4.1592708333333324</v>
      </c>
      <c r="F36" s="61">
        <f>'28'!F108</f>
        <v>7.88791666666667</v>
      </c>
      <c r="G36" s="61">
        <f>'28'!G108</f>
        <v>89.334687499999959</v>
      </c>
      <c r="H36" s="61">
        <f>'28'!H108</f>
        <v>33.64687499999998</v>
      </c>
      <c r="I36" s="61">
        <f>'28'!I108</f>
        <v>1.5063541666666671</v>
      </c>
      <c r="J36" s="61">
        <f>'28'!J108</f>
        <v>0.22843750000000007</v>
      </c>
      <c r="K36" s="61">
        <f>'28'!K108</f>
        <v>207.96968750000008</v>
      </c>
      <c r="L36" s="61">
        <f>'28'!L108</f>
        <v>26.396458333333342</v>
      </c>
      <c r="M36" s="61">
        <f>'28'!M108</f>
        <v>84.498750000000015</v>
      </c>
      <c r="N36" s="61">
        <f>'28'!N108</f>
        <v>130.1322916666667</v>
      </c>
      <c r="O36" s="61">
        <f>'28'!O108</f>
        <v>0</v>
      </c>
      <c r="P36" s="202">
        <f>'28'!P108</f>
        <v>1.0379166666666668</v>
      </c>
      <c r="Q36" s="61">
        <f>'28'!Q108</f>
        <v>15.317204301075273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29-09-2023 00:15</v>
      </c>
      <c r="B37" s="61">
        <f>'29'!B108</f>
        <v>11.235833333333334</v>
      </c>
      <c r="C37" s="61">
        <f>'29'!C108</f>
        <v>22.896354166666665</v>
      </c>
      <c r="D37" s="61">
        <f>'29'!D108</f>
        <v>22.93822916666667</v>
      </c>
      <c r="E37" s="61">
        <f>'29'!E108</f>
        <v>4.099895833333334</v>
      </c>
      <c r="F37" s="61">
        <f>'29'!F108</f>
        <v>4.8057291666666657</v>
      </c>
      <c r="G37" s="61">
        <f>'29'!G108</f>
        <v>81.876562499999977</v>
      </c>
      <c r="H37" s="61">
        <f>'29'!H108</f>
        <v>28.934374999999989</v>
      </c>
      <c r="I37" s="61">
        <f>'29'!I108</f>
        <v>1.4963541666666667</v>
      </c>
      <c r="J37" s="61">
        <f>'29'!J108</f>
        <v>0.44281250000000011</v>
      </c>
      <c r="K37" s="61">
        <f>'29'!K108</f>
        <v>227.52916666666678</v>
      </c>
      <c r="L37" s="61">
        <f>'29'!L108</f>
        <v>25.346874999999986</v>
      </c>
      <c r="M37" s="61">
        <f>'29'!M108</f>
        <v>87.831666666666635</v>
      </c>
      <c r="N37" s="61">
        <f>'29'!N108</f>
        <v>134.59479166666662</v>
      </c>
      <c r="O37" s="61">
        <f>'29'!O108</f>
        <v>0</v>
      </c>
      <c r="P37" s="202">
        <f>'29'!P108</f>
        <v>0.85072916666666643</v>
      </c>
      <c r="Q37" s="61">
        <f>'29'!Q108</f>
        <v>14.542187499999999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30-09-2023 00:15</v>
      </c>
      <c r="B38" s="61">
        <f>'30'!B108</f>
        <v>7.0544791666666669</v>
      </c>
      <c r="C38" s="61">
        <f>'30'!C108</f>
        <v>15.092812499999994</v>
      </c>
      <c r="D38" s="61">
        <f>'30'!D108</f>
        <v>15.278854166666671</v>
      </c>
      <c r="E38" s="61">
        <f>'30'!E108</f>
        <v>2.4820833333333341</v>
      </c>
      <c r="F38" s="61">
        <f>'30'!F108</f>
        <v>2.6722916666666676</v>
      </c>
      <c r="G38" s="61">
        <f>'30'!G108</f>
        <v>49.290937500000013</v>
      </c>
      <c r="H38" s="61">
        <f>'30'!H108</f>
        <v>17.058750000000014</v>
      </c>
      <c r="I38" s="61">
        <f>'30'!I108</f>
        <v>1.4999999999999993</v>
      </c>
      <c r="J38" s="61">
        <f>'30'!J108</f>
        <v>0.19927083333333331</v>
      </c>
      <c r="K38" s="61">
        <f>'30'!K108</f>
        <v>167.79812500000006</v>
      </c>
      <c r="L38" s="61">
        <f>'30'!L108</f>
        <v>24.654062500000009</v>
      </c>
      <c r="M38" s="61">
        <f>'30'!M108</f>
        <v>89.367708333333326</v>
      </c>
      <c r="N38" s="61">
        <f>'30'!N108</f>
        <v>148.46666666666673</v>
      </c>
      <c r="O38" s="61">
        <f>'30'!O108</f>
        <v>0</v>
      </c>
      <c r="P38" s="202">
        <f>'30'!P108</f>
        <v>0.79645833333333371</v>
      </c>
      <c r="Q38" s="61">
        <f>'30'!Q108</f>
        <v>12.741770833333332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3.4817708333333344</v>
      </c>
      <c r="C40" s="16">
        <f t="shared" si="0"/>
        <v>9.7840624999999992</v>
      </c>
      <c r="D40" s="16">
        <f t="shared" si="0"/>
        <v>13.265625</v>
      </c>
      <c r="E40" s="16">
        <f t="shared" si="0"/>
        <v>0.88687499999999975</v>
      </c>
      <c r="F40" s="16">
        <f t="shared" si="0"/>
        <v>0.78406250000000011</v>
      </c>
      <c r="G40" s="16">
        <f t="shared" si="0"/>
        <v>10.718705882352936</v>
      </c>
      <c r="H40" s="16">
        <f t="shared" si="0"/>
        <v>4.3151041666666652</v>
      </c>
      <c r="I40" s="16">
        <f t="shared" si="0"/>
        <v>0.11427083333333322</v>
      </c>
      <c r="J40" s="16">
        <f t="shared" si="0"/>
        <v>0.14531249999999993</v>
      </c>
      <c r="K40" s="16">
        <f t="shared" si="0"/>
        <v>64.61958333333331</v>
      </c>
      <c r="L40" s="16">
        <f t="shared" si="0"/>
        <v>22.125520833333336</v>
      </c>
      <c r="M40" s="16">
        <f t="shared" si="0"/>
        <v>77.020729166666669</v>
      </c>
      <c r="N40" s="16">
        <f t="shared" si="0"/>
        <v>33.403225806451609</v>
      </c>
      <c r="O40" s="16">
        <f t="shared" si="0"/>
        <v>0</v>
      </c>
      <c r="P40" s="16">
        <f t="shared" si="0"/>
        <v>0.27093749999999978</v>
      </c>
      <c r="Q40" s="16">
        <f t="shared" si="0"/>
        <v>4.334044943820226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20.943854166666664</v>
      </c>
      <c r="C41" s="16">
        <f t="shared" si="1"/>
        <v>30.754166666666681</v>
      </c>
      <c r="D41" s="16">
        <f t="shared" si="1"/>
        <v>35.051041666666677</v>
      </c>
      <c r="E41" s="16">
        <f t="shared" si="1"/>
        <v>6.0214583333333325</v>
      </c>
      <c r="F41" s="16">
        <f t="shared" si="1"/>
        <v>8.4566315789473681</v>
      </c>
      <c r="G41" s="16">
        <f t="shared" si="1"/>
        <v>89.334687499999959</v>
      </c>
      <c r="H41" s="16">
        <f t="shared" si="1"/>
        <v>33.64687499999998</v>
      </c>
      <c r="I41" s="16">
        <f t="shared" si="1"/>
        <v>1.804895833333334</v>
      </c>
      <c r="J41" s="16">
        <f t="shared" si="1"/>
        <v>0.70322916666666646</v>
      </c>
      <c r="K41" s="16">
        <f t="shared" si="1"/>
        <v>312.88343750000007</v>
      </c>
      <c r="L41" s="16">
        <f t="shared" si="1"/>
        <v>27.912812500000001</v>
      </c>
      <c r="M41" s="16">
        <f t="shared" si="1"/>
        <v>98.831666666666763</v>
      </c>
      <c r="N41" s="16">
        <f t="shared" si="1"/>
        <v>226.91562500000006</v>
      </c>
      <c r="O41" s="16">
        <f t="shared" si="1"/>
        <v>0.83829787234042552</v>
      </c>
      <c r="P41" s="16">
        <f t="shared" si="1"/>
        <v>1.0379166666666668</v>
      </c>
      <c r="Q41" s="16">
        <f t="shared" si="1"/>
        <v>21.992708333333329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8.3983310244265912</v>
      </c>
      <c r="C42" s="16">
        <f t="shared" si="2"/>
        <v>15.879493646316215</v>
      </c>
      <c r="D42" s="16">
        <f t="shared" si="2"/>
        <v>21.481300342810794</v>
      </c>
      <c r="E42" s="16">
        <f t="shared" si="2"/>
        <v>2.8734152934256811</v>
      </c>
      <c r="F42" s="16">
        <f t="shared" si="2"/>
        <v>3.6197290861513687</v>
      </c>
      <c r="G42" s="16">
        <f t="shared" si="2"/>
        <v>41.095807645159795</v>
      </c>
      <c r="H42" s="16">
        <f t="shared" si="2"/>
        <v>14.262532154159391</v>
      </c>
      <c r="I42" s="16">
        <f t="shared" si="2"/>
        <v>0.98620661375661389</v>
      </c>
      <c r="J42" s="16">
        <f t="shared" si="2"/>
        <v>0.35786906883787489</v>
      </c>
      <c r="K42" s="16">
        <f t="shared" si="2"/>
        <v>178.73711712962967</v>
      </c>
      <c r="L42" s="16">
        <f t="shared" si="2"/>
        <v>24.680374330181245</v>
      </c>
      <c r="M42" s="16">
        <f t="shared" si="2"/>
        <v>89.869157254728123</v>
      </c>
      <c r="N42" s="16">
        <f t="shared" si="2"/>
        <v>131.08140521506482</v>
      </c>
      <c r="O42" s="16">
        <f t="shared" si="2"/>
        <v>8.3535855003940104E-2</v>
      </c>
      <c r="P42" s="16">
        <f t="shared" si="2"/>
        <v>0.58866513494877859</v>
      </c>
      <c r="Q42" s="16">
        <f t="shared" si="2"/>
        <v>13.31662500910357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3.4639976660716827</v>
      </c>
      <c r="C43" s="16">
        <f t="shared" si="3"/>
        <v>5.534931545861693</v>
      </c>
      <c r="D43" s="16">
        <f t="shared" si="3"/>
        <v>4.9728005364854075</v>
      </c>
      <c r="E43" s="16">
        <f t="shared" si="3"/>
        <v>1.435901869116071</v>
      </c>
      <c r="F43" s="16">
        <f t="shared" si="3"/>
        <v>2.0909523558489744</v>
      </c>
      <c r="G43" s="16">
        <f t="shared" si="3"/>
        <v>23.298159546799713</v>
      </c>
      <c r="H43" s="16">
        <f t="shared" si="3"/>
        <v>7.9137984731059579</v>
      </c>
      <c r="I43" s="16">
        <f t="shared" si="3"/>
        <v>0.77837454560486496</v>
      </c>
      <c r="J43" s="16">
        <f t="shared" si="3"/>
        <v>0.15323003290137582</v>
      </c>
      <c r="K43" s="16">
        <f t="shared" si="3"/>
        <v>54.579562453056845</v>
      </c>
      <c r="L43" s="16">
        <f t="shared" si="3"/>
        <v>1.5479152302376376</v>
      </c>
      <c r="M43" s="16">
        <f t="shared" si="3"/>
        <v>5.9853463569591376</v>
      </c>
      <c r="N43" s="16">
        <f t="shared" si="3"/>
        <v>44.975044810386606</v>
      </c>
      <c r="O43" s="16">
        <f t="shared" si="3"/>
        <v>0.17779489569921711</v>
      </c>
      <c r="P43" s="16">
        <f t="shared" si="3"/>
        <v>0.19552032784488338</v>
      </c>
      <c r="Q43" s="16">
        <f t="shared" si="3"/>
        <v>4.1312472126230384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Q44" si="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3">
        <f t="shared" si="4"/>
        <v>30</v>
      </c>
      <c r="K44" s="13">
        <f t="shared" si="4"/>
        <v>30</v>
      </c>
      <c r="L44" s="13">
        <f t="shared" si="4"/>
        <v>30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216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Normal="100" workbookViewId="0">
      <selection activeCell="O10" sqref="O10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4" t="s">
        <v>242</v>
      </c>
      <c r="E1" s="224"/>
      <c r="F1" s="224"/>
      <c r="G1" s="224"/>
      <c r="H1" s="224"/>
      <c r="I1" s="224"/>
      <c r="J1" s="225"/>
    </row>
    <row r="2" spans="2:24" ht="22.5" customHeight="1" thickBot="1" x14ac:dyDescent="0.3">
      <c r="B2" s="54"/>
      <c r="C2" s="111" t="s">
        <v>0</v>
      </c>
      <c r="D2" s="112" t="s">
        <v>246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8" t="s">
        <v>1</v>
      </c>
      <c r="H5" s="228"/>
      <c r="I5" s="40"/>
      <c r="J5" s="40"/>
      <c r="K5" s="40"/>
      <c r="L5" s="40"/>
      <c r="M5" s="41"/>
      <c r="O5" s="68"/>
      <c r="P5" s="69"/>
      <c r="Q5" s="69"/>
      <c r="R5" s="69"/>
      <c r="S5" s="208" t="s">
        <v>239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45171.479166666664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201.5</v>
      </c>
      <c r="I8" s="60">
        <v>0</v>
      </c>
      <c r="J8" s="61">
        <f>F8/H8</f>
        <v>0.99255583126550873</v>
      </c>
      <c r="K8" s="61">
        <f>(H8-F8)*100/F8</f>
        <v>0.75</v>
      </c>
      <c r="L8" s="60" t="s">
        <v>67</v>
      </c>
      <c r="M8" s="78" t="s">
        <v>216</v>
      </c>
      <c r="O8" s="63">
        <v>45171.492361111108</v>
      </c>
      <c r="P8" s="64" t="s">
        <v>70</v>
      </c>
      <c r="Q8" s="64">
        <v>4658.63</v>
      </c>
      <c r="R8" s="64">
        <v>3535.5</v>
      </c>
      <c r="S8" s="77" t="s">
        <v>245</v>
      </c>
      <c r="T8" s="77">
        <v>836.78</v>
      </c>
      <c r="U8" s="86">
        <v>0.90739999999999998</v>
      </c>
      <c r="V8" s="86">
        <v>0.90549999999999997</v>
      </c>
      <c r="W8" s="60" t="s">
        <v>67</v>
      </c>
      <c r="X8" s="78" t="s">
        <v>216</v>
      </c>
    </row>
    <row r="9" spans="2:24" ht="15.75" x14ac:dyDescent="0.25">
      <c r="B9" s="63">
        <v>45180.489583333336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200.13</v>
      </c>
      <c r="I9" s="60">
        <v>0</v>
      </c>
      <c r="J9" s="61">
        <f t="shared" ref="J9:J14" si="0">F9/H9</f>
        <v>0.99935042222555337</v>
      </c>
      <c r="K9" s="61">
        <f t="shared" ref="K9:K14" si="1">(H9-F9)*100/F9</f>
        <v>6.4999999999997726E-2</v>
      </c>
      <c r="L9" s="60" t="s">
        <v>67</v>
      </c>
      <c r="M9" s="62" t="s">
        <v>216</v>
      </c>
      <c r="O9" s="63">
        <v>45180.482638888891</v>
      </c>
      <c r="P9" s="64" t="s">
        <v>70</v>
      </c>
      <c r="Q9" s="64">
        <v>4441.1499999999996</v>
      </c>
      <c r="R9" s="64">
        <v>3559.15</v>
      </c>
      <c r="S9" s="77" t="s">
        <v>245</v>
      </c>
      <c r="T9" s="77">
        <v>842.5</v>
      </c>
      <c r="U9" s="86">
        <v>0.90549999999999997</v>
      </c>
      <c r="V9" s="86">
        <v>0.89739999999999998</v>
      </c>
      <c r="W9" s="60" t="s">
        <v>67</v>
      </c>
      <c r="X9" s="62" t="s">
        <v>216</v>
      </c>
    </row>
    <row r="10" spans="2:24" ht="15.75" x14ac:dyDescent="0.25">
      <c r="B10" s="63">
        <v>45190.5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201.24</v>
      </c>
      <c r="I10" s="60">
        <v>0</v>
      </c>
      <c r="J10" s="61">
        <f t="shared" si="0"/>
        <v>0.99383820314052873</v>
      </c>
      <c r="K10" s="61">
        <f t="shared" si="1"/>
        <v>0.62000000000000455</v>
      </c>
      <c r="L10" s="60" t="s">
        <v>67</v>
      </c>
      <c r="M10" s="62" t="s">
        <v>216</v>
      </c>
      <c r="O10" s="63"/>
      <c r="P10" s="64" t="s">
        <v>70</v>
      </c>
      <c r="Q10" s="64"/>
      <c r="R10" s="64"/>
      <c r="S10" s="77" t="s">
        <v>245</v>
      </c>
      <c r="T10" s="77"/>
      <c r="U10" s="86"/>
      <c r="V10" s="86"/>
      <c r="W10" s="60" t="s">
        <v>67</v>
      </c>
      <c r="X10" s="62" t="s">
        <v>216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216</v>
      </c>
      <c r="O11" s="63"/>
      <c r="P11" s="64" t="s">
        <v>70</v>
      </c>
      <c r="Q11" s="64"/>
      <c r="R11" s="64"/>
      <c r="S11" s="77" t="s">
        <v>245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245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7" t="s">
        <v>25</v>
      </c>
      <c r="D21" s="227"/>
      <c r="E21" s="227"/>
      <c r="F21" s="227"/>
      <c r="G21" s="227"/>
      <c r="H21" s="227"/>
      <c r="I21" s="45">
        <f>COUNT(B8:B20)</f>
        <v>3</v>
      </c>
      <c r="J21" s="46"/>
      <c r="K21" s="46"/>
      <c r="L21" s="47"/>
      <c r="M21" s="48"/>
      <c r="O21" s="80"/>
      <c r="P21" s="229" t="s">
        <v>84</v>
      </c>
      <c r="Q21" s="229"/>
      <c r="R21" s="229"/>
      <c r="S21" s="229"/>
      <c r="T21" s="81">
        <f>COUNT(O8:O20)</f>
        <v>2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6" t="s">
        <v>2</v>
      </c>
      <c r="H24" s="226"/>
      <c r="I24" s="40"/>
      <c r="J24" s="51"/>
      <c r="K24" s="51"/>
      <c r="L24" s="40"/>
      <c r="M24" s="41"/>
      <c r="O24" s="68"/>
      <c r="P24" s="69"/>
      <c r="Q24" s="69"/>
      <c r="R24" s="69"/>
      <c r="S24" s="208" t="s">
        <v>920</v>
      </c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45171.520833333336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204.32</v>
      </c>
      <c r="I27" s="60">
        <v>0</v>
      </c>
      <c r="J27" s="61">
        <f>F27/H27</f>
        <v>0.97885669537979647</v>
      </c>
      <c r="K27" s="61">
        <f>(H27-F27)*100/F27</f>
        <v>2.1599999999999966</v>
      </c>
      <c r="L27" s="60" t="s">
        <v>67</v>
      </c>
      <c r="M27" s="78" t="s">
        <v>216</v>
      </c>
      <c r="O27" s="63">
        <v>45171.492361111108</v>
      </c>
      <c r="P27" s="64" t="s">
        <v>71</v>
      </c>
      <c r="Q27" s="64">
        <v>5313.28</v>
      </c>
      <c r="R27" s="64">
        <v>4080.61</v>
      </c>
      <c r="S27" s="77" t="s">
        <v>244</v>
      </c>
      <c r="T27" s="77">
        <v>840.14</v>
      </c>
      <c r="U27" s="86">
        <v>0.94689999999999996</v>
      </c>
      <c r="V27" s="86">
        <v>0.9546</v>
      </c>
      <c r="W27" s="60" t="s">
        <v>67</v>
      </c>
      <c r="X27" s="78" t="s">
        <v>216</v>
      </c>
    </row>
    <row r="28" spans="2:24" s="24" customFormat="1" ht="15.75" x14ac:dyDescent="0.25">
      <c r="B28" s="63">
        <v>45180.541666666664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202.34</v>
      </c>
      <c r="I28" s="60">
        <v>0</v>
      </c>
      <c r="J28" s="61">
        <f t="shared" ref="J28:J33" si="2">F28/H28</f>
        <v>0.98843530690916281</v>
      </c>
      <c r="K28" s="61">
        <f t="shared" ref="K28:K33" si="3">(H28-F28)*100/F28</f>
        <v>1.1700000000000017</v>
      </c>
      <c r="L28" s="60" t="s">
        <v>67</v>
      </c>
      <c r="M28" s="62" t="s">
        <v>240</v>
      </c>
      <c r="O28" s="63">
        <v>45180.482638888891</v>
      </c>
      <c r="P28" s="64" t="s">
        <v>71</v>
      </c>
      <c r="Q28" s="64">
        <v>5124.32</v>
      </c>
      <c r="R28" s="64">
        <v>3910.89</v>
      </c>
      <c r="S28" s="77" t="s">
        <v>244</v>
      </c>
      <c r="T28" s="77">
        <v>856.81</v>
      </c>
      <c r="U28" s="86">
        <v>0.9546</v>
      </c>
      <c r="V28" s="86">
        <v>0.94369999999999998</v>
      </c>
      <c r="W28" s="60" t="s">
        <v>67</v>
      </c>
      <c r="X28" s="62" t="s">
        <v>216</v>
      </c>
    </row>
    <row r="29" spans="2:24" s="24" customFormat="1" ht="15.75" x14ac:dyDescent="0.25">
      <c r="B29" s="63">
        <v>45190.5625</v>
      </c>
      <c r="C29" s="60" t="s">
        <v>68</v>
      </c>
      <c r="D29" s="60" t="s">
        <v>51</v>
      </c>
      <c r="E29" s="60">
        <v>0</v>
      </c>
      <c r="F29" s="60">
        <v>200</v>
      </c>
      <c r="G29" s="60"/>
      <c r="H29" s="61">
        <v>204.25</v>
      </c>
      <c r="I29" s="60">
        <v>0</v>
      </c>
      <c r="J29" s="61">
        <f t="shared" si="2"/>
        <v>0.97919216646266827</v>
      </c>
      <c r="K29" s="61">
        <f t="shared" si="3"/>
        <v>2.125</v>
      </c>
      <c r="L29" s="60" t="s">
        <v>67</v>
      </c>
      <c r="M29" s="62" t="s">
        <v>241</v>
      </c>
      <c r="O29" s="63"/>
      <c r="P29" s="64" t="s">
        <v>71</v>
      </c>
      <c r="Q29" s="64"/>
      <c r="R29" s="64"/>
      <c r="S29" s="77" t="s">
        <v>244</v>
      </c>
      <c r="T29" s="77"/>
      <c r="U29" s="86"/>
      <c r="V29" s="86"/>
      <c r="W29" s="60" t="s">
        <v>67</v>
      </c>
      <c r="X29" s="62" t="s">
        <v>216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241</v>
      </c>
      <c r="O30" s="63"/>
      <c r="P30" s="64" t="s">
        <v>71</v>
      </c>
      <c r="Q30" s="64"/>
      <c r="R30" s="64"/>
      <c r="S30" s="77" t="s">
        <v>244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9" t="s">
        <v>85</v>
      </c>
      <c r="Q40" s="229"/>
      <c r="R40" s="229"/>
      <c r="S40" s="229"/>
      <c r="T40" s="81">
        <f>COUNT(O27:O39)</f>
        <v>2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7" t="s">
        <v>26</v>
      </c>
      <c r="E41" s="227"/>
      <c r="F41" s="227"/>
      <c r="G41" s="227"/>
      <c r="H41" s="227"/>
      <c r="I41" s="227"/>
      <c r="J41" s="52">
        <f>COUNT(B27:B39)</f>
        <v>3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6" t="s">
        <v>23</v>
      </c>
      <c r="H44" s="226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240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7" t="s">
        <v>27</v>
      </c>
      <c r="E61" s="227"/>
      <c r="F61" s="227"/>
      <c r="G61" s="227"/>
      <c r="H61" s="227"/>
      <c r="I61" s="227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6" t="s">
        <v>3</v>
      </c>
      <c r="H64" s="226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45171.552083333336</v>
      </c>
      <c r="C67" s="60" t="s">
        <v>3</v>
      </c>
      <c r="D67" s="60" t="s">
        <v>52</v>
      </c>
      <c r="E67" s="60">
        <v>0</v>
      </c>
      <c r="F67" s="60">
        <v>5</v>
      </c>
      <c r="G67" s="60">
        <v>5.0119999999999996</v>
      </c>
      <c r="H67" s="117"/>
      <c r="I67" s="60">
        <v>0</v>
      </c>
      <c r="J67" s="61" t="e">
        <f>F67/H67</f>
        <v>#DIV/0!</v>
      </c>
      <c r="K67" s="61">
        <f>(H67-F67)*100/F67</f>
        <v>-100</v>
      </c>
      <c r="L67" s="60" t="s">
        <v>67</v>
      </c>
      <c r="M67" s="78" t="s">
        <v>240</v>
      </c>
    </row>
    <row r="68" spans="2:13" ht="15.75" x14ac:dyDescent="0.25">
      <c r="B68" s="63">
        <v>45180.5625</v>
      </c>
      <c r="C68" s="60" t="s">
        <v>3</v>
      </c>
      <c r="D68" s="60" t="s">
        <v>52</v>
      </c>
      <c r="E68" s="60">
        <v>0</v>
      </c>
      <c r="F68" s="60">
        <v>5</v>
      </c>
      <c r="G68" s="60">
        <v>5.1420000000000003</v>
      </c>
      <c r="H68" s="61"/>
      <c r="I68" s="60">
        <v>0</v>
      </c>
      <c r="J68" s="61" t="e">
        <f t="shared" ref="J68:J73" si="4">F68/H68</f>
        <v>#DIV/0!</v>
      </c>
      <c r="K68" s="61">
        <f t="shared" ref="K68:K73" si="5">(H68-F68)*100/F68</f>
        <v>-100</v>
      </c>
      <c r="L68" s="60" t="s">
        <v>67</v>
      </c>
      <c r="M68" s="62" t="s">
        <v>241</v>
      </c>
    </row>
    <row r="69" spans="2:13" ht="15.75" x14ac:dyDescent="0.25">
      <c r="B69" s="63">
        <v>45190.684027777781</v>
      </c>
      <c r="C69" s="60" t="s">
        <v>3</v>
      </c>
      <c r="D69" s="60" t="s">
        <v>52</v>
      </c>
      <c r="E69" s="60">
        <v>0</v>
      </c>
      <c r="F69" s="60">
        <v>5</v>
      </c>
      <c r="G69" s="60">
        <v>5.14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241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241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7" t="s">
        <v>28</v>
      </c>
      <c r="E81" s="227"/>
      <c r="F81" s="227"/>
      <c r="G81" s="227"/>
      <c r="H81" s="227"/>
      <c r="I81" s="227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6" t="s">
        <v>24</v>
      </c>
      <c r="H84" s="226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7" t="s">
        <v>29</v>
      </c>
      <c r="E101" s="227"/>
      <c r="F101" s="227"/>
      <c r="G101" s="227"/>
      <c r="H101" s="227"/>
      <c r="I101" s="227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8" t="s">
        <v>4</v>
      </c>
      <c r="H104" s="228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45171.729166666664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321.14</v>
      </c>
      <c r="I107" s="60">
        <f>G107-E107</f>
        <v>0</v>
      </c>
      <c r="J107" s="61">
        <f>F107/H107</f>
        <v>0.99645014635361528</v>
      </c>
      <c r="K107" s="61">
        <f>(H107-F107)*100/F107</f>
        <v>0.35624999999999574</v>
      </c>
      <c r="L107" s="60" t="s">
        <v>67</v>
      </c>
      <c r="M107" s="62" t="s">
        <v>240</v>
      </c>
    </row>
    <row r="108" spans="2:13" ht="15.75" x14ac:dyDescent="0.25">
      <c r="B108" s="63">
        <v>45180.743055555555</v>
      </c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>
        <v>322.16000000000003</v>
      </c>
      <c r="I108" s="60">
        <f>G108-E108</f>
        <v>0</v>
      </c>
      <c r="J108" s="61">
        <f>F108/H108</f>
        <v>0.99329525701514765</v>
      </c>
      <c r="K108" s="61">
        <f>(H108-F108)*100/F108</f>
        <v>0.67500000000000782</v>
      </c>
      <c r="L108" s="60" t="s">
        <v>67</v>
      </c>
      <c r="M108" s="62" t="s">
        <v>241</v>
      </c>
    </row>
    <row r="109" spans="2:13" ht="15.75" x14ac:dyDescent="0.25">
      <c r="B109" s="63">
        <v>45190.739583333336</v>
      </c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>
        <v>321.25</v>
      </c>
      <c r="I109" s="60">
        <f t="shared" ref="I109:I114" si="8">G109-E109</f>
        <v>0</v>
      </c>
      <c r="J109" s="61">
        <f t="shared" ref="J109:J114" si="9">F109/H109</f>
        <v>0.99610894941634243</v>
      </c>
      <c r="K109" s="61">
        <f t="shared" ref="K109:K114" si="10">(H109-F109)*100/F109</f>
        <v>0.390625</v>
      </c>
      <c r="L109" s="60" t="s">
        <v>67</v>
      </c>
      <c r="M109" s="62" t="s">
        <v>241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241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7" t="s">
        <v>69</v>
      </c>
      <c r="D119" s="227"/>
      <c r="E119" s="227"/>
      <c r="F119" s="227"/>
      <c r="G119" s="227"/>
      <c r="H119" s="227"/>
      <c r="I119" s="52">
        <f>COUNT(B107:B118)</f>
        <v>3</v>
      </c>
      <c r="J119" s="46"/>
      <c r="K119" s="46"/>
      <c r="L119" s="47"/>
      <c r="M119" s="48"/>
    </row>
  </sheetData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30" t="s">
        <v>243</v>
      </c>
      <c r="C2" s="230"/>
      <c r="D2" s="231">
        <v>45017</v>
      </c>
      <c r="E2" s="231"/>
    </row>
    <row r="3" spans="1:5" x14ac:dyDescent="0.25">
      <c r="B3" s="230" t="s">
        <v>21</v>
      </c>
      <c r="C3" s="230"/>
      <c r="D3" s="231"/>
      <c r="E3" s="231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32" t="s">
        <v>22</v>
      </c>
      <c r="C44" s="232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33" t="s">
        <v>220</v>
      </c>
      <c r="C2" s="233"/>
      <c r="D2" s="233"/>
      <c r="E2" s="233"/>
      <c r="F2" s="234">
        <v>44713</v>
      </c>
      <c r="G2" s="235"/>
      <c r="H2" s="235"/>
    </row>
    <row r="3" spans="2:24" s="12" customFormat="1" ht="15" customHeight="1" x14ac:dyDescent="0.25">
      <c r="B3" s="233"/>
      <c r="C3" s="233"/>
      <c r="D3" s="233"/>
      <c r="E3" s="233"/>
      <c r="F3" s="235"/>
      <c r="G3" s="235"/>
      <c r="H3" s="235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6" t="s">
        <v>4</v>
      </c>
      <c r="C12" s="238" t="s">
        <v>133</v>
      </c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127"/>
      <c r="U12" s="125"/>
    </row>
    <row r="13" spans="2:24" ht="15" customHeight="1" x14ac:dyDescent="0.25">
      <c r="B13" s="237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37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7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37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37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7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40" t="s">
        <v>2</v>
      </c>
      <c r="C25" s="242" t="s">
        <v>133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4"/>
      <c r="S25" s="188"/>
      <c r="T25" s="189"/>
    </row>
    <row r="26" spans="2:28" ht="15" customHeight="1" x14ac:dyDescent="0.3">
      <c r="B26" s="240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40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40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41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8" t="s">
        <v>3</v>
      </c>
      <c r="C36" s="250" t="s">
        <v>133</v>
      </c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1"/>
    </row>
    <row r="37" spans="2:25" ht="15.75" customHeight="1" x14ac:dyDescent="0.25">
      <c r="B37" s="249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9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9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52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53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53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53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53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40" t="s">
        <v>184</v>
      </c>
      <c r="C61" s="242" t="s">
        <v>133</v>
      </c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4"/>
      <c r="S61" s="166"/>
      <c r="T61" s="167"/>
    </row>
    <row r="62" spans="2:20" ht="15.75" x14ac:dyDescent="0.3">
      <c r="B62" s="240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54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54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41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40" t="s">
        <v>201</v>
      </c>
      <c r="C69" s="242" t="s">
        <v>133</v>
      </c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44"/>
      <c r="S69" s="166"/>
      <c r="T69" s="167"/>
    </row>
    <row r="70" spans="2:20" ht="15.75" x14ac:dyDescent="0.3">
      <c r="B70" s="240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40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54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41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5" t="s">
        <v>24</v>
      </c>
      <c r="C77" s="244" t="s">
        <v>133</v>
      </c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177"/>
      <c r="S77" s="177"/>
      <c r="T77" s="178"/>
    </row>
    <row r="78" spans="2:20" x14ac:dyDescent="0.25">
      <c r="B78" s="246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46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6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46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46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6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2024-08-28T14:04:15Z</dcterms:modified>
</cp:coreProperties>
</file>