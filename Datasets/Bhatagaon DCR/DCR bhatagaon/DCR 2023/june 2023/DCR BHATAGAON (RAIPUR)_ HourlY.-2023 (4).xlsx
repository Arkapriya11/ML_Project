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24226"/>
  <bookViews>
    <workbookView xWindow="4155" yWindow="510" windowWidth="20730" windowHeight="11760" tabRatio="913" firstSheet="3" activeTab="29"/>
  </bookViews>
  <sheets>
    <sheet name="01" sheetId="2" r:id="rId3"/>
    <sheet name="02" sheetId="3" r:id="rId4"/>
    <sheet name="03" sheetId="8" r:id="rId5"/>
    <sheet name="04" sheetId="9" r:id="rId6"/>
    <sheet name="05" sheetId="10" r:id="rId7"/>
    <sheet name="06" sheetId="11" r:id="rId8"/>
    <sheet name="07" sheetId="12" r:id="rId9"/>
    <sheet name="08" sheetId="13" r:id="rId10"/>
    <sheet name="09" sheetId="14" r:id="rId11"/>
    <sheet name="10" sheetId="15" r:id="rId12"/>
    <sheet name="11" sheetId="16" r:id="rId13"/>
    <sheet name="12" sheetId="17" r:id="rId14"/>
    <sheet name="13" sheetId="18" r:id="rId15"/>
    <sheet name="14" sheetId="19" r:id="rId16"/>
    <sheet name="15" sheetId="20" r:id="rId17"/>
    <sheet name="16" sheetId="21" r:id="rId18"/>
    <sheet name="17" sheetId="22" r:id="rId19"/>
    <sheet name="18" sheetId="23" r:id="rId20"/>
    <sheet name="19" sheetId="24" r:id="rId21"/>
    <sheet name="20" sheetId="25" r:id="rId22"/>
    <sheet name="21" sheetId="26" r:id="rId23"/>
    <sheet name="22" sheetId="27" r:id="rId24"/>
    <sheet name="23" sheetId="28" r:id="rId25"/>
    <sheet name="24" sheetId="29" r:id="rId26"/>
    <sheet name="25" sheetId="30" r:id="rId27"/>
    <sheet name="26" sheetId="31" r:id="rId28"/>
    <sheet name="27" sheetId="32" r:id="rId29"/>
    <sheet name="28" sheetId="33" r:id="rId30"/>
    <sheet name="29" sheetId="40" r:id="rId31"/>
    <sheet name="30" sheetId="41" r:id="rId32"/>
    <sheet name="MONTHLY 30" sheetId="39" r:id="rId33"/>
  </sheets>
  <definedNames/>
  <calcPr calcId="124519"/>
</workbook>
</file>

<file path=xl/calcChain.xml><?xml version="1.0" encoding="utf-8"?>
<calcChain xmlns="http://schemas.openxmlformats.org/spreadsheetml/2006/main">
  <c r="B2" i="20" l="1"/>
</calcChain>
</file>

<file path=xl/sharedStrings.xml><?xml version="1.0" encoding="utf-8"?>
<sst xmlns="http://schemas.openxmlformats.org/spreadsheetml/2006/main" count="3226" uniqueCount="782">
  <si>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</si>
  <si>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</si>
  <si>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</si>
  <si>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</si>
  <si>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</si>
  <si>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</si>
  <si>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</si>
  <si>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</si>
  <si>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</si>
  <si>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</si>
  <si>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</si>
  <si>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</si>
  <si>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</si>
  <si>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</si>
  <si>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</si>
  <si>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</si>
  <si>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</si>
  <si>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</si>
  <si>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</si>
  <si>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</si>
  <si>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</si>
  <si>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</si>
  <si>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</si>
  <si>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</si>
  <si>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</si>
  <si>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</si>
  <si>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</si>
  <si>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</si>
  <si>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</si>
  <si>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</si>
  <si>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</si>
  <si>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</si>
  <si>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</si>
  <si>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</si>
  <si>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</si>
  <si>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</si>
  <si>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</si>
  <si>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</si>
  <si>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</si>
  <si>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</si>
  <si>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BHATAGAON ,RAIPUR</t>
  </si>
  <si>
    <t>RAHUL</t>
  </si>
  <si>
    <t>BHATAGAON RAIPUR</t>
  </si>
  <si>
    <t>NO2_BHATAGAON</t>
  </si>
  <si>
    <t>NOX_BHATAGAON</t>
  </si>
  <si>
    <t>SO2_BHATAGAON</t>
  </si>
  <si>
    <t>O3_BHATAGAON</t>
  </si>
  <si>
    <t>PM10_BHATAGAON</t>
  </si>
  <si>
    <t>PM2_5_BHATAGAON</t>
  </si>
  <si>
    <t>BENZ_BHATAGAON</t>
  </si>
  <si>
    <t>WS_BHATAGAON</t>
  </si>
  <si>
    <t>WD_BHATAGAON</t>
  </si>
  <si>
    <t>TEMP_BHATAGAON</t>
  </si>
  <si>
    <t>HUM BHATAGAON</t>
  </si>
  <si>
    <t>SR_BHATAGAON</t>
  </si>
  <si>
    <t>RG_BHATAGAON</t>
  </si>
  <si>
    <t>CO_BHATAGAON</t>
  </si>
  <si>
    <t>NH3_BHATAGAON</t>
  </si>
  <si>
    <t>NO_BHATAGAON</t>
  </si>
  <si>
    <t xml:space="preserve">BHATAGAON RAIPUR </t>
  </si>
  <si>
    <t>RK</t>
  </si>
  <si>
    <t>ppb</t>
  </si>
  <si>
    <t>01-06-2023 01:00</t>
  </si>
  <si>
    <t>01-06-2023 02:00</t>
  </si>
  <si>
    <t>01-06-2023 03:00</t>
  </si>
  <si>
    <t>01-06-2023 04:00</t>
  </si>
  <si>
    <t>01-06-2023 05:00</t>
  </si>
  <si>
    <t>01-06-2023 06:00</t>
  </si>
  <si>
    <t>01-06-2023 07:00</t>
  </si>
  <si>
    <t>01-06-2023 08:00</t>
  </si>
  <si>
    <t>01-06-2023 09:00</t>
  </si>
  <si>
    <t>01-06-2023 10:00</t>
  </si>
  <si>
    <t>01-06-2023 11:00</t>
  </si>
  <si>
    <t>01-06-2023 12:00</t>
  </si>
  <si>
    <t>01-06-2023 13:00</t>
  </si>
  <si>
    <t>01-06-2023 14:00</t>
  </si>
  <si>
    <t>01-06-2023 15:00</t>
  </si>
  <si>
    <t>01-06-2023 16:00</t>
  </si>
  <si>
    <t>01-06-2023 17:00</t>
  </si>
  <si>
    <t>01-06-2023 18:00</t>
  </si>
  <si>
    <t>01-06-2023 19:00</t>
  </si>
  <si>
    <t>01-06-2023 20:00</t>
  </si>
  <si>
    <t>01-06-2023 21:00</t>
  </si>
  <si>
    <t>01-06-2023 22:00</t>
  </si>
  <si>
    <t>01-06-2023 23:00</t>
  </si>
  <si>
    <t>01-06-2023 24:00</t>
  </si>
  <si>
    <t>02-06-2023 01:00</t>
  </si>
  <si>
    <t>02-06-2023 02:00</t>
  </si>
  <si>
    <t>02-06-2023 03:00</t>
  </si>
  <si>
    <t>02-06-2023 04:00</t>
  </si>
  <si>
    <t>02-06-2023 05:00</t>
  </si>
  <si>
    <t>02-06-2023 06:00</t>
  </si>
  <si>
    <t>02-06-2023 07:00</t>
  </si>
  <si>
    <t>02-06-2023 08:00</t>
  </si>
  <si>
    <t>02-06-2023 09:00</t>
  </si>
  <si>
    <t>02-06-2023 10:00</t>
  </si>
  <si>
    <t>02-06-2023 11:00</t>
  </si>
  <si>
    <t>02-06-2023 12:00</t>
  </si>
  <si>
    <t>02-06-2023 13:00</t>
  </si>
  <si>
    <t>02-06-2023 14:00</t>
  </si>
  <si>
    <t>02-06-2023 15:00</t>
  </si>
  <si>
    <t>02-06-2023 16:00</t>
  </si>
  <si>
    <t>02-06-2023 17:00</t>
  </si>
  <si>
    <t>02-06-2023 18:00</t>
  </si>
  <si>
    <t>02-06-2023 19:00</t>
  </si>
  <si>
    <t>02-06-2023 20:00</t>
  </si>
  <si>
    <t>02-06-2023 21:00</t>
  </si>
  <si>
    <t>02-06-2023 22:00</t>
  </si>
  <si>
    <t>02-06-2023 23:00</t>
  </si>
  <si>
    <t>02-06-2023 24:00</t>
  </si>
  <si>
    <t>03-06-2023 01:00</t>
  </si>
  <si>
    <t>03-06-2023 02:00</t>
  </si>
  <si>
    <t>03-06-2023 03:00</t>
  </si>
  <si>
    <t>03-06-2023 04:00</t>
  </si>
  <si>
    <t>03-06-2023 05:00</t>
  </si>
  <si>
    <t>03-06-2023 06:00</t>
  </si>
  <si>
    <t>03-06-2023 07:00</t>
  </si>
  <si>
    <t>03-06-2023 08:00</t>
  </si>
  <si>
    <t>03-06-2023 09:00</t>
  </si>
  <si>
    <t>03-06-2023 10:00</t>
  </si>
  <si>
    <t>03-06-2023 11:00</t>
  </si>
  <si>
    <t>03-06-2023 12:00</t>
  </si>
  <si>
    <t>03-06-2023 13:00</t>
  </si>
  <si>
    <t>03-06-2023 14:00</t>
  </si>
  <si>
    <t>03-06-2023 15:00</t>
  </si>
  <si>
    <t>03-06-2023 16:00</t>
  </si>
  <si>
    <t>03-06-2023 17:00</t>
  </si>
  <si>
    <t>03-06-2023 18:00</t>
  </si>
  <si>
    <t>03-06-2023 19:00</t>
  </si>
  <si>
    <t>03-06-2023 20:00</t>
  </si>
  <si>
    <t>03-06-2023 21:00</t>
  </si>
  <si>
    <t>03-06-2023 22:00</t>
  </si>
  <si>
    <t>03-06-2023 23:00</t>
  </si>
  <si>
    <t>03-06-2023 24:00</t>
  </si>
  <si>
    <t>04-06-2023 01:00</t>
  </si>
  <si>
    <t>04-06-2023 02:00</t>
  </si>
  <si>
    <t>04-06-2023 03:00</t>
  </si>
  <si>
    <t>04-06-2023 04:00</t>
  </si>
  <si>
    <t>04-06-2023 05:00</t>
  </si>
  <si>
    <t>04-06-2023 06:00</t>
  </si>
  <si>
    <t>04-06-2023 07:00</t>
  </si>
  <si>
    <t>04-06-2023 08:00</t>
  </si>
  <si>
    <t>04-06-2023 09:00</t>
  </si>
  <si>
    <t>04-06-2023 10:00</t>
  </si>
  <si>
    <t>04-06-2023 11:00</t>
  </si>
  <si>
    <t>04-06-2023 12:00</t>
  </si>
  <si>
    <t>04-06-2023 13:00</t>
  </si>
  <si>
    <t>04-06-2023 14:00</t>
  </si>
  <si>
    <t>04-06-2023 15:00</t>
  </si>
  <si>
    <t>04-06-2023 16:00</t>
  </si>
  <si>
    <t>04-06-2023 17:00</t>
  </si>
  <si>
    <t>04-06-2023 18:00</t>
  </si>
  <si>
    <t>04-06-2023 19:00</t>
  </si>
  <si>
    <t>04-06-2023 20:00</t>
  </si>
  <si>
    <t>04-06-2023 21:00</t>
  </si>
  <si>
    <t>04-06-2023 22:00</t>
  </si>
  <si>
    <t>04-06-2023 23:00</t>
  </si>
  <si>
    <t>04-06-2023 24:00</t>
  </si>
  <si>
    <t>05-06-2023 01:00</t>
  </si>
  <si>
    <t>05-06-2023 02:00</t>
  </si>
  <si>
    <t>05-06-2023 03:00</t>
  </si>
  <si>
    <t>05-06-2023 04:00</t>
  </si>
  <si>
    <t>05-06-2023 05:00</t>
  </si>
  <si>
    <t>05-06-2023 06:00</t>
  </si>
  <si>
    <t>05-06-2023 07:00</t>
  </si>
  <si>
    <t>05-06-2023 08:00</t>
  </si>
  <si>
    <t>05-06-2023 09:00</t>
  </si>
  <si>
    <t>05-06-2023 10:00</t>
  </si>
  <si>
    <t>05-06-2023 11:00</t>
  </si>
  <si>
    <t>05-06-2023 12:00</t>
  </si>
  <si>
    <t>05-06-2023 13:00</t>
  </si>
  <si>
    <t>05-06-2023 14:00</t>
  </si>
  <si>
    <t>05-06-2023 15:00</t>
  </si>
  <si>
    <t>05-06-2023 16:00</t>
  </si>
  <si>
    <t>05-06-2023 17:00</t>
  </si>
  <si>
    <t>05-06-2023 18:00</t>
  </si>
  <si>
    <t>05-06-2023 19:00</t>
  </si>
  <si>
    <t>05-06-2023 20:00</t>
  </si>
  <si>
    <t>05-06-2023 21:00</t>
  </si>
  <si>
    <t>05-06-2023 22:00</t>
  </si>
  <si>
    <t>05-06-2023 23:00</t>
  </si>
  <si>
    <t>05-06-2023 24:00</t>
  </si>
  <si>
    <t>06-06-2023 01:00</t>
  </si>
  <si>
    <t>06-06-2023 02:00</t>
  </si>
  <si>
    <t>06-06-2023 03:00</t>
  </si>
  <si>
    <t>06-06-2023 04:00</t>
  </si>
  <si>
    <t>06-06-2023 05:00</t>
  </si>
  <si>
    <t>06-06-2023 06:00</t>
  </si>
  <si>
    <t>06-06-2023 07:00</t>
  </si>
  <si>
    <t>06-06-2023 08:00</t>
  </si>
  <si>
    <t>06-06-2023 09:00</t>
  </si>
  <si>
    <t>06-06-2023 10:00</t>
  </si>
  <si>
    <t>06-06-2023 11:00</t>
  </si>
  <si>
    <t>06-06-2023 12:00</t>
  </si>
  <si>
    <t>06-06-2023 13:00</t>
  </si>
  <si>
    <t>06-06-2023 14:00</t>
  </si>
  <si>
    <t>06-06-2023 15:00</t>
  </si>
  <si>
    <t>06-06-2023 16:00</t>
  </si>
  <si>
    <t>06-06-2023 17:00</t>
  </si>
  <si>
    <t>06-06-2023 18:00</t>
  </si>
  <si>
    <t>06-06-2023 19:00</t>
  </si>
  <si>
    <t>06-06-2023 20:00</t>
  </si>
  <si>
    <t>06-06-2023 21:00</t>
  </si>
  <si>
    <t>06-06-2023 22:00</t>
  </si>
  <si>
    <t>06-06-2023 23:00</t>
  </si>
  <si>
    <t>06-06-2023 24:00</t>
  </si>
  <si>
    <t>07-06-2023 01:00</t>
  </si>
  <si>
    <t>07-06-2023 02:00</t>
  </si>
  <si>
    <t>07-06-2023 03:00</t>
  </si>
  <si>
    <t>07-06-2023 04:00</t>
  </si>
  <si>
    <t>07-06-2023 05:00</t>
  </si>
  <si>
    <t>07-06-2023 06:00</t>
  </si>
  <si>
    <t>07-06-2023 07:00</t>
  </si>
  <si>
    <t>07-06-2023 08:00</t>
  </si>
  <si>
    <t>07-06-2023 09:00</t>
  </si>
  <si>
    <t>07-06-2023 10:00</t>
  </si>
  <si>
    <t>07-06-2023 11:00</t>
  </si>
  <si>
    <t>07-06-2023 12:00</t>
  </si>
  <si>
    <t>07-06-2023 13:00</t>
  </si>
  <si>
    <t>07-06-2023 14:00</t>
  </si>
  <si>
    <t>07-06-2023 15:00</t>
  </si>
  <si>
    <t>07-06-2023 16:00</t>
  </si>
  <si>
    <t>07-06-2023 17:00</t>
  </si>
  <si>
    <t>07-06-2023 18:00</t>
  </si>
  <si>
    <t>07-06-2023 19:00</t>
  </si>
  <si>
    <t>07-06-2023 20:00</t>
  </si>
  <si>
    <t>07-06-2023 21:00</t>
  </si>
  <si>
    <t>07-06-2023 22:00</t>
  </si>
  <si>
    <t>07-06-2023 23:00</t>
  </si>
  <si>
    <t>07-06-2023 24:00</t>
  </si>
  <si>
    <t>08-06-2023 01:00</t>
  </si>
  <si>
    <t>08-06-2023 02:00</t>
  </si>
  <si>
    <t>08-06-2023 03:00</t>
  </si>
  <si>
    <t>08-06-2023 04:00</t>
  </si>
  <si>
    <t>08-06-2023 05:00</t>
  </si>
  <si>
    <t>08-06-2023 06:00</t>
  </si>
  <si>
    <t>08-06-2023 07:00</t>
  </si>
  <si>
    <t>08-06-2023 08:00</t>
  </si>
  <si>
    <t>08-06-2023 09:00</t>
  </si>
  <si>
    <t>08-06-2023 10:00</t>
  </si>
  <si>
    <t>08-06-2023 11:00</t>
  </si>
  <si>
    <t>08-06-2023 12:00</t>
  </si>
  <si>
    <t>08-06-2023 13:00</t>
  </si>
  <si>
    <t>08-06-2023 14:00</t>
  </si>
  <si>
    <t>08-06-2023 15:00</t>
  </si>
  <si>
    <t>08-06-2023 16:00</t>
  </si>
  <si>
    <t>08-06-2023 17:00</t>
  </si>
  <si>
    <t>08-06-2023 18:00</t>
  </si>
  <si>
    <t>08-06-2023 19:00</t>
  </si>
  <si>
    <t>08-06-2023 20:00</t>
  </si>
  <si>
    <t>08-06-2023 21:00</t>
  </si>
  <si>
    <t>08-06-2023 22:00</t>
  </si>
  <si>
    <t>08-06-2023 23:00</t>
  </si>
  <si>
    <t>08-06-2023 24:00</t>
  </si>
  <si>
    <t>09-06-2023 01:00</t>
  </si>
  <si>
    <t>09-06-2023 02:00</t>
  </si>
  <si>
    <t>09-06-2023 03:00</t>
  </si>
  <si>
    <t>09-06-2023 04:00</t>
  </si>
  <si>
    <t>09-06-2023 05:00</t>
  </si>
  <si>
    <t>09-06-2023 06:00</t>
  </si>
  <si>
    <t>09-06-2023 07:00</t>
  </si>
  <si>
    <t>09-06-2023 08:00</t>
  </si>
  <si>
    <t>09-06-2023 09:00</t>
  </si>
  <si>
    <t>09-06-2023 10:00</t>
  </si>
  <si>
    <t>09-06-2023 11:00</t>
  </si>
  <si>
    <t>09-06-2023 12:00</t>
  </si>
  <si>
    <t>09-06-2023 13:00</t>
  </si>
  <si>
    <t>09-06-2023 14:00</t>
  </si>
  <si>
    <t>09-06-2023 15:00</t>
  </si>
  <si>
    <t>09-06-2023 16:00</t>
  </si>
  <si>
    <t>09-06-2023 17:00</t>
  </si>
  <si>
    <t>09-06-2023 18:00</t>
  </si>
  <si>
    <t>09-06-2023 19:00</t>
  </si>
  <si>
    <t>09-06-2023 20:00</t>
  </si>
  <si>
    <t>09-06-2023 21:00</t>
  </si>
  <si>
    <t>09-06-2023 22:00</t>
  </si>
  <si>
    <t>09-06-2023 23:00</t>
  </si>
  <si>
    <t>09-06-2023 24:00</t>
  </si>
  <si>
    <t>10-06-2023 01:00</t>
  </si>
  <si>
    <t>10-06-2023 02:00</t>
  </si>
  <si>
    <t>10-06-2023 03:00</t>
  </si>
  <si>
    <t>10-06-2023 04:00</t>
  </si>
  <si>
    <t>10-06-2023 05:00</t>
  </si>
  <si>
    <t>10-06-2023 06:00</t>
  </si>
  <si>
    <t>10-06-2023 07:00</t>
  </si>
  <si>
    <t>10-06-2023 08:00</t>
  </si>
  <si>
    <t>10-06-2023 09:00</t>
  </si>
  <si>
    <t>10-06-2023 10:00</t>
  </si>
  <si>
    <t>10-06-2023 11:00</t>
  </si>
  <si>
    <t>10-06-2023 12:00</t>
  </si>
  <si>
    <t>10-06-2023 13:00</t>
  </si>
  <si>
    <t>10-06-2023 14:00</t>
  </si>
  <si>
    <t>10-06-2023 15:00</t>
  </si>
  <si>
    <t>10-06-2023 16:00</t>
  </si>
  <si>
    <t>10-06-2023 17:00</t>
  </si>
  <si>
    <t>10-06-2023 18:00</t>
  </si>
  <si>
    <t>10-06-2023 19:00</t>
  </si>
  <si>
    <t>10-06-2023 20:00</t>
  </si>
  <si>
    <t>10-06-2023 21:00</t>
  </si>
  <si>
    <t>10-06-2023 22:00</t>
  </si>
  <si>
    <t>10-06-2023 23:00</t>
  </si>
  <si>
    <t>10-06-2023 24:00</t>
  </si>
  <si>
    <t>11-06-2023 01:00</t>
  </si>
  <si>
    <t>11-06-2023 02:00</t>
  </si>
  <si>
    <t>11-06-2023 03:00</t>
  </si>
  <si>
    <t>11-06-2023 04:00</t>
  </si>
  <si>
    <t>11-06-2023 05:00</t>
  </si>
  <si>
    <t>11-06-2023 06:00</t>
  </si>
  <si>
    <t>11-06-2023 07:00</t>
  </si>
  <si>
    <t>11-06-2023 08:00</t>
  </si>
  <si>
    <t>11-06-2023 09:00</t>
  </si>
  <si>
    <t>11-06-2023 10:00</t>
  </si>
  <si>
    <t>11-06-2023 11:00</t>
  </si>
  <si>
    <t>11-06-2023 12:00</t>
  </si>
  <si>
    <t>11-06-2023 13:00</t>
  </si>
  <si>
    <t>11-06-2023 14:00</t>
  </si>
  <si>
    <t>11-06-2023 15:00</t>
  </si>
  <si>
    <t>11-06-2023 16:00</t>
  </si>
  <si>
    <t>11-06-2023 17:00</t>
  </si>
  <si>
    <t>11-06-2023 18:00</t>
  </si>
  <si>
    <t>11-06-2023 19:00</t>
  </si>
  <si>
    <t>11-06-2023 20:00</t>
  </si>
  <si>
    <t>11-06-2023 21:00</t>
  </si>
  <si>
    <t>11-06-2023 22:00</t>
  </si>
  <si>
    <t>11-06-2023 23:00</t>
  </si>
  <si>
    <t>11-06-2023 24:00</t>
  </si>
  <si>
    <t>12-06-2023 01:00</t>
  </si>
  <si>
    <t>12-06-2023 02:00</t>
  </si>
  <si>
    <t>12-06-2023 03:00</t>
  </si>
  <si>
    <t>12-06-2023 04:00</t>
  </si>
  <si>
    <t>12-06-2023 05:00</t>
  </si>
  <si>
    <t>12-06-2023 06:00</t>
  </si>
  <si>
    <t>12-06-2023 07:00</t>
  </si>
  <si>
    <t>12-06-2023 08:00</t>
  </si>
  <si>
    <t>12-06-2023 09:00</t>
  </si>
  <si>
    <t>12-06-2023 10:00</t>
  </si>
  <si>
    <t>12-06-2023 11:00</t>
  </si>
  <si>
    <t>12-06-2023 12:00</t>
  </si>
  <si>
    <t>12-06-2023 13:00</t>
  </si>
  <si>
    <t>12-06-2023 14:00</t>
  </si>
  <si>
    <t>12-06-2023 15:00</t>
  </si>
  <si>
    <t>12-06-2023 16:00</t>
  </si>
  <si>
    <t>12-06-2023 17:00</t>
  </si>
  <si>
    <t>12-06-2023 18:00</t>
  </si>
  <si>
    <t>12-06-2023 19:00</t>
  </si>
  <si>
    <t>12-06-2023 20:00</t>
  </si>
  <si>
    <t>12-06-2023 21:00</t>
  </si>
  <si>
    <t>12-06-2023 22:00</t>
  </si>
  <si>
    <t>12-06-2023 23:00</t>
  </si>
  <si>
    <t>12-06-2023 24:00</t>
  </si>
  <si>
    <t>13-06-2023 01:00</t>
  </si>
  <si>
    <t>13-06-2023 02:00</t>
  </si>
  <si>
    <t>13-06-2023 03:00</t>
  </si>
  <si>
    <t>13-06-2023 04:00</t>
  </si>
  <si>
    <t>13-06-2023 05:00</t>
  </si>
  <si>
    <t>13-06-2023 06:00</t>
  </si>
  <si>
    <t>13-06-2023 07:00</t>
  </si>
  <si>
    <t>13-06-2023 08:00</t>
  </si>
  <si>
    <t>13-06-2023 09:00</t>
  </si>
  <si>
    <t>13-06-2023 10:00</t>
  </si>
  <si>
    <t>13-06-2023 11:00</t>
  </si>
  <si>
    <t>13-06-2023 12:00</t>
  </si>
  <si>
    <t>13-06-2023 13:00</t>
  </si>
  <si>
    <t>13-06-2023 14:00</t>
  </si>
  <si>
    <t>13-06-2023 15:00</t>
  </si>
  <si>
    <t>13-06-2023 16:00</t>
  </si>
  <si>
    <t>13-06-2023 17:00</t>
  </si>
  <si>
    <t>13-06-2023 18:00</t>
  </si>
  <si>
    <t>13-06-2023 19:00</t>
  </si>
  <si>
    <t>13-06-2023 20:00</t>
  </si>
  <si>
    <t>13-06-2023 21:00</t>
  </si>
  <si>
    <t>13-06-2023 22:00</t>
  </si>
  <si>
    <t>13-06-2023 23:00</t>
  </si>
  <si>
    <t>13-06-2023 24:00</t>
  </si>
  <si>
    <t>14-06-2023 01:00</t>
  </si>
  <si>
    <t>14-06-2023 02:00</t>
  </si>
  <si>
    <t>14-06-2023 03:00</t>
  </si>
  <si>
    <t>14-06-2023 04:00</t>
  </si>
  <si>
    <t>14-06-2023 05:00</t>
  </si>
  <si>
    <t>14-06-2023 06:00</t>
  </si>
  <si>
    <t>14-06-2023 07:00</t>
  </si>
  <si>
    <t>14-06-2023 08:00</t>
  </si>
  <si>
    <t>14-06-2023 09:00</t>
  </si>
  <si>
    <t>14-06-2023 10:00</t>
  </si>
  <si>
    <t>14-06-2023 11:00</t>
  </si>
  <si>
    <t>14-06-2023 12:00</t>
  </si>
  <si>
    <t>14-06-2023 13:00</t>
  </si>
  <si>
    <t>14-06-2023 14:00</t>
  </si>
  <si>
    <t>14-06-2023 15:00</t>
  </si>
  <si>
    <t>14-06-2023 16:00</t>
  </si>
  <si>
    <t>14-06-2023 17:00</t>
  </si>
  <si>
    <t>14-06-2023 18:00</t>
  </si>
  <si>
    <t>14-06-2023 19:00</t>
  </si>
  <si>
    <t>14-06-2023 20:00</t>
  </si>
  <si>
    <t>14-06-2023 21:00</t>
  </si>
  <si>
    <t>14-06-2023 22:00</t>
  </si>
  <si>
    <t>14-06-2023 23:00</t>
  </si>
  <si>
    <t>14-06-2023 24:00</t>
  </si>
  <si>
    <t>15-06-2023 01:00</t>
  </si>
  <si>
    <t>15-06-2023 02:00</t>
  </si>
  <si>
    <t>15-06-2023 03:00</t>
  </si>
  <si>
    <t>15-06-2023 04:00</t>
  </si>
  <si>
    <t>15-06-2023 05:00</t>
  </si>
  <si>
    <t>15-06-2023 06:00</t>
  </si>
  <si>
    <t>15-06-2023 07:00</t>
  </si>
  <si>
    <t>15-06-2023 08:00</t>
  </si>
  <si>
    <t>15-06-2023 09:00</t>
  </si>
  <si>
    <t>15-06-2023 10:00</t>
  </si>
  <si>
    <t>15-06-2023 11:00</t>
  </si>
  <si>
    <t>15-06-2023 12:00</t>
  </si>
  <si>
    <t>15-06-2023 13:00</t>
  </si>
  <si>
    <t>15-06-2023 14:00</t>
  </si>
  <si>
    <t>15-06-2023 15:00</t>
  </si>
  <si>
    <t>15-06-2023 16:00</t>
  </si>
  <si>
    <t>15-06-2023 17:00</t>
  </si>
  <si>
    <t>15-06-2023 18:00</t>
  </si>
  <si>
    <t>15-06-2023 19:00</t>
  </si>
  <si>
    <t>15-06-2023 20:00</t>
  </si>
  <si>
    <t>15-06-2023 21:00</t>
  </si>
  <si>
    <t>15-06-2023 22:00</t>
  </si>
  <si>
    <t>15-06-2023 23:00</t>
  </si>
  <si>
    <t>15-06-2023 24:00</t>
  </si>
  <si>
    <t>16-06-2023 01:00</t>
  </si>
  <si>
    <t>16-06-2023 02:00</t>
  </si>
  <si>
    <t>16-06-2023 03:00</t>
  </si>
  <si>
    <t>16-06-2023 04:00</t>
  </si>
  <si>
    <t>16-06-2023 05:00</t>
  </si>
  <si>
    <t>16-06-2023 06:00</t>
  </si>
  <si>
    <t>16-06-2023 07:00</t>
  </si>
  <si>
    <t>16-06-2023 08:00</t>
  </si>
  <si>
    <t>16-06-2023 09:00</t>
  </si>
  <si>
    <t>16-06-2023 10:00</t>
  </si>
  <si>
    <t>16-06-2023 11:00</t>
  </si>
  <si>
    <t>16-06-2023 12:00</t>
  </si>
  <si>
    <t>16-06-2023 13:00</t>
  </si>
  <si>
    <t>16-06-2023 14:00</t>
  </si>
  <si>
    <t>16-06-2023 15:00</t>
  </si>
  <si>
    <t>16-06-2023 16:00</t>
  </si>
  <si>
    <t>16-06-2023 17:00</t>
  </si>
  <si>
    <t>16-06-2023 18:00</t>
  </si>
  <si>
    <t>16-06-2023 19:00</t>
  </si>
  <si>
    <t>16-06-2023 20:00</t>
  </si>
  <si>
    <t>16-06-2023 21:00</t>
  </si>
  <si>
    <t>16-06-2023 22:00</t>
  </si>
  <si>
    <t>16-06-2023 23:00</t>
  </si>
  <si>
    <t>16-06-2023 24:00</t>
  </si>
  <si>
    <t>17-06-2023 01:00</t>
  </si>
  <si>
    <t>17-06-2023 02:00</t>
  </si>
  <si>
    <t>17-06-2023 03:00</t>
  </si>
  <si>
    <t>17-06-2023 04:00</t>
  </si>
  <si>
    <t>17-06-2023 05:00</t>
  </si>
  <si>
    <t>17-06-2023 06:00</t>
  </si>
  <si>
    <t>17-06-2023 07:00</t>
  </si>
  <si>
    <t>17-06-2023 08:00</t>
  </si>
  <si>
    <t>17-06-2023 09:00</t>
  </si>
  <si>
    <t>17-06-2023 10:00</t>
  </si>
  <si>
    <t>17-06-2023 11:00</t>
  </si>
  <si>
    <t>17-06-2023 12:00</t>
  </si>
  <si>
    <t>17-06-2023 13:00</t>
  </si>
  <si>
    <t>17-06-2023 14:00</t>
  </si>
  <si>
    <t>17-06-2023 15:00</t>
  </si>
  <si>
    <t>17-06-2023 16:00</t>
  </si>
  <si>
    <t>17-06-2023 17:00</t>
  </si>
  <si>
    <t>17-06-2023 18:00</t>
  </si>
  <si>
    <t>17-06-2023 19:00</t>
  </si>
  <si>
    <t>17-06-2023 20:00</t>
  </si>
  <si>
    <t>17-06-2023 21:00</t>
  </si>
  <si>
    <t>17-06-2023 22:00</t>
  </si>
  <si>
    <t>17-06-2023 23:00</t>
  </si>
  <si>
    <t>17-06-2023 24:00</t>
  </si>
  <si>
    <t>18-06-2023 01:00</t>
  </si>
  <si>
    <t>18-06-2023 02:00</t>
  </si>
  <si>
    <t>18-06-2023 03:00</t>
  </si>
  <si>
    <t>18-06-2023 04:00</t>
  </si>
  <si>
    <t>18-06-2023 05:00</t>
  </si>
  <si>
    <t>18-06-2023 06:00</t>
  </si>
  <si>
    <t>18-06-2023 07:00</t>
  </si>
  <si>
    <t>18-06-2023 08:00</t>
  </si>
  <si>
    <t>18-06-2023 09:00</t>
  </si>
  <si>
    <t>18-06-2023 10:00</t>
  </si>
  <si>
    <t>18-06-2023 11:00</t>
  </si>
  <si>
    <t>18-06-2023 12:00</t>
  </si>
  <si>
    <t>18-06-2023 13:00</t>
  </si>
  <si>
    <t>18-06-2023 14:00</t>
  </si>
  <si>
    <t>18-06-2023 15:00</t>
  </si>
  <si>
    <t>18-06-2023 16:00</t>
  </si>
  <si>
    <t>18-06-2023 17:00</t>
  </si>
  <si>
    <t>18-06-2023 18:00</t>
  </si>
  <si>
    <t>18-06-2023 19:00</t>
  </si>
  <si>
    <t>18-06-2023 20:00</t>
  </si>
  <si>
    <t>18-06-2023 21:00</t>
  </si>
  <si>
    <t>18-06-2023 22:00</t>
  </si>
  <si>
    <t>18-06-2023 23:00</t>
  </si>
  <si>
    <t>18-06-2023 24:00</t>
  </si>
  <si>
    <t>19-06-2023 01:00</t>
  </si>
  <si>
    <t>19-06-2023 02:00</t>
  </si>
  <si>
    <t>19-06-2023 03:00</t>
  </si>
  <si>
    <t>19-06-2023 04:00</t>
  </si>
  <si>
    <t>19-06-2023 05:00</t>
  </si>
  <si>
    <t>19-06-2023 06:00</t>
  </si>
  <si>
    <t>19-06-2023 07:00</t>
  </si>
  <si>
    <t>19-06-2023 08:00</t>
  </si>
  <si>
    <t>19-06-2023 09:00</t>
  </si>
  <si>
    <t>19-06-2023 10:00</t>
  </si>
  <si>
    <t>19-06-2023 11:00</t>
  </si>
  <si>
    <t>19-06-2023 12:00</t>
  </si>
  <si>
    <t>19-06-2023 13:00</t>
  </si>
  <si>
    <t>19-06-2023 14:00</t>
  </si>
  <si>
    <t>19-06-2023 15:00</t>
  </si>
  <si>
    <t>19-06-2023 16:00</t>
  </si>
  <si>
    <t>19-06-2023 17:00</t>
  </si>
  <si>
    <t>19-06-2023 18:00</t>
  </si>
  <si>
    <t>19-06-2023 19:00</t>
  </si>
  <si>
    <t>19-06-2023 20:00</t>
  </si>
  <si>
    <t>19-06-2023 21:00</t>
  </si>
  <si>
    <t>19-06-2023 22:00</t>
  </si>
  <si>
    <t>19-06-2023 23:00</t>
  </si>
  <si>
    <t>19-06-2023 24:00</t>
  </si>
  <si>
    <t>20-06-2023 01:00</t>
  </si>
  <si>
    <t>20-06-2023 02:00</t>
  </si>
  <si>
    <t>20-06-2023 03:00</t>
  </si>
  <si>
    <t>20-06-2023 04:00</t>
  </si>
  <si>
    <t>20-06-2023 05:00</t>
  </si>
  <si>
    <t>20-06-2023 06:00</t>
  </si>
  <si>
    <t>20-06-2023 07:00</t>
  </si>
  <si>
    <t>20-06-2023 08:00</t>
  </si>
  <si>
    <t>20-06-2023 09:00</t>
  </si>
  <si>
    <t>20-06-2023 10:00</t>
  </si>
  <si>
    <t>20-06-2023 11:00</t>
  </si>
  <si>
    <t>20-06-2023 12:00</t>
  </si>
  <si>
    <t>20-06-2023 13:00</t>
  </si>
  <si>
    <t>20-06-2023 14:00</t>
  </si>
  <si>
    <t>20-06-2023 15:00</t>
  </si>
  <si>
    <t>20-06-2023 16:00</t>
  </si>
  <si>
    <t>20-06-2023 17:00</t>
  </si>
  <si>
    <t>20-06-2023 18:00</t>
  </si>
  <si>
    <t>20-06-2023 19:00</t>
  </si>
  <si>
    <t>20-06-2023 20:00</t>
  </si>
  <si>
    <t>20-06-2023 21:00</t>
  </si>
  <si>
    <t>20-06-2023 22:00</t>
  </si>
  <si>
    <t>20-06-2023 23:00</t>
  </si>
  <si>
    <t>20-06-2023 24:00</t>
  </si>
  <si>
    <t>21-06-2023 01:00</t>
  </si>
  <si>
    <t>21-06-2023 02:00</t>
  </si>
  <si>
    <t>21-06-2023 03:00</t>
  </si>
  <si>
    <t>21-06-2023 04:00</t>
  </si>
  <si>
    <t>21-06-2023 05:00</t>
  </si>
  <si>
    <t>21-06-2023 06:00</t>
  </si>
  <si>
    <t>21-06-2023 07:00</t>
  </si>
  <si>
    <t>21-06-2023 08:00</t>
  </si>
  <si>
    <t>21-06-2023 09:00</t>
  </si>
  <si>
    <t>21-06-2023 10:00</t>
  </si>
  <si>
    <t>21-06-2023 11:00</t>
  </si>
  <si>
    <t>21-06-2023 12:00</t>
  </si>
  <si>
    <t>21-06-2023 13:00</t>
  </si>
  <si>
    <t>21-06-2023 14:00</t>
  </si>
  <si>
    <t>21-06-2023 15:00</t>
  </si>
  <si>
    <t>21-06-2023 16:00</t>
  </si>
  <si>
    <t>21-06-2023 17:00</t>
  </si>
  <si>
    <t>21-06-2023 18:00</t>
  </si>
  <si>
    <t>21-06-2023 19:00</t>
  </si>
  <si>
    <t>21-06-2023 20:00</t>
  </si>
  <si>
    <t>21-06-2023 21:00</t>
  </si>
  <si>
    <t>21-06-2023 22:00</t>
  </si>
  <si>
    <t>21-06-2023 23:00</t>
  </si>
  <si>
    <t>21-06-2023 24:00</t>
  </si>
  <si>
    <t>22-06-2023 01:00</t>
  </si>
  <si>
    <t>22-06-2023 02:00</t>
  </si>
  <si>
    <t>22-06-2023 03:00</t>
  </si>
  <si>
    <t>22-06-2023 04:00</t>
  </si>
  <si>
    <t>22-06-2023 05:00</t>
  </si>
  <si>
    <t>22-06-2023 06:00</t>
  </si>
  <si>
    <t>22-06-2023 07:00</t>
  </si>
  <si>
    <t>22-06-2023 08:00</t>
  </si>
  <si>
    <t>22-06-2023 09:00</t>
  </si>
  <si>
    <t>22-06-2023 10:00</t>
  </si>
  <si>
    <t>22-06-2023 11:00</t>
  </si>
  <si>
    <t>22-06-2023 12:00</t>
  </si>
  <si>
    <t>22-06-2023 13:00</t>
  </si>
  <si>
    <t>22-06-2023 14:00</t>
  </si>
  <si>
    <t>22-06-2023 15:00</t>
  </si>
  <si>
    <t>22-06-2023 16:00</t>
  </si>
  <si>
    <t>22-06-2023 17:00</t>
  </si>
  <si>
    <t>22-06-2023 18:00</t>
  </si>
  <si>
    <t>22-06-2023 19:00</t>
  </si>
  <si>
    <t>22-06-2023 20:00</t>
  </si>
  <si>
    <t>22-06-2023 21:00</t>
  </si>
  <si>
    <t>22-06-2023 22:00</t>
  </si>
  <si>
    <t>22-06-2023 23:00</t>
  </si>
  <si>
    <t>22-06-2023 24:00</t>
  </si>
  <si>
    <t>23-06-2023 01:00</t>
  </si>
  <si>
    <t>23-06-2023 02:00</t>
  </si>
  <si>
    <t>23-06-2023 03:00</t>
  </si>
  <si>
    <t>23-06-2023 04:00</t>
  </si>
  <si>
    <t>23-06-2023 05:00</t>
  </si>
  <si>
    <t>23-06-2023 06:00</t>
  </si>
  <si>
    <t>23-06-2023 07:00</t>
  </si>
  <si>
    <t>23-06-2023 08:00</t>
  </si>
  <si>
    <t>23-06-2023 09:00</t>
  </si>
  <si>
    <t>23-06-2023 10:00</t>
  </si>
  <si>
    <t>23-06-2023 11:00</t>
  </si>
  <si>
    <t>23-06-2023 12:00</t>
  </si>
  <si>
    <t>23-06-2023 13:00</t>
  </si>
  <si>
    <t>23-06-2023 14:00</t>
  </si>
  <si>
    <t>23-06-2023 15:00</t>
  </si>
  <si>
    <t>23-06-2023 16:00</t>
  </si>
  <si>
    <t>23-06-2023 17:00</t>
  </si>
  <si>
    <t>23-06-2023 18:00</t>
  </si>
  <si>
    <t>23-06-2023 19:00</t>
  </si>
  <si>
    <t>23-06-2023 20:00</t>
  </si>
  <si>
    <t>23-06-2023 21:00</t>
  </si>
  <si>
    <t>23-06-2023 22:00</t>
  </si>
  <si>
    <t>23-06-2023 23:00</t>
  </si>
  <si>
    <t>23-06-2023 24:00</t>
  </si>
  <si>
    <t>24-06-2023 01:00</t>
  </si>
  <si>
    <t>24-06-2023 02:00</t>
  </si>
  <si>
    <t>24-06-2023 03:00</t>
  </si>
  <si>
    <t>24-06-2023 04:00</t>
  </si>
  <si>
    <t>24-06-2023 05:00</t>
  </si>
  <si>
    <t>24-06-2023 06:00</t>
  </si>
  <si>
    <t>24-06-2023 07:00</t>
  </si>
  <si>
    <t>24-06-2023 08:00</t>
  </si>
  <si>
    <t>24-06-2023 09:00</t>
  </si>
  <si>
    <t>24-06-2023 10:00</t>
  </si>
  <si>
    <t>24-06-2023 11:00</t>
  </si>
  <si>
    <t>24-06-2023 12:00</t>
  </si>
  <si>
    <t>24-06-2023 13:00</t>
  </si>
  <si>
    <t>24-06-2023 14:00</t>
  </si>
  <si>
    <t>24-06-2023 15:00</t>
  </si>
  <si>
    <t>24-06-2023 16:00</t>
  </si>
  <si>
    <t>24-06-2023 17:00</t>
  </si>
  <si>
    <t>24-06-2023 18:00</t>
  </si>
  <si>
    <t>24-06-2023 19:00</t>
  </si>
  <si>
    <t>24-06-2023 20:00</t>
  </si>
  <si>
    <t>24-06-2023 21:00</t>
  </si>
  <si>
    <t>24-06-2023 22:00</t>
  </si>
  <si>
    <t>24-06-2023 23:00</t>
  </si>
  <si>
    <t>24-06-2023 24:00</t>
  </si>
  <si>
    <t>25-06-2023 01:00</t>
  </si>
  <si>
    <t>25-06-2023 02:00</t>
  </si>
  <si>
    <t>25-06-2023 03:00</t>
  </si>
  <si>
    <t>25-06-2023 04:00</t>
  </si>
  <si>
    <t>25-06-2023 05:00</t>
  </si>
  <si>
    <t>25-06-2023 06:00</t>
  </si>
  <si>
    <t>25-06-2023 07:00</t>
  </si>
  <si>
    <t>25-06-2023 08:00</t>
  </si>
  <si>
    <t>25-06-2023 09:00</t>
  </si>
  <si>
    <t>25-06-2023 10:00</t>
  </si>
  <si>
    <t>25-06-2023 11:00</t>
  </si>
  <si>
    <t>25-06-2023 12:00</t>
  </si>
  <si>
    <t>25-06-2023 13:00</t>
  </si>
  <si>
    <t>25-06-2023 14:00</t>
  </si>
  <si>
    <t>25-06-2023 15:00</t>
  </si>
  <si>
    <t>25-06-2023 16:00</t>
  </si>
  <si>
    <t>25-06-2023 17:00</t>
  </si>
  <si>
    <t>25-06-2023 18:00</t>
  </si>
  <si>
    <t>25-06-2023 19:00</t>
  </si>
  <si>
    <t>25-06-2023 20:00</t>
  </si>
  <si>
    <t>25-06-2023 21:00</t>
  </si>
  <si>
    <t>25-06-2023 22:00</t>
  </si>
  <si>
    <t>25-06-2023 23:00</t>
  </si>
  <si>
    <t>25-06-2023 24:00</t>
  </si>
  <si>
    <t>26-06-2023 01:00</t>
  </si>
  <si>
    <t>26-06-2023 02:00</t>
  </si>
  <si>
    <t>26-06-2023 03:00</t>
  </si>
  <si>
    <t>26-06-2023 04:00</t>
  </si>
  <si>
    <t>26-06-2023 05:00</t>
  </si>
  <si>
    <t>26-06-2023 06:00</t>
  </si>
  <si>
    <t>26-06-2023 07:00</t>
  </si>
  <si>
    <t>26-06-2023 08:00</t>
  </si>
  <si>
    <t>26-06-2023 09:00</t>
  </si>
  <si>
    <t>26-06-2023 10:00</t>
  </si>
  <si>
    <t>26-06-2023 11:00</t>
  </si>
  <si>
    <t>26-06-2023 12:00</t>
  </si>
  <si>
    <t>26-06-2023 13:00</t>
  </si>
  <si>
    <t>26-06-2023 14:00</t>
  </si>
  <si>
    <t>26-06-2023 15:00</t>
  </si>
  <si>
    <t>26-06-2023 16:00</t>
  </si>
  <si>
    <t>26-06-2023 17:00</t>
  </si>
  <si>
    <t>26-06-2023 18:00</t>
  </si>
  <si>
    <t>26-06-2023 19:00</t>
  </si>
  <si>
    <t>26-06-2023 20:00</t>
  </si>
  <si>
    <t>26-06-2023 21:00</t>
  </si>
  <si>
    <t>26-06-2023 22:00</t>
  </si>
  <si>
    <t>26-06-2023 23:00</t>
  </si>
  <si>
    <t>26-06-2023 24:00</t>
  </si>
  <si>
    <t>27-06-2023 01:00</t>
  </si>
  <si>
    <t>27-06-2023 02:00</t>
  </si>
  <si>
    <t>27-06-2023 03:00</t>
  </si>
  <si>
    <t>27-06-2023 04:00</t>
  </si>
  <si>
    <t>27-06-2023 05:00</t>
  </si>
  <si>
    <t>27-06-2023 06:00</t>
  </si>
  <si>
    <t>27-06-2023 07:00</t>
  </si>
  <si>
    <t>27-06-2023 08:00</t>
  </si>
  <si>
    <t>27-06-2023 09:00</t>
  </si>
  <si>
    <t>27-06-2023 10:00</t>
  </si>
  <si>
    <t>27-06-2023 11:00</t>
  </si>
  <si>
    <t>27-06-2023 12:00</t>
  </si>
  <si>
    <t>27-06-2023 13:00</t>
  </si>
  <si>
    <t>27-06-2023 14:00</t>
  </si>
  <si>
    <t>27-06-2023 15:00</t>
  </si>
  <si>
    <t>27-06-2023 16:00</t>
  </si>
  <si>
    <t>27-06-2023 17:00</t>
  </si>
  <si>
    <t>27-06-2023 18:00</t>
  </si>
  <si>
    <t>27-06-2023 19:00</t>
  </si>
  <si>
    <t>27-06-2023 20:00</t>
  </si>
  <si>
    <t>27-06-2023 21:00</t>
  </si>
  <si>
    <t>27-06-2023 22:00</t>
  </si>
  <si>
    <t>27-06-2023 23:00</t>
  </si>
  <si>
    <t>27-06-2023 24:00</t>
  </si>
  <si>
    <t>28-06-2023 01:00</t>
  </si>
  <si>
    <t>28-06-2023 02:00</t>
  </si>
  <si>
    <t>28-06-2023 03:00</t>
  </si>
  <si>
    <t>28-06-2023 04:00</t>
  </si>
  <si>
    <t>28-06-2023 05:00</t>
  </si>
  <si>
    <t>28-06-2023 06:00</t>
  </si>
  <si>
    <t>28-06-2023 07:00</t>
  </si>
  <si>
    <t>28-06-2023 08:00</t>
  </si>
  <si>
    <t>28-06-2023 09:00</t>
  </si>
  <si>
    <t>28-06-2023 10:00</t>
  </si>
  <si>
    <t>28-06-2023 11:00</t>
  </si>
  <si>
    <t>28-06-2023 12:00</t>
  </si>
  <si>
    <t>28-06-2023 13:00</t>
  </si>
  <si>
    <t>28-06-2023 14:00</t>
  </si>
  <si>
    <t>28-06-2023 15:00</t>
  </si>
  <si>
    <t>28-06-2023 16:00</t>
  </si>
  <si>
    <t>28-06-2023 17:00</t>
  </si>
  <si>
    <t>28-06-2023 18:00</t>
  </si>
  <si>
    <t>28-06-2023 19:00</t>
  </si>
  <si>
    <t>28-06-2023 20:00</t>
  </si>
  <si>
    <t>28-06-2023 21:00</t>
  </si>
  <si>
    <t>28-06-2023 22:00</t>
  </si>
  <si>
    <t>28-06-2023 23:00</t>
  </si>
  <si>
    <t>28-06-2023 24:00</t>
  </si>
  <si>
    <t>29-06-2023 01:00</t>
  </si>
  <si>
    <t>29-06-2023 02:00</t>
  </si>
  <si>
    <t>29-06-2023 03:00</t>
  </si>
  <si>
    <t>29-06-2023 04:00</t>
  </si>
  <si>
    <t>29-06-2023 05:00</t>
  </si>
  <si>
    <t>29-06-2023 06:00</t>
  </si>
  <si>
    <t>29-06-2023 07:00</t>
  </si>
  <si>
    <t>29-06-2023 08:00</t>
  </si>
  <si>
    <t>29-06-2023 09:00</t>
  </si>
  <si>
    <t>29-06-2023 10:00</t>
  </si>
  <si>
    <t>29-06-2023 11:00</t>
  </si>
  <si>
    <t>29-06-2023 12:00</t>
  </si>
  <si>
    <t>29-06-2023 13:00</t>
  </si>
  <si>
    <t>29-06-2023 14:00</t>
  </si>
  <si>
    <t>29-06-2023 15:00</t>
  </si>
  <si>
    <t>29-06-2023 16:00</t>
  </si>
  <si>
    <t>29-06-2023 17:00</t>
  </si>
  <si>
    <t>29-06-2023 18:00</t>
  </si>
  <si>
    <t>29-06-2023 19:00</t>
  </si>
  <si>
    <t>29-06-2023 20:00</t>
  </si>
  <si>
    <t>29-06-2023 21:00</t>
  </si>
  <si>
    <t>29-06-2023 22:00</t>
  </si>
  <si>
    <t>29-06-2023 23:00</t>
  </si>
  <si>
    <t>29-06-2023 24:00</t>
  </si>
  <si>
    <t>30-06-2023 01:00</t>
  </si>
  <si>
    <t>30-06-2023 02:00</t>
  </si>
  <si>
    <t>30-06-2023 03:00</t>
  </si>
  <si>
    <t>30-06-2023 04:00</t>
  </si>
  <si>
    <t>30-06-2023 05:00</t>
  </si>
  <si>
    <t>30-06-2023 06:00</t>
  </si>
  <si>
    <t>30-06-2023 07:00</t>
  </si>
  <si>
    <t>30-06-2023 08:00</t>
  </si>
  <si>
    <t>30-06-2023 09:00</t>
  </si>
  <si>
    <t>30-06-2023 10:00</t>
  </si>
  <si>
    <t>30-06-2023 11:00</t>
  </si>
  <si>
    <t>30-06-2023 12:00</t>
  </si>
  <si>
    <t>30-06-2023 13:00</t>
  </si>
  <si>
    <t>30-06-2023 14:00</t>
  </si>
  <si>
    <t>30-06-2023 15:00</t>
  </si>
  <si>
    <t>30-06-2023 16:00</t>
  </si>
  <si>
    <t>30-06-2023 17:00</t>
  </si>
  <si>
    <t>30-06-2023 18:00</t>
  </si>
  <si>
    <t>30-06-2023 19:00</t>
  </si>
  <si>
    <t>30-06-2023 20:00</t>
  </si>
  <si>
    <t>30-06-2023 21:00</t>
  </si>
  <si>
    <t>30-06-2023 22:00</t>
  </si>
  <si>
    <t>30-06-2023 23:00</t>
  </si>
  <si>
    <t>30-06-2023 24:00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</si>
</sst>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0003962517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0003962517"/>
        <bgColor indexed="64"/>
      </patternFill>
    </fill>
    <fill>
      <patternFill patternType="solid">
        <fgColor theme="0" tint="-0.249970003962517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5">
    <xf numFmtId="0" fontId="0" fillId="0" borderId="0" xfId="0"/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2" fontId="13" fillId="0" borderId="1" xfId="0" applyNumberFormat="1" applyFont="1" applyFill="1" applyBorder="1" applyAlignment="1">
      <alignment horizontal="center"/>
    </xf>
    <xf numFmtId="0" fontId="13" fillId="0" borderId="0" xfId="0" applyFont="1" applyFill="1"/>
    <xf numFmtId="2" fontId="13" fillId="0" borderId="0" xfId="0" applyNumberFormat="1" applyFont="1" applyFill="1"/>
    <xf numFmtId="14" fontId="5" fillId="0" borderId="1" xfId="0" applyNumberFormat="1" applyFont="1" applyFill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/>
    </xf>
    <xf numFmtId="0" fontId="14" fillId="0" borderId="0" xfId="0" applyFont="1" applyFill="1" applyAlignment="1">
      <alignment vertic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7" fillId="0" borderId="1" xfId="0" applyFont="1" applyBorder="1"/>
    <xf numFmtId="0" fontId="2" fillId="0" borderId="1" xfId="0" applyFont="1" applyFill="1" applyBorder="1" applyAlignment="1">
      <alignment/>
    </xf>
    <xf numFmtId="0" fontId="7" fillId="0" borderId="1" xfId="0" applyFont="1" applyBorder="1" applyAlignment="1">
      <alignment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5" fillId="9" borderId="0" xfId="0" applyFont="1" applyFill="1" applyAlignment="1">
      <alignment horizontal="left"/>
    </xf>
    <xf numFmtId="0" fontId="8" fillId="4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/>
    </xf>
    <xf numFmtId="0" fontId="2" fillId="0" borderId="2" xfId="0" applyFont="1" applyBorder="1" applyAlignment="1">
      <alignment/>
    </xf>
    <xf numFmtId="0" fontId="8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</cellXfs>
  <cellStyles count="6">
    <cellStyle name="Normal" xf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4" Type="http://schemas.openxmlformats.org/officeDocument/2006/relationships/sharedStrings" Target="sharedStrings.xml" /><Relationship Id="rId13" Type="http://schemas.openxmlformats.org/officeDocument/2006/relationships/worksheet" Target="worksheets/sheet11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19" Type="http://schemas.openxmlformats.org/officeDocument/2006/relationships/worksheet" Target="worksheets/sheet17.xml" /><Relationship Id="rId1" Type="http://schemas.openxmlformats.org/officeDocument/2006/relationships/theme" Target="theme/theme1.xml" /><Relationship Id="rId32" Type="http://schemas.openxmlformats.org/officeDocument/2006/relationships/worksheet" Target="worksheets/sheet30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11" Type="http://schemas.openxmlformats.org/officeDocument/2006/relationships/worksheet" Target="worksheets/sheet9.xml" /><Relationship Id="rId22" Type="http://schemas.openxmlformats.org/officeDocument/2006/relationships/worksheet" Target="worksheets/sheet20.xml" /><Relationship Id="rId16" Type="http://schemas.openxmlformats.org/officeDocument/2006/relationships/worksheet" Target="worksheets/sheet14.xml" /><Relationship Id="rId12" Type="http://schemas.openxmlformats.org/officeDocument/2006/relationships/worksheet" Target="worksheets/sheet10.xml" /><Relationship Id="rId29" Type="http://schemas.openxmlformats.org/officeDocument/2006/relationships/worksheet" Target="worksheets/sheet27.xml" /><Relationship Id="rId27" Type="http://schemas.openxmlformats.org/officeDocument/2006/relationships/worksheet" Target="worksheets/sheet25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7" Type="http://schemas.openxmlformats.org/officeDocument/2006/relationships/worksheet" Target="worksheets/sheet5.xml" /><Relationship Id="rId23" Type="http://schemas.openxmlformats.org/officeDocument/2006/relationships/worksheet" Target="worksheets/sheet21.xml" /><Relationship Id="rId9" Type="http://schemas.openxmlformats.org/officeDocument/2006/relationships/worksheet" Target="worksheets/sheet7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24" Type="http://schemas.openxmlformats.org/officeDocument/2006/relationships/worksheet" Target="worksheets/sheet22.xml" /><Relationship Id="rId31" Type="http://schemas.openxmlformats.org/officeDocument/2006/relationships/worksheet" Target="worksheets/sheet29.xml" /><Relationship Id="rId4" Type="http://schemas.openxmlformats.org/officeDocument/2006/relationships/worksheet" Target="worksheets/sheet2.xml" /><Relationship Id="rId14" Type="http://schemas.openxmlformats.org/officeDocument/2006/relationships/worksheet" Target="worksheets/sheet12.xml" /><Relationship Id="rId21" Type="http://schemas.openxmlformats.org/officeDocument/2006/relationships/worksheet" Target="worksheets/sheet19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5" Type="http://schemas.openxmlformats.org/officeDocument/2006/relationships/calcChain" Target="calcChain.xml" /><Relationship Id="rId33" Type="http://schemas.openxmlformats.org/officeDocument/2006/relationships/worksheet" Target="worksheets/sheet31.xml" /><Relationship Id="rId20" Type="http://schemas.openxmlformats.org/officeDocument/2006/relationships/worksheet" Target="worksheets/sheet18.xml" /><Relationship Id="rId8" Type="http://schemas.openxmlformats.org/officeDocument/2006/relationships/worksheet" Target="worksheets/sheet6.xml" /><Relationship Id="rId26" Type="http://schemas.openxmlformats.org/officeDocument/2006/relationships/worksheet" Target="worksheets/sheet24.xml" /><Relationship Id="rId10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8bc590-cfa2-498f-a1d2-3343e6a08646}">
  <sheetPr codeName=""/>
  <dimension ref="A1:U119"/>
  <sheetViews>
    <sheetView workbookViewId="0" topLeftCell="A1">
      <pane xSplit="2" ySplit="8" topLeftCell="C9" activePane="bottomRight" state="frozen"/>
      <selection pane="topLeft" activeCell="U32" sqref="A9:U32"/>
      <selection pane="topRight" activeCell="U32" sqref="A9:U32"/>
      <selection pane="bottomLeft" activeCell="U32" sqref="A9:U32"/>
      <selection pane="bottomRight" activeCell="J55" sqref="J55"/>
    </sheetView>
  </sheetViews>
  <sheetFormatPr defaultColWidth="8.85881696428571" defaultRowHeight="15"/>
  <cols>
    <col min="1" max="1" width="18.2857142857143" style="26" customWidth="1"/>
    <col min="2" max="2" width="14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40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62</v>
      </c>
      <c r="B9" s="54">
        <v>48.02</v>
      </c>
      <c r="C9" s="54">
        <v>88.53</v>
      </c>
      <c r="D9" s="54">
        <v>88.01</v>
      </c>
      <c r="E9" s="54">
        <v>6.69</v>
      </c>
      <c r="F9" s="54">
        <v>4.0199999999999996</v>
      </c>
      <c r="G9" s="54">
        <v>200.68</v>
      </c>
      <c r="H9" s="54">
        <v>63.61</v>
      </c>
      <c r="I9" s="54">
        <v>1.24</v>
      </c>
      <c r="J9" s="54">
        <v>0.20</v>
      </c>
      <c r="K9" s="54">
        <v>239.93</v>
      </c>
      <c r="L9" s="54">
        <v>27.88</v>
      </c>
      <c r="M9" s="54">
        <v>52.30</v>
      </c>
      <c r="N9" s="54">
        <v>5.40</v>
      </c>
      <c r="O9" s="54">
        <v>0</v>
      </c>
      <c r="P9" s="54">
        <v>1.99</v>
      </c>
      <c r="Q9" s="54">
        <v>28.99</v>
      </c>
      <c r="R9" s="43"/>
      <c r="S9" s="43"/>
      <c r="T9" s="43"/>
      <c r="U9" s="43"/>
    </row>
    <row r="10" spans="1:21" s="11" customFormat="1" ht="15">
      <c r="A10" s="53" t="s">
        <v>63</v>
      </c>
      <c r="B10" s="54">
        <v>28.28</v>
      </c>
      <c r="C10" s="54">
        <v>60.24</v>
      </c>
      <c r="D10" s="54">
        <v>55.24</v>
      </c>
      <c r="E10" s="54">
        <v>6.40</v>
      </c>
      <c r="F10" s="54">
        <v>7.28</v>
      </c>
      <c r="G10" s="54">
        <v>200.68</v>
      </c>
      <c r="H10" s="54">
        <v>63.61</v>
      </c>
      <c r="I10" s="54">
        <v>1.42</v>
      </c>
      <c r="J10" s="54">
        <v>0.42</v>
      </c>
      <c r="K10" s="54">
        <v>341.37</v>
      </c>
      <c r="L10" s="54">
        <v>28.07</v>
      </c>
      <c r="M10" s="54">
        <v>50.44</v>
      </c>
      <c r="N10" s="54">
        <v>5.40</v>
      </c>
      <c r="O10" s="54">
        <v>0</v>
      </c>
      <c r="P10" s="54">
        <v>1.88</v>
      </c>
      <c r="Q10" s="54">
        <v>30.75</v>
      </c>
      <c r="R10" s="43"/>
      <c r="S10" s="43"/>
      <c r="T10" s="43"/>
      <c r="U10" s="43"/>
    </row>
    <row r="11" spans="1:21" s="11" customFormat="1" ht="15">
      <c r="A11" s="53" t="s">
        <v>64</v>
      </c>
      <c r="B11" s="54">
        <v>15.81</v>
      </c>
      <c r="C11" s="54">
        <v>47.10</v>
      </c>
      <c r="D11" s="54">
        <v>39.299999999999997</v>
      </c>
      <c r="E11" s="54">
        <v>43.53</v>
      </c>
      <c r="F11" s="54">
        <v>24.81</v>
      </c>
      <c r="G11" s="54">
        <v>149.21</v>
      </c>
      <c r="H11" s="54">
        <v>59.80</v>
      </c>
      <c r="I11" s="54">
        <v>1.02</v>
      </c>
      <c r="J11" s="54">
        <v>1</v>
      </c>
      <c r="K11" s="54">
        <v>250.22</v>
      </c>
      <c r="L11" s="54">
        <v>28.54</v>
      </c>
      <c r="M11" s="54">
        <v>34.54</v>
      </c>
      <c r="N11" s="54">
        <v>5.5</v>
      </c>
      <c r="O11" s="54">
        <v>0</v>
      </c>
      <c r="P11" s="54">
        <v>1.56</v>
      </c>
      <c r="Q11" s="54">
        <v>30.01</v>
      </c>
      <c r="R11" s="43"/>
      <c r="S11" s="43"/>
      <c r="T11" s="43"/>
      <c r="U11" s="43"/>
    </row>
    <row r="12" spans="1:21" s="11" customFormat="1" ht="15">
      <c r="A12" s="53" t="s">
        <v>65</v>
      </c>
      <c r="B12" s="54">
        <v>8.8800000000000008</v>
      </c>
      <c r="C12" s="54">
        <v>55.80</v>
      </c>
      <c r="D12" s="54">
        <v>36.380000000000003</v>
      </c>
      <c r="E12" s="54">
        <v>105.95</v>
      </c>
      <c r="F12" s="54">
        <v>17.07</v>
      </c>
      <c r="G12" s="54">
        <v>126.55</v>
      </c>
      <c r="H12" s="54">
        <v>57.39</v>
      </c>
      <c r="I12" s="54">
        <v>0.74</v>
      </c>
      <c r="J12" s="54">
        <v>0.45</v>
      </c>
      <c r="K12" s="54">
        <v>246.81</v>
      </c>
      <c r="L12" s="54">
        <v>27.53</v>
      </c>
      <c r="M12" s="54">
        <v>38.53</v>
      </c>
      <c r="N12" s="54">
        <v>5.30</v>
      </c>
      <c r="O12" s="54">
        <v>0</v>
      </c>
      <c r="P12" s="54">
        <v>1.22</v>
      </c>
      <c r="Q12" s="54">
        <v>29.10</v>
      </c>
      <c r="R12" s="43"/>
      <c r="S12" s="43"/>
      <c r="T12" s="43"/>
      <c r="U12" s="43"/>
    </row>
    <row r="13" spans="1:21" s="11" customFormat="1" ht="15">
      <c r="A13" s="53" t="s">
        <v>66</v>
      </c>
      <c r="B13" s="54">
        <v>13.81</v>
      </c>
      <c r="C13" s="54">
        <v>45.94</v>
      </c>
      <c r="D13" s="54">
        <v>37.08</v>
      </c>
      <c r="E13" s="54">
        <v>18.39</v>
      </c>
      <c r="F13" s="54">
        <v>6.65</v>
      </c>
      <c r="G13" s="54">
        <v>158.27000000000001</v>
      </c>
      <c r="H13" s="54">
        <v>60.46</v>
      </c>
      <c r="I13" s="54">
        <v>0.88</v>
      </c>
      <c r="J13" s="54">
        <v>0.34</v>
      </c>
      <c r="K13" s="54">
        <v>245.04</v>
      </c>
      <c r="L13" s="54">
        <v>26.65</v>
      </c>
      <c r="M13" s="54">
        <v>45.17</v>
      </c>
      <c r="N13" s="54">
        <v>5.30</v>
      </c>
      <c r="O13" s="54">
        <v>0</v>
      </c>
      <c r="P13" s="54">
        <v>1.17</v>
      </c>
      <c r="Q13" s="54">
        <v>28.92</v>
      </c>
      <c r="R13" s="43"/>
      <c r="S13" s="43"/>
      <c r="T13" s="43"/>
      <c r="U13" s="43"/>
    </row>
    <row r="14" spans="1:21" s="11" customFormat="1" ht="15">
      <c r="A14" s="53" t="s">
        <v>67</v>
      </c>
      <c r="B14" s="54">
        <v>19.940000000000001</v>
      </c>
      <c r="C14" s="54">
        <v>54.67</v>
      </c>
      <c r="D14" s="54">
        <v>45.62</v>
      </c>
      <c r="E14" s="54">
        <v>37</v>
      </c>
      <c r="F14" s="54">
        <v>11.10</v>
      </c>
      <c r="G14" s="54">
        <v>160.29</v>
      </c>
      <c r="H14" s="54">
        <v>64.27</v>
      </c>
      <c r="I14" s="54">
        <v>0.69</v>
      </c>
      <c r="J14" s="54">
        <v>0.16</v>
      </c>
      <c r="K14" s="54">
        <v>214.05</v>
      </c>
      <c r="L14" s="54">
        <v>26.58</v>
      </c>
      <c r="M14" s="54">
        <v>44.34</v>
      </c>
      <c r="N14" s="54">
        <v>54.90</v>
      </c>
      <c r="O14" s="54">
        <v>0</v>
      </c>
      <c r="P14" s="54">
        <v>1.20</v>
      </c>
      <c r="Q14" s="54">
        <v>28.14</v>
      </c>
      <c r="R14" s="43"/>
      <c r="S14" s="43"/>
      <c r="T14" s="43"/>
      <c r="U14" s="43"/>
    </row>
    <row r="15" spans="1:21" s="11" customFormat="1" ht="15">
      <c r="A15" s="53" t="s">
        <v>68</v>
      </c>
      <c r="B15" s="54">
        <v>33.14</v>
      </c>
      <c r="C15" s="54">
        <v>63.74</v>
      </c>
      <c r="D15" s="54">
        <v>59.36</v>
      </c>
      <c r="E15" s="54">
        <v>91.37</v>
      </c>
      <c r="F15" s="54">
        <v>11.42</v>
      </c>
      <c r="G15" s="54">
        <v>160.29</v>
      </c>
      <c r="H15" s="54">
        <v>69.48</v>
      </c>
      <c r="I15" s="54">
        <v>0.74</v>
      </c>
      <c r="J15" s="54">
        <v>0.36</v>
      </c>
      <c r="K15" s="54">
        <v>247.31</v>
      </c>
      <c r="L15" s="54">
        <v>30.97</v>
      </c>
      <c r="M15" s="54">
        <v>42.97</v>
      </c>
      <c r="N15" s="54">
        <v>237.60</v>
      </c>
      <c r="O15" s="54">
        <v>0</v>
      </c>
      <c r="P15" s="54">
        <v>1.19</v>
      </c>
      <c r="Q15" s="54">
        <v>27.97</v>
      </c>
      <c r="R15" s="43"/>
      <c r="S15" s="43"/>
      <c r="T15" s="43"/>
      <c r="U15" s="43"/>
    </row>
    <row r="16" spans="1:21" s="11" customFormat="1" ht="15">
      <c r="A16" s="53" t="s">
        <v>69</v>
      </c>
      <c r="B16" s="54">
        <v>21.32</v>
      </c>
      <c r="C16" s="54">
        <v>58.46</v>
      </c>
      <c r="D16" s="54">
        <v>47.75</v>
      </c>
      <c r="E16" s="54">
        <v>29.81</v>
      </c>
      <c r="F16" s="54">
        <v>10.36</v>
      </c>
      <c r="G16" s="54">
        <v>162.68</v>
      </c>
      <c r="H16" s="54">
        <v>69.819999999999993</v>
      </c>
      <c r="I16" s="54">
        <v>0.91</v>
      </c>
      <c r="J16" s="54">
        <v>0.74</v>
      </c>
      <c r="K16" s="54">
        <v>255.84</v>
      </c>
      <c r="L16" s="54">
        <v>35.130000000000003</v>
      </c>
      <c r="M16" s="54">
        <v>32.520000000000003</v>
      </c>
      <c r="N16" s="54">
        <v>460.90</v>
      </c>
      <c r="O16" s="54">
        <v>0</v>
      </c>
      <c r="P16" s="54">
        <v>1.52</v>
      </c>
      <c r="Q16" s="54">
        <v>29.85</v>
      </c>
      <c r="R16" s="43"/>
      <c r="S16" s="43"/>
      <c r="T16" s="43"/>
      <c r="U16" s="43"/>
    </row>
    <row r="17" spans="1:21" s="11" customFormat="1" ht="15">
      <c r="A17" s="53" t="s">
        <v>70</v>
      </c>
      <c r="B17" s="54">
        <v>15.37</v>
      </c>
      <c r="C17" s="54">
        <v>60.45</v>
      </c>
      <c r="D17" s="54">
        <v>45.71</v>
      </c>
      <c r="E17" s="54">
        <v>28.65</v>
      </c>
      <c r="F17" s="54">
        <v>29</v>
      </c>
      <c r="G17" s="54">
        <v>162.68</v>
      </c>
      <c r="H17" s="54">
        <v>69.819999999999993</v>
      </c>
      <c r="I17" s="54">
        <v>0.73</v>
      </c>
      <c r="J17" s="54">
        <v>1.67</v>
      </c>
      <c r="K17" s="54">
        <v>245.54</v>
      </c>
      <c r="L17" s="54">
        <v>37.47</v>
      </c>
      <c r="M17" s="54">
        <v>26.97</v>
      </c>
      <c r="N17" s="54">
        <v>350.60</v>
      </c>
      <c r="O17" s="54">
        <v>0</v>
      </c>
      <c r="P17" s="54">
        <v>1.47</v>
      </c>
      <c r="Q17" s="54">
        <v>29.25</v>
      </c>
      <c r="R17" s="43"/>
      <c r="S17" s="43"/>
      <c r="T17" s="43"/>
      <c r="U17" s="43"/>
    </row>
    <row r="18" spans="1:21" s="11" customFormat="1" ht="15">
      <c r="A18" s="53" t="s">
        <v>71</v>
      </c>
      <c r="B18" s="54">
        <v>7.23</v>
      </c>
      <c r="C18" s="54">
        <v>52.08</v>
      </c>
      <c r="D18" s="54">
        <v>35.19</v>
      </c>
      <c r="E18" s="54">
        <v>22.63</v>
      </c>
      <c r="F18" s="54">
        <v>32.44</v>
      </c>
      <c r="G18" s="54">
        <v>113.12</v>
      </c>
      <c r="H18" s="54">
        <v>66.63</v>
      </c>
      <c r="I18" s="54">
        <v>0.69</v>
      </c>
      <c r="J18" s="54">
        <v>1.69</v>
      </c>
      <c r="K18" s="54">
        <v>244.89</v>
      </c>
      <c r="L18" s="54">
        <v>38.520000000000003</v>
      </c>
      <c r="M18" s="54">
        <v>22.19</v>
      </c>
      <c r="N18" s="55" t="s">
        <v>14</v>
      </c>
      <c r="O18" s="54">
        <v>0</v>
      </c>
      <c r="P18" s="54">
        <v>1.26</v>
      </c>
      <c r="Q18" s="54">
        <v>27.94</v>
      </c>
      <c r="R18" s="43"/>
      <c r="S18" s="43"/>
      <c r="T18" s="43"/>
      <c r="U18" s="43"/>
    </row>
    <row r="19" spans="1:21" s="11" customFormat="1" ht="15">
      <c r="A19" s="53" t="s">
        <v>72</v>
      </c>
      <c r="B19" s="54">
        <v>2.97</v>
      </c>
      <c r="C19" s="54">
        <v>51.44</v>
      </c>
      <c r="D19" s="54">
        <v>31.17</v>
      </c>
      <c r="E19" s="54">
        <v>10.69</v>
      </c>
      <c r="F19" s="54">
        <v>15.13</v>
      </c>
      <c r="G19" s="54">
        <v>98.78</v>
      </c>
      <c r="H19" s="54">
        <v>57.79</v>
      </c>
      <c r="I19" s="54">
        <v>0.73</v>
      </c>
      <c r="J19" s="54">
        <v>1.95</v>
      </c>
      <c r="K19" s="54">
        <v>245.13</v>
      </c>
      <c r="L19" s="54">
        <v>39.78</v>
      </c>
      <c r="M19" s="54">
        <v>21.62</v>
      </c>
      <c r="N19" s="55" t="s">
        <v>14</v>
      </c>
      <c r="O19" s="54">
        <v>0</v>
      </c>
      <c r="P19" s="54">
        <v>1.08</v>
      </c>
      <c r="Q19" s="54">
        <v>27.37</v>
      </c>
      <c r="R19" s="43"/>
      <c r="S19" s="43"/>
      <c r="T19" s="43"/>
      <c r="U19" s="43"/>
    </row>
    <row r="20" spans="1:21" s="11" customFormat="1" ht="15">
      <c r="A20" s="53" t="s">
        <v>73</v>
      </c>
      <c r="B20" s="54">
        <v>4.25</v>
      </c>
      <c r="C20" s="54">
        <v>43.68</v>
      </c>
      <c r="D20" s="54">
        <v>26.76</v>
      </c>
      <c r="E20" s="54">
        <v>6.48</v>
      </c>
      <c r="F20" s="54">
        <v>35.68</v>
      </c>
      <c r="G20" s="54">
        <v>82.55</v>
      </c>
      <c r="H20" s="54">
        <v>53.06</v>
      </c>
      <c r="I20" s="54">
        <v>0.60</v>
      </c>
      <c r="J20" s="54">
        <v>1.24</v>
      </c>
      <c r="K20" s="54">
        <v>246.83</v>
      </c>
      <c r="L20" s="54">
        <v>40.74</v>
      </c>
      <c r="M20" s="54">
        <v>14.5</v>
      </c>
      <c r="N20" s="54">
        <v>774.90</v>
      </c>
      <c r="O20" s="54">
        <v>0</v>
      </c>
      <c r="P20" s="54">
        <v>0.87</v>
      </c>
      <c r="Q20" s="54">
        <v>25.27</v>
      </c>
      <c r="R20" s="43"/>
      <c r="S20" s="43"/>
      <c r="T20" s="43"/>
      <c r="U20" s="43"/>
    </row>
    <row r="21" spans="1:21" s="11" customFormat="1" ht="15">
      <c r="A21" s="53" t="s">
        <v>74</v>
      </c>
      <c r="B21" s="54">
        <v>9.44</v>
      </c>
      <c r="C21" s="54">
        <v>39.46</v>
      </c>
      <c r="D21" s="54">
        <v>29.54</v>
      </c>
      <c r="E21" s="54">
        <v>8.25</v>
      </c>
      <c r="F21" s="54">
        <v>58.79</v>
      </c>
      <c r="G21" s="54">
        <v>89.49</v>
      </c>
      <c r="H21" s="54">
        <v>51.58</v>
      </c>
      <c r="I21" s="54">
        <v>0.73</v>
      </c>
      <c r="J21" s="54">
        <v>1.29</v>
      </c>
      <c r="K21" s="54">
        <v>248.23</v>
      </c>
      <c r="L21" s="54">
        <v>41.16</v>
      </c>
      <c r="M21" s="54">
        <v>15.82</v>
      </c>
      <c r="N21" s="54">
        <v>742.20</v>
      </c>
      <c r="O21" s="54">
        <v>0</v>
      </c>
      <c r="P21" s="54">
        <v>0.76</v>
      </c>
      <c r="Q21" s="54">
        <v>24.52</v>
      </c>
      <c r="R21" s="43"/>
      <c r="S21" s="43"/>
      <c r="T21" s="43"/>
      <c r="U21" s="43"/>
    </row>
    <row r="22" spans="1:21" s="11" customFormat="1" ht="15">
      <c r="A22" s="53" t="s">
        <v>75</v>
      </c>
      <c r="B22" s="54">
        <v>2.19</v>
      </c>
      <c r="C22" s="54">
        <v>40.08</v>
      </c>
      <c r="D22" s="54">
        <v>24.53</v>
      </c>
      <c r="E22" s="54">
        <v>3.72</v>
      </c>
      <c r="F22" s="54">
        <v>16.899999999999999</v>
      </c>
      <c r="G22" s="54">
        <v>89.49</v>
      </c>
      <c r="H22" s="54">
        <v>49.35</v>
      </c>
      <c r="I22" s="54">
        <v>0.90</v>
      </c>
      <c r="J22" s="54">
        <v>1.21</v>
      </c>
      <c r="K22" s="54">
        <v>245.02</v>
      </c>
      <c r="L22" s="54">
        <v>40.5</v>
      </c>
      <c r="M22" s="54">
        <v>13.68</v>
      </c>
      <c r="N22" s="54">
        <v>168.20</v>
      </c>
      <c r="O22" s="54">
        <v>0</v>
      </c>
      <c r="P22" s="54">
        <v>0.63</v>
      </c>
      <c r="Q22" s="54">
        <v>24.04</v>
      </c>
      <c r="R22" s="43"/>
      <c r="S22" s="43"/>
      <c r="T22" s="43"/>
      <c r="U22" s="43"/>
    </row>
    <row r="23" spans="1:21" s="11" customFormat="1" ht="15">
      <c r="A23" s="53" t="s">
        <v>76</v>
      </c>
      <c r="B23" s="54">
        <v>4.13</v>
      </c>
      <c r="C23" s="54">
        <v>34.11</v>
      </c>
      <c r="D23" s="54">
        <v>20.30</v>
      </c>
      <c r="E23" s="54">
        <v>4.33</v>
      </c>
      <c r="F23" s="54">
        <v>48.31</v>
      </c>
      <c r="G23" s="54">
        <v>73.78</v>
      </c>
      <c r="H23" s="54">
        <v>42.71</v>
      </c>
      <c r="I23" s="54">
        <v>0.78</v>
      </c>
      <c r="J23" s="54">
        <v>1.17</v>
      </c>
      <c r="K23" s="54">
        <v>250.12</v>
      </c>
      <c r="L23" s="54">
        <v>40.15</v>
      </c>
      <c r="M23" s="54">
        <v>12.59</v>
      </c>
      <c r="N23" s="55" t="s">
        <v>14</v>
      </c>
      <c r="O23" s="54">
        <v>0</v>
      </c>
      <c r="P23" s="54">
        <v>0.54</v>
      </c>
      <c r="Q23" s="54">
        <v>24.01</v>
      </c>
      <c r="R23" s="43"/>
      <c r="S23" s="43"/>
      <c r="T23" s="43"/>
      <c r="U23" s="43"/>
    </row>
    <row r="24" spans="1:21" s="11" customFormat="1" ht="15">
      <c r="A24" s="53" t="s">
        <v>77</v>
      </c>
      <c r="B24" s="54">
        <v>5.71</v>
      </c>
      <c r="C24" s="54">
        <v>32.950000000000003</v>
      </c>
      <c r="D24" s="54">
        <v>23.41</v>
      </c>
      <c r="E24" s="54">
        <v>3.82</v>
      </c>
      <c r="F24" s="54">
        <v>43.28</v>
      </c>
      <c r="G24" s="54">
        <v>54.73</v>
      </c>
      <c r="H24" s="54">
        <v>37.69</v>
      </c>
      <c r="I24" s="54">
        <v>0.65</v>
      </c>
      <c r="J24" s="54">
        <v>0.84</v>
      </c>
      <c r="K24" s="54">
        <v>247.95</v>
      </c>
      <c r="L24" s="54">
        <v>38.10</v>
      </c>
      <c r="M24" s="54">
        <v>16.48</v>
      </c>
      <c r="N24" s="55" t="s">
        <v>14</v>
      </c>
      <c r="O24" s="54">
        <v>0</v>
      </c>
      <c r="P24" s="54">
        <v>0.47</v>
      </c>
      <c r="Q24" s="54">
        <v>23.54</v>
      </c>
      <c r="R24" s="43"/>
      <c r="S24" s="43"/>
      <c r="T24" s="43"/>
      <c r="U24" s="43"/>
    </row>
    <row r="25" spans="1:21" s="11" customFormat="1" ht="15">
      <c r="A25" s="53" t="s">
        <v>78</v>
      </c>
      <c r="B25" s="54">
        <v>2.80</v>
      </c>
      <c r="C25" s="54">
        <v>34.700000000000003</v>
      </c>
      <c r="D25" s="54">
        <v>21.87</v>
      </c>
      <c r="E25" s="54">
        <v>3.16</v>
      </c>
      <c r="F25" s="54">
        <v>28.67</v>
      </c>
      <c r="G25" s="54">
        <v>47.35</v>
      </c>
      <c r="H25" s="54">
        <v>33.57</v>
      </c>
      <c r="I25" s="54">
        <v>0.79</v>
      </c>
      <c r="J25" s="54">
        <v>0.31</v>
      </c>
      <c r="K25" s="54">
        <v>250.38</v>
      </c>
      <c r="L25" s="54">
        <v>37.54</v>
      </c>
      <c r="M25" s="54">
        <v>12.26</v>
      </c>
      <c r="N25" s="55" t="s">
        <v>14</v>
      </c>
      <c r="O25" s="54">
        <v>0</v>
      </c>
      <c r="P25" s="54">
        <v>0.39</v>
      </c>
      <c r="Q25" s="54">
        <v>23.27</v>
      </c>
      <c r="R25" s="43"/>
      <c r="S25" s="43"/>
      <c r="T25" s="43"/>
      <c r="U25" s="43"/>
    </row>
    <row r="26" spans="1:21" s="11" customFormat="1" ht="15">
      <c r="A26" s="53" t="s">
        <v>79</v>
      </c>
      <c r="B26" s="54">
        <v>10.93</v>
      </c>
      <c r="C26" s="54">
        <v>47.37</v>
      </c>
      <c r="D26" s="54">
        <v>35.56</v>
      </c>
      <c r="E26" s="54">
        <v>3.47</v>
      </c>
      <c r="F26" s="54">
        <v>36.17</v>
      </c>
      <c r="G26" s="54">
        <v>47.76</v>
      </c>
      <c r="H26" s="54">
        <v>32.770000000000003</v>
      </c>
      <c r="I26" s="54">
        <v>0.81</v>
      </c>
      <c r="J26" s="54">
        <v>0.28000000000000003</v>
      </c>
      <c r="K26" s="54">
        <v>246.63</v>
      </c>
      <c r="L26" s="54">
        <v>37.28</v>
      </c>
      <c r="M26" s="54">
        <v>13.06</v>
      </c>
      <c r="N26" s="55" t="s">
        <v>14</v>
      </c>
      <c r="O26" s="54">
        <v>0</v>
      </c>
      <c r="P26" s="54">
        <v>0.42</v>
      </c>
      <c r="Q26" s="54">
        <v>21.98</v>
      </c>
      <c r="R26" s="43"/>
      <c r="S26" s="43"/>
      <c r="T26" s="43"/>
      <c r="U26" s="43"/>
    </row>
    <row r="27" spans="1:21" s="11" customFormat="1" ht="15">
      <c r="A27" s="53" t="s">
        <v>80</v>
      </c>
      <c r="B27" s="54">
        <v>13.32</v>
      </c>
      <c r="C27" s="54">
        <v>59.16</v>
      </c>
      <c r="D27" s="54">
        <v>43.97</v>
      </c>
      <c r="E27" s="54">
        <v>4.32</v>
      </c>
      <c r="F27" s="54">
        <v>39.96</v>
      </c>
      <c r="G27" s="54">
        <v>55</v>
      </c>
      <c r="H27" s="54">
        <v>29.47</v>
      </c>
      <c r="I27" s="54">
        <v>0.73</v>
      </c>
      <c r="J27" s="54">
        <v>0.22</v>
      </c>
      <c r="K27" s="54">
        <v>251.33</v>
      </c>
      <c r="L27" s="54">
        <v>35.869999999999997</v>
      </c>
      <c r="M27" s="54">
        <v>14.37</v>
      </c>
      <c r="N27" s="55" t="s">
        <v>14</v>
      </c>
      <c r="O27" s="54">
        <v>0</v>
      </c>
      <c r="P27" s="54">
        <v>0.64</v>
      </c>
      <c r="Q27" s="54">
        <v>21.54</v>
      </c>
      <c r="R27" s="43"/>
      <c r="S27" s="43"/>
      <c r="T27" s="43"/>
      <c r="U27" s="43"/>
    </row>
    <row r="28" spans="1:21" s="11" customFormat="1" ht="15">
      <c r="A28" s="53" t="s">
        <v>81</v>
      </c>
      <c r="B28" s="54">
        <v>37.33</v>
      </c>
      <c r="C28" s="54">
        <v>85.58</v>
      </c>
      <c r="D28" s="54">
        <v>77.81</v>
      </c>
      <c r="E28" s="54">
        <v>4.93</v>
      </c>
      <c r="F28" s="54">
        <v>9.0399999999999991</v>
      </c>
      <c r="G28" s="54">
        <v>85.24</v>
      </c>
      <c r="H28" s="54">
        <v>32.90</v>
      </c>
      <c r="I28" s="54">
        <v>0.96</v>
      </c>
      <c r="J28" s="54">
        <v>0.08</v>
      </c>
      <c r="K28" s="54">
        <v>218.89</v>
      </c>
      <c r="L28" s="54">
        <v>33.44</v>
      </c>
      <c r="M28" s="54">
        <v>17.93</v>
      </c>
      <c r="N28" s="55" t="s">
        <v>14</v>
      </c>
      <c r="O28" s="54">
        <v>0</v>
      </c>
      <c r="P28" s="54">
        <v>1.32</v>
      </c>
      <c r="Q28" s="54">
        <v>19.36</v>
      </c>
      <c r="R28" s="43"/>
      <c r="S28" s="43"/>
      <c r="T28" s="43"/>
      <c r="U28" s="43"/>
    </row>
    <row r="29" spans="1:21" s="11" customFormat="1" ht="15">
      <c r="A29" s="53" t="s">
        <v>82</v>
      </c>
      <c r="B29" s="54">
        <v>179.18</v>
      </c>
      <c r="C29" s="54">
        <v>113.20</v>
      </c>
      <c r="D29" s="54">
        <v>206.80</v>
      </c>
      <c r="E29" s="54">
        <v>11.02</v>
      </c>
      <c r="F29" s="54">
        <v>5.67</v>
      </c>
      <c r="G29" s="54">
        <v>99.04</v>
      </c>
      <c r="H29" s="54">
        <v>39.89</v>
      </c>
      <c r="I29" s="54">
        <v>0.99</v>
      </c>
      <c r="J29" s="54">
        <v>0.10</v>
      </c>
      <c r="K29" s="54">
        <v>244.03</v>
      </c>
      <c r="L29" s="54">
        <v>31.01</v>
      </c>
      <c r="M29" s="54">
        <v>25.45</v>
      </c>
      <c r="N29" s="55" t="s">
        <v>14</v>
      </c>
      <c r="O29" s="54">
        <v>0</v>
      </c>
      <c r="P29" s="54">
        <v>1.70</v>
      </c>
      <c r="Q29" s="54">
        <v>18.399999999999999</v>
      </c>
      <c r="R29" s="43"/>
      <c r="S29" s="43"/>
      <c r="T29" s="43"/>
      <c r="U29" s="43"/>
    </row>
    <row r="30" spans="1:21" s="11" customFormat="1" ht="15">
      <c r="A30" s="53" t="s">
        <v>83</v>
      </c>
      <c r="B30" s="54">
        <v>148.03</v>
      </c>
      <c r="C30" s="54">
        <v>108.53</v>
      </c>
      <c r="D30" s="54">
        <v>179.25</v>
      </c>
      <c r="E30" s="54">
        <v>8.98</v>
      </c>
      <c r="F30" s="54">
        <v>3.73</v>
      </c>
      <c r="G30" s="54">
        <v>178.57</v>
      </c>
      <c r="H30" s="54">
        <v>50.97</v>
      </c>
      <c r="I30" s="54">
        <v>1.35</v>
      </c>
      <c r="J30" s="54">
        <v>0.15</v>
      </c>
      <c r="K30" s="54">
        <v>238.69</v>
      </c>
      <c r="L30" s="54">
        <v>29.5</v>
      </c>
      <c r="M30" s="54">
        <v>29.64</v>
      </c>
      <c r="N30" s="55" t="s">
        <v>14</v>
      </c>
      <c r="O30" s="54">
        <v>0</v>
      </c>
      <c r="P30" s="54">
        <v>2.23</v>
      </c>
      <c r="Q30" s="54">
        <v>26.60</v>
      </c>
      <c r="R30" s="43"/>
      <c r="S30" s="43"/>
      <c r="T30" s="43"/>
      <c r="U30" s="43"/>
    </row>
    <row r="31" spans="1:21" s="11" customFormat="1" ht="15">
      <c r="A31" s="53" t="s">
        <v>84</v>
      </c>
      <c r="B31" s="54">
        <v>68.55</v>
      </c>
      <c r="C31" s="54">
        <v>77.20</v>
      </c>
      <c r="D31" s="54">
        <v>97.99</v>
      </c>
      <c r="E31" s="54">
        <v>21.40</v>
      </c>
      <c r="F31" s="54">
        <v>4.0199999999999996</v>
      </c>
      <c r="G31" s="54">
        <v>178.97</v>
      </c>
      <c r="H31" s="54">
        <v>66.05</v>
      </c>
      <c r="I31" s="54">
        <v>1.20</v>
      </c>
      <c r="J31" s="54">
        <v>0.12</v>
      </c>
      <c r="K31" s="54">
        <v>193.98</v>
      </c>
      <c r="L31" s="54">
        <v>29.17</v>
      </c>
      <c r="M31" s="54">
        <v>27.93</v>
      </c>
      <c r="N31" s="55" t="s">
        <v>14</v>
      </c>
      <c r="O31" s="54">
        <v>0</v>
      </c>
      <c r="P31" s="54">
        <v>2.48</v>
      </c>
      <c r="Q31" s="54">
        <v>30.54</v>
      </c>
      <c r="R31" s="43"/>
      <c r="S31" s="43"/>
      <c r="T31" s="43"/>
      <c r="U31" s="43"/>
    </row>
    <row r="32" spans="1:21" s="11" customFormat="1" ht="15">
      <c r="A32" s="53" t="s">
        <v>85</v>
      </c>
      <c r="B32" s="54">
        <v>62.02</v>
      </c>
      <c r="C32" s="54">
        <v>76.709999999999994</v>
      </c>
      <c r="D32" s="54">
        <v>92.03</v>
      </c>
      <c r="E32" s="54">
        <v>43.83</v>
      </c>
      <c r="F32" s="54">
        <v>13.51</v>
      </c>
      <c r="G32" s="54">
        <v>178.97</v>
      </c>
      <c r="H32" s="54">
        <v>72.11</v>
      </c>
      <c r="I32" s="54">
        <v>1.18</v>
      </c>
      <c r="J32" s="54">
        <v>0.21</v>
      </c>
      <c r="K32" s="54">
        <v>265.67</v>
      </c>
      <c r="L32" s="54">
        <v>29.05</v>
      </c>
      <c r="M32" s="54">
        <v>27.71</v>
      </c>
      <c r="N32" s="55" t="s">
        <v>14</v>
      </c>
      <c r="O32" s="54">
        <v>0</v>
      </c>
      <c r="P32" s="54">
        <v>2.42</v>
      </c>
      <c r="Q32" s="54">
        <v>33.42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2.1899999999999999</v>
      </c>
      <c r="C34" s="28">
        <f t="shared" si="0"/>
        <v>32.950000000000003</v>
      </c>
      <c r="D34" s="28">
        <f t="shared" si="0"/>
        <v>20.300000000000001</v>
      </c>
      <c r="E34" s="28">
        <f t="shared" si="0"/>
        <v>3.1600000000000001</v>
      </c>
      <c r="F34" s="28">
        <f t="shared" si="0"/>
        <v>3.73</v>
      </c>
      <c r="G34" s="28">
        <f t="shared" si="0"/>
        <v>47.350000000000001</v>
      </c>
      <c r="H34" s="28">
        <f t="shared" si="0"/>
        <v>29.469999999999999</v>
      </c>
      <c r="I34" s="28">
        <f t="shared" si="0"/>
        <v>0.59999999999999998</v>
      </c>
      <c r="J34" s="28">
        <f t="shared" si="0"/>
        <v>0.080000000000000002</v>
      </c>
      <c r="K34" s="28">
        <f t="shared" si="0"/>
        <v>193.97999999999999</v>
      </c>
      <c r="L34" s="28">
        <f t="shared" si="0"/>
        <v>26.579999999999998</v>
      </c>
      <c r="M34" s="28">
        <f t="shared" si="0"/>
        <v>12.26</v>
      </c>
      <c r="N34" s="28">
        <f t="shared" si="0"/>
        <v>5.2999999999999998</v>
      </c>
      <c r="O34" s="28">
        <f t="shared" si="0"/>
        <v>0</v>
      </c>
      <c r="P34" s="28">
        <f t="shared" si="0"/>
        <v>0.39000000000000001</v>
      </c>
      <c r="Q34" s="28">
        <f t="shared" si="0"/>
        <v>18.399999999999999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179.18000000000001</v>
      </c>
      <c r="C35" s="29">
        <f t="shared" si="1"/>
        <v>113.2</v>
      </c>
      <c r="D35" s="29">
        <f t="shared" si="1"/>
        <v>206.80000000000001</v>
      </c>
      <c r="E35" s="29">
        <f t="shared" si="1"/>
        <v>105.95</v>
      </c>
      <c r="F35" s="29">
        <f t="shared" si="1"/>
        <v>58.789999999999999</v>
      </c>
      <c r="G35" s="29">
        <f t="shared" si="1"/>
        <v>200.68000000000001</v>
      </c>
      <c r="H35" s="29">
        <f t="shared" si="1"/>
        <v>72.109999999999999</v>
      </c>
      <c r="I35" s="29">
        <f t="shared" si="1"/>
        <v>1.4199999999999999</v>
      </c>
      <c r="J35" s="29">
        <f t="shared" si="1"/>
        <v>1.95</v>
      </c>
      <c r="K35" s="29">
        <f t="shared" si="1"/>
        <v>341.37</v>
      </c>
      <c r="L35" s="29">
        <f t="shared" si="1"/>
        <v>41.159999999999997</v>
      </c>
      <c r="M35" s="29">
        <f t="shared" si="1"/>
        <v>52.299999999999997</v>
      </c>
      <c r="N35" s="29">
        <f t="shared" si="1"/>
        <v>774.89999999999998</v>
      </c>
      <c r="O35" s="29">
        <f t="shared" si="1"/>
        <v>0</v>
      </c>
      <c r="P35" s="29">
        <f t="shared" si="1"/>
        <v>2.48</v>
      </c>
      <c r="Q35" s="29">
        <f t="shared" si="1"/>
        <v>33.420000000000002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31.777083333333334</v>
      </c>
      <c r="C36" s="28">
        <f t="shared" si="2"/>
        <v>59.632500000000014</v>
      </c>
      <c r="D36" s="28">
        <f t="shared" si="2"/>
        <v>58.359583333333319</v>
      </c>
      <c r="E36" s="28">
        <f t="shared" si="2"/>
        <v>22.034166666666668</v>
      </c>
      <c r="F36" s="28">
        <f t="shared" si="2"/>
        <v>21.37541666666667</v>
      </c>
      <c r="G36" s="28">
        <f t="shared" si="2"/>
        <v>123.09041666666666</v>
      </c>
      <c r="H36" s="28">
        <f t="shared" si="2"/>
        <v>53.95000000000001</v>
      </c>
      <c r="I36" s="28">
        <f t="shared" si="2"/>
        <v>0.89416666666666667</v>
      </c>
      <c r="J36" s="28">
        <f t="shared" si="2"/>
        <v>0.67499999999999993</v>
      </c>
      <c r="K36" s="28">
        <f t="shared" si="2"/>
        <v>246.82833333333326</v>
      </c>
      <c r="L36" s="28">
        <f t="shared" si="2"/>
        <v>33.77624999999999</v>
      </c>
      <c r="M36" s="28">
        <f t="shared" si="2"/>
        <v>27.208749999999998</v>
      </c>
      <c r="N36" s="28">
        <f t="shared" si="2"/>
        <v>234.68333333333331</v>
      </c>
      <c r="O36" s="28">
        <f t="shared" si="2"/>
        <v>0</v>
      </c>
      <c r="P36" s="28">
        <f t="shared" si="2"/>
        <v>1.2670833333333336</v>
      </c>
      <c r="Q36" s="28">
        <f t="shared" si="2"/>
        <v>26.44916666666666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44.75147541693741</v>
      </c>
      <c r="C37" s="28">
        <f t="shared" si="3" ref="C37:Q37">STDEV(C9:C32)</f>
        <v>21.944227972392785</v>
      </c>
      <c r="D37" s="28">
        <f t="shared" si="3"/>
        <v>47.242942926331132</v>
      </c>
      <c r="E37" s="28">
        <f t="shared" si="3"/>
        <v>26.985284382203673</v>
      </c>
      <c r="F37" s="28">
        <f t="shared" si="3"/>
        <v>15.898018191823033</v>
      </c>
      <c r="G37" s="28">
        <f t="shared" si="3"/>
        <v>50.627649214991607</v>
      </c>
      <c r="H37" s="28">
        <f t="shared" si="3"/>
        <v>13.688071608076335</v>
      </c>
      <c r="I37" s="28">
        <f t="shared" si="3"/>
        <v>0.23076275539038404</v>
      </c>
      <c r="J37" s="28">
        <f t="shared" si="3"/>
        <v>0.58273716948179299</v>
      </c>
      <c r="K37" s="28">
        <f t="shared" si="3"/>
        <v>24.862572826163348</v>
      </c>
      <c r="L37" s="28">
        <f t="shared" si="3"/>
        <v>5.2178804729923893</v>
      </c>
      <c r="M37" s="28">
        <f t="shared" si="3"/>
        <v>12.833015949867958</v>
      </c>
      <c r="N37" s="28">
        <f t="shared" si="3"/>
        <v>288.20267121761674</v>
      </c>
      <c r="O37" s="28">
        <f t="shared" si="3"/>
        <v>0</v>
      </c>
      <c r="P37" s="28">
        <f t="shared" si="3"/>
        <v>0.62306730159657742</v>
      </c>
      <c r="Q37" s="28">
        <f t="shared" si="3"/>
        <v>3.8353174764193727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COUNT(N9:N32)+12</f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3326fc0-027a-4229-93c7-fbdecd736ca5}">
  <sheetPr codeName=""/>
  <dimension ref="A1:U119"/>
  <sheetViews>
    <sheetView workbookViewId="0" topLeftCell="A1">
      <pane xSplit="2" ySplit="8" topLeftCell="C33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N39" sqref="N39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3" width="1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02-06-2023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50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86</v>
      </c>
      <c r="B9" s="54">
        <v>39.18</v>
      </c>
      <c r="C9" s="54">
        <v>66.400000000000006</v>
      </c>
      <c r="D9" s="54">
        <v>63.33</v>
      </c>
      <c r="E9" s="54">
        <v>13.64</v>
      </c>
      <c r="F9" s="54">
        <v>12.83</v>
      </c>
      <c r="G9" s="54">
        <v>161.86000000000001</v>
      </c>
      <c r="H9" s="54">
        <v>72.11</v>
      </c>
      <c r="I9" s="54">
        <v>0.78</v>
      </c>
      <c r="J9" s="54">
        <v>0.09</v>
      </c>
      <c r="K9" s="54">
        <v>243.09</v>
      </c>
      <c r="L9" s="54">
        <v>28.56</v>
      </c>
      <c r="M9" s="54">
        <v>32.51</v>
      </c>
      <c r="N9" s="55" t="s">
        <v>14</v>
      </c>
      <c r="O9" s="54">
        <v>0</v>
      </c>
      <c r="P9" s="54">
        <v>2.2200000000000002</v>
      </c>
      <c r="Q9" s="54">
        <v>34.450000000000003</v>
      </c>
      <c r="R9" s="43"/>
      <c r="S9" s="43"/>
      <c r="T9" s="43"/>
      <c r="U9" s="43"/>
    </row>
    <row r="10" spans="1:21" s="11" customFormat="1" ht="15">
      <c r="A10" s="53" t="s">
        <v>87</v>
      </c>
      <c r="B10" s="54">
        <v>27.85</v>
      </c>
      <c r="C10" s="54">
        <v>53.06</v>
      </c>
      <c r="D10" s="54">
        <v>49.77</v>
      </c>
      <c r="E10" s="54">
        <v>4.68</v>
      </c>
      <c r="F10" s="54">
        <v>8.52</v>
      </c>
      <c r="G10" s="54">
        <v>103.03</v>
      </c>
      <c r="H10" s="54">
        <v>59.19</v>
      </c>
      <c r="I10" s="54">
        <v>1.0900000000000001</v>
      </c>
      <c r="J10" s="54">
        <v>0.36</v>
      </c>
      <c r="K10" s="54">
        <v>234.06</v>
      </c>
      <c r="L10" s="54">
        <v>28.18</v>
      </c>
      <c r="M10" s="54">
        <v>29.09</v>
      </c>
      <c r="N10" s="55" t="s">
        <v>14</v>
      </c>
      <c r="O10" s="54">
        <v>0</v>
      </c>
      <c r="P10" s="54">
        <v>1.51</v>
      </c>
      <c r="Q10" s="54">
        <v>29.35</v>
      </c>
      <c r="R10" s="43"/>
      <c r="S10" s="43"/>
      <c r="T10" s="43"/>
      <c r="U10" s="43"/>
    </row>
    <row r="11" spans="1:21" s="11" customFormat="1" ht="15">
      <c r="A11" s="53" t="s">
        <v>88</v>
      </c>
      <c r="B11" s="54">
        <v>14.41</v>
      </c>
      <c r="C11" s="54">
        <v>49.04</v>
      </c>
      <c r="D11" s="54">
        <v>39.26</v>
      </c>
      <c r="E11" s="54">
        <v>35.369999999999997</v>
      </c>
      <c r="F11" s="54">
        <v>21.60</v>
      </c>
      <c r="G11" s="54">
        <v>109.91</v>
      </c>
      <c r="H11" s="54">
        <v>51.77</v>
      </c>
      <c r="I11" s="54">
        <v>0.70</v>
      </c>
      <c r="J11" s="54">
        <v>0.40</v>
      </c>
      <c r="K11" s="54">
        <v>238.73</v>
      </c>
      <c r="L11" s="54">
        <v>27.20</v>
      </c>
      <c r="M11" s="54">
        <v>30.22</v>
      </c>
      <c r="N11" s="54">
        <v>2.80</v>
      </c>
      <c r="O11" s="54">
        <v>0</v>
      </c>
      <c r="P11" s="54">
        <v>1.1599999999999999</v>
      </c>
      <c r="Q11" s="54">
        <v>28.74</v>
      </c>
      <c r="R11" s="43"/>
      <c r="S11" s="43"/>
      <c r="T11" s="43"/>
      <c r="U11" s="43"/>
    </row>
    <row r="12" spans="1:21" s="11" customFormat="1" ht="15">
      <c r="A12" s="53" t="s">
        <v>89</v>
      </c>
      <c r="B12" s="54">
        <v>18.52</v>
      </c>
      <c r="C12" s="54">
        <v>45.19</v>
      </c>
      <c r="D12" s="54">
        <v>40.270000000000003</v>
      </c>
      <c r="E12" s="54">
        <v>22</v>
      </c>
      <c r="F12" s="54">
        <v>26.27</v>
      </c>
      <c r="G12" s="54">
        <v>109.91</v>
      </c>
      <c r="H12" s="54">
        <v>51.77</v>
      </c>
      <c r="I12" s="54">
        <v>0.78</v>
      </c>
      <c r="J12" s="54">
        <v>0.19</v>
      </c>
      <c r="K12" s="54">
        <v>242.94</v>
      </c>
      <c r="L12" s="54">
        <v>26.73</v>
      </c>
      <c r="M12" s="54">
        <v>28.92</v>
      </c>
      <c r="N12" s="54">
        <v>5.5</v>
      </c>
      <c r="O12" s="54">
        <v>0</v>
      </c>
      <c r="P12" s="54">
        <v>1.05</v>
      </c>
      <c r="Q12" s="54">
        <v>29.62</v>
      </c>
      <c r="R12" s="43"/>
      <c r="S12" s="43"/>
      <c r="T12" s="43"/>
      <c r="U12" s="43"/>
    </row>
    <row r="13" spans="1:21" s="11" customFormat="1" ht="15">
      <c r="A13" s="53" t="s">
        <v>90</v>
      </c>
      <c r="B13" s="54">
        <v>15.21</v>
      </c>
      <c r="C13" s="54">
        <v>48.75</v>
      </c>
      <c r="D13" s="54">
        <v>39.75</v>
      </c>
      <c r="E13" s="54">
        <v>18.010000000000002</v>
      </c>
      <c r="F13" s="54">
        <v>5.1100000000000003</v>
      </c>
      <c r="G13" s="54">
        <v>123.92</v>
      </c>
      <c r="H13" s="54">
        <v>55.67</v>
      </c>
      <c r="I13" s="54">
        <v>0.72</v>
      </c>
      <c r="J13" s="54">
        <v>0.14000000000000001</v>
      </c>
      <c r="K13" s="54">
        <v>116.12</v>
      </c>
      <c r="L13" s="54">
        <v>27.07</v>
      </c>
      <c r="M13" s="54">
        <v>28.23</v>
      </c>
      <c r="N13" s="54">
        <v>4.9000000000000004</v>
      </c>
      <c r="O13" s="54">
        <v>0</v>
      </c>
      <c r="P13" s="54">
        <v>0.93</v>
      </c>
      <c r="Q13" s="54">
        <v>26.02</v>
      </c>
      <c r="R13" s="43"/>
      <c r="S13" s="43"/>
      <c r="T13" s="43"/>
      <c r="U13" s="43"/>
    </row>
    <row r="14" spans="1:21" s="11" customFormat="1" ht="15">
      <c r="A14" s="53" t="s">
        <v>91</v>
      </c>
      <c r="B14" s="54">
        <v>51.34</v>
      </c>
      <c r="C14" s="54">
        <v>66.180000000000007</v>
      </c>
      <c r="D14" s="54">
        <v>78.34</v>
      </c>
      <c r="E14" s="54">
        <v>79.930000000000007</v>
      </c>
      <c r="F14" s="54">
        <v>7.41</v>
      </c>
      <c r="G14" s="54">
        <v>143.12</v>
      </c>
      <c r="H14" s="54">
        <v>65.02</v>
      </c>
      <c r="I14" s="54">
        <v>0.73</v>
      </c>
      <c r="J14" s="54">
        <v>0.21</v>
      </c>
      <c r="K14" s="54">
        <v>235.85</v>
      </c>
      <c r="L14" s="54">
        <v>26.79</v>
      </c>
      <c r="M14" s="54">
        <v>36.520000000000003</v>
      </c>
      <c r="N14" s="55" t="s">
        <v>14</v>
      </c>
      <c r="O14" s="54">
        <v>0</v>
      </c>
      <c r="P14" s="54">
        <v>1.1100000000000001</v>
      </c>
      <c r="Q14" s="54">
        <v>25.16</v>
      </c>
      <c r="R14" s="43"/>
      <c r="S14" s="43"/>
      <c r="T14" s="43"/>
      <c r="U14" s="43"/>
    </row>
    <row r="15" spans="1:21" s="11" customFormat="1" ht="15">
      <c r="A15" s="53" t="s">
        <v>92</v>
      </c>
      <c r="B15" s="54">
        <v>57.11</v>
      </c>
      <c r="C15" s="54">
        <v>72.58</v>
      </c>
      <c r="D15" s="54">
        <v>86.5</v>
      </c>
      <c r="E15" s="54">
        <v>54.73</v>
      </c>
      <c r="F15" s="54">
        <v>9.67</v>
      </c>
      <c r="G15" s="54">
        <v>169.18</v>
      </c>
      <c r="H15" s="54">
        <v>73.900000000000006</v>
      </c>
      <c r="I15" s="54">
        <v>0.73</v>
      </c>
      <c r="J15" s="54">
        <v>0.77</v>
      </c>
      <c r="K15" s="54">
        <v>220.09</v>
      </c>
      <c r="L15" s="54">
        <v>30.25</v>
      </c>
      <c r="M15" s="54">
        <v>38.22</v>
      </c>
      <c r="N15" s="55" t="s">
        <v>14</v>
      </c>
      <c r="O15" s="54">
        <v>0</v>
      </c>
      <c r="P15" s="54">
        <v>1.30</v>
      </c>
      <c r="Q15" s="54">
        <v>28.58</v>
      </c>
      <c r="R15" s="43"/>
      <c r="S15" s="43"/>
      <c r="T15" s="43"/>
      <c r="U15" s="43"/>
    </row>
    <row r="16" spans="1:21" s="11" customFormat="1" ht="15">
      <c r="A16" s="53" t="s">
        <v>93</v>
      </c>
      <c r="B16" s="54">
        <v>22.08</v>
      </c>
      <c r="C16" s="54">
        <v>57.99</v>
      </c>
      <c r="D16" s="54">
        <v>45.49</v>
      </c>
      <c r="E16" s="54">
        <v>9.10</v>
      </c>
      <c r="F16" s="54">
        <v>9.2799999999999994</v>
      </c>
      <c r="G16" s="54">
        <v>169.18</v>
      </c>
      <c r="H16" s="54">
        <v>73.900000000000006</v>
      </c>
      <c r="I16" s="54">
        <v>0.69</v>
      </c>
      <c r="J16" s="54">
        <v>0.46</v>
      </c>
      <c r="K16" s="54">
        <v>231.22</v>
      </c>
      <c r="L16" s="54">
        <v>32.5</v>
      </c>
      <c r="M16" s="54">
        <v>29.28</v>
      </c>
      <c r="N16" s="55" t="s">
        <v>14</v>
      </c>
      <c r="O16" s="54">
        <v>0</v>
      </c>
      <c r="P16" s="54">
        <v>1.1399999999999999</v>
      </c>
      <c r="Q16" s="54">
        <v>28.02</v>
      </c>
      <c r="R16" s="43"/>
      <c r="S16" s="43"/>
      <c r="T16" s="43"/>
      <c r="U16" s="43"/>
    </row>
    <row r="17" spans="1:21" s="11" customFormat="1" ht="15">
      <c r="A17" s="53" t="s">
        <v>94</v>
      </c>
      <c r="B17" s="54">
        <v>12.70</v>
      </c>
      <c r="C17" s="54">
        <v>68.06</v>
      </c>
      <c r="D17" s="54">
        <v>48.05</v>
      </c>
      <c r="E17" s="54">
        <v>63.84</v>
      </c>
      <c r="F17" s="54">
        <v>36.119999999999997</v>
      </c>
      <c r="G17" s="54">
        <v>180.89</v>
      </c>
      <c r="H17" s="54">
        <v>71.17</v>
      </c>
      <c r="I17" s="54">
        <v>0.78</v>
      </c>
      <c r="J17" s="54">
        <v>0.47</v>
      </c>
      <c r="K17" s="54">
        <v>243.75</v>
      </c>
      <c r="L17" s="54">
        <v>36.64</v>
      </c>
      <c r="M17" s="54">
        <v>22.96</v>
      </c>
      <c r="N17" s="55" t="s">
        <v>14</v>
      </c>
      <c r="O17" s="54">
        <v>0</v>
      </c>
      <c r="P17" s="54">
        <v>1.1299999999999999</v>
      </c>
      <c r="Q17" s="54">
        <v>26.31</v>
      </c>
      <c r="R17" s="43"/>
      <c r="S17" s="43"/>
      <c r="T17" s="43"/>
      <c r="U17" s="43"/>
    </row>
    <row r="18" spans="1:21" s="11" customFormat="1" ht="15">
      <c r="A18" s="53" t="s">
        <v>95</v>
      </c>
      <c r="B18" s="54">
        <v>7.30</v>
      </c>
      <c r="C18" s="54">
        <v>60.96</v>
      </c>
      <c r="D18" s="54">
        <v>37.71</v>
      </c>
      <c r="E18" s="54">
        <v>49.39</v>
      </c>
      <c r="F18" s="54">
        <v>32.270000000000003</v>
      </c>
      <c r="G18" s="54">
        <v>180.89</v>
      </c>
      <c r="H18" s="54">
        <v>71.17</v>
      </c>
      <c r="I18" s="54">
        <v>0.75</v>
      </c>
      <c r="J18" s="54">
        <v>0.28999999999999998</v>
      </c>
      <c r="K18" s="54">
        <v>248.64</v>
      </c>
      <c r="L18" s="54">
        <v>38.06</v>
      </c>
      <c r="M18" s="54">
        <v>18.13</v>
      </c>
      <c r="N18" s="55" t="s">
        <v>14</v>
      </c>
      <c r="O18" s="54">
        <v>0</v>
      </c>
      <c r="P18" s="54">
        <v>1.1200000000000001</v>
      </c>
      <c r="Q18" s="54">
        <v>25.90</v>
      </c>
      <c r="R18" s="43"/>
      <c r="S18" s="43"/>
      <c r="T18" s="43"/>
      <c r="U18" s="43"/>
    </row>
    <row r="19" spans="1:21" s="11" customFormat="1" ht="15">
      <c r="A19" s="53" t="s">
        <v>96</v>
      </c>
      <c r="B19" s="54">
        <v>2.64</v>
      </c>
      <c r="C19" s="54">
        <v>56.41</v>
      </c>
      <c r="D19" s="54">
        <v>33.43</v>
      </c>
      <c r="E19" s="54">
        <v>20.27</v>
      </c>
      <c r="F19" s="54">
        <v>51.10</v>
      </c>
      <c r="G19" s="54">
        <v>123.74</v>
      </c>
      <c r="H19" s="54">
        <v>69.150000000000006</v>
      </c>
      <c r="I19" s="54">
        <v>0.86</v>
      </c>
      <c r="J19" s="54">
        <v>0.63</v>
      </c>
      <c r="K19" s="54">
        <v>211.94</v>
      </c>
      <c r="L19" s="54">
        <v>39.65</v>
      </c>
      <c r="M19" s="54">
        <v>16.670000000000002</v>
      </c>
      <c r="N19" s="54">
        <v>632.40</v>
      </c>
      <c r="O19" s="54">
        <v>0</v>
      </c>
      <c r="P19" s="54">
        <v>1.08</v>
      </c>
      <c r="Q19" s="54">
        <v>25.44</v>
      </c>
      <c r="R19" s="43"/>
      <c r="S19" s="43"/>
      <c r="T19" s="43"/>
      <c r="U19" s="43"/>
    </row>
    <row r="20" spans="1:21" s="11" customFormat="1" ht="15">
      <c r="A20" s="53" t="s">
        <v>97</v>
      </c>
      <c r="B20" s="54">
        <v>3.03</v>
      </c>
      <c r="C20" s="54">
        <v>43.29</v>
      </c>
      <c r="D20" s="54">
        <v>26.97</v>
      </c>
      <c r="E20" s="54">
        <v>32.01</v>
      </c>
      <c r="F20" s="54">
        <v>69.27</v>
      </c>
      <c r="G20" s="54">
        <v>91.90</v>
      </c>
      <c r="H20" s="54">
        <v>58.46</v>
      </c>
      <c r="I20" s="54">
        <v>0.86</v>
      </c>
      <c r="J20" s="54">
        <v>0.38</v>
      </c>
      <c r="K20" s="54">
        <v>235.18</v>
      </c>
      <c r="L20" s="54">
        <v>40.14</v>
      </c>
      <c r="M20" s="54">
        <v>15.09</v>
      </c>
      <c r="N20" s="54">
        <v>838</v>
      </c>
      <c r="O20" s="54">
        <v>0</v>
      </c>
      <c r="P20" s="54">
        <v>0.92</v>
      </c>
      <c r="Q20" s="54">
        <v>27.19</v>
      </c>
      <c r="R20" s="43"/>
      <c r="S20" s="43"/>
      <c r="T20" s="43"/>
      <c r="U20" s="43"/>
    </row>
    <row r="21" spans="1:21" s="11" customFormat="1" ht="15">
      <c r="A21" s="53" t="s">
        <v>98</v>
      </c>
      <c r="B21" s="54">
        <v>2.21</v>
      </c>
      <c r="C21" s="54">
        <v>39.520000000000003</v>
      </c>
      <c r="D21" s="54">
        <v>24.22</v>
      </c>
      <c r="E21" s="54">
        <v>6.39</v>
      </c>
      <c r="F21" s="54">
        <v>16.86</v>
      </c>
      <c r="G21" s="54">
        <v>64.53</v>
      </c>
      <c r="H21" s="54">
        <v>46.56</v>
      </c>
      <c r="I21" s="54">
        <v>0.96</v>
      </c>
      <c r="J21" s="54">
        <v>0.56000000000000005</v>
      </c>
      <c r="K21" s="54">
        <v>235.34</v>
      </c>
      <c r="L21" s="54">
        <v>41.37</v>
      </c>
      <c r="M21" s="54">
        <v>14.33</v>
      </c>
      <c r="N21" s="54">
        <v>827</v>
      </c>
      <c r="O21" s="54">
        <v>0</v>
      </c>
      <c r="P21" s="54">
        <v>0.80</v>
      </c>
      <c r="Q21" s="54">
        <v>25.66</v>
      </c>
      <c r="R21" s="43"/>
      <c r="S21" s="43"/>
      <c r="T21" s="43"/>
      <c r="U21" s="43"/>
    </row>
    <row r="22" spans="1:21" s="11" customFormat="1" ht="15">
      <c r="A22" s="53" t="s">
        <v>99</v>
      </c>
      <c r="B22" s="54">
        <v>3.98</v>
      </c>
      <c r="C22" s="54">
        <v>41.90</v>
      </c>
      <c r="D22" s="54">
        <v>25.27</v>
      </c>
      <c r="E22" s="54">
        <v>3.10</v>
      </c>
      <c r="F22" s="54">
        <v>31.21</v>
      </c>
      <c r="G22" s="54">
        <v>64.53</v>
      </c>
      <c r="H22" s="54">
        <v>35.590000000000003</v>
      </c>
      <c r="I22" s="54">
        <v>0.95</v>
      </c>
      <c r="J22" s="54">
        <v>0.39</v>
      </c>
      <c r="K22" s="54">
        <v>224.71</v>
      </c>
      <c r="L22" s="54">
        <v>39.85</v>
      </c>
      <c r="M22" s="54">
        <v>14.35</v>
      </c>
      <c r="N22" s="54">
        <v>747.70</v>
      </c>
      <c r="O22" s="54">
        <v>0</v>
      </c>
      <c r="P22" s="54">
        <v>0.59</v>
      </c>
      <c r="Q22" s="54">
        <v>23.86</v>
      </c>
      <c r="R22" s="43"/>
      <c r="S22" s="43"/>
      <c r="T22" s="43"/>
      <c r="U22" s="43"/>
    </row>
    <row r="23" spans="1:21" s="11" customFormat="1" ht="15">
      <c r="A23" s="53" t="s">
        <v>100</v>
      </c>
      <c r="B23" s="54">
        <v>12.30</v>
      </c>
      <c r="C23" s="54">
        <v>39.99</v>
      </c>
      <c r="D23" s="54">
        <v>32.58</v>
      </c>
      <c r="E23" s="54">
        <v>5.45</v>
      </c>
      <c r="F23" s="54">
        <v>62.74</v>
      </c>
      <c r="G23" s="54">
        <v>48.41</v>
      </c>
      <c r="H23" s="54">
        <v>28.57</v>
      </c>
      <c r="I23" s="54">
        <v>0.77</v>
      </c>
      <c r="J23" s="54">
        <v>0.59</v>
      </c>
      <c r="K23" s="54">
        <v>235.21</v>
      </c>
      <c r="L23" s="54">
        <v>38.96</v>
      </c>
      <c r="M23" s="54">
        <v>15.46</v>
      </c>
      <c r="N23" s="54">
        <v>438</v>
      </c>
      <c r="O23" s="54">
        <v>0</v>
      </c>
      <c r="P23" s="54">
        <v>0.49</v>
      </c>
      <c r="Q23" s="54">
        <v>24.89</v>
      </c>
      <c r="R23" s="43"/>
      <c r="S23" s="43"/>
      <c r="T23" s="43"/>
      <c r="U23" s="43"/>
    </row>
    <row r="24" spans="1:21" s="11" customFormat="1" ht="15">
      <c r="A24" s="53" t="s">
        <v>101</v>
      </c>
      <c r="B24" s="54">
        <v>3.21</v>
      </c>
      <c r="C24" s="54">
        <v>36.46</v>
      </c>
      <c r="D24" s="54">
        <v>21.85</v>
      </c>
      <c r="E24" s="54">
        <v>4.74</v>
      </c>
      <c r="F24" s="54">
        <v>31.41</v>
      </c>
      <c r="G24" s="54">
        <v>48.41</v>
      </c>
      <c r="H24" s="54">
        <v>26.69</v>
      </c>
      <c r="I24" s="54">
        <v>0.85</v>
      </c>
      <c r="J24" s="54">
        <v>0.36</v>
      </c>
      <c r="K24" s="54">
        <v>238.24</v>
      </c>
      <c r="L24" s="54">
        <v>38.21</v>
      </c>
      <c r="M24" s="54">
        <v>15.06</v>
      </c>
      <c r="N24" s="54">
        <v>324.89999999999998</v>
      </c>
      <c r="O24" s="54">
        <v>0</v>
      </c>
      <c r="P24" s="54">
        <v>0.46</v>
      </c>
      <c r="Q24" s="54">
        <v>24.62</v>
      </c>
      <c r="R24" s="43"/>
      <c r="S24" s="43"/>
      <c r="T24" s="43"/>
      <c r="U24" s="43"/>
    </row>
    <row r="25" spans="1:21" s="11" customFormat="1" ht="15">
      <c r="A25" s="53" t="s">
        <v>102</v>
      </c>
      <c r="B25" s="54">
        <v>5.76</v>
      </c>
      <c r="C25" s="54">
        <v>39.22</v>
      </c>
      <c r="D25" s="54">
        <v>26.22</v>
      </c>
      <c r="E25" s="54">
        <v>2.5499999999999998</v>
      </c>
      <c r="F25" s="54">
        <v>20.11</v>
      </c>
      <c r="G25" s="54">
        <v>43.92</v>
      </c>
      <c r="H25" s="54">
        <v>20.37</v>
      </c>
      <c r="I25" s="54">
        <v>0.95</v>
      </c>
      <c r="J25" s="54">
        <v>0.27</v>
      </c>
      <c r="K25" s="54">
        <v>236.35</v>
      </c>
      <c r="L25" s="54">
        <v>37.08</v>
      </c>
      <c r="M25" s="54">
        <v>15.45</v>
      </c>
      <c r="N25" s="54">
        <v>115.30</v>
      </c>
      <c r="O25" s="54">
        <v>0</v>
      </c>
      <c r="P25" s="54">
        <v>0.43</v>
      </c>
      <c r="Q25" s="54">
        <v>23.28</v>
      </c>
      <c r="R25" s="43"/>
      <c r="S25" s="43"/>
      <c r="T25" s="43"/>
      <c r="U25" s="43"/>
    </row>
    <row r="26" spans="1:21" s="11" customFormat="1" ht="15">
      <c r="A26" s="53" t="s">
        <v>103</v>
      </c>
      <c r="B26" s="54">
        <v>18.989999999999998</v>
      </c>
      <c r="C26" s="54">
        <v>59.78</v>
      </c>
      <c r="D26" s="54">
        <v>48.86</v>
      </c>
      <c r="E26" s="54">
        <v>5.63</v>
      </c>
      <c r="F26" s="54">
        <v>32.97</v>
      </c>
      <c r="G26" s="54">
        <v>48.53</v>
      </c>
      <c r="H26" s="54">
        <v>21.51</v>
      </c>
      <c r="I26" s="54">
        <v>0.78</v>
      </c>
      <c r="J26" s="54">
        <v>0.22</v>
      </c>
      <c r="K26" s="54">
        <v>238.39</v>
      </c>
      <c r="L26" s="54">
        <v>37.21</v>
      </c>
      <c r="M26" s="54">
        <v>16.13</v>
      </c>
      <c r="N26" s="54">
        <v>73</v>
      </c>
      <c r="O26" s="54">
        <v>0</v>
      </c>
      <c r="P26" s="54">
        <v>0.49</v>
      </c>
      <c r="Q26" s="54">
        <v>23.53</v>
      </c>
      <c r="R26" s="43"/>
      <c r="S26" s="43"/>
      <c r="T26" s="43"/>
      <c r="U26" s="43"/>
    </row>
    <row r="27" spans="1:21" s="11" customFormat="1" ht="15">
      <c r="A27" s="53" t="s">
        <v>104</v>
      </c>
      <c r="B27" s="54">
        <v>6.17</v>
      </c>
      <c r="C27" s="54">
        <v>46.44</v>
      </c>
      <c r="D27" s="54">
        <v>30.72</v>
      </c>
      <c r="E27" s="54">
        <v>3.45</v>
      </c>
      <c r="F27" s="54">
        <v>14.28</v>
      </c>
      <c r="G27" s="54">
        <v>57.91</v>
      </c>
      <c r="H27" s="54">
        <v>22.99</v>
      </c>
      <c r="I27" s="54">
        <v>0.73</v>
      </c>
      <c r="J27" s="54">
        <v>0.41</v>
      </c>
      <c r="K27" s="54">
        <v>237.98</v>
      </c>
      <c r="L27" s="54">
        <v>35.83</v>
      </c>
      <c r="M27" s="54">
        <v>20.27</v>
      </c>
      <c r="N27" s="54">
        <v>25.40</v>
      </c>
      <c r="O27" s="54">
        <v>0</v>
      </c>
      <c r="P27" s="54">
        <v>0.60</v>
      </c>
      <c r="Q27" s="54">
        <v>22.67</v>
      </c>
      <c r="R27" s="43"/>
      <c r="S27" s="43"/>
      <c r="T27" s="43"/>
      <c r="U27" s="43"/>
    </row>
    <row r="28" spans="1:21" s="11" customFormat="1" ht="15">
      <c r="A28" s="53" t="s">
        <v>105</v>
      </c>
      <c r="B28" s="54">
        <v>35.729999999999997</v>
      </c>
      <c r="C28" s="54">
        <v>78.20</v>
      </c>
      <c r="D28" s="54">
        <v>72.459999999999994</v>
      </c>
      <c r="E28" s="54">
        <v>3.52</v>
      </c>
      <c r="F28" s="54">
        <v>15.04</v>
      </c>
      <c r="G28" s="54">
        <v>64.040000000000006</v>
      </c>
      <c r="H28" s="54">
        <v>25.90</v>
      </c>
      <c r="I28" s="54">
        <v>0.78</v>
      </c>
      <c r="J28" s="54">
        <v>0.16</v>
      </c>
      <c r="K28" s="54">
        <v>252.14</v>
      </c>
      <c r="L28" s="54">
        <v>33.90</v>
      </c>
      <c r="M28" s="54">
        <v>23.90</v>
      </c>
      <c r="N28" s="54">
        <v>5.5</v>
      </c>
      <c r="O28" s="54">
        <v>0</v>
      </c>
      <c r="P28" s="54">
        <v>0.99</v>
      </c>
      <c r="Q28" s="54">
        <v>22.17</v>
      </c>
      <c r="R28" s="43"/>
      <c r="S28" s="43"/>
      <c r="T28" s="43"/>
      <c r="U28" s="43"/>
    </row>
    <row r="29" spans="1:21" s="11" customFormat="1" ht="15">
      <c r="A29" s="53" t="s">
        <v>106</v>
      </c>
      <c r="B29" s="54">
        <v>32.840000000000003</v>
      </c>
      <c r="C29" s="54">
        <v>72.83</v>
      </c>
      <c r="D29" s="54">
        <v>64.33</v>
      </c>
      <c r="E29" s="54">
        <v>5.89</v>
      </c>
      <c r="F29" s="54">
        <v>17.46</v>
      </c>
      <c r="G29" s="54">
        <v>86.87</v>
      </c>
      <c r="H29" s="54">
        <v>32.799999999999997</v>
      </c>
      <c r="I29" s="54">
        <v>0.94</v>
      </c>
      <c r="J29" s="54">
        <v>0.33</v>
      </c>
      <c r="K29" s="54">
        <v>243.96</v>
      </c>
      <c r="L29" s="54">
        <v>32.49</v>
      </c>
      <c r="M29" s="54">
        <v>27.88</v>
      </c>
      <c r="N29" s="54">
        <v>5.5</v>
      </c>
      <c r="O29" s="54">
        <v>0</v>
      </c>
      <c r="P29" s="54">
        <v>1.23</v>
      </c>
      <c r="Q29" s="54">
        <v>22.21</v>
      </c>
      <c r="R29" s="43"/>
      <c r="S29" s="43"/>
      <c r="T29" s="43"/>
      <c r="U29" s="43"/>
    </row>
    <row r="30" spans="1:21" s="11" customFormat="1" ht="15">
      <c r="A30" s="53" t="s">
        <v>107</v>
      </c>
      <c r="B30" s="54">
        <v>40.40</v>
      </c>
      <c r="C30" s="54">
        <v>61.72</v>
      </c>
      <c r="D30" s="54">
        <v>67.11</v>
      </c>
      <c r="E30" s="54">
        <v>4.97</v>
      </c>
      <c r="F30" s="54">
        <v>9.01</v>
      </c>
      <c r="G30" s="54">
        <v>92.47</v>
      </c>
      <c r="H30" s="54">
        <v>34.479999999999997</v>
      </c>
      <c r="I30" s="54">
        <v>0.89</v>
      </c>
      <c r="J30" s="54">
        <v>0.46</v>
      </c>
      <c r="K30" s="54">
        <v>245.92</v>
      </c>
      <c r="L30" s="54">
        <v>31.19</v>
      </c>
      <c r="M30" s="54">
        <v>35.590000000000003</v>
      </c>
      <c r="N30" s="54">
        <v>5</v>
      </c>
      <c r="O30" s="54">
        <v>0</v>
      </c>
      <c r="P30" s="54">
        <v>1.57</v>
      </c>
      <c r="Q30" s="54">
        <v>25.89</v>
      </c>
      <c r="R30" s="43"/>
      <c r="S30" s="43"/>
      <c r="T30" s="43"/>
      <c r="U30" s="43"/>
    </row>
    <row r="31" spans="1:21" s="11" customFormat="1" ht="15">
      <c r="A31" s="53" t="s">
        <v>108</v>
      </c>
      <c r="B31" s="54">
        <v>42.59</v>
      </c>
      <c r="C31" s="54">
        <v>59.81</v>
      </c>
      <c r="D31" s="54">
        <v>67.81</v>
      </c>
      <c r="E31" s="54">
        <v>4.92</v>
      </c>
      <c r="F31" s="54">
        <v>14.94</v>
      </c>
      <c r="G31" s="54">
        <v>92.47</v>
      </c>
      <c r="H31" s="54">
        <v>34.479999999999997</v>
      </c>
      <c r="I31" s="54">
        <v>0.92</v>
      </c>
      <c r="J31" s="54">
        <v>0.39</v>
      </c>
      <c r="K31" s="54">
        <v>250.11</v>
      </c>
      <c r="L31" s="54">
        <v>29.44</v>
      </c>
      <c r="M31" s="54">
        <v>37.840000000000003</v>
      </c>
      <c r="N31" s="54">
        <v>5.40</v>
      </c>
      <c r="O31" s="54">
        <v>0</v>
      </c>
      <c r="P31" s="54">
        <v>1.54</v>
      </c>
      <c r="Q31" s="54">
        <v>26.44</v>
      </c>
      <c r="R31" s="43"/>
      <c r="S31" s="43"/>
      <c r="T31" s="43"/>
      <c r="U31" s="43"/>
    </row>
    <row r="32" spans="1:21" s="11" customFormat="1" ht="15">
      <c r="A32" s="53" t="s">
        <v>109</v>
      </c>
      <c r="B32" s="54">
        <v>25.45</v>
      </c>
      <c r="C32" s="54">
        <v>61.65</v>
      </c>
      <c r="D32" s="54">
        <v>55.08</v>
      </c>
      <c r="E32" s="54">
        <v>5.09</v>
      </c>
      <c r="F32" s="54">
        <v>16.43</v>
      </c>
      <c r="G32" s="54">
        <v>87.71</v>
      </c>
      <c r="H32" s="54">
        <v>33.880000000000003</v>
      </c>
      <c r="I32" s="54">
        <v>0.75</v>
      </c>
      <c r="J32" s="54">
        <v>0.22</v>
      </c>
      <c r="K32" s="54">
        <v>239.24</v>
      </c>
      <c r="L32" s="54">
        <v>29.22</v>
      </c>
      <c r="M32" s="54">
        <v>33.770000000000003</v>
      </c>
      <c r="N32" s="54">
        <v>5.70</v>
      </c>
      <c r="O32" s="54">
        <v>0</v>
      </c>
      <c r="P32" s="54">
        <v>1.46</v>
      </c>
      <c r="Q32" s="54">
        <v>28.21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2.21</v>
      </c>
      <c r="C34" s="28">
        <f t="shared" si="0"/>
        <v>36.460000000000001</v>
      </c>
      <c r="D34" s="28">
        <f t="shared" si="0"/>
        <v>21.850000000000001</v>
      </c>
      <c r="E34" s="28">
        <f t="shared" si="0"/>
        <v>2.5499999999999998</v>
      </c>
      <c r="F34" s="28">
        <f t="shared" si="0"/>
        <v>5.1100000000000003</v>
      </c>
      <c r="G34" s="28">
        <f t="shared" si="0"/>
        <v>43.920000000000002</v>
      </c>
      <c r="H34" s="28">
        <f t="shared" si="0"/>
        <v>20.370000000000001</v>
      </c>
      <c r="I34" s="28">
        <f t="shared" si="0"/>
        <v>0.68999999999999995</v>
      </c>
      <c r="J34" s="28">
        <f t="shared" si="0"/>
        <v>0.089999999999999997</v>
      </c>
      <c r="K34" s="28">
        <f t="shared" si="0"/>
        <v>116.12</v>
      </c>
      <c r="L34" s="28">
        <f t="shared" si="0"/>
        <v>26.73</v>
      </c>
      <c r="M34" s="28">
        <f t="shared" si="0"/>
        <v>14.33</v>
      </c>
      <c r="N34" s="28">
        <f t="shared" si="0"/>
        <v>2.7999999999999998</v>
      </c>
      <c r="O34" s="28">
        <f t="shared" si="0"/>
        <v>0</v>
      </c>
      <c r="P34" s="28">
        <f t="shared" si="0"/>
        <v>0.42999999999999999</v>
      </c>
      <c r="Q34" s="28">
        <f t="shared" si="0"/>
        <v>22.170000000000002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57.109999999999999</v>
      </c>
      <c r="C35" s="29">
        <f t="shared" si="1"/>
        <v>78.200000000000003</v>
      </c>
      <c r="D35" s="29">
        <f t="shared" si="1"/>
        <v>86.5</v>
      </c>
      <c r="E35" s="29">
        <f t="shared" si="1"/>
        <v>79.930000000000007</v>
      </c>
      <c r="F35" s="29">
        <f t="shared" si="1"/>
        <v>69.269999999999996</v>
      </c>
      <c r="G35" s="29">
        <f t="shared" si="1"/>
        <v>180.88999999999999</v>
      </c>
      <c r="H35" s="29">
        <f t="shared" si="1"/>
        <v>73.900000000000006</v>
      </c>
      <c r="I35" s="29">
        <f t="shared" si="1"/>
        <v>1.0900000000000001</v>
      </c>
      <c r="J35" s="29">
        <f t="shared" si="1"/>
        <v>0.77000000000000002</v>
      </c>
      <c r="K35" s="29">
        <f t="shared" si="1"/>
        <v>252.13999999999999</v>
      </c>
      <c r="L35" s="29">
        <f t="shared" si="1"/>
        <v>41.369999999999997</v>
      </c>
      <c r="M35" s="29">
        <f t="shared" si="1"/>
        <v>38.219999999999999</v>
      </c>
      <c r="N35" s="29">
        <f t="shared" si="1"/>
        <v>838</v>
      </c>
      <c r="O35" s="29">
        <f t="shared" si="1"/>
        <v>0</v>
      </c>
      <c r="P35" s="29">
        <f t="shared" si="1"/>
        <v>2.2200000000000002</v>
      </c>
      <c r="Q35" s="29">
        <f t="shared" si="1"/>
        <v>34.450000000000003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20.874999999999996</v>
      </c>
      <c r="C36" s="28">
        <f t="shared" si="2"/>
        <v>55.22625</v>
      </c>
      <c r="D36" s="28">
        <f t="shared" si="2"/>
        <v>46.89083333333334</v>
      </c>
      <c r="E36" s="28">
        <f t="shared" si="2"/>
        <v>19.111249999999995</v>
      </c>
      <c r="F36" s="28">
        <f t="shared" si="2"/>
        <v>23.829583333333332</v>
      </c>
      <c r="G36" s="28">
        <f t="shared" si="2"/>
        <v>102.80541666666666</v>
      </c>
      <c r="H36" s="28">
        <f t="shared" si="2"/>
        <v>47.37916666666667</v>
      </c>
      <c r="I36" s="28">
        <f t="shared" si="2"/>
        <v>0.82250000000000012</v>
      </c>
      <c r="J36" s="28">
        <f t="shared" si="2"/>
        <v>0.36458333333333331</v>
      </c>
      <c r="K36" s="28">
        <f t="shared" si="2"/>
        <v>232.46666666666661</v>
      </c>
      <c r="L36" s="28">
        <f t="shared" si="2"/>
        <v>33.605000000000011</v>
      </c>
      <c r="M36" s="28">
        <f t="shared" si="2"/>
        <v>24.827916666666663</v>
      </c>
      <c r="N36" s="28">
        <f t="shared" si="2"/>
        <v>238.94117647058826</v>
      </c>
      <c r="O36" s="28">
        <f t="shared" si="2"/>
        <v>0</v>
      </c>
      <c r="P36" s="28">
        <f t="shared" si="2"/>
        <v>1.0549999999999999</v>
      </c>
      <c r="Q36" s="28">
        <f t="shared" si="2"/>
        <v>26.175416666666674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16.567334807044126</v>
      </c>
      <c r="C37" s="28">
        <f t="shared" si="3" ref="C37:Q37">STDEV(C9:C32)</f>
        <v>12.132546889327857</v>
      </c>
      <c r="D37" s="28">
        <f t="shared" si="3"/>
        <v>18.68791586227211</v>
      </c>
      <c r="E37" s="28">
        <f t="shared" si="3"/>
        <v>22.060807725466447</v>
      </c>
      <c r="F37" s="28">
        <f t="shared" si="3"/>
        <v>17.148514317488306</v>
      </c>
      <c r="G37" s="28">
        <f t="shared" si="3"/>
        <v>45.058972563902195</v>
      </c>
      <c r="H37" s="28">
        <f t="shared" si="3"/>
        <v>19.120907954762291</v>
      </c>
      <c r="I37" s="28">
        <f t="shared" si="3"/>
        <v>0.10330410993970372</v>
      </c>
      <c r="J37" s="28">
        <f t="shared" si="3"/>
        <v>0.16649792182190895</v>
      </c>
      <c r="K37" s="28">
        <f t="shared" si="3"/>
        <v>26.401397141335327</v>
      </c>
      <c r="L37" s="28">
        <f t="shared" si="3"/>
        <v>5.0045362031555767</v>
      </c>
      <c r="M37" s="28">
        <f t="shared" si="3"/>
        <v>8.4518786073129313</v>
      </c>
      <c r="N37" s="28">
        <f t="shared" si="3"/>
        <v>325.14040247795936</v>
      </c>
      <c r="O37" s="28">
        <f t="shared" si="3"/>
        <v>0</v>
      </c>
      <c r="P37" s="28">
        <f t="shared" si="3"/>
        <v>0.43039920801608095</v>
      </c>
      <c r="Q37" s="28">
        <f t="shared" si="3"/>
        <v>2.8154835543699002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COUNT(N9:N32)+7</f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d27abef-41d2-4c46-acad-d83c794ed10d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63" sqref="I63"/>
    </sheetView>
  </sheetViews>
  <sheetFormatPr defaultColWidth="8.85881696428571" defaultRowHeight="15"/>
  <cols>
    <col min="1" max="1" width="18.2857142857143" style="26" customWidth="1"/>
    <col min="2" max="2" width="13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03-06-2023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110</v>
      </c>
      <c r="B9" s="54">
        <v>18.37</v>
      </c>
      <c r="C9" s="54">
        <v>46.5</v>
      </c>
      <c r="D9" s="54">
        <v>38.90</v>
      </c>
      <c r="E9" s="54">
        <v>4.0999999999999996</v>
      </c>
      <c r="F9" s="54">
        <v>11.45</v>
      </c>
      <c r="G9" s="54">
        <v>69.06</v>
      </c>
      <c r="H9" s="54">
        <v>29.81</v>
      </c>
      <c r="I9" s="54">
        <v>0.92</v>
      </c>
      <c r="J9" s="54">
        <v>0.28999999999999998</v>
      </c>
      <c r="K9" s="54">
        <v>240.09</v>
      </c>
      <c r="L9" s="54">
        <v>28.61</v>
      </c>
      <c r="M9" s="54">
        <v>34.60</v>
      </c>
      <c r="N9" s="54">
        <v>5.60</v>
      </c>
      <c r="O9" s="54">
        <v>0</v>
      </c>
      <c r="P9" s="54">
        <v>1.28</v>
      </c>
      <c r="Q9" s="54">
        <v>28.06</v>
      </c>
      <c r="R9" s="43"/>
      <c r="S9" s="43"/>
      <c r="T9" s="43"/>
      <c r="U9" s="43"/>
    </row>
    <row r="10" spans="1:21" s="11" customFormat="1" ht="15">
      <c r="A10" s="53" t="s">
        <v>111</v>
      </c>
      <c r="B10" s="54">
        <v>11.29</v>
      </c>
      <c r="C10" s="54">
        <v>47.09</v>
      </c>
      <c r="D10" s="54">
        <v>35.69</v>
      </c>
      <c r="E10" s="54">
        <v>7.89</v>
      </c>
      <c r="F10" s="54">
        <v>23.69</v>
      </c>
      <c r="G10" s="54">
        <v>71.66</v>
      </c>
      <c r="H10" s="54">
        <v>29.67</v>
      </c>
      <c r="I10" s="54">
        <v>0.82</v>
      </c>
      <c r="J10" s="54">
        <v>0.44</v>
      </c>
      <c r="K10" s="54">
        <v>242.17</v>
      </c>
      <c r="L10" s="54">
        <v>27.81</v>
      </c>
      <c r="M10" s="54">
        <v>36.31</v>
      </c>
      <c r="N10" s="54">
        <v>5.40</v>
      </c>
      <c r="O10" s="54">
        <v>0</v>
      </c>
      <c r="P10" s="54">
        <v>0.95</v>
      </c>
      <c r="Q10" s="54">
        <v>27.02</v>
      </c>
      <c r="R10" s="43"/>
      <c r="S10" s="43"/>
      <c r="T10" s="43"/>
      <c r="U10" s="43"/>
    </row>
    <row r="11" spans="1:21" s="11" customFormat="1" ht="15">
      <c r="A11" s="53" t="s">
        <v>112</v>
      </c>
      <c r="B11" s="54">
        <v>9.8800000000000008</v>
      </c>
      <c r="C11" s="54">
        <v>33.33</v>
      </c>
      <c r="D11" s="54">
        <v>24.75</v>
      </c>
      <c r="E11" s="54">
        <v>6.22</v>
      </c>
      <c r="F11" s="54">
        <v>25.99</v>
      </c>
      <c r="G11" s="54">
        <v>71.66</v>
      </c>
      <c r="H11" s="54">
        <v>29.39</v>
      </c>
      <c r="I11" s="54">
        <v>0.66</v>
      </c>
      <c r="J11" s="54">
        <v>1.1200000000000001</v>
      </c>
      <c r="K11" s="54">
        <v>237.88</v>
      </c>
      <c r="L11" s="54">
        <v>27.53</v>
      </c>
      <c r="M11" s="54">
        <v>34.28</v>
      </c>
      <c r="N11" s="54">
        <v>5</v>
      </c>
      <c r="O11" s="54">
        <v>0</v>
      </c>
      <c r="P11" s="54">
        <v>0.81</v>
      </c>
      <c r="Q11" s="54">
        <v>27.54</v>
      </c>
      <c r="R11" s="43"/>
      <c r="S11" s="43"/>
      <c r="T11" s="43"/>
      <c r="U11" s="43"/>
    </row>
    <row r="12" spans="1:21" s="11" customFormat="1" ht="15">
      <c r="A12" s="53" t="s">
        <v>113</v>
      </c>
      <c r="B12" s="54">
        <v>5.75</v>
      </c>
      <c r="C12" s="54">
        <v>39.36</v>
      </c>
      <c r="D12" s="54">
        <v>26.12</v>
      </c>
      <c r="E12" s="54">
        <v>6.68</v>
      </c>
      <c r="F12" s="54">
        <v>7.22</v>
      </c>
      <c r="G12" s="54">
        <v>63.78</v>
      </c>
      <c r="H12" s="54">
        <v>28.55</v>
      </c>
      <c r="I12" s="54">
        <v>0.77</v>
      </c>
      <c r="J12" s="54">
        <v>0.82</v>
      </c>
      <c r="K12" s="54">
        <v>246.76</v>
      </c>
      <c r="L12" s="54">
        <v>27.73</v>
      </c>
      <c r="M12" s="54">
        <v>34.229999999999997</v>
      </c>
      <c r="N12" s="54">
        <v>4.80</v>
      </c>
      <c r="O12" s="54">
        <v>0</v>
      </c>
      <c r="P12" s="54">
        <v>0.69</v>
      </c>
      <c r="Q12" s="54">
        <v>25.70</v>
      </c>
      <c r="R12" s="43"/>
      <c r="S12" s="43"/>
      <c r="T12" s="43"/>
      <c r="U12" s="43"/>
    </row>
    <row r="13" spans="1:21" s="11" customFormat="1" ht="15">
      <c r="A13" s="53" t="s">
        <v>114</v>
      </c>
      <c r="B13" s="54">
        <v>4.8099999999999996</v>
      </c>
      <c r="C13" s="54">
        <v>50.51</v>
      </c>
      <c r="D13" s="54">
        <v>31.80</v>
      </c>
      <c r="E13" s="54">
        <v>86.18</v>
      </c>
      <c r="F13" s="54">
        <v>20.68</v>
      </c>
      <c r="G13" s="54">
        <v>76.47</v>
      </c>
      <c r="H13" s="54">
        <v>33.520000000000003</v>
      </c>
      <c r="I13" s="54">
        <v>0.72</v>
      </c>
      <c r="J13" s="54">
        <v>0.77</v>
      </c>
      <c r="K13" s="54">
        <v>243.81</v>
      </c>
      <c r="L13" s="54">
        <v>28.30</v>
      </c>
      <c r="M13" s="54">
        <v>32.89</v>
      </c>
      <c r="N13" s="54">
        <v>5.20</v>
      </c>
      <c r="O13" s="54">
        <v>0</v>
      </c>
      <c r="P13" s="54">
        <v>0.69</v>
      </c>
      <c r="Q13" s="54">
        <v>24.58</v>
      </c>
      <c r="R13" s="43"/>
      <c r="S13" s="43"/>
      <c r="T13" s="43"/>
      <c r="U13" s="43"/>
    </row>
    <row r="14" spans="1:21" s="11" customFormat="1" ht="15">
      <c r="A14" s="53" t="s">
        <v>115</v>
      </c>
      <c r="B14" s="54">
        <v>8.08</v>
      </c>
      <c r="C14" s="54">
        <v>45.79</v>
      </c>
      <c r="D14" s="54">
        <v>32.40</v>
      </c>
      <c r="E14" s="54">
        <v>65.459999999999994</v>
      </c>
      <c r="F14" s="54">
        <v>25.68</v>
      </c>
      <c r="G14" s="54">
        <v>81.010000000000005</v>
      </c>
      <c r="H14" s="54">
        <v>34.47</v>
      </c>
      <c r="I14" s="54">
        <v>0.62</v>
      </c>
      <c r="J14" s="54">
        <v>0.49</v>
      </c>
      <c r="K14" s="54">
        <v>247.08</v>
      </c>
      <c r="L14" s="54">
        <v>28.11</v>
      </c>
      <c r="M14" s="54">
        <v>34.22</v>
      </c>
      <c r="N14" s="54">
        <v>32.799999999999997</v>
      </c>
      <c r="O14" s="54">
        <v>0</v>
      </c>
      <c r="P14" s="54">
        <v>0.72</v>
      </c>
      <c r="Q14" s="54">
        <v>25.5</v>
      </c>
      <c r="R14" s="43"/>
      <c r="S14" s="43"/>
      <c r="T14" s="43"/>
      <c r="U14" s="43"/>
    </row>
    <row r="15" spans="1:21" s="11" customFormat="1" ht="15">
      <c r="A15" s="53" t="s">
        <v>116</v>
      </c>
      <c r="B15" s="54">
        <v>12.10</v>
      </c>
      <c r="C15" s="54">
        <v>51.25</v>
      </c>
      <c r="D15" s="54">
        <v>38.64</v>
      </c>
      <c r="E15" s="54">
        <v>16.739999999999998</v>
      </c>
      <c r="F15" s="54">
        <v>9.19</v>
      </c>
      <c r="G15" s="54">
        <v>88.5</v>
      </c>
      <c r="H15" s="54">
        <v>34.86</v>
      </c>
      <c r="I15" s="54">
        <v>0.86</v>
      </c>
      <c r="J15" s="54">
        <v>0.33</v>
      </c>
      <c r="K15" s="54">
        <v>242.71</v>
      </c>
      <c r="L15" s="54">
        <v>30.90</v>
      </c>
      <c r="M15" s="54">
        <v>35.130000000000003</v>
      </c>
      <c r="N15" s="54">
        <v>199.20</v>
      </c>
      <c r="O15" s="54">
        <v>0</v>
      </c>
      <c r="P15" s="54">
        <v>0.91</v>
      </c>
      <c r="Q15" s="54">
        <v>25.67</v>
      </c>
      <c r="R15" s="43"/>
      <c r="S15" s="43"/>
      <c r="T15" s="43"/>
      <c r="U15" s="43"/>
    </row>
    <row r="16" spans="1:21" s="11" customFormat="1" ht="15">
      <c r="A16" s="53" t="s">
        <v>117</v>
      </c>
      <c r="B16" s="54">
        <v>17.27</v>
      </c>
      <c r="C16" s="54">
        <v>57.87</v>
      </c>
      <c r="D16" s="54">
        <v>45.19</v>
      </c>
      <c r="E16" s="54">
        <v>49.53</v>
      </c>
      <c r="F16" s="54">
        <v>32.03</v>
      </c>
      <c r="G16" s="54">
        <v>96.61</v>
      </c>
      <c r="H16" s="54">
        <v>36.549999999999997</v>
      </c>
      <c r="I16" s="54">
        <v>0.74</v>
      </c>
      <c r="J16" s="54">
        <v>0.55000000000000004</v>
      </c>
      <c r="K16" s="54">
        <v>229.36</v>
      </c>
      <c r="L16" s="54">
        <v>33.24</v>
      </c>
      <c r="M16" s="54">
        <v>29.71</v>
      </c>
      <c r="N16" s="54">
        <v>303.39999999999998</v>
      </c>
      <c r="O16" s="54">
        <v>0</v>
      </c>
      <c r="P16" s="54">
        <v>1.04</v>
      </c>
      <c r="Q16" s="54">
        <v>25.25</v>
      </c>
      <c r="R16" s="43"/>
      <c r="S16" s="43"/>
      <c r="T16" s="43"/>
      <c r="U16" s="43"/>
    </row>
    <row r="17" spans="1:21" s="11" customFormat="1" ht="15">
      <c r="A17" s="53" t="s">
        <v>118</v>
      </c>
      <c r="B17" s="54">
        <v>18.39</v>
      </c>
      <c r="C17" s="54">
        <v>52.70</v>
      </c>
      <c r="D17" s="54">
        <v>44.30</v>
      </c>
      <c r="E17" s="54">
        <v>43.78</v>
      </c>
      <c r="F17" s="54">
        <v>38.11</v>
      </c>
      <c r="G17" s="54">
        <v>101.89</v>
      </c>
      <c r="H17" s="54">
        <v>41.83</v>
      </c>
      <c r="I17" s="54">
        <v>0.62</v>
      </c>
      <c r="J17" s="54">
        <v>0.86</v>
      </c>
      <c r="K17" s="54">
        <v>226.01</v>
      </c>
      <c r="L17" s="54">
        <v>34.35</v>
      </c>
      <c r="M17" s="54">
        <v>29.38</v>
      </c>
      <c r="N17" s="54">
        <v>578.60</v>
      </c>
      <c r="O17" s="54">
        <v>0</v>
      </c>
      <c r="P17" s="54">
        <v>1.06</v>
      </c>
      <c r="Q17" s="54">
        <v>26.99</v>
      </c>
      <c r="R17" s="43"/>
      <c r="S17" s="43"/>
      <c r="T17" s="43"/>
      <c r="U17" s="43"/>
    </row>
    <row r="18" spans="1:21" s="11" customFormat="1" ht="15">
      <c r="A18" s="53" t="s">
        <v>119</v>
      </c>
      <c r="B18" s="54">
        <v>6.45</v>
      </c>
      <c r="C18" s="54">
        <v>60.08</v>
      </c>
      <c r="D18" s="54">
        <v>38.96</v>
      </c>
      <c r="E18" s="54">
        <v>18.29</v>
      </c>
      <c r="F18" s="54">
        <v>14.81</v>
      </c>
      <c r="G18" s="54">
        <v>101.89</v>
      </c>
      <c r="H18" s="54">
        <v>41.83</v>
      </c>
      <c r="I18" s="54">
        <v>0.93</v>
      </c>
      <c r="J18" s="54">
        <v>0.85</v>
      </c>
      <c r="K18" s="54">
        <v>153.97</v>
      </c>
      <c r="L18" s="54">
        <v>35.32</v>
      </c>
      <c r="M18" s="54">
        <v>28.89</v>
      </c>
      <c r="N18" s="54">
        <v>528.40</v>
      </c>
      <c r="O18" s="54">
        <v>0</v>
      </c>
      <c r="P18" s="54">
        <v>1.01</v>
      </c>
      <c r="Q18" s="54">
        <v>26.59</v>
      </c>
      <c r="R18" s="43"/>
      <c r="S18" s="43"/>
      <c r="T18" s="43"/>
      <c r="U18" s="43"/>
    </row>
    <row r="19" spans="1:21" s="11" customFormat="1" ht="15">
      <c r="A19" s="53" t="s">
        <v>120</v>
      </c>
      <c r="B19" s="54">
        <v>7.65</v>
      </c>
      <c r="C19" s="54">
        <v>79.89</v>
      </c>
      <c r="D19" s="54">
        <v>50.88</v>
      </c>
      <c r="E19" s="54">
        <v>24.72</v>
      </c>
      <c r="F19" s="54">
        <v>60.42</v>
      </c>
      <c r="G19" s="56" t="s">
        <v>12</v>
      </c>
      <c r="H19" s="56" t="s">
        <v>12</v>
      </c>
      <c r="I19" s="54">
        <v>0.73</v>
      </c>
      <c r="J19" s="54">
        <v>1.48</v>
      </c>
      <c r="K19" s="54">
        <v>135.94</v>
      </c>
      <c r="L19" s="54">
        <v>36.04</v>
      </c>
      <c r="M19" s="54">
        <v>26.96</v>
      </c>
      <c r="N19" s="54">
        <v>571.20000000000005</v>
      </c>
      <c r="O19" s="54">
        <v>0</v>
      </c>
      <c r="P19" s="54">
        <v>0.89</v>
      </c>
      <c r="Q19" s="54">
        <v>28.51</v>
      </c>
      <c r="R19" s="43"/>
      <c r="S19" s="43"/>
      <c r="T19" s="43"/>
      <c r="U19" s="43"/>
    </row>
    <row r="20" spans="1:21" s="11" customFormat="1" ht="15">
      <c r="A20" s="53" t="s">
        <v>121</v>
      </c>
      <c r="B20" s="54">
        <v>9.17</v>
      </c>
      <c r="C20" s="54">
        <v>41.30</v>
      </c>
      <c r="D20" s="54">
        <v>30.69</v>
      </c>
      <c r="E20" s="54">
        <v>17.22</v>
      </c>
      <c r="F20" s="54">
        <v>60.27</v>
      </c>
      <c r="G20" s="56" t="s">
        <v>12</v>
      </c>
      <c r="H20" s="56" t="s">
        <v>12</v>
      </c>
      <c r="I20" s="54">
        <v>0.68</v>
      </c>
      <c r="J20" s="54">
        <v>0.69</v>
      </c>
      <c r="K20" s="54">
        <v>224.57</v>
      </c>
      <c r="L20" s="54">
        <v>38.729999999999997</v>
      </c>
      <c r="M20" s="54">
        <v>24.29</v>
      </c>
      <c r="N20" s="54">
        <v>404.5</v>
      </c>
      <c r="O20" s="54">
        <v>0</v>
      </c>
      <c r="P20" s="54">
        <v>0.69</v>
      </c>
      <c r="Q20" s="54">
        <v>26.51</v>
      </c>
      <c r="R20" s="43"/>
      <c r="S20" s="43"/>
      <c r="T20" s="43"/>
      <c r="U20" s="43"/>
    </row>
    <row r="21" spans="1:21" s="11" customFormat="1" ht="15">
      <c r="A21" s="53" t="s">
        <v>122</v>
      </c>
      <c r="B21" s="54">
        <v>2.13</v>
      </c>
      <c r="C21" s="54">
        <v>44.67</v>
      </c>
      <c r="D21" s="54">
        <v>27.01</v>
      </c>
      <c r="E21" s="54">
        <v>6.29</v>
      </c>
      <c r="F21" s="54">
        <v>21.89</v>
      </c>
      <c r="G21" s="54">
        <v>46.72</v>
      </c>
      <c r="H21" s="54">
        <v>35.85</v>
      </c>
      <c r="I21" s="54">
        <v>0.73</v>
      </c>
      <c r="J21" s="54">
        <v>0.78</v>
      </c>
      <c r="K21" s="54">
        <v>227</v>
      </c>
      <c r="L21" s="54">
        <v>40.33</v>
      </c>
      <c r="M21" s="54">
        <v>19.07</v>
      </c>
      <c r="N21" s="54">
        <v>357.20</v>
      </c>
      <c r="O21" s="54">
        <v>0</v>
      </c>
      <c r="P21" s="54">
        <v>0.66</v>
      </c>
      <c r="Q21" s="54">
        <v>26.20</v>
      </c>
      <c r="R21" s="43"/>
      <c r="S21" s="43"/>
      <c r="T21" s="43"/>
      <c r="U21" s="43"/>
    </row>
    <row r="22" spans="1:21" s="11" customFormat="1" ht="15">
      <c r="A22" s="53" t="s">
        <v>123</v>
      </c>
      <c r="B22" s="54">
        <v>4.88</v>
      </c>
      <c r="C22" s="54">
        <v>41.85</v>
      </c>
      <c r="D22" s="54">
        <v>26.27</v>
      </c>
      <c r="E22" s="54">
        <v>6.95</v>
      </c>
      <c r="F22" s="54">
        <v>40.85</v>
      </c>
      <c r="G22" s="54">
        <v>50.25</v>
      </c>
      <c r="H22" s="54">
        <v>29.06</v>
      </c>
      <c r="I22" s="54">
        <v>0.63</v>
      </c>
      <c r="J22" s="54">
        <v>1.78</v>
      </c>
      <c r="K22" s="54">
        <v>227.31</v>
      </c>
      <c r="L22" s="54">
        <v>39.94</v>
      </c>
      <c r="M22" s="54">
        <v>20.440000000000001</v>
      </c>
      <c r="N22" s="54">
        <v>333.40</v>
      </c>
      <c r="O22" s="54">
        <v>0</v>
      </c>
      <c r="P22" s="54">
        <v>0.56999999999999995</v>
      </c>
      <c r="Q22" s="54">
        <v>26.08</v>
      </c>
      <c r="R22" s="43"/>
      <c r="S22" s="43"/>
      <c r="T22" s="43"/>
      <c r="U22" s="43"/>
    </row>
    <row r="23" spans="1:21" s="11" customFormat="1" ht="15">
      <c r="A23" s="53" t="s">
        <v>124</v>
      </c>
      <c r="B23" s="54">
        <v>5.45</v>
      </c>
      <c r="C23" s="54">
        <v>40.33</v>
      </c>
      <c r="D23" s="54">
        <v>25.73</v>
      </c>
      <c r="E23" s="54">
        <v>13.92</v>
      </c>
      <c r="F23" s="54">
        <v>52.22</v>
      </c>
      <c r="G23" s="54">
        <v>55.01</v>
      </c>
      <c r="H23" s="54">
        <v>31.31</v>
      </c>
      <c r="I23" s="54">
        <v>0.73</v>
      </c>
      <c r="J23" s="54">
        <v>2.12</v>
      </c>
      <c r="K23" s="54">
        <v>228.70</v>
      </c>
      <c r="L23" s="54">
        <v>38.950000000000003</v>
      </c>
      <c r="M23" s="54">
        <v>22.61</v>
      </c>
      <c r="N23" s="55" t="s">
        <v>14</v>
      </c>
      <c r="O23" s="54">
        <v>0</v>
      </c>
      <c r="P23" s="54">
        <v>0.56000000000000005</v>
      </c>
      <c r="Q23" s="54">
        <v>25.19</v>
      </c>
      <c r="R23" s="43"/>
      <c r="S23" s="43"/>
      <c r="T23" s="43"/>
      <c r="U23" s="43"/>
    </row>
    <row r="24" spans="1:21" s="11" customFormat="1" ht="15">
      <c r="A24" s="53" t="s">
        <v>125</v>
      </c>
      <c r="B24" s="54">
        <v>2.85</v>
      </c>
      <c r="C24" s="54">
        <v>43.08</v>
      </c>
      <c r="D24" s="54">
        <v>25.23</v>
      </c>
      <c r="E24" s="54">
        <v>4.2300000000000004</v>
      </c>
      <c r="F24" s="54">
        <v>13.39</v>
      </c>
      <c r="G24" s="54">
        <v>57.26</v>
      </c>
      <c r="H24" s="54">
        <v>27.44</v>
      </c>
      <c r="I24" s="54">
        <v>0.73</v>
      </c>
      <c r="J24" s="54">
        <v>0.14000000000000001</v>
      </c>
      <c r="K24" s="54">
        <v>242.41</v>
      </c>
      <c r="L24" s="54">
        <v>34.26</v>
      </c>
      <c r="M24" s="54">
        <v>31.99</v>
      </c>
      <c r="N24" s="54">
        <v>98.40</v>
      </c>
      <c r="O24" s="54">
        <v>0</v>
      </c>
      <c r="P24" s="54">
        <v>0.63</v>
      </c>
      <c r="Q24" s="54">
        <v>25.16</v>
      </c>
      <c r="R24" s="43"/>
      <c r="S24" s="43"/>
      <c r="T24" s="43"/>
      <c r="U24" s="43"/>
    </row>
    <row r="25" spans="1:21" s="11" customFormat="1" ht="15">
      <c r="A25" s="53" t="s">
        <v>126</v>
      </c>
      <c r="B25" s="54">
        <v>11.29</v>
      </c>
      <c r="C25" s="54">
        <v>56.80</v>
      </c>
      <c r="D25" s="54">
        <v>41.05</v>
      </c>
      <c r="E25" s="54">
        <v>9.94</v>
      </c>
      <c r="F25" s="54">
        <v>63.10</v>
      </c>
      <c r="G25" s="54">
        <v>59.76</v>
      </c>
      <c r="H25" s="54">
        <v>29.26</v>
      </c>
      <c r="I25" s="54">
        <v>0.69</v>
      </c>
      <c r="J25" s="54">
        <v>0.31</v>
      </c>
      <c r="K25" s="54">
        <v>228.5</v>
      </c>
      <c r="L25" s="54">
        <v>35.520000000000003</v>
      </c>
      <c r="M25" s="54">
        <v>27.87</v>
      </c>
      <c r="N25" s="54">
        <v>129.10</v>
      </c>
      <c r="O25" s="54">
        <v>0</v>
      </c>
      <c r="P25" s="54">
        <v>0.67</v>
      </c>
      <c r="Q25" s="54">
        <v>26.25</v>
      </c>
      <c r="R25" s="43"/>
      <c r="S25" s="43"/>
      <c r="T25" s="43"/>
      <c r="U25" s="43"/>
    </row>
    <row r="26" spans="1:21" s="11" customFormat="1" ht="15">
      <c r="A26" s="53" t="s">
        <v>127</v>
      </c>
      <c r="B26" s="54">
        <v>16.41</v>
      </c>
      <c r="C26" s="54">
        <v>73.14</v>
      </c>
      <c r="D26" s="54">
        <v>54.17</v>
      </c>
      <c r="E26" s="54">
        <v>10.65</v>
      </c>
      <c r="F26" s="54">
        <v>61.89</v>
      </c>
      <c r="G26" s="54">
        <v>62.51</v>
      </c>
      <c r="H26" s="54">
        <v>29.65</v>
      </c>
      <c r="I26" s="54">
        <v>0.67</v>
      </c>
      <c r="J26" s="54">
        <v>0.24</v>
      </c>
      <c r="K26" s="54">
        <v>236.62</v>
      </c>
      <c r="L26" s="54">
        <v>35.92</v>
      </c>
      <c r="M26" s="54">
        <v>28.43</v>
      </c>
      <c r="N26" s="54">
        <v>116.40</v>
      </c>
      <c r="O26" s="54">
        <v>0</v>
      </c>
      <c r="P26" s="54">
        <v>0.84</v>
      </c>
      <c r="Q26" s="54">
        <v>24.83</v>
      </c>
      <c r="R26" s="43"/>
      <c r="S26" s="43"/>
      <c r="T26" s="43"/>
      <c r="U26" s="43"/>
    </row>
    <row r="27" spans="1:21" s="11" customFormat="1" ht="15">
      <c r="A27" s="53" t="s">
        <v>128</v>
      </c>
      <c r="B27" s="54">
        <v>29.33</v>
      </c>
      <c r="C27" s="54">
        <v>104.18</v>
      </c>
      <c r="D27" s="54">
        <v>81.66</v>
      </c>
      <c r="E27" s="54">
        <v>6.31</v>
      </c>
      <c r="F27" s="54">
        <v>16.62</v>
      </c>
      <c r="G27" s="54">
        <v>72.02</v>
      </c>
      <c r="H27" s="54">
        <v>31.51</v>
      </c>
      <c r="I27" s="54">
        <v>0.82</v>
      </c>
      <c r="J27" s="54">
        <v>0.13</v>
      </c>
      <c r="K27" s="54">
        <v>326.37</v>
      </c>
      <c r="L27" s="54">
        <v>33.979999999999997</v>
      </c>
      <c r="M27" s="54">
        <v>31.96</v>
      </c>
      <c r="N27" s="54">
        <v>23</v>
      </c>
      <c r="O27" s="54">
        <v>0</v>
      </c>
      <c r="P27" s="54">
        <v>1.59</v>
      </c>
      <c r="Q27" s="54">
        <v>24.52</v>
      </c>
      <c r="R27" s="43"/>
      <c r="S27" s="43"/>
      <c r="T27" s="43"/>
      <c r="U27" s="43"/>
    </row>
    <row r="28" spans="1:21" s="11" customFormat="1" ht="15">
      <c r="A28" s="53" t="s">
        <v>129</v>
      </c>
      <c r="B28" s="54">
        <v>145.63999999999999</v>
      </c>
      <c r="C28" s="54">
        <v>134.63</v>
      </c>
      <c r="D28" s="54">
        <v>191.74</v>
      </c>
      <c r="E28" s="54">
        <v>8.51</v>
      </c>
      <c r="F28" s="54">
        <v>4.84</v>
      </c>
      <c r="G28" s="54">
        <v>128.49</v>
      </c>
      <c r="H28" s="54">
        <v>46.69</v>
      </c>
      <c r="I28" s="54">
        <v>1.28</v>
      </c>
      <c r="J28" s="54">
        <v>0.10</v>
      </c>
      <c r="K28" s="54">
        <v>224.59</v>
      </c>
      <c r="L28" s="54">
        <v>31.33</v>
      </c>
      <c r="M28" s="54">
        <v>40.40</v>
      </c>
      <c r="N28" s="54">
        <v>5.5</v>
      </c>
      <c r="O28" s="54">
        <v>0</v>
      </c>
      <c r="P28" s="54">
        <v>2.06</v>
      </c>
      <c r="Q28" s="54">
        <v>20.91</v>
      </c>
      <c r="R28" s="43"/>
      <c r="S28" s="43"/>
      <c r="T28" s="43"/>
      <c r="U28" s="43"/>
    </row>
    <row r="29" spans="1:21" s="11" customFormat="1" ht="15">
      <c r="A29" s="53" t="s">
        <v>130</v>
      </c>
      <c r="B29" s="54">
        <v>159.08000000000001</v>
      </c>
      <c r="C29" s="54">
        <v>119.85</v>
      </c>
      <c r="D29" s="54">
        <v>194.35</v>
      </c>
      <c r="E29" s="54">
        <v>6.78</v>
      </c>
      <c r="F29" s="54">
        <v>4.4800000000000004</v>
      </c>
      <c r="G29" s="54">
        <v>204.05</v>
      </c>
      <c r="H29" s="54">
        <v>63.67</v>
      </c>
      <c r="I29" s="54">
        <v>1.83</v>
      </c>
      <c r="J29" s="54">
        <v>0.14000000000000001</v>
      </c>
      <c r="K29" s="54">
        <v>230.16</v>
      </c>
      <c r="L29" s="54">
        <v>29.72</v>
      </c>
      <c r="M29" s="54">
        <v>48.52</v>
      </c>
      <c r="N29" s="54">
        <v>5.40</v>
      </c>
      <c r="O29" s="54">
        <v>0</v>
      </c>
      <c r="P29" s="54">
        <v>3.16</v>
      </c>
      <c r="Q29" s="54">
        <v>30.05</v>
      </c>
      <c r="R29" s="43"/>
      <c r="S29" s="43"/>
      <c r="T29" s="43"/>
      <c r="U29" s="43"/>
    </row>
    <row r="30" spans="1:21" s="11" customFormat="1" ht="15">
      <c r="A30" s="53" t="s">
        <v>131</v>
      </c>
      <c r="B30" s="54">
        <v>168.30</v>
      </c>
      <c r="C30" s="54">
        <v>99.02</v>
      </c>
      <c r="D30" s="54">
        <v>187.80</v>
      </c>
      <c r="E30" s="54">
        <v>5.5</v>
      </c>
      <c r="F30" s="54">
        <v>4.26</v>
      </c>
      <c r="G30" s="54">
        <v>202.05</v>
      </c>
      <c r="H30" s="54">
        <v>81.80</v>
      </c>
      <c r="I30" s="54">
        <v>2.11</v>
      </c>
      <c r="J30" s="54">
        <v>0.11</v>
      </c>
      <c r="K30" s="54">
        <v>249.06</v>
      </c>
      <c r="L30" s="54">
        <v>28.94</v>
      </c>
      <c r="M30" s="54">
        <v>48.33</v>
      </c>
      <c r="N30" s="54">
        <v>5.20</v>
      </c>
      <c r="O30" s="54">
        <v>0</v>
      </c>
      <c r="P30" s="54">
        <v>4.66</v>
      </c>
      <c r="Q30" s="54">
        <v>37.07</v>
      </c>
      <c r="R30" s="43"/>
      <c r="S30" s="43"/>
      <c r="T30" s="43"/>
      <c r="U30" s="43"/>
    </row>
    <row r="31" spans="1:21" s="11" customFormat="1" ht="15">
      <c r="A31" s="53" t="s">
        <v>132</v>
      </c>
      <c r="B31" s="54">
        <v>93.63</v>
      </c>
      <c r="C31" s="54">
        <v>127.06</v>
      </c>
      <c r="D31" s="54">
        <v>144.26</v>
      </c>
      <c r="E31" s="54">
        <v>7.53</v>
      </c>
      <c r="F31" s="54">
        <v>15.12</v>
      </c>
      <c r="G31" s="54">
        <v>148.74</v>
      </c>
      <c r="H31" s="54">
        <v>93.14</v>
      </c>
      <c r="I31" s="54">
        <v>1.96</v>
      </c>
      <c r="J31" s="54">
        <v>0.36</v>
      </c>
      <c r="K31" s="54">
        <v>223.12</v>
      </c>
      <c r="L31" s="54">
        <v>29.56</v>
      </c>
      <c r="M31" s="54">
        <v>42.46</v>
      </c>
      <c r="N31" s="54">
        <v>4.5999999999999996</v>
      </c>
      <c r="O31" s="54">
        <v>0</v>
      </c>
      <c r="P31" s="54">
        <v>4.79</v>
      </c>
      <c r="Q31" s="54">
        <v>43.80</v>
      </c>
      <c r="R31" s="43"/>
      <c r="S31" s="43"/>
      <c r="T31" s="43"/>
      <c r="U31" s="43"/>
    </row>
    <row r="32" spans="1:21" s="11" customFormat="1" ht="15">
      <c r="A32" s="53" t="s">
        <v>133</v>
      </c>
      <c r="B32" s="54">
        <v>86.65</v>
      </c>
      <c r="C32" s="54">
        <v>62.93</v>
      </c>
      <c r="D32" s="54">
        <v>101.13</v>
      </c>
      <c r="E32" s="54">
        <v>9.2200000000000006</v>
      </c>
      <c r="F32" s="54">
        <v>19.79</v>
      </c>
      <c r="G32" s="54">
        <v>148.74</v>
      </c>
      <c r="H32" s="54">
        <v>76.69</v>
      </c>
      <c r="I32" s="54">
        <v>1.44</v>
      </c>
      <c r="J32" s="54">
        <v>0.54</v>
      </c>
      <c r="K32" s="54">
        <v>236.12</v>
      </c>
      <c r="L32" s="54">
        <v>29</v>
      </c>
      <c r="M32" s="54">
        <v>37.68</v>
      </c>
      <c r="N32" s="54">
        <v>5.40</v>
      </c>
      <c r="O32" s="54">
        <v>0</v>
      </c>
      <c r="P32" s="54">
        <v>4.34</v>
      </c>
      <c r="Q32" s="54">
        <v>44.68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2.1299999999999999</v>
      </c>
      <c r="C34" s="28">
        <f t="shared" si="0"/>
        <v>33.329999999999998</v>
      </c>
      <c r="D34" s="28">
        <f t="shared" si="0"/>
        <v>24.75</v>
      </c>
      <c r="E34" s="28">
        <f t="shared" si="0"/>
        <v>4.0999999999999996</v>
      </c>
      <c r="F34" s="28">
        <f t="shared" si="0"/>
        <v>4.2599999999999998</v>
      </c>
      <c r="G34" s="28">
        <f t="shared" si="0"/>
        <v>46.719999999999999</v>
      </c>
      <c r="H34" s="28">
        <f t="shared" si="0"/>
        <v>27.440000000000001</v>
      </c>
      <c r="I34" s="28">
        <f t="shared" si="0"/>
        <v>0.62</v>
      </c>
      <c r="J34" s="28">
        <f t="shared" si="0"/>
        <v>0.10000000000000001</v>
      </c>
      <c r="K34" s="28">
        <f t="shared" si="0"/>
        <v>135.94</v>
      </c>
      <c r="L34" s="28">
        <f t="shared" si="0"/>
        <v>27.530000000000001</v>
      </c>
      <c r="M34" s="28">
        <f t="shared" si="0"/>
        <v>19.07</v>
      </c>
      <c r="N34" s="28">
        <f t="shared" si="0"/>
        <v>4.5999999999999996</v>
      </c>
      <c r="O34" s="28">
        <f t="shared" si="0"/>
        <v>0</v>
      </c>
      <c r="P34" s="28">
        <f t="shared" si="0"/>
        <v>0.56000000000000005</v>
      </c>
      <c r="Q34" s="28">
        <f t="shared" si="0"/>
        <v>20.91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168.30000000000001</v>
      </c>
      <c r="C35" s="29">
        <f t="shared" si="1"/>
        <v>134.63</v>
      </c>
      <c r="D35" s="29">
        <f t="shared" si="1"/>
        <v>194.34999999999999</v>
      </c>
      <c r="E35" s="29">
        <f t="shared" si="1"/>
        <v>86.180000000000007</v>
      </c>
      <c r="F35" s="29">
        <f t="shared" si="1"/>
        <v>63.100000000000001</v>
      </c>
      <c r="G35" s="29">
        <f t="shared" si="1"/>
        <v>204.05000000000001</v>
      </c>
      <c r="H35" s="29">
        <f t="shared" si="1"/>
        <v>93.140000000000001</v>
      </c>
      <c r="I35" s="29">
        <f t="shared" si="1"/>
        <v>2.1099999999999999</v>
      </c>
      <c r="J35" s="29">
        <f t="shared" si="1"/>
        <v>2.1200000000000001</v>
      </c>
      <c r="K35" s="29">
        <f t="shared" si="1"/>
        <v>326.37</v>
      </c>
      <c r="L35" s="29">
        <f t="shared" si="1"/>
        <v>40.329999999999998</v>
      </c>
      <c r="M35" s="29">
        <f t="shared" si="1"/>
        <v>48.520000000000003</v>
      </c>
      <c r="N35" s="29">
        <f t="shared" si="1"/>
        <v>578.60000000000002</v>
      </c>
      <c r="O35" s="29">
        <f t="shared" si="1"/>
        <v>0</v>
      </c>
      <c r="P35" s="29">
        <f t="shared" si="1"/>
        <v>4.79</v>
      </c>
      <c r="Q35" s="29">
        <f t="shared" si="1"/>
        <v>44.68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35.618749999999999</v>
      </c>
      <c r="C36" s="28">
        <f t="shared" si="2"/>
        <v>64.717083333333321</v>
      </c>
      <c r="D36" s="28">
        <f t="shared" si="2"/>
        <v>64.11333333333333</v>
      </c>
      <c r="E36" s="28">
        <f t="shared" si="2"/>
        <v>18.443333333333335</v>
      </c>
      <c r="F36" s="28">
        <f t="shared" si="2"/>
        <v>26.999583333333334</v>
      </c>
      <c r="G36" s="28">
        <f t="shared" si="2"/>
        <v>93.551363636363646</v>
      </c>
      <c r="H36" s="28">
        <f t="shared" si="2"/>
        <v>41.661363636363632</v>
      </c>
      <c r="I36" s="28">
        <f t="shared" si="2"/>
        <v>0.94541666666666668</v>
      </c>
      <c r="J36" s="28">
        <f t="shared" si="2"/>
        <v>0.6433333333333332</v>
      </c>
      <c r="K36" s="28">
        <f t="shared" si="2"/>
        <v>231.26291666666665</v>
      </c>
      <c r="L36" s="28">
        <f t="shared" si="2"/>
        <v>32.671666666666674</v>
      </c>
      <c r="M36" s="28">
        <f t="shared" si="2"/>
        <v>32.52708333333333</v>
      </c>
      <c r="N36" s="28">
        <f t="shared" si="2"/>
        <v>162.07391304347829</v>
      </c>
      <c r="O36" s="28">
        <f t="shared" si="2"/>
        <v>0</v>
      </c>
      <c r="P36" s="28">
        <f t="shared" si="2"/>
        <v>1.4695833333333332</v>
      </c>
      <c r="Q36" s="28">
        <f t="shared" si="2"/>
        <v>28.027499999999993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52.602993658610593</v>
      </c>
      <c r="C37" s="28">
        <f t="shared" si="3" ref="C37:Q37">STDEV(C9:C32)</f>
        <v>29.982694063360999</v>
      </c>
      <c r="D37" s="28">
        <f t="shared" si="3"/>
        <v>56.293424951353103</v>
      </c>
      <c r="E37" s="28">
        <f t="shared" si="3"/>
        <v>21.310135915888075</v>
      </c>
      <c r="F37" s="28">
        <f t="shared" si="3"/>
        <v>19.672260425625293</v>
      </c>
      <c r="G37" s="28">
        <f t="shared" si="3"/>
        <v>45.670407976266375</v>
      </c>
      <c r="H37" s="28">
        <f t="shared" si="3"/>
        <v>19.14617288512736</v>
      </c>
      <c r="I37" s="28">
        <f t="shared" si="3"/>
        <v>0.44124309741285755</v>
      </c>
      <c r="J37" s="28">
        <f t="shared" si="3"/>
        <v>0.53441285674025063</v>
      </c>
      <c r="K37" s="28">
        <f t="shared" si="3"/>
        <v>33.527942464544324</v>
      </c>
      <c r="L37" s="28">
        <f t="shared" si="3"/>
        <v>4.2408373523721892</v>
      </c>
      <c r="M37" s="28">
        <f t="shared" si="3"/>
        <v>7.580268711060576</v>
      </c>
      <c r="N37" s="28">
        <f t="shared" si="3"/>
        <v>203.60014560048219</v>
      </c>
      <c r="O37" s="28">
        <f t="shared" si="3"/>
        <v>0</v>
      </c>
      <c r="P37" s="28">
        <f t="shared" si="3"/>
        <v>1.3357150150572075</v>
      </c>
      <c r="Q37" s="28">
        <f t="shared" si="3"/>
        <v>5.7316112386749412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COUNT(N9:N32)+1</f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e799749-1552-471c-b8ef-a7e87bb9b87a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49" sqref="I49"/>
    </sheetView>
  </sheetViews>
  <sheetFormatPr defaultColWidth="8.85881696428571" defaultRowHeight="15"/>
  <cols>
    <col min="1" max="1" width="18.2857142857143" style="26" customWidth="1"/>
    <col min="2" max="2" width="16.8571428571429" style="20" customWidth="1"/>
    <col min="3" max="3" width="10.142857142857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04-06-2023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134</v>
      </c>
      <c r="B9" s="54">
        <v>57.85</v>
      </c>
      <c r="C9" s="54">
        <v>54.47</v>
      </c>
      <c r="D9" s="54">
        <v>77.099999999999994</v>
      </c>
      <c r="E9" s="54">
        <v>4.6500000000000004</v>
      </c>
      <c r="F9" s="54">
        <v>8.26</v>
      </c>
      <c r="G9" s="54">
        <v>97.80</v>
      </c>
      <c r="H9" s="54">
        <v>60.29</v>
      </c>
      <c r="I9" s="54">
        <v>1.56</v>
      </c>
      <c r="J9" s="54">
        <v>0.59</v>
      </c>
      <c r="K9" s="54">
        <v>226.51</v>
      </c>
      <c r="L9" s="54">
        <v>28.12</v>
      </c>
      <c r="M9" s="54">
        <v>40.29</v>
      </c>
      <c r="N9" s="54">
        <v>5</v>
      </c>
      <c r="O9" s="54">
        <v>0</v>
      </c>
      <c r="P9" s="54">
        <v>2.86</v>
      </c>
      <c r="Q9" s="54">
        <v>35.619999999999997</v>
      </c>
      <c r="R9" s="43"/>
      <c r="S9" s="43"/>
      <c r="T9" s="43"/>
      <c r="U9" s="43"/>
    </row>
    <row r="10" spans="1:21" s="11" customFormat="1" ht="15">
      <c r="A10" s="53" t="s">
        <v>135</v>
      </c>
      <c r="B10" s="54">
        <v>11.34</v>
      </c>
      <c r="C10" s="54">
        <v>31.60</v>
      </c>
      <c r="D10" s="54">
        <v>27.18</v>
      </c>
      <c r="E10" s="54">
        <v>6.94</v>
      </c>
      <c r="F10" s="54">
        <v>32.869999999999997</v>
      </c>
      <c r="G10" s="54">
        <v>60.67</v>
      </c>
      <c r="H10" s="54">
        <v>37.520000000000003</v>
      </c>
      <c r="I10" s="54">
        <v>1.04</v>
      </c>
      <c r="J10" s="54">
        <v>0.66</v>
      </c>
      <c r="K10" s="54">
        <v>249.28</v>
      </c>
      <c r="L10" s="54">
        <v>27.86</v>
      </c>
      <c r="M10" s="54">
        <v>39.99</v>
      </c>
      <c r="N10" s="54">
        <v>1.70</v>
      </c>
      <c r="O10" s="54">
        <v>0</v>
      </c>
      <c r="P10" s="54">
        <v>1.82</v>
      </c>
      <c r="Q10" s="54">
        <v>35.03</v>
      </c>
      <c r="R10" s="43"/>
      <c r="S10" s="43"/>
      <c r="T10" s="43"/>
      <c r="U10" s="43"/>
    </row>
    <row r="11" spans="1:21" s="11" customFormat="1" ht="15">
      <c r="A11" s="53" t="s">
        <v>136</v>
      </c>
      <c r="B11" s="54">
        <v>20.260000000000002</v>
      </c>
      <c r="C11" s="54">
        <v>43.85</v>
      </c>
      <c r="D11" s="54">
        <v>40.869999999999997</v>
      </c>
      <c r="E11" s="54">
        <v>9.99</v>
      </c>
      <c r="F11" s="54">
        <v>19.98</v>
      </c>
      <c r="G11" s="54">
        <v>48.70</v>
      </c>
      <c r="H11" s="54">
        <v>29.90</v>
      </c>
      <c r="I11" s="54">
        <v>0.94</v>
      </c>
      <c r="J11" s="54">
        <v>0.90</v>
      </c>
      <c r="K11" s="54">
        <v>233.12</v>
      </c>
      <c r="L11" s="54">
        <v>28.07</v>
      </c>
      <c r="M11" s="54">
        <v>38.71</v>
      </c>
      <c r="N11" s="54">
        <v>5</v>
      </c>
      <c r="O11" s="54">
        <v>0</v>
      </c>
      <c r="P11" s="54">
        <v>1.54</v>
      </c>
      <c r="Q11" s="54">
        <v>32.56</v>
      </c>
      <c r="R11" s="43"/>
      <c r="S11" s="43"/>
      <c r="T11" s="43"/>
      <c r="U11" s="43"/>
    </row>
    <row r="12" spans="1:21" s="11" customFormat="1" ht="15">
      <c r="A12" s="53" t="s">
        <v>137</v>
      </c>
      <c r="B12" s="54">
        <v>8.64</v>
      </c>
      <c r="C12" s="54">
        <v>49.37</v>
      </c>
      <c r="D12" s="54">
        <v>33.270000000000003</v>
      </c>
      <c r="E12" s="54">
        <v>13.47</v>
      </c>
      <c r="F12" s="54">
        <v>11.5</v>
      </c>
      <c r="G12" s="54">
        <v>68.80</v>
      </c>
      <c r="H12" s="54">
        <v>34.549999999999997</v>
      </c>
      <c r="I12" s="54">
        <v>0.83</v>
      </c>
      <c r="J12" s="54">
        <v>0.70</v>
      </c>
      <c r="K12" s="54">
        <v>234.57</v>
      </c>
      <c r="L12" s="54">
        <v>28.08</v>
      </c>
      <c r="M12" s="54">
        <v>38.36</v>
      </c>
      <c r="N12" s="54">
        <v>6</v>
      </c>
      <c r="O12" s="54">
        <v>0</v>
      </c>
      <c r="P12" s="54">
        <v>1.1299999999999999</v>
      </c>
      <c r="Q12" s="54">
        <v>29.66</v>
      </c>
      <c r="R12" s="43"/>
      <c r="S12" s="43"/>
      <c r="T12" s="43"/>
      <c r="U12" s="43"/>
    </row>
    <row r="13" spans="1:21" s="11" customFormat="1" ht="15">
      <c r="A13" s="53" t="s">
        <v>138</v>
      </c>
      <c r="B13" s="54">
        <v>7.73</v>
      </c>
      <c r="C13" s="54">
        <v>46.84</v>
      </c>
      <c r="D13" s="54">
        <v>29.27</v>
      </c>
      <c r="E13" s="54">
        <v>45.37</v>
      </c>
      <c r="F13" s="54">
        <v>17.20</v>
      </c>
      <c r="G13" s="54">
        <v>78.069999999999993</v>
      </c>
      <c r="H13" s="54">
        <v>36.58</v>
      </c>
      <c r="I13" s="54">
        <v>0.67</v>
      </c>
      <c r="J13" s="54">
        <v>0.66</v>
      </c>
      <c r="K13" s="54">
        <v>224.80</v>
      </c>
      <c r="L13" s="54">
        <v>27.31</v>
      </c>
      <c r="M13" s="54">
        <v>49.70</v>
      </c>
      <c r="N13" s="54">
        <v>6</v>
      </c>
      <c r="O13" s="54">
        <v>0</v>
      </c>
      <c r="P13" s="54">
        <v>0.91</v>
      </c>
      <c r="Q13" s="54">
        <v>28.59</v>
      </c>
      <c r="R13" s="43"/>
      <c r="S13" s="43"/>
      <c r="T13" s="43"/>
      <c r="U13" s="43"/>
    </row>
    <row r="14" spans="1:21" s="11" customFormat="1" ht="15">
      <c r="A14" s="53" t="s">
        <v>139</v>
      </c>
      <c r="B14" s="54">
        <v>19.84</v>
      </c>
      <c r="C14" s="54">
        <v>43.84</v>
      </c>
      <c r="D14" s="54">
        <v>40.75</v>
      </c>
      <c r="E14" s="54">
        <v>6.91</v>
      </c>
      <c r="F14" s="54">
        <v>5.99</v>
      </c>
      <c r="G14" s="54">
        <v>61.95</v>
      </c>
      <c r="H14" s="54">
        <v>31.40</v>
      </c>
      <c r="I14" s="54">
        <v>0.76</v>
      </c>
      <c r="J14" s="54">
        <v>0.11</v>
      </c>
      <c r="K14" s="54">
        <v>332.68</v>
      </c>
      <c r="L14" s="54">
        <v>25.17</v>
      </c>
      <c r="M14" s="54">
        <v>53.86</v>
      </c>
      <c r="N14" s="54">
        <v>52.60</v>
      </c>
      <c r="O14" s="54">
        <v>0</v>
      </c>
      <c r="P14" s="54">
        <v>0.84</v>
      </c>
      <c r="Q14" s="54">
        <v>29.01</v>
      </c>
      <c r="R14" s="43"/>
      <c r="S14" s="43"/>
      <c r="T14" s="43"/>
      <c r="U14" s="43"/>
    </row>
    <row r="15" spans="1:21" s="11" customFormat="1" ht="15">
      <c r="A15" s="53" t="s">
        <v>140</v>
      </c>
      <c r="B15" s="54">
        <v>23.41</v>
      </c>
      <c r="C15" s="54">
        <v>46.11</v>
      </c>
      <c r="D15" s="54">
        <v>44.86</v>
      </c>
      <c r="E15" s="54">
        <v>3.15</v>
      </c>
      <c r="F15" s="54">
        <v>9.14</v>
      </c>
      <c r="G15" s="54">
        <v>74.45</v>
      </c>
      <c r="H15" s="54">
        <v>37.479999999999997</v>
      </c>
      <c r="I15" s="54">
        <v>0.88</v>
      </c>
      <c r="J15" s="54">
        <v>0.84</v>
      </c>
      <c r="K15" s="54">
        <v>237.15</v>
      </c>
      <c r="L15" s="54">
        <v>29.31</v>
      </c>
      <c r="M15" s="54">
        <v>46.53</v>
      </c>
      <c r="N15" s="54">
        <v>84.60</v>
      </c>
      <c r="O15" s="54">
        <v>0</v>
      </c>
      <c r="P15" s="54">
        <v>0.87</v>
      </c>
      <c r="Q15" s="54">
        <v>29.64</v>
      </c>
      <c r="R15" s="43"/>
      <c r="S15" s="43"/>
      <c r="T15" s="43"/>
      <c r="U15" s="43"/>
    </row>
    <row r="16" spans="1:21" s="11" customFormat="1" ht="15">
      <c r="A16" s="53" t="s">
        <v>141</v>
      </c>
      <c r="B16" s="54">
        <v>22.26</v>
      </c>
      <c r="C16" s="54">
        <v>48.21</v>
      </c>
      <c r="D16" s="54">
        <v>45.10</v>
      </c>
      <c r="E16" s="54">
        <v>9.0399999999999991</v>
      </c>
      <c r="F16" s="54">
        <v>23.63</v>
      </c>
      <c r="G16" s="54">
        <v>96.29</v>
      </c>
      <c r="H16" s="54">
        <v>40.54</v>
      </c>
      <c r="I16" s="54">
        <v>0.71</v>
      </c>
      <c r="J16" s="54">
        <v>0.78</v>
      </c>
      <c r="K16" s="54">
        <v>234.13</v>
      </c>
      <c r="L16" s="54">
        <v>33.83</v>
      </c>
      <c r="M16" s="54">
        <v>36.270000000000003</v>
      </c>
      <c r="N16" s="54">
        <v>0</v>
      </c>
      <c r="O16" s="54">
        <v>0</v>
      </c>
      <c r="P16" s="54">
        <v>0.91</v>
      </c>
      <c r="Q16" s="54">
        <v>29.74</v>
      </c>
      <c r="R16" s="43"/>
      <c r="S16" s="43"/>
      <c r="T16" s="43"/>
      <c r="U16" s="43"/>
    </row>
    <row r="17" spans="1:21" s="11" customFormat="1" ht="15">
      <c r="A17" s="53" t="s">
        <v>142</v>
      </c>
      <c r="B17" s="54">
        <v>16.20</v>
      </c>
      <c r="C17" s="54">
        <v>52.80</v>
      </c>
      <c r="D17" s="54">
        <v>38.729999999999997</v>
      </c>
      <c r="E17" s="54">
        <v>6.76</v>
      </c>
      <c r="F17" s="54">
        <v>6.82</v>
      </c>
      <c r="G17" s="54">
        <v>75.42</v>
      </c>
      <c r="H17" s="54">
        <v>40.520000000000003</v>
      </c>
      <c r="I17" s="54">
        <v>0.82</v>
      </c>
      <c r="J17" s="54">
        <v>1.90</v>
      </c>
      <c r="K17" s="54">
        <v>232.20</v>
      </c>
      <c r="L17" s="54">
        <v>35.159999999999997</v>
      </c>
      <c r="M17" s="54">
        <v>30.66</v>
      </c>
      <c r="N17" s="54">
        <v>0</v>
      </c>
      <c r="O17" s="54">
        <v>0</v>
      </c>
      <c r="P17" s="54">
        <v>0.90</v>
      </c>
      <c r="Q17" s="54">
        <v>28.38</v>
      </c>
      <c r="R17" s="43"/>
      <c r="S17" s="43"/>
      <c r="T17" s="43"/>
      <c r="U17" s="43"/>
    </row>
    <row r="18" spans="1:21" s="11" customFormat="1" ht="15">
      <c r="A18" s="53" t="s">
        <v>143</v>
      </c>
      <c r="B18" s="54">
        <v>7.02</v>
      </c>
      <c r="C18" s="54">
        <v>56.48</v>
      </c>
      <c r="D18" s="54">
        <v>37.450000000000003</v>
      </c>
      <c r="E18" s="54">
        <v>31.08</v>
      </c>
      <c r="F18" s="54">
        <v>54.70</v>
      </c>
      <c r="G18" s="54">
        <v>82.97</v>
      </c>
      <c r="H18" s="54">
        <v>40.26</v>
      </c>
      <c r="I18" s="54">
        <v>0.74</v>
      </c>
      <c r="J18" s="54">
        <v>1.02</v>
      </c>
      <c r="K18" s="54">
        <v>234.11</v>
      </c>
      <c r="L18" s="54">
        <v>35.799999999999997</v>
      </c>
      <c r="M18" s="54">
        <v>28.66</v>
      </c>
      <c r="N18" s="54">
        <v>0</v>
      </c>
      <c r="O18" s="54">
        <v>0</v>
      </c>
      <c r="P18" s="54">
        <v>0.90</v>
      </c>
      <c r="Q18" s="54">
        <v>27.11</v>
      </c>
      <c r="R18" s="43"/>
      <c r="S18" s="43"/>
      <c r="T18" s="43"/>
      <c r="U18" s="43"/>
    </row>
    <row r="19" spans="1:21" s="11" customFormat="1" ht="15">
      <c r="A19" s="53" t="s">
        <v>144</v>
      </c>
      <c r="B19" s="54">
        <v>7.59</v>
      </c>
      <c r="C19" s="54">
        <v>58.75</v>
      </c>
      <c r="D19" s="54">
        <v>38.01</v>
      </c>
      <c r="E19" s="54">
        <v>56.39</v>
      </c>
      <c r="F19" s="54">
        <v>91.72</v>
      </c>
      <c r="G19" s="54">
        <v>91.64</v>
      </c>
      <c r="H19" s="54">
        <v>42.99</v>
      </c>
      <c r="I19" s="54">
        <v>0.72</v>
      </c>
      <c r="J19" s="54">
        <v>0.78</v>
      </c>
      <c r="K19" s="54">
        <v>235.26</v>
      </c>
      <c r="L19" s="54">
        <v>37.200000000000003</v>
      </c>
      <c r="M19" s="54">
        <v>26.98</v>
      </c>
      <c r="N19" s="54">
        <v>771.80</v>
      </c>
      <c r="O19" s="54">
        <v>0</v>
      </c>
      <c r="P19" s="54">
        <v>0.96</v>
      </c>
      <c r="Q19" s="54">
        <v>26.93</v>
      </c>
      <c r="R19" s="43"/>
      <c r="S19" s="43"/>
      <c r="T19" s="43"/>
      <c r="U19" s="43"/>
    </row>
    <row r="20" spans="1:21" s="11" customFormat="1" ht="15">
      <c r="A20" s="53" t="s">
        <v>145</v>
      </c>
      <c r="B20" s="54">
        <v>3.21</v>
      </c>
      <c r="C20" s="54">
        <v>56.60</v>
      </c>
      <c r="D20" s="54">
        <v>33.74</v>
      </c>
      <c r="E20" s="54">
        <v>27.91</v>
      </c>
      <c r="F20" s="54">
        <v>52.76</v>
      </c>
      <c r="G20" s="54">
        <v>100.60</v>
      </c>
      <c r="H20" s="54">
        <v>48.09</v>
      </c>
      <c r="I20" s="54">
        <v>0.80</v>
      </c>
      <c r="J20" s="54">
        <v>0.81</v>
      </c>
      <c r="K20" s="54">
        <v>235.47</v>
      </c>
      <c r="L20" s="54">
        <v>37.840000000000003</v>
      </c>
      <c r="M20" s="54">
        <v>20.88</v>
      </c>
      <c r="N20" s="54">
        <v>748</v>
      </c>
      <c r="O20" s="54">
        <v>0</v>
      </c>
      <c r="P20" s="54">
        <v>1.02</v>
      </c>
      <c r="Q20" s="54">
        <v>28.11</v>
      </c>
      <c r="R20" s="43"/>
      <c r="S20" s="43"/>
      <c r="T20" s="43"/>
      <c r="U20" s="43"/>
    </row>
    <row r="21" spans="1:21" s="11" customFormat="1" ht="15">
      <c r="A21" s="53" t="s">
        <v>146</v>
      </c>
      <c r="B21" s="54">
        <v>2.69</v>
      </c>
      <c r="C21" s="54">
        <v>52.06</v>
      </c>
      <c r="D21" s="54">
        <v>30.27</v>
      </c>
      <c r="E21" s="54">
        <v>32.549999999999997</v>
      </c>
      <c r="F21" s="54">
        <v>81.260000000000005</v>
      </c>
      <c r="G21" s="54">
        <v>104.76</v>
      </c>
      <c r="H21" s="54">
        <v>50.95</v>
      </c>
      <c r="I21" s="54">
        <v>0.74</v>
      </c>
      <c r="J21" s="54">
        <v>0.73</v>
      </c>
      <c r="K21" s="54">
        <v>239.87</v>
      </c>
      <c r="L21" s="55" t="s">
        <v>14</v>
      </c>
      <c r="M21" s="55" t="s">
        <v>14</v>
      </c>
      <c r="N21" s="54">
        <v>742.10</v>
      </c>
      <c r="O21" s="54">
        <v>0</v>
      </c>
      <c r="P21" s="54">
        <v>0.99</v>
      </c>
      <c r="Q21" s="54">
        <v>28.81</v>
      </c>
      <c r="R21" s="43"/>
      <c r="S21" s="43"/>
      <c r="T21" s="43"/>
      <c r="U21" s="43"/>
    </row>
    <row r="22" spans="1:21" s="11" customFormat="1" ht="15">
      <c r="A22" s="53" t="s">
        <v>147</v>
      </c>
      <c r="B22" s="54">
        <v>2.97</v>
      </c>
      <c r="C22" s="54">
        <v>40.340000000000003</v>
      </c>
      <c r="D22" s="54">
        <v>25.29</v>
      </c>
      <c r="E22" s="54">
        <v>26.22</v>
      </c>
      <c r="F22" s="54">
        <v>76.459999999999994</v>
      </c>
      <c r="G22" s="54">
        <v>86.54</v>
      </c>
      <c r="H22" s="54">
        <v>51.78</v>
      </c>
      <c r="I22" s="54">
        <v>0.87</v>
      </c>
      <c r="J22" s="54">
        <v>1.1299999999999999</v>
      </c>
      <c r="K22" s="54">
        <v>231.92</v>
      </c>
      <c r="L22" s="55" t="s">
        <v>14</v>
      </c>
      <c r="M22" s="55" t="s">
        <v>14</v>
      </c>
      <c r="N22" s="54">
        <v>736</v>
      </c>
      <c r="O22" s="54">
        <v>0</v>
      </c>
      <c r="P22" s="54">
        <v>0.88</v>
      </c>
      <c r="Q22" s="54">
        <v>26.87</v>
      </c>
      <c r="R22" s="43"/>
      <c r="S22" s="43"/>
      <c r="T22" s="43"/>
      <c r="U22" s="43"/>
    </row>
    <row r="23" spans="1:21" s="11" customFormat="1" ht="15">
      <c r="A23" s="53" t="s">
        <v>148</v>
      </c>
      <c r="B23" s="54">
        <v>1.43</v>
      </c>
      <c r="C23" s="54">
        <v>45.57</v>
      </c>
      <c r="D23" s="54">
        <v>26.84</v>
      </c>
      <c r="E23" s="54">
        <v>8.1300000000000008</v>
      </c>
      <c r="F23" s="54">
        <v>36.54</v>
      </c>
      <c r="G23" s="54">
        <v>67.20</v>
      </c>
      <c r="H23" s="54">
        <v>44.27</v>
      </c>
      <c r="I23" s="54">
        <v>0.71</v>
      </c>
      <c r="J23" s="54">
        <v>1.36</v>
      </c>
      <c r="K23" s="54">
        <v>233.79</v>
      </c>
      <c r="L23" s="55" t="s">
        <v>14</v>
      </c>
      <c r="M23" s="55" t="s">
        <v>14</v>
      </c>
      <c r="N23" s="54">
        <v>521</v>
      </c>
      <c r="O23" s="54">
        <v>0</v>
      </c>
      <c r="P23" s="54">
        <v>0.76</v>
      </c>
      <c r="Q23" s="54">
        <v>26.39</v>
      </c>
      <c r="R23" s="43"/>
      <c r="S23" s="43"/>
      <c r="T23" s="43"/>
      <c r="U23" s="43"/>
    </row>
    <row r="24" spans="1:21" s="11" customFormat="1" ht="15">
      <c r="A24" s="53" t="s">
        <v>149</v>
      </c>
      <c r="B24" s="54">
        <v>6.49</v>
      </c>
      <c r="C24" s="54">
        <v>38.770000000000003</v>
      </c>
      <c r="D24" s="54">
        <v>24.25</v>
      </c>
      <c r="E24" s="54">
        <v>5.42</v>
      </c>
      <c r="F24" s="54">
        <v>73.75</v>
      </c>
      <c r="G24" s="54">
        <v>53.08</v>
      </c>
      <c r="H24" s="54">
        <v>37</v>
      </c>
      <c r="I24" s="54">
        <v>0.69</v>
      </c>
      <c r="J24" s="54">
        <v>0.92</v>
      </c>
      <c r="K24" s="54">
        <v>233.62</v>
      </c>
      <c r="L24" s="55" t="s">
        <v>14</v>
      </c>
      <c r="M24" s="55" t="s">
        <v>14</v>
      </c>
      <c r="N24" s="54">
        <v>325.89999999999998</v>
      </c>
      <c r="O24" s="54">
        <v>0</v>
      </c>
      <c r="P24" s="54">
        <v>0.66</v>
      </c>
      <c r="Q24" s="54">
        <v>26.26</v>
      </c>
      <c r="R24" s="43"/>
      <c r="S24" s="43"/>
      <c r="T24" s="43"/>
      <c r="U24" s="43"/>
    </row>
    <row r="25" spans="1:21" s="11" customFormat="1" ht="15">
      <c r="A25" s="53" t="s">
        <v>150</v>
      </c>
      <c r="B25" s="54">
        <v>4.28</v>
      </c>
      <c r="C25" s="54">
        <v>40.82</v>
      </c>
      <c r="D25" s="54">
        <v>24.61</v>
      </c>
      <c r="E25" s="54">
        <v>5.24</v>
      </c>
      <c r="F25" s="54">
        <v>29.41</v>
      </c>
      <c r="G25" s="54">
        <v>45.51</v>
      </c>
      <c r="H25" s="54">
        <v>34.56</v>
      </c>
      <c r="I25" s="54">
        <v>0.70</v>
      </c>
      <c r="J25" s="54">
        <v>1.05</v>
      </c>
      <c r="K25" s="54">
        <v>228.88</v>
      </c>
      <c r="L25" s="55" t="s">
        <v>14</v>
      </c>
      <c r="M25" s="55" t="s">
        <v>14</v>
      </c>
      <c r="N25" s="54">
        <v>122.80</v>
      </c>
      <c r="O25" s="54">
        <v>0</v>
      </c>
      <c r="P25" s="54">
        <v>0.57999999999999996</v>
      </c>
      <c r="Q25" s="54">
        <v>24.94</v>
      </c>
      <c r="R25" s="43"/>
      <c r="S25" s="43"/>
      <c r="T25" s="43"/>
      <c r="U25" s="43"/>
    </row>
    <row r="26" spans="1:21" s="11" customFormat="1" ht="15">
      <c r="A26" s="53" t="s">
        <v>151</v>
      </c>
      <c r="B26" s="54">
        <v>6.05</v>
      </c>
      <c r="C26" s="54">
        <v>49.32</v>
      </c>
      <c r="D26" s="54">
        <v>31.85</v>
      </c>
      <c r="E26" s="54">
        <v>2.29</v>
      </c>
      <c r="F26" s="54">
        <v>23.48</v>
      </c>
      <c r="G26" s="54">
        <v>41.89</v>
      </c>
      <c r="H26" s="54">
        <v>29.69</v>
      </c>
      <c r="I26" s="54">
        <v>0.75</v>
      </c>
      <c r="J26" s="54">
        <v>0.92</v>
      </c>
      <c r="K26" s="54">
        <v>227.96</v>
      </c>
      <c r="L26" s="55" t="s">
        <v>14</v>
      </c>
      <c r="M26" s="55" t="s">
        <v>14</v>
      </c>
      <c r="N26" s="54">
        <v>55.20</v>
      </c>
      <c r="O26" s="54">
        <v>0</v>
      </c>
      <c r="P26" s="54">
        <v>0.62</v>
      </c>
      <c r="Q26" s="54">
        <v>23.47</v>
      </c>
      <c r="R26" s="43"/>
      <c r="S26" s="43"/>
      <c r="T26" s="43"/>
      <c r="U26" s="43"/>
    </row>
    <row r="27" spans="1:21" s="11" customFormat="1" ht="15">
      <c r="A27" s="53" t="s">
        <v>152</v>
      </c>
      <c r="B27" s="54">
        <v>19.29</v>
      </c>
      <c r="C27" s="54">
        <v>93.56</v>
      </c>
      <c r="D27" s="54">
        <v>66.989999999999995</v>
      </c>
      <c r="E27" s="54">
        <v>14.80</v>
      </c>
      <c r="F27" s="54">
        <v>42.90</v>
      </c>
      <c r="G27" s="54">
        <v>52.07</v>
      </c>
      <c r="H27" s="54">
        <v>27.75</v>
      </c>
      <c r="I27" s="54">
        <v>0.71</v>
      </c>
      <c r="J27" s="54">
        <v>0.24</v>
      </c>
      <c r="K27" s="54">
        <v>230.71</v>
      </c>
      <c r="L27" s="55" t="s">
        <v>14</v>
      </c>
      <c r="M27" s="55" t="s">
        <v>14</v>
      </c>
      <c r="N27" s="54">
        <v>33.799999999999997</v>
      </c>
      <c r="O27" s="54">
        <v>0</v>
      </c>
      <c r="P27" s="54">
        <v>0.92</v>
      </c>
      <c r="Q27" s="54">
        <v>22.76</v>
      </c>
      <c r="R27" s="43"/>
      <c r="S27" s="43"/>
      <c r="T27" s="43"/>
      <c r="U27" s="43"/>
    </row>
    <row r="28" spans="1:21" s="11" customFormat="1" ht="15">
      <c r="A28" s="53" t="s">
        <v>153</v>
      </c>
      <c r="B28" s="54">
        <v>1.99</v>
      </c>
      <c r="C28" s="54">
        <v>47.56</v>
      </c>
      <c r="D28" s="54">
        <v>27.82</v>
      </c>
      <c r="E28" s="54">
        <v>20.64</v>
      </c>
      <c r="F28" s="54">
        <v>70.459999999999994</v>
      </c>
      <c r="G28" s="54">
        <v>73.14</v>
      </c>
      <c r="H28" s="54">
        <v>36.04</v>
      </c>
      <c r="I28" s="54">
        <v>0.87</v>
      </c>
      <c r="J28" s="54">
        <v>1.90</v>
      </c>
      <c r="K28" s="54">
        <v>120.25</v>
      </c>
      <c r="L28" s="55" t="s">
        <v>14</v>
      </c>
      <c r="M28" s="55" t="s">
        <v>14</v>
      </c>
      <c r="N28" s="54">
        <v>5.90</v>
      </c>
      <c r="O28" s="54">
        <v>0</v>
      </c>
      <c r="P28" s="54">
        <v>0.96</v>
      </c>
      <c r="Q28" s="54">
        <v>26.62</v>
      </c>
      <c r="R28" s="43"/>
      <c r="S28" s="43"/>
      <c r="T28" s="43"/>
      <c r="U28" s="43"/>
    </row>
    <row r="29" spans="1:21" s="11" customFormat="1" ht="15">
      <c r="A29" s="53" t="s">
        <v>154</v>
      </c>
      <c r="B29" s="54">
        <v>1.17</v>
      </c>
      <c r="C29" s="54">
        <v>44.87</v>
      </c>
      <c r="D29" s="54">
        <v>26.34</v>
      </c>
      <c r="E29" s="54">
        <v>5.22</v>
      </c>
      <c r="F29" s="54">
        <v>13.73</v>
      </c>
      <c r="G29" s="54">
        <v>72.30</v>
      </c>
      <c r="H29" s="54">
        <v>36.979999999999997</v>
      </c>
      <c r="I29" s="54">
        <v>0.86</v>
      </c>
      <c r="J29" s="54">
        <v>3.59</v>
      </c>
      <c r="K29" s="54">
        <v>123.74</v>
      </c>
      <c r="L29" s="55" t="s">
        <v>14</v>
      </c>
      <c r="M29" s="55" t="s">
        <v>14</v>
      </c>
      <c r="N29" s="54">
        <v>5.80</v>
      </c>
      <c r="O29" s="54">
        <v>0</v>
      </c>
      <c r="P29" s="54">
        <v>0.86</v>
      </c>
      <c r="Q29" s="54">
        <v>28.21</v>
      </c>
      <c r="R29" s="43"/>
      <c r="S29" s="43"/>
      <c r="T29" s="43"/>
      <c r="U29" s="43"/>
    </row>
    <row r="30" spans="1:21" s="11" customFormat="1" ht="15">
      <c r="A30" s="53" t="s">
        <v>155</v>
      </c>
      <c r="B30" s="54">
        <v>1</v>
      </c>
      <c r="C30" s="54">
        <v>38.83</v>
      </c>
      <c r="D30" s="54">
        <v>22.88</v>
      </c>
      <c r="E30" s="54">
        <v>3.63</v>
      </c>
      <c r="F30" s="54">
        <v>21.62</v>
      </c>
      <c r="G30" s="54">
        <v>75.319999999999993</v>
      </c>
      <c r="H30" s="54">
        <v>38.07</v>
      </c>
      <c r="I30" s="54">
        <v>0.77</v>
      </c>
      <c r="J30" s="54">
        <v>2.84</v>
      </c>
      <c r="K30" s="54">
        <v>117.88</v>
      </c>
      <c r="L30" s="55" t="s">
        <v>14</v>
      </c>
      <c r="M30" s="55" t="s">
        <v>14</v>
      </c>
      <c r="N30" s="54">
        <v>5.5</v>
      </c>
      <c r="O30" s="54">
        <v>0</v>
      </c>
      <c r="P30" s="54">
        <v>0.68</v>
      </c>
      <c r="Q30" s="54">
        <v>29.39</v>
      </c>
      <c r="R30" s="43"/>
      <c r="S30" s="43"/>
      <c r="T30" s="43"/>
      <c r="U30" s="43"/>
    </row>
    <row r="31" spans="1:21" s="11" customFormat="1" ht="15">
      <c r="A31" s="53" t="s">
        <v>156</v>
      </c>
      <c r="B31" s="54">
        <v>1</v>
      </c>
      <c r="C31" s="54">
        <v>33.08</v>
      </c>
      <c r="D31" s="54">
        <v>19.71</v>
      </c>
      <c r="E31" s="54">
        <v>3.64</v>
      </c>
      <c r="F31" s="54">
        <v>23.37</v>
      </c>
      <c r="G31" s="54">
        <v>64.41</v>
      </c>
      <c r="H31" s="54">
        <v>32.82</v>
      </c>
      <c r="I31" s="54">
        <v>0.69</v>
      </c>
      <c r="J31" s="54">
        <v>2.11</v>
      </c>
      <c r="K31" s="54">
        <v>117.77</v>
      </c>
      <c r="L31" s="55" t="s">
        <v>14</v>
      </c>
      <c r="M31" s="55" t="s">
        <v>14</v>
      </c>
      <c r="N31" s="54">
        <v>5.40</v>
      </c>
      <c r="O31" s="54">
        <v>0</v>
      </c>
      <c r="P31" s="54">
        <v>0.60</v>
      </c>
      <c r="Q31" s="54">
        <v>28.98</v>
      </c>
      <c r="R31" s="43"/>
      <c r="S31" s="43"/>
      <c r="T31" s="43"/>
      <c r="U31" s="43"/>
    </row>
    <row r="32" spans="1:21" s="11" customFormat="1" ht="15">
      <c r="A32" s="53" t="s">
        <v>157</v>
      </c>
      <c r="B32" s="54">
        <v>1.66</v>
      </c>
      <c r="C32" s="54">
        <v>34.28</v>
      </c>
      <c r="D32" s="54">
        <v>20.62</v>
      </c>
      <c r="E32" s="54">
        <v>3.13</v>
      </c>
      <c r="F32" s="54">
        <v>12.70</v>
      </c>
      <c r="G32" s="54">
        <v>45.96</v>
      </c>
      <c r="H32" s="54">
        <v>32.35</v>
      </c>
      <c r="I32" s="54">
        <v>0.66</v>
      </c>
      <c r="J32" s="54">
        <v>1.90</v>
      </c>
      <c r="K32" s="54">
        <v>124.64</v>
      </c>
      <c r="L32" s="55" t="s">
        <v>14</v>
      </c>
      <c r="M32" s="55" t="s">
        <v>14</v>
      </c>
      <c r="N32" s="54">
        <v>5.30</v>
      </c>
      <c r="O32" s="54">
        <v>0</v>
      </c>
      <c r="P32" s="54">
        <v>0.51</v>
      </c>
      <c r="Q32" s="54">
        <v>29.21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</v>
      </c>
      <c r="C34" s="28">
        <f t="shared" si="0"/>
        <v>31.600000000000001</v>
      </c>
      <c r="D34" s="28">
        <f t="shared" si="0"/>
        <v>19.710000000000001</v>
      </c>
      <c r="E34" s="28">
        <f t="shared" si="0"/>
        <v>2.29</v>
      </c>
      <c r="F34" s="28">
        <f t="shared" si="0"/>
        <v>5.9900000000000002</v>
      </c>
      <c r="G34" s="28">
        <f t="shared" si="0"/>
        <v>41.890000000000001</v>
      </c>
      <c r="H34" s="28">
        <f t="shared" si="0"/>
        <v>27.75</v>
      </c>
      <c r="I34" s="28">
        <f t="shared" si="0"/>
        <v>0.66000000000000003</v>
      </c>
      <c r="J34" s="28">
        <f t="shared" si="0"/>
        <v>0.11</v>
      </c>
      <c r="K34" s="28">
        <f t="shared" si="0"/>
        <v>117.77</v>
      </c>
      <c r="L34" s="28">
        <f t="shared" si="0"/>
        <v>25.170000000000002</v>
      </c>
      <c r="M34" s="28">
        <f t="shared" si="0"/>
        <v>20.879999999999999</v>
      </c>
      <c r="N34" s="28">
        <f t="shared" si="0"/>
        <v>0</v>
      </c>
      <c r="O34" s="28">
        <f t="shared" si="0"/>
        <v>0</v>
      </c>
      <c r="P34" s="28">
        <f t="shared" si="0"/>
        <v>0.51000000000000001</v>
      </c>
      <c r="Q34" s="28">
        <f t="shared" si="0"/>
        <v>22.760000000000002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57.850000000000001</v>
      </c>
      <c r="C35" s="29">
        <f t="shared" si="1"/>
        <v>93.560000000000002</v>
      </c>
      <c r="D35" s="29">
        <f t="shared" si="1"/>
        <v>77.099999999999994</v>
      </c>
      <c r="E35" s="29">
        <f t="shared" si="1"/>
        <v>56.390000000000001</v>
      </c>
      <c r="F35" s="29">
        <f t="shared" si="1"/>
        <v>91.719999999999999</v>
      </c>
      <c r="G35" s="29">
        <f t="shared" si="1"/>
        <v>104.76000000000001</v>
      </c>
      <c r="H35" s="29">
        <f t="shared" si="1"/>
        <v>60.289999999999999</v>
      </c>
      <c r="I35" s="29">
        <f t="shared" si="1"/>
        <v>1.5600000000000001</v>
      </c>
      <c r="J35" s="29">
        <f t="shared" si="1"/>
        <v>3.5899999999999999</v>
      </c>
      <c r="K35" s="29">
        <f t="shared" si="1"/>
        <v>332.68000000000001</v>
      </c>
      <c r="L35" s="29">
        <f t="shared" si="1"/>
        <v>37.840000000000003</v>
      </c>
      <c r="M35" s="29">
        <f t="shared" si="1"/>
        <v>53.859999999999999</v>
      </c>
      <c r="N35" s="29">
        <f t="shared" si="1"/>
        <v>771.79999999999995</v>
      </c>
      <c r="O35" s="29">
        <f t="shared" si="1"/>
        <v>0</v>
      </c>
      <c r="P35" s="29">
        <f t="shared" si="1"/>
        <v>2.8599999999999999</v>
      </c>
      <c r="Q35" s="29">
        <f t="shared" si="1"/>
        <v>35.619999999999997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10.640416666666669</v>
      </c>
      <c r="C36" s="28">
        <f t="shared" si="2"/>
        <v>47.832499999999989</v>
      </c>
      <c r="D36" s="28">
        <f t="shared" si="2"/>
        <v>34.741666666666674</v>
      </c>
      <c r="E36" s="28">
        <f t="shared" si="2"/>
        <v>14.690416666666666</v>
      </c>
      <c r="F36" s="28">
        <f t="shared" si="2"/>
        <v>35.010416666666664</v>
      </c>
      <c r="G36" s="28">
        <f t="shared" si="2"/>
        <v>71.647500000000008</v>
      </c>
      <c r="H36" s="28">
        <f t="shared" si="2"/>
        <v>38.849166666666676</v>
      </c>
      <c r="I36" s="28">
        <f t="shared" si="2"/>
        <v>0.81208333333333327</v>
      </c>
      <c r="J36" s="28">
        <f t="shared" si="2"/>
        <v>1.1849999999999998</v>
      </c>
      <c r="K36" s="28">
        <f t="shared" si="2"/>
        <v>214.17958333333334</v>
      </c>
      <c r="L36" s="28">
        <f t="shared" si="2"/>
        <v>31.145833333333332</v>
      </c>
      <c r="M36" s="28">
        <f t="shared" si="2"/>
        <v>37.574166666666677</v>
      </c>
      <c r="N36" s="28">
        <f t="shared" si="2"/>
        <v>176.89166666666665</v>
      </c>
      <c r="O36" s="28">
        <f t="shared" si="2"/>
        <v>0</v>
      </c>
      <c r="P36" s="28">
        <f t="shared" si="2"/>
        <v>0.98666666666666691</v>
      </c>
      <c r="Q36" s="28">
        <f t="shared" si="2"/>
        <v>28.428750000000004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12.54031844792477</v>
      </c>
      <c r="C37" s="28">
        <f t="shared" si="3" ref="C37:Q37">STDEV(C9:C32)</f>
        <v>12.222888098901244</v>
      </c>
      <c r="D37" s="28">
        <f t="shared" si="3"/>
        <v>13.703616363911923</v>
      </c>
      <c r="E37" s="28">
        <f t="shared" si="3"/>
        <v>14.631127472727053</v>
      </c>
      <c r="F37" s="28">
        <f t="shared" si="3"/>
        <v>26.604384156386335</v>
      </c>
      <c r="G37" s="28">
        <f t="shared" si="3"/>
        <v>18.454423353341248</v>
      </c>
      <c r="H37" s="28">
        <f t="shared" si="3"/>
        <v>7.7886299050025833</v>
      </c>
      <c r="I37" s="28">
        <f t="shared" si="3"/>
        <v>0.18486138559487761</v>
      </c>
      <c r="J37" s="28">
        <f t="shared" si="3"/>
        <v>0.81285861651014257</v>
      </c>
      <c r="K37" s="28">
        <f t="shared" si="3"/>
        <v>53.105033371461651</v>
      </c>
      <c r="L37" s="28">
        <f t="shared" si="3"/>
        <v>4.4624829173766916</v>
      </c>
      <c r="M37" s="28">
        <f t="shared" si="3"/>
        <v>9.664796906424046</v>
      </c>
      <c r="N37" s="28">
        <f t="shared" si="3"/>
        <v>287.69984799480153</v>
      </c>
      <c r="O37" s="28">
        <f t="shared" si="3"/>
        <v>0</v>
      </c>
      <c r="P37" s="28">
        <f t="shared" si="3"/>
        <v>0.49147220423563265</v>
      </c>
      <c r="Q37" s="28">
        <f t="shared" si="3"/>
        <v>3.0000105978073175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>COUNT(L9:L32)+12</f>
        <v>24</v>
      </c>
      <c r="M38" s="32">
        <f>COUNT(M9:M32)+12</f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d592ecb-6daf-40db-b5d7-3a6facdea100}">
  <sheetPr codeName=""/>
  <dimension ref="A1:U119"/>
  <sheetViews>
    <sheetView workbookViewId="0" topLeftCell="A1">
      <pane xSplit="2" ySplit="8" topLeftCell="C30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N39" sqref="N39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05-06-2023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158</v>
      </c>
      <c r="B9" s="54">
        <v>1</v>
      </c>
      <c r="C9" s="54">
        <v>32.200000000000003</v>
      </c>
      <c r="D9" s="54">
        <v>19.22</v>
      </c>
      <c r="E9" s="54">
        <v>2.29</v>
      </c>
      <c r="F9" s="54">
        <v>48.38</v>
      </c>
      <c r="G9" s="54">
        <v>32.17</v>
      </c>
      <c r="H9" s="54">
        <v>30.06</v>
      </c>
      <c r="I9" s="54">
        <v>0.66</v>
      </c>
      <c r="J9" s="54">
        <v>1.42</v>
      </c>
      <c r="K9" s="54">
        <v>146.11000000000001</v>
      </c>
      <c r="L9" s="55" t="s">
        <v>14</v>
      </c>
      <c r="M9" s="55" t="s">
        <v>14</v>
      </c>
      <c r="N9" s="54">
        <v>5.30</v>
      </c>
      <c r="O9" s="54">
        <v>0</v>
      </c>
      <c r="P9" s="54">
        <v>0.47</v>
      </c>
      <c r="Q9" s="54">
        <v>29.59</v>
      </c>
      <c r="R9" s="43"/>
      <c r="S9" s="43"/>
      <c r="T9" s="43"/>
      <c r="U9" s="43"/>
    </row>
    <row r="10" spans="1:21" s="11" customFormat="1" ht="15">
      <c r="A10" s="53" t="s">
        <v>159</v>
      </c>
      <c r="B10" s="54">
        <v>1</v>
      </c>
      <c r="C10" s="54">
        <v>28.08</v>
      </c>
      <c r="D10" s="54">
        <v>16.940000000000001</v>
      </c>
      <c r="E10" s="54">
        <v>2.44</v>
      </c>
      <c r="F10" s="54">
        <v>36.19</v>
      </c>
      <c r="G10" s="54">
        <v>31.37</v>
      </c>
      <c r="H10" s="54">
        <v>23.65</v>
      </c>
      <c r="I10" s="54">
        <v>0.75</v>
      </c>
      <c r="J10" s="54">
        <v>0.87</v>
      </c>
      <c r="K10" s="54">
        <v>159.65</v>
      </c>
      <c r="L10" s="55" t="s">
        <v>14</v>
      </c>
      <c r="M10" s="55" t="s">
        <v>14</v>
      </c>
      <c r="N10" s="54">
        <v>5.40</v>
      </c>
      <c r="O10" s="54">
        <v>0</v>
      </c>
      <c r="P10" s="54">
        <v>0.43</v>
      </c>
      <c r="Q10" s="54">
        <v>29.24</v>
      </c>
      <c r="R10" s="43"/>
      <c r="S10" s="43"/>
      <c r="T10" s="43"/>
      <c r="U10" s="43"/>
    </row>
    <row r="11" spans="1:21" s="11" customFormat="1" ht="15">
      <c r="A11" s="53" t="s">
        <v>160</v>
      </c>
      <c r="B11" s="54">
        <v>1</v>
      </c>
      <c r="C11" s="54">
        <v>29.19</v>
      </c>
      <c r="D11" s="54">
        <v>17.559999999999999</v>
      </c>
      <c r="E11" s="54">
        <v>1.42</v>
      </c>
      <c r="F11" s="54">
        <v>11.14</v>
      </c>
      <c r="G11" s="54">
        <v>25.15</v>
      </c>
      <c r="H11" s="54">
        <v>20.62</v>
      </c>
      <c r="I11" s="54">
        <v>0.70</v>
      </c>
      <c r="J11" s="54">
        <v>0.62</v>
      </c>
      <c r="K11" s="54">
        <v>177</v>
      </c>
      <c r="L11" s="55" t="s">
        <v>14</v>
      </c>
      <c r="M11" s="55" t="s">
        <v>14</v>
      </c>
      <c r="N11" s="54">
        <v>5.40</v>
      </c>
      <c r="O11" s="54">
        <v>0</v>
      </c>
      <c r="P11" s="54">
        <v>0.41</v>
      </c>
      <c r="Q11" s="54">
        <v>29.09</v>
      </c>
      <c r="R11" s="43"/>
      <c r="S11" s="43"/>
      <c r="T11" s="43"/>
      <c r="U11" s="43"/>
    </row>
    <row r="12" spans="1:21" s="11" customFormat="1" ht="15">
      <c r="A12" s="53" t="s">
        <v>161</v>
      </c>
      <c r="B12" s="54">
        <v>1</v>
      </c>
      <c r="C12" s="54">
        <v>28.48</v>
      </c>
      <c r="D12" s="54">
        <v>17.16</v>
      </c>
      <c r="E12" s="54">
        <v>1.33</v>
      </c>
      <c r="F12" s="54">
        <v>28.57</v>
      </c>
      <c r="G12" s="54">
        <v>25.93</v>
      </c>
      <c r="H12" s="54">
        <v>20.73</v>
      </c>
      <c r="I12" s="54">
        <v>0.55000000000000004</v>
      </c>
      <c r="J12" s="54">
        <v>0.92</v>
      </c>
      <c r="K12" s="54">
        <v>187.16</v>
      </c>
      <c r="L12" s="55" t="s">
        <v>14</v>
      </c>
      <c r="M12" s="55" t="s">
        <v>14</v>
      </c>
      <c r="N12" s="54">
        <v>5.30</v>
      </c>
      <c r="O12" s="54">
        <v>0</v>
      </c>
      <c r="P12" s="54">
        <v>0.39</v>
      </c>
      <c r="Q12" s="54">
        <v>28.49</v>
      </c>
      <c r="R12" s="43"/>
      <c r="S12" s="43"/>
      <c r="T12" s="43"/>
      <c r="U12" s="43"/>
    </row>
    <row r="13" spans="1:21" s="11" customFormat="1" ht="15">
      <c r="A13" s="53" t="s">
        <v>162</v>
      </c>
      <c r="B13" s="54">
        <v>5.70</v>
      </c>
      <c r="C13" s="54">
        <v>32.75</v>
      </c>
      <c r="D13" s="54">
        <v>23.30</v>
      </c>
      <c r="E13" s="54">
        <v>3.04</v>
      </c>
      <c r="F13" s="54">
        <v>31.72</v>
      </c>
      <c r="G13" s="54">
        <v>28.30</v>
      </c>
      <c r="H13" s="54">
        <v>20.89</v>
      </c>
      <c r="I13" s="54">
        <v>0.54</v>
      </c>
      <c r="J13" s="54">
        <v>0.36</v>
      </c>
      <c r="K13" s="54">
        <v>223.25</v>
      </c>
      <c r="L13" s="55" t="s">
        <v>14</v>
      </c>
      <c r="M13" s="55" t="s">
        <v>14</v>
      </c>
      <c r="N13" s="54">
        <v>5.90</v>
      </c>
      <c r="O13" s="54">
        <v>0</v>
      </c>
      <c r="P13" s="54">
        <v>0.42</v>
      </c>
      <c r="Q13" s="54">
        <v>28.62</v>
      </c>
      <c r="R13" s="43"/>
      <c r="S13" s="43"/>
      <c r="T13" s="43"/>
      <c r="U13" s="43"/>
    </row>
    <row r="14" spans="1:21" s="11" customFormat="1" ht="15">
      <c r="A14" s="53" t="s">
        <v>163</v>
      </c>
      <c r="B14" s="54">
        <v>3.28</v>
      </c>
      <c r="C14" s="54">
        <v>35.96</v>
      </c>
      <c r="D14" s="54">
        <v>22.41</v>
      </c>
      <c r="E14" s="54">
        <v>1.69</v>
      </c>
      <c r="F14" s="54">
        <v>6.74</v>
      </c>
      <c r="G14" s="54">
        <v>30.98</v>
      </c>
      <c r="H14" s="54">
        <v>19.61</v>
      </c>
      <c r="I14" s="54">
        <v>0.59</v>
      </c>
      <c r="J14" s="54">
        <v>0.22</v>
      </c>
      <c r="K14" s="54">
        <v>212.26</v>
      </c>
      <c r="L14" s="55" t="s">
        <v>14</v>
      </c>
      <c r="M14" s="55" t="s">
        <v>14</v>
      </c>
      <c r="N14" s="54">
        <v>69.80</v>
      </c>
      <c r="O14" s="54">
        <v>0</v>
      </c>
      <c r="P14" s="54">
        <v>0.44</v>
      </c>
      <c r="Q14" s="54">
        <v>28.94</v>
      </c>
      <c r="R14" s="43"/>
      <c r="S14" s="43"/>
      <c r="T14" s="43"/>
      <c r="U14" s="43"/>
    </row>
    <row r="15" spans="1:21" s="11" customFormat="1" ht="15">
      <c r="A15" s="53" t="s">
        <v>164</v>
      </c>
      <c r="B15" s="54">
        <v>9.6199999999999992</v>
      </c>
      <c r="C15" s="54">
        <v>38.299999999999997</v>
      </c>
      <c r="D15" s="54">
        <v>29.49</v>
      </c>
      <c r="E15" s="54">
        <v>1.96</v>
      </c>
      <c r="F15" s="54">
        <v>19.77</v>
      </c>
      <c r="G15" s="54">
        <v>34.19</v>
      </c>
      <c r="H15" s="54">
        <v>21.61</v>
      </c>
      <c r="I15" s="54">
        <v>0.57999999999999996</v>
      </c>
      <c r="J15" s="54">
        <v>0.31</v>
      </c>
      <c r="K15" s="54">
        <v>222.03</v>
      </c>
      <c r="L15" s="55" t="s">
        <v>14</v>
      </c>
      <c r="M15" s="55" t="s">
        <v>14</v>
      </c>
      <c r="N15" s="54">
        <v>202.70</v>
      </c>
      <c r="O15" s="54">
        <v>0</v>
      </c>
      <c r="P15" s="54">
        <v>0.5</v>
      </c>
      <c r="Q15" s="54">
        <v>28.28</v>
      </c>
      <c r="R15" s="43"/>
      <c r="S15" s="43"/>
      <c r="T15" s="43"/>
      <c r="U15" s="43"/>
    </row>
    <row r="16" spans="1:21" s="11" customFormat="1" ht="15">
      <c r="A16" s="53" t="s">
        <v>165</v>
      </c>
      <c r="B16" s="54">
        <v>7.69</v>
      </c>
      <c r="C16" s="54">
        <v>40.119999999999997</v>
      </c>
      <c r="D16" s="54">
        <v>27.52</v>
      </c>
      <c r="E16" s="54">
        <v>2.56</v>
      </c>
      <c r="F16" s="54">
        <v>18.64</v>
      </c>
      <c r="G16" s="54">
        <v>45.30</v>
      </c>
      <c r="H16" s="54">
        <v>24.91</v>
      </c>
      <c r="I16" s="54">
        <v>0.75</v>
      </c>
      <c r="J16" s="54">
        <v>0.20</v>
      </c>
      <c r="K16" s="54">
        <v>224.30</v>
      </c>
      <c r="L16" s="55" t="s">
        <v>14</v>
      </c>
      <c r="M16" s="55" t="s">
        <v>14</v>
      </c>
      <c r="N16" s="54">
        <v>402.20</v>
      </c>
      <c r="O16" s="54">
        <v>0</v>
      </c>
      <c r="P16" s="54">
        <v>0.62</v>
      </c>
      <c r="Q16" s="54">
        <v>27.74</v>
      </c>
      <c r="R16" s="43"/>
      <c r="S16" s="43"/>
      <c r="T16" s="43"/>
      <c r="U16" s="43"/>
    </row>
    <row r="17" spans="1:21" s="11" customFormat="1" ht="15">
      <c r="A17" s="53" t="s">
        <v>166</v>
      </c>
      <c r="B17" s="54">
        <v>4.2699999999999996</v>
      </c>
      <c r="C17" s="54">
        <v>48.65</v>
      </c>
      <c r="D17" s="54">
        <v>29.28</v>
      </c>
      <c r="E17" s="54">
        <v>2.41</v>
      </c>
      <c r="F17" s="54">
        <v>5.97</v>
      </c>
      <c r="G17" s="54">
        <v>55.58</v>
      </c>
      <c r="H17" s="54">
        <v>28.21</v>
      </c>
      <c r="I17" s="54">
        <v>0.77</v>
      </c>
      <c r="J17" s="54">
        <v>0.39</v>
      </c>
      <c r="K17" s="54">
        <v>233.79</v>
      </c>
      <c r="L17" s="55" t="s">
        <v>14</v>
      </c>
      <c r="M17" s="55" t="s">
        <v>14</v>
      </c>
      <c r="N17" s="54">
        <v>536.10</v>
      </c>
      <c r="O17" s="54">
        <v>0</v>
      </c>
      <c r="P17" s="54">
        <v>0.79</v>
      </c>
      <c r="Q17" s="54">
        <v>28.22</v>
      </c>
      <c r="R17" s="43"/>
      <c r="S17" s="43"/>
      <c r="T17" s="43"/>
      <c r="U17" s="43"/>
    </row>
    <row r="18" spans="1:21" s="11" customFormat="1" ht="15">
      <c r="A18" s="53" t="s">
        <v>167</v>
      </c>
      <c r="B18" s="54">
        <v>6.13</v>
      </c>
      <c r="C18" s="54">
        <v>51.99</v>
      </c>
      <c r="D18" s="54">
        <v>34.26</v>
      </c>
      <c r="E18" s="54">
        <v>9.15</v>
      </c>
      <c r="F18" s="54">
        <v>45.51</v>
      </c>
      <c r="G18" s="54">
        <v>66.989999999999995</v>
      </c>
      <c r="H18" s="54">
        <v>30.55</v>
      </c>
      <c r="I18" s="54">
        <v>0.60</v>
      </c>
      <c r="J18" s="54">
        <v>0.62</v>
      </c>
      <c r="K18" s="54">
        <v>230.65</v>
      </c>
      <c r="L18" s="55" t="s">
        <v>14</v>
      </c>
      <c r="M18" s="55" t="s">
        <v>14</v>
      </c>
      <c r="N18" s="54">
        <v>612.60</v>
      </c>
      <c r="O18" s="54">
        <v>0</v>
      </c>
      <c r="P18" s="54">
        <v>1.08</v>
      </c>
      <c r="Q18" s="54">
        <v>27.49</v>
      </c>
      <c r="R18" s="43"/>
      <c r="S18" s="43"/>
      <c r="T18" s="43"/>
      <c r="U18" s="43"/>
    </row>
    <row r="19" spans="1:21" s="11" customFormat="1" ht="15">
      <c r="A19" s="53" t="s">
        <v>168</v>
      </c>
      <c r="B19" s="54">
        <v>3.58</v>
      </c>
      <c r="C19" s="54">
        <v>50.26</v>
      </c>
      <c r="D19" s="54">
        <v>31.25</v>
      </c>
      <c r="E19" s="54">
        <v>8.3800000000000008</v>
      </c>
      <c r="F19" s="54">
        <v>36.130000000000003</v>
      </c>
      <c r="G19" s="54">
        <v>75.760000000000005</v>
      </c>
      <c r="H19" s="54">
        <v>33.01</v>
      </c>
      <c r="I19" s="54">
        <v>0.64</v>
      </c>
      <c r="J19" s="54">
        <v>0.47</v>
      </c>
      <c r="K19" s="54">
        <v>232.30</v>
      </c>
      <c r="L19" s="54">
        <v>37.68</v>
      </c>
      <c r="M19" s="54">
        <v>28.77</v>
      </c>
      <c r="N19" s="55" t="s">
        <v>14</v>
      </c>
      <c r="O19" s="54">
        <v>0</v>
      </c>
      <c r="P19" s="54">
        <v>1.1000000000000001</v>
      </c>
      <c r="Q19" s="54">
        <v>26.48</v>
      </c>
      <c r="R19" s="43"/>
      <c r="S19" s="43"/>
      <c r="T19" s="43"/>
      <c r="U19" s="43"/>
    </row>
    <row r="20" spans="1:21" s="11" customFormat="1" ht="15">
      <c r="A20" s="53" t="s">
        <v>169</v>
      </c>
      <c r="B20" s="54">
        <v>2.0499999999999998</v>
      </c>
      <c r="C20" s="54">
        <v>48.87</v>
      </c>
      <c r="D20" s="54">
        <v>29.26</v>
      </c>
      <c r="E20" s="54">
        <v>9.31</v>
      </c>
      <c r="F20" s="54">
        <v>46.53</v>
      </c>
      <c r="G20" s="54">
        <v>76.63</v>
      </c>
      <c r="H20" s="54">
        <v>38.58</v>
      </c>
      <c r="I20" s="54">
        <v>0.76</v>
      </c>
      <c r="J20" s="54">
        <v>0.83</v>
      </c>
      <c r="K20" s="54">
        <v>240.26</v>
      </c>
      <c r="L20" s="54">
        <v>38.450000000000003</v>
      </c>
      <c r="M20" s="54">
        <v>28.97</v>
      </c>
      <c r="N20" s="54">
        <v>735.40</v>
      </c>
      <c r="O20" s="54">
        <v>0</v>
      </c>
      <c r="P20" s="54">
        <v>1.06</v>
      </c>
      <c r="Q20" s="54">
        <v>27.15</v>
      </c>
      <c r="R20" s="43"/>
      <c r="S20" s="43"/>
      <c r="T20" s="43"/>
      <c r="U20" s="43"/>
    </row>
    <row r="21" spans="1:21" s="11" customFormat="1" ht="15">
      <c r="A21" s="53" t="s">
        <v>170</v>
      </c>
      <c r="B21" s="54">
        <v>8.4700000000000006</v>
      </c>
      <c r="C21" s="54">
        <v>42.18</v>
      </c>
      <c r="D21" s="54">
        <v>30.54</v>
      </c>
      <c r="E21" s="54">
        <v>16.670000000000002</v>
      </c>
      <c r="F21" s="54">
        <v>107.23</v>
      </c>
      <c r="G21" s="54">
        <v>70.36</v>
      </c>
      <c r="H21" s="54">
        <v>38.979999999999997</v>
      </c>
      <c r="I21" s="54">
        <v>0.59</v>
      </c>
      <c r="J21" s="54">
        <v>0.72</v>
      </c>
      <c r="K21" s="54">
        <v>235.38</v>
      </c>
      <c r="L21" s="54">
        <v>39.159999999999997</v>
      </c>
      <c r="M21" s="54">
        <v>27.66</v>
      </c>
      <c r="N21" s="54">
        <v>60.5</v>
      </c>
      <c r="O21" s="54">
        <v>0</v>
      </c>
      <c r="P21" s="54">
        <v>0.97</v>
      </c>
      <c r="Q21" s="54">
        <v>28.67</v>
      </c>
      <c r="R21" s="43"/>
      <c r="S21" s="43"/>
      <c r="T21" s="43"/>
      <c r="U21" s="43"/>
    </row>
    <row r="22" spans="1:21" s="11" customFormat="1" ht="15">
      <c r="A22" s="53" t="s">
        <v>171</v>
      </c>
      <c r="B22" s="54">
        <v>5.25</v>
      </c>
      <c r="C22" s="54">
        <v>37.08</v>
      </c>
      <c r="D22" s="54">
        <v>23.56</v>
      </c>
      <c r="E22" s="54">
        <v>19.20</v>
      </c>
      <c r="F22" s="54">
        <v>86.14</v>
      </c>
      <c r="G22" s="54">
        <v>66.30</v>
      </c>
      <c r="H22" s="54">
        <v>36.159999999999997</v>
      </c>
      <c r="I22" s="54">
        <v>0.87</v>
      </c>
      <c r="J22" s="54">
        <v>1.32</v>
      </c>
      <c r="K22" s="54">
        <v>230.61</v>
      </c>
      <c r="L22" s="54">
        <v>40.06</v>
      </c>
      <c r="M22" s="54">
        <v>24.95</v>
      </c>
      <c r="N22" s="54">
        <v>360.60</v>
      </c>
      <c r="O22" s="54">
        <v>0</v>
      </c>
      <c r="P22" s="54">
        <v>0.90</v>
      </c>
      <c r="Q22" s="54">
        <v>28.34</v>
      </c>
      <c r="R22" s="43"/>
      <c r="S22" s="43"/>
      <c r="T22" s="43"/>
      <c r="U22" s="43"/>
    </row>
    <row r="23" spans="1:21" s="11" customFormat="1" ht="15">
      <c r="A23" s="53" t="s">
        <v>172</v>
      </c>
      <c r="B23" s="54">
        <v>2.98</v>
      </c>
      <c r="C23" s="54">
        <v>36.74</v>
      </c>
      <c r="D23" s="54">
        <v>23.31</v>
      </c>
      <c r="E23" s="54">
        <v>7.76</v>
      </c>
      <c r="F23" s="54">
        <v>48.22</v>
      </c>
      <c r="G23" s="54">
        <v>64.290000000000006</v>
      </c>
      <c r="H23" s="54">
        <v>36.090000000000003</v>
      </c>
      <c r="I23" s="54">
        <v>1.01</v>
      </c>
      <c r="J23" s="54">
        <v>0.91</v>
      </c>
      <c r="K23" s="54">
        <v>214.10</v>
      </c>
      <c r="L23" s="54">
        <v>37.270000000000003</v>
      </c>
      <c r="M23" s="54">
        <v>23.71</v>
      </c>
      <c r="N23" s="54">
        <v>155.30000000000001</v>
      </c>
      <c r="O23" s="54">
        <v>0</v>
      </c>
      <c r="P23" s="54">
        <v>0.75</v>
      </c>
      <c r="Q23" s="54">
        <v>28.92</v>
      </c>
      <c r="R23" s="43"/>
      <c r="S23" s="43"/>
      <c r="T23" s="43"/>
      <c r="U23" s="43"/>
    </row>
    <row r="24" spans="1:21" s="11" customFormat="1" ht="15">
      <c r="A24" s="53" t="s">
        <v>173</v>
      </c>
      <c r="B24" s="54">
        <v>5.0999999999999996</v>
      </c>
      <c r="C24" s="54">
        <v>50.56</v>
      </c>
      <c r="D24" s="54">
        <v>32.64</v>
      </c>
      <c r="E24" s="54">
        <v>11.78</v>
      </c>
      <c r="F24" s="54">
        <v>86.84</v>
      </c>
      <c r="G24" s="54">
        <v>56.34</v>
      </c>
      <c r="H24" s="54">
        <v>36.79</v>
      </c>
      <c r="I24" s="54">
        <v>0.76</v>
      </c>
      <c r="J24" s="54">
        <v>1.98</v>
      </c>
      <c r="K24" s="54">
        <v>234.30</v>
      </c>
      <c r="L24" s="54">
        <v>38.60</v>
      </c>
      <c r="M24" s="54">
        <v>25.98</v>
      </c>
      <c r="N24" s="55" t="s">
        <v>14</v>
      </c>
      <c r="O24" s="54">
        <v>0</v>
      </c>
      <c r="P24" s="54">
        <v>0.67</v>
      </c>
      <c r="Q24" s="54">
        <v>29.01</v>
      </c>
      <c r="R24" s="43"/>
      <c r="S24" s="43"/>
      <c r="T24" s="43"/>
      <c r="U24" s="43"/>
    </row>
    <row r="25" spans="1:21" s="11" customFormat="1" ht="15">
      <c r="A25" s="53" t="s">
        <v>174</v>
      </c>
      <c r="B25" s="54">
        <v>1.0900000000000001</v>
      </c>
      <c r="C25" s="54">
        <v>43.48</v>
      </c>
      <c r="D25" s="54">
        <v>25.45</v>
      </c>
      <c r="E25" s="54">
        <v>3.12</v>
      </c>
      <c r="F25" s="54">
        <v>14.46</v>
      </c>
      <c r="G25" s="54">
        <v>95.22</v>
      </c>
      <c r="H25" s="54">
        <v>33.85</v>
      </c>
      <c r="I25" s="54">
        <v>0.69</v>
      </c>
      <c r="J25" s="54">
        <v>4.34</v>
      </c>
      <c r="K25" s="54">
        <v>227.31</v>
      </c>
      <c r="L25" s="54">
        <v>31.51</v>
      </c>
      <c r="M25" s="54">
        <v>45.02</v>
      </c>
      <c r="N25" s="55" t="s">
        <v>14</v>
      </c>
      <c r="O25" s="54">
        <v>0</v>
      </c>
      <c r="P25" s="54">
        <v>0.65</v>
      </c>
      <c r="Q25" s="54">
        <v>27.62</v>
      </c>
      <c r="R25" s="43"/>
      <c r="S25" s="43"/>
      <c r="T25" s="43"/>
      <c r="U25" s="43"/>
    </row>
    <row r="26" spans="1:21" s="11" customFormat="1" ht="15">
      <c r="A26" s="53" t="s">
        <v>175</v>
      </c>
      <c r="B26" s="54">
        <v>1.01</v>
      </c>
      <c r="C26" s="54">
        <v>46.37</v>
      </c>
      <c r="D26" s="54">
        <v>27.04</v>
      </c>
      <c r="E26" s="54">
        <v>2.15</v>
      </c>
      <c r="F26" s="54">
        <v>10.65</v>
      </c>
      <c r="G26" s="54">
        <v>177.5</v>
      </c>
      <c r="H26" s="54">
        <v>36.07</v>
      </c>
      <c r="I26" s="54">
        <v>0.72</v>
      </c>
      <c r="J26" s="54">
        <v>2.10</v>
      </c>
      <c r="K26" s="54">
        <v>228.48</v>
      </c>
      <c r="L26" s="54">
        <v>29.54</v>
      </c>
      <c r="M26" s="54">
        <v>44.21</v>
      </c>
      <c r="N26" s="55" t="s">
        <v>14</v>
      </c>
      <c r="O26" s="54">
        <v>0</v>
      </c>
      <c r="P26" s="54">
        <v>0.72</v>
      </c>
      <c r="Q26" s="54">
        <v>27.89</v>
      </c>
      <c r="R26" s="43"/>
      <c r="S26" s="43"/>
      <c r="T26" s="43"/>
      <c r="U26" s="43"/>
    </row>
    <row r="27" spans="1:21" s="11" customFormat="1" ht="15">
      <c r="A27" s="53" t="s">
        <v>176</v>
      </c>
      <c r="B27" s="54">
        <v>7.03</v>
      </c>
      <c r="C27" s="54">
        <v>49.54</v>
      </c>
      <c r="D27" s="54">
        <v>31.62</v>
      </c>
      <c r="E27" s="54">
        <v>2.36</v>
      </c>
      <c r="F27" s="54">
        <v>49.69</v>
      </c>
      <c r="G27" s="54">
        <v>45.96</v>
      </c>
      <c r="H27" s="54">
        <v>34.119999999999997</v>
      </c>
      <c r="I27" s="54">
        <v>0.69</v>
      </c>
      <c r="J27" s="54">
        <v>1.80</v>
      </c>
      <c r="K27" s="54">
        <v>229.73</v>
      </c>
      <c r="L27" s="54">
        <v>30.34</v>
      </c>
      <c r="M27" s="54">
        <v>38.270000000000003</v>
      </c>
      <c r="N27" s="55" t="s">
        <v>14</v>
      </c>
      <c r="O27" s="54">
        <v>0</v>
      </c>
      <c r="P27" s="54">
        <v>0.72</v>
      </c>
      <c r="Q27" s="54">
        <v>27.40</v>
      </c>
      <c r="R27" s="43"/>
      <c r="S27" s="43"/>
      <c r="T27" s="43"/>
      <c r="U27" s="43"/>
    </row>
    <row r="28" spans="1:21" s="11" customFormat="1" ht="15">
      <c r="A28" s="53" t="s">
        <v>177</v>
      </c>
      <c r="B28" s="54">
        <v>1.05</v>
      </c>
      <c r="C28" s="54">
        <v>44.52</v>
      </c>
      <c r="D28" s="54">
        <v>26.02</v>
      </c>
      <c r="E28" s="54">
        <v>2.4900000000000002</v>
      </c>
      <c r="F28" s="54">
        <v>21.30</v>
      </c>
      <c r="G28" s="54">
        <v>48.33</v>
      </c>
      <c r="H28" s="54">
        <v>31.16</v>
      </c>
      <c r="I28" s="54">
        <v>0.75</v>
      </c>
      <c r="J28" s="54">
        <v>1.65</v>
      </c>
      <c r="K28" s="54">
        <v>155.88999999999999</v>
      </c>
      <c r="L28" s="54">
        <v>30.05</v>
      </c>
      <c r="M28" s="54">
        <v>38.22</v>
      </c>
      <c r="N28" s="55" t="s">
        <v>14</v>
      </c>
      <c r="O28" s="54">
        <v>0</v>
      </c>
      <c r="P28" s="54">
        <v>0.70</v>
      </c>
      <c r="Q28" s="54">
        <v>29.18</v>
      </c>
      <c r="R28" s="43"/>
      <c r="S28" s="43"/>
      <c r="T28" s="43"/>
      <c r="U28" s="43"/>
    </row>
    <row r="29" spans="1:21" s="11" customFormat="1" ht="15">
      <c r="A29" s="53" t="s">
        <v>178</v>
      </c>
      <c r="B29" s="54">
        <v>9.7899999999999991</v>
      </c>
      <c r="C29" s="54">
        <v>57.85</v>
      </c>
      <c r="D29" s="54">
        <v>40.42</v>
      </c>
      <c r="E29" s="54">
        <v>2.86</v>
      </c>
      <c r="F29" s="54">
        <v>19.05</v>
      </c>
      <c r="G29" s="54">
        <v>39.19</v>
      </c>
      <c r="H29" s="54">
        <v>30.30</v>
      </c>
      <c r="I29" s="54">
        <v>0.78</v>
      </c>
      <c r="J29" s="54">
        <v>1.1200000000000001</v>
      </c>
      <c r="K29" s="54">
        <v>232.49</v>
      </c>
      <c r="L29" s="54">
        <v>29.45</v>
      </c>
      <c r="M29" s="54">
        <v>42.89</v>
      </c>
      <c r="N29" s="55" t="s">
        <v>14</v>
      </c>
      <c r="O29" s="54">
        <v>0</v>
      </c>
      <c r="P29" s="54">
        <v>0.76</v>
      </c>
      <c r="Q29" s="54">
        <v>29.08</v>
      </c>
      <c r="R29" s="43"/>
      <c r="S29" s="43"/>
      <c r="T29" s="43"/>
      <c r="U29" s="43"/>
    </row>
    <row r="30" spans="1:21" s="11" customFormat="1" ht="15">
      <c r="A30" s="53" t="s">
        <v>179</v>
      </c>
      <c r="B30" s="54">
        <v>21.64</v>
      </c>
      <c r="C30" s="54">
        <v>83.71</v>
      </c>
      <c r="D30" s="54">
        <v>60.76</v>
      </c>
      <c r="E30" s="54">
        <v>7.49</v>
      </c>
      <c r="F30" s="54">
        <v>38.479999999999997</v>
      </c>
      <c r="G30" s="54">
        <v>54.35</v>
      </c>
      <c r="H30" s="54">
        <v>29.74</v>
      </c>
      <c r="I30" s="54">
        <v>0.85</v>
      </c>
      <c r="J30" s="54">
        <v>0.43</v>
      </c>
      <c r="K30" s="54">
        <v>200.67</v>
      </c>
      <c r="L30" s="54">
        <v>28.52</v>
      </c>
      <c r="M30" s="54">
        <v>48.64</v>
      </c>
      <c r="N30" s="54">
        <v>2.90</v>
      </c>
      <c r="O30" s="54">
        <v>0</v>
      </c>
      <c r="P30" s="54">
        <v>0.91</v>
      </c>
      <c r="Q30" s="54">
        <v>24.21</v>
      </c>
      <c r="R30" s="43"/>
      <c r="S30" s="43"/>
      <c r="T30" s="43"/>
      <c r="U30" s="43"/>
    </row>
    <row r="31" spans="1:21" s="11" customFormat="1" ht="15">
      <c r="A31" s="53" t="s">
        <v>180</v>
      </c>
      <c r="B31" s="54">
        <v>3.61</v>
      </c>
      <c r="C31" s="54">
        <v>56.38</v>
      </c>
      <c r="D31" s="54">
        <v>33.85</v>
      </c>
      <c r="E31" s="54">
        <v>6.57</v>
      </c>
      <c r="F31" s="54">
        <v>20.30</v>
      </c>
      <c r="G31" s="54">
        <v>77.239999999999995</v>
      </c>
      <c r="H31" s="54">
        <v>26.92</v>
      </c>
      <c r="I31" s="54">
        <v>0.77</v>
      </c>
      <c r="J31" s="54">
        <v>0.69</v>
      </c>
      <c r="K31" s="54">
        <v>149.52000000000001</v>
      </c>
      <c r="L31" s="54">
        <v>28.14</v>
      </c>
      <c r="M31" s="54">
        <v>48.47</v>
      </c>
      <c r="N31" s="54">
        <v>4.80</v>
      </c>
      <c r="O31" s="54">
        <v>0</v>
      </c>
      <c r="P31" s="54">
        <v>0.91</v>
      </c>
      <c r="Q31" s="54">
        <v>29.74</v>
      </c>
      <c r="R31" s="43"/>
      <c r="S31" s="43"/>
      <c r="T31" s="43"/>
      <c r="U31" s="43"/>
    </row>
    <row r="32" spans="1:21" s="11" customFormat="1" ht="15">
      <c r="A32" s="53" t="s">
        <v>181</v>
      </c>
      <c r="B32" s="54">
        <v>1.30</v>
      </c>
      <c r="C32" s="54">
        <v>50.16</v>
      </c>
      <c r="D32" s="54">
        <v>29.37</v>
      </c>
      <c r="E32" s="54">
        <v>2.2200000000000002</v>
      </c>
      <c r="F32" s="54">
        <v>33.380000000000003</v>
      </c>
      <c r="G32" s="54">
        <v>46.90</v>
      </c>
      <c r="H32" s="54">
        <v>27.84</v>
      </c>
      <c r="I32" s="54">
        <v>0.68</v>
      </c>
      <c r="J32" s="54">
        <v>0.79</v>
      </c>
      <c r="K32" s="54">
        <v>182.18</v>
      </c>
      <c r="L32" s="54">
        <v>27.36</v>
      </c>
      <c r="M32" s="54">
        <v>52.54</v>
      </c>
      <c r="N32" s="54">
        <v>5</v>
      </c>
      <c r="O32" s="54">
        <v>0</v>
      </c>
      <c r="P32" s="54">
        <v>0.82</v>
      </c>
      <c r="Q32" s="54">
        <v>29.78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</v>
      </c>
      <c r="C34" s="28">
        <f t="shared" si="0"/>
        <v>28.079999999999998</v>
      </c>
      <c r="D34" s="28">
        <f t="shared" si="0"/>
        <v>16.940000000000001</v>
      </c>
      <c r="E34" s="28">
        <f t="shared" si="0"/>
        <v>1.3300000000000001</v>
      </c>
      <c r="F34" s="28">
        <f t="shared" si="0"/>
        <v>5.9699999999999998</v>
      </c>
      <c r="G34" s="28">
        <f t="shared" si="0"/>
        <v>25.149999999999999</v>
      </c>
      <c r="H34" s="28">
        <f t="shared" si="0"/>
        <v>19.609999999999999</v>
      </c>
      <c r="I34" s="28">
        <f t="shared" si="0"/>
        <v>0.54000000000000004</v>
      </c>
      <c r="J34" s="28">
        <f t="shared" si="0"/>
        <v>0.20000000000000001</v>
      </c>
      <c r="K34" s="28">
        <f t="shared" si="0"/>
        <v>146.11000000000001</v>
      </c>
      <c r="L34" s="28">
        <f t="shared" si="0"/>
        <v>27.359999999999999</v>
      </c>
      <c r="M34" s="28">
        <f t="shared" si="0"/>
        <v>23.710000000000001</v>
      </c>
      <c r="N34" s="28">
        <f t="shared" si="0"/>
        <v>2.8999999999999999</v>
      </c>
      <c r="O34" s="28">
        <f t="shared" si="0"/>
        <v>0</v>
      </c>
      <c r="P34" s="28">
        <f t="shared" si="0"/>
        <v>0.39000000000000001</v>
      </c>
      <c r="Q34" s="28">
        <f t="shared" si="0"/>
        <v>24.210000000000001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21.640000000000001</v>
      </c>
      <c r="C35" s="29">
        <f t="shared" si="1"/>
        <v>83.709999999999994</v>
      </c>
      <c r="D35" s="29">
        <f t="shared" si="1"/>
        <v>60.759999999999998</v>
      </c>
      <c r="E35" s="29">
        <f t="shared" si="1"/>
        <v>19.199999999999999</v>
      </c>
      <c r="F35" s="29">
        <f t="shared" si="1"/>
        <v>107.23</v>
      </c>
      <c r="G35" s="29">
        <f t="shared" si="1"/>
        <v>177.5</v>
      </c>
      <c r="H35" s="29">
        <f t="shared" si="1"/>
        <v>38.979999999999997</v>
      </c>
      <c r="I35" s="29">
        <f t="shared" si="1"/>
        <v>1.01</v>
      </c>
      <c r="J35" s="29">
        <f t="shared" si="1"/>
        <v>4.3399999999999999</v>
      </c>
      <c r="K35" s="29">
        <f t="shared" si="1"/>
        <v>240.25999999999999</v>
      </c>
      <c r="L35" s="29">
        <f t="shared" si="1"/>
        <v>40.060000000000002</v>
      </c>
      <c r="M35" s="29">
        <f t="shared" si="1"/>
        <v>52.539999999999999</v>
      </c>
      <c r="N35" s="29">
        <f t="shared" si="1"/>
        <v>735.39999999999998</v>
      </c>
      <c r="O35" s="29">
        <f t="shared" si="1"/>
        <v>0</v>
      </c>
      <c r="P35" s="29">
        <f t="shared" si="1"/>
        <v>1.1000000000000001</v>
      </c>
      <c r="Q35" s="29">
        <f t="shared" si="1"/>
        <v>29.780000000000001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4.7766666666666664</v>
      </c>
      <c r="C36" s="28">
        <f t="shared" si="2"/>
        <v>44.30916666666667</v>
      </c>
      <c r="D36" s="28">
        <f t="shared" si="2"/>
        <v>28.42625</v>
      </c>
      <c r="E36" s="28">
        <f t="shared" si="2"/>
        <v>5.4437500000000005</v>
      </c>
      <c r="F36" s="28">
        <f t="shared" si="2"/>
        <v>36.29291666666667</v>
      </c>
      <c r="G36" s="28">
        <f t="shared" si="2"/>
        <v>57.09708333333333</v>
      </c>
      <c r="H36" s="28">
        <f t="shared" si="2"/>
        <v>29.602083333333336</v>
      </c>
      <c r="I36" s="28">
        <f t="shared" si="2"/>
        <v>0.71041666666666659</v>
      </c>
      <c r="J36" s="28">
        <f t="shared" si="2"/>
        <v>1.0450000000000002</v>
      </c>
      <c r="K36" s="28">
        <f t="shared" si="2"/>
        <v>208.72583333333338</v>
      </c>
      <c r="L36" s="28">
        <f t="shared" si="2"/>
        <v>33.295000000000002</v>
      </c>
      <c r="M36" s="28">
        <f t="shared" si="2"/>
        <v>37.021428571428565</v>
      </c>
      <c r="N36" s="28">
        <f t="shared" si="2"/>
        <v>186.7764705882353</v>
      </c>
      <c r="O36" s="28">
        <f t="shared" si="2"/>
        <v>0</v>
      </c>
      <c r="P36" s="28">
        <f t="shared" si="2"/>
        <v>0.71625000000000005</v>
      </c>
      <c r="Q36" s="28">
        <f t="shared" si="2"/>
        <v>28.298750000000002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4.6153888777386491</v>
      </c>
      <c r="C37" s="28">
        <f t="shared" si="3" ref="C37:Q37">STDEV(C9:C32)</f>
        <v>12.125109382444009</v>
      </c>
      <c r="D37" s="28">
        <f t="shared" si="3"/>
        <v>9.0602537696007754</v>
      </c>
      <c r="E37" s="28">
        <f t="shared" si="3"/>
        <v>4.9197718332565339</v>
      </c>
      <c r="F37" s="28">
        <f t="shared" si="3"/>
        <v>26.16463518953492</v>
      </c>
      <c r="G37" s="28">
        <f t="shared" si="3"/>
        <v>32.020705866152724</v>
      </c>
      <c r="H37" s="28">
        <f t="shared" si="3"/>
        <v>6.1501007267584891</v>
      </c>
      <c r="I37" s="28">
        <f t="shared" si="3"/>
        <v>0.11007820013484829</v>
      </c>
      <c r="J37" s="28">
        <f t="shared" si="3"/>
        <v>0.89230527043841545</v>
      </c>
      <c r="K37" s="28">
        <f t="shared" si="3"/>
        <v>30.774877659017783</v>
      </c>
      <c r="L37" s="28">
        <f t="shared" si="3"/>
        <v>4.8503810318207474</v>
      </c>
      <c r="M37" s="28">
        <f t="shared" si="3"/>
        <v>10.097029157242149</v>
      </c>
      <c r="N37" s="28">
        <f t="shared" si="3"/>
        <v>247.00494815238966</v>
      </c>
      <c r="O37" s="28">
        <f t="shared" si="3"/>
        <v>0</v>
      </c>
      <c r="P37" s="28">
        <f t="shared" si="3"/>
        <v>0.22457326682825088</v>
      </c>
      <c r="Q37" s="28">
        <f t="shared" si="3"/>
        <v>1.2189386420338693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>COUNT(L9:L32)+10</f>
        <v>24</v>
      </c>
      <c r="M38" s="32">
        <f>COUNT(M9:M32)+10</f>
        <v>24</v>
      </c>
      <c r="N38" s="32">
        <f>COUNT(N9:N32)+7</f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32f4e42-93a8-4d08-93e5-80f123567317}">
  <sheetPr codeName=""/>
  <dimension ref="A1:U119"/>
  <sheetViews>
    <sheetView workbookViewId="0" topLeftCell="A1">
      <pane xSplit="2" ySplit="8" topLeftCell="C27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60" sqref="H60"/>
    </sheetView>
  </sheetViews>
  <sheetFormatPr defaultColWidth="8.85881696428571" defaultRowHeight="15"/>
  <cols>
    <col min="1" max="1" width="18.2857142857143" style="26" customWidth="1"/>
    <col min="2" max="2" width="13.5714285714286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06-06-2023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182</v>
      </c>
      <c r="B9" s="54">
        <v>1.71</v>
      </c>
      <c r="C9" s="54">
        <v>41.22</v>
      </c>
      <c r="D9" s="54">
        <v>24.76</v>
      </c>
      <c r="E9" s="54">
        <v>4.30</v>
      </c>
      <c r="F9" s="54">
        <v>51.56</v>
      </c>
      <c r="G9" s="54">
        <v>30.62</v>
      </c>
      <c r="H9" s="54">
        <v>23.62</v>
      </c>
      <c r="I9" s="54">
        <v>0.68</v>
      </c>
      <c r="J9" s="54">
        <v>0.20</v>
      </c>
      <c r="K9" s="54">
        <v>227.40</v>
      </c>
      <c r="L9" s="54">
        <v>26.46</v>
      </c>
      <c r="M9" s="54">
        <v>57.98</v>
      </c>
      <c r="N9" s="54">
        <v>5.20</v>
      </c>
      <c r="O9" s="54">
        <v>0</v>
      </c>
      <c r="P9" s="54">
        <v>0.72</v>
      </c>
      <c r="Q9" s="54">
        <v>29.67</v>
      </c>
      <c r="R9" s="43"/>
      <c r="S9" s="43"/>
      <c r="T9" s="43"/>
      <c r="U9" s="43"/>
    </row>
    <row r="10" spans="1:21" s="11" customFormat="1" ht="15">
      <c r="A10" s="53" t="s">
        <v>183</v>
      </c>
      <c r="B10" s="54">
        <v>1.1599999999999999</v>
      </c>
      <c r="C10" s="54">
        <v>37.58</v>
      </c>
      <c r="D10" s="54">
        <v>22.19</v>
      </c>
      <c r="E10" s="54">
        <v>4.3499999999999996</v>
      </c>
      <c r="F10" s="54">
        <v>13.23</v>
      </c>
      <c r="G10" s="54">
        <v>40.450000000000003</v>
      </c>
      <c r="H10" s="54">
        <v>26.10</v>
      </c>
      <c r="I10" s="54">
        <v>0.76</v>
      </c>
      <c r="J10" s="54">
        <v>0.56000000000000005</v>
      </c>
      <c r="K10" s="54">
        <v>227.86</v>
      </c>
      <c r="L10" s="54">
        <v>25.99</v>
      </c>
      <c r="M10" s="54">
        <v>61.73</v>
      </c>
      <c r="N10" s="54">
        <v>5</v>
      </c>
      <c r="O10" s="54">
        <v>0</v>
      </c>
      <c r="P10" s="54">
        <v>0.70</v>
      </c>
      <c r="Q10" s="54">
        <v>30.13</v>
      </c>
      <c r="R10" s="43"/>
      <c r="S10" s="43"/>
      <c r="T10" s="43"/>
      <c r="U10" s="43"/>
    </row>
    <row r="11" spans="1:21" s="11" customFormat="1" ht="15">
      <c r="A11" s="53" t="s">
        <v>184</v>
      </c>
      <c r="B11" s="54">
        <v>1</v>
      </c>
      <c r="C11" s="54">
        <v>36.979999999999997</v>
      </c>
      <c r="D11" s="54">
        <v>21.85</v>
      </c>
      <c r="E11" s="54">
        <v>2.62</v>
      </c>
      <c r="F11" s="54">
        <v>29.31</v>
      </c>
      <c r="G11" s="54">
        <v>51.37</v>
      </c>
      <c r="H11" s="54">
        <v>25.31</v>
      </c>
      <c r="I11" s="54">
        <v>0.67</v>
      </c>
      <c r="J11" s="54">
        <v>0.44</v>
      </c>
      <c r="K11" s="54">
        <v>226.01</v>
      </c>
      <c r="L11" s="54">
        <v>26.09</v>
      </c>
      <c r="M11" s="54">
        <v>68.45</v>
      </c>
      <c r="N11" s="54">
        <v>5.40</v>
      </c>
      <c r="O11" s="54">
        <v>0</v>
      </c>
      <c r="P11" s="54">
        <v>0.67</v>
      </c>
      <c r="Q11" s="54">
        <v>30.04</v>
      </c>
      <c r="R11" s="43"/>
      <c r="S11" s="43"/>
      <c r="T11" s="43"/>
      <c r="U11" s="43"/>
    </row>
    <row r="12" spans="1:21" s="11" customFormat="1" ht="15">
      <c r="A12" s="53" t="s">
        <v>185</v>
      </c>
      <c r="B12" s="54">
        <v>1.08</v>
      </c>
      <c r="C12" s="54">
        <v>32.56</v>
      </c>
      <c r="D12" s="54">
        <v>19.48</v>
      </c>
      <c r="E12" s="54">
        <v>3.30</v>
      </c>
      <c r="F12" s="54">
        <v>49.45</v>
      </c>
      <c r="G12" s="54">
        <v>49.54</v>
      </c>
      <c r="H12" s="54">
        <v>28.37</v>
      </c>
      <c r="I12" s="54">
        <v>0.62</v>
      </c>
      <c r="J12" s="54">
        <v>0.21</v>
      </c>
      <c r="K12" s="54">
        <v>223.66</v>
      </c>
      <c r="L12" s="54">
        <v>25.26</v>
      </c>
      <c r="M12" s="54">
        <v>67.569999999999993</v>
      </c>
      <c r="N12" s="54">
        <v>4.9000000000000004</v>
      </c>
      <c r="O12" s="54">
        <v>0</v>
      </c>
      <c r="P12" s="54">
        <v>0.63</v>
      </c>
      <c r="Q12" s="54">
        <v>29.22</v>
      </c>
      <c r="R12" s="43"/>
      <c r="S12" s="43"/>
      <c r="T12" s="43"/>
      <c r="U12" s="43"/>
    </row>
    <row r="13" spans="1:21" s="11" customFormat="1" ht="15">
      <c r="A13" s="53" t="s">
        <v>186</v>
      </c>
      <c r="B13" s="54">
        <v>1.78</v>
      </c>
      <c r="C13" s="54">
        <v>42.38</v>
      </c>
      <c r="D13" s="54">
        <v>25.46</v>
      </c>
      <c r="E13" s="54">
        <v>1.44</v>
      </c>
      <c r="F13" s="54">
        <v>10.11</v>
      </c>
      <c r="G13" s="54">
        <v>36.92</v>
      </c>
      <c r="H13" s="54">
        <v>23.11</v>
      </c>
      <c r="I13" s="54">
        <v>0.68</v>
      </c>
      <c r="J13" s="54">
        <v>0.21</v>
      </c>
      <c r="K13" s="54">
        <v>238.80</v>
      </c>
      <c r="L13" s="54">
        <v>24.75</v>
      </c>
      <c r="M13" s="54">
        <v>66.58</v>
      </c>
      <c r="N13" s="54">
        <v>5.0999999999999996</v>
      </c>
      <c r="O13" s="54">
        <v>0</v>
      </c>
      <c r="P13" s="54">
        <v>0.63</v>
      </c>
      <c r="Q13" s="54">
        <v>30.14</v>
      </c>
      <c r="R13" s="43"/>
      <c r="S13" s="43"/>
      <c r="T13" s="43"/>
      <c r="U13" s="43"/>
    </row>
    <row r="14" spans="1:21" s="11" customFormat="1" ht="15">
      <c r="A14" s="53" t="s">
        <v>187</v>
      </c>
      <c r="B14" s="54">
        <v>29.47</v>
      </c>
      <c r="C14" s="54">
        <v>59.74</v>
      </c>
      <c r="D14" s="54">
        <v>57.25</v>
      </c>
      <c r="E14" s="54">
        <v>0.56000000000000005</v>
      </c>
      <c r="F14" s="54">
        <v>27.24</v>
      </c>
      <c r="G14" s="54">
        <v>52.14</v>
      </c>
      <c r="H14" s="54">
        <v>26.68</v>
      </c>
      <c r="I14" s="54">
        <v>0.69</v>
      </c>
      <c r="J14" s="54">
        <v>0.12</v>
      </c>
      <c r="K14" s="54">
        <v>227.92</v>
      </c>
      <c r="L14" s="54">
        <v>24.88</v>
      </c>
      <c r="M14" s="54">
        <v>66.260000000000005</v>
      </c>
      <c r="N14" s="54">
        <v>55.40</v>
      </c>
      <c r="O14" s="54">
        <v>0</v>
      </c>
      <c r="P14" s="54">
        <v>0.70</v>
      </c>
      <c r="Q14" s="54">
        <v>30.05</v>
      </c>
      <c r="R14" s="43"/>
      <c r="S14" s="43"/>
      <c r="T14" s="43"/>
      <c r="U14" s="43"/>
    </row>
    <row r="15" spans="1:21" s="11" customFormat="1" ht="15">
      <c r="A15" s="53" t="s">
        <v>188</v>
      </c>
      <c r="B15" s="54">
        <v>16.64</v>
      </c>
      <c r="C15" s="54">
        <v>63.38</v>
      </c>
      <c r="D15" s="54">
        <v>48.97</v>
      </c>
      <c r="E15" s="54">
        <v>1.32</v>
      </c>
      <c r="F15" s="54">
        <v>41.68</v>
      </c>
      <c r="G15" s="54">
        <v>73.33</v>
      </c>
      <c r="H15" s="54">
        <v>30.89</v>
      </c>
      <c r="I15" s="54">
        <v>0.66</v>
      </c>
      <c r="J15" s="54">
        <v>0.15</v>
      </c>
      <c r="K15" s="54">
        <v>308.83</v>
      </c>
      <c r="L15" s="54">
        <v>29.91</v>
      </c>
      <c r="M15" s="54">
        <v>61.74</v>
      </c>
      <c r="N15" s="54">
        <v>217</v>
      </c>
      <c r="O15" s="54">
        <v>0</v>
      </c>
      <c r="P15" s="54">
        <v>0.75</v>
      </c>
      <c r="Q15" s="54">
        <v>28.77</v>
      </c>
      <c r="R15" s="43"/>
      <c r="S15" s="43"/>
      <c r="T15" s="43"/>
      <c r="U15" s="43"/>
    </row>
    <row r="16" spans="1:21" s="11" customFormat="1" ht="15">
      <c r="A16" s="53" t="s">
        <v>189</v>
      </c>
      <c r="B16" s="54">
        <v>8.42</v>
      </c>
      <c r="C16" s="54">
        <v>49.94</v>
      </c>
      <c r="D16" s="54">
        <v>31.79</v>
      </c>
      <c r="E16" s="54">
        <v>1.38</v>
      </c>
      <c r="F16" s="54">
        <v>14.42</v>
      </c>
      <c r="G16" s="54">
        <v>65.52</v>
      </c>
      <c r="H16" s="54">
        <v>39.04</v>
      </c>
      <c r="I16" s="54">
        <v>0.64</v>
      </c>
      <c r="J16" s="54">
        <v>0.53</v>
      </c>
      <c r="K16" s="54">
        <v>259.83</v>
      </c>
      <c r="L16" s="54">
        <v>32.01</v>
      </c>
      <c r="M16" s="54">
        <v>44.39</v>
      </c>
      <c r="N16" s="54">
        <v>440.80</v>
      </c>
      <c r="O16" s="54">
        <v>0</v>
      </c>
      <c r="P16" s="54">
        <v>0.79</v>
      </c>
      <c r="Q16" s="54">
        <v>30.67</v>
      </c>
      <c r="R16" s="43"/>
      <c r="S16" s="43"/>
      <c r="T16" s="43"/>
      <c r="U16" s="43"/>
    </row>
    <row r="17" spans="1:21" s="11" customFormat="1" ht="15">
      <c r="A17" s="53" t="s">
        <v>190</v>
      </c>
      <c r="B17" s="54">
        <v>1.70</v>
      </c>
      <c r="C17" s="54">
        <v>46.75</v>
      </c>
      <c r="D17" s="54">
        <v>27.30</v>
      </c>
      <c r="E17" s="54">
        <v>2.77</v>
      </c>
      <c r="F17" s="54">
        <v>53.94</v>
      </c>
      <c r="G17" s="54">
        <v>59.57</v>
      </c>
      <c r="H17" s="54">
        <v>33.46</v>
      </c>
      <c r="I17" s="54">
        <v>0.77</v>
      </c>
      <c r="J17" s="54">
        <v>0.91</v>
      </c>
      <c r="K17" s="54">
        <v>177.59</v>
      </c>
      <c r="L17" s="54">
        <v>32.69</v>
      </c>
      <c r="M17" s="54">
        <v>45.17</v>
      </c>
      <c r="N17" s="54">
        <v>596.5</v>
      </c>
      <c r="O17" s="54">
        <v>0</v>
      </c>
      <c r="P17" s="54">
        <v>0.74</v>
      </c>
      <c r="Q17" s="54">
        <v>30.99</v>
      </c>
      <c r="R17" s="43"/>
      <c r="S17" s="43"/>
      <c r="T17" s="43"/>
      <c r="U17" s="43"/>
    </row>
    <row r="18" spans="1:21" s="11" customFormat="1" ht="15">
      <c r="A18" s="53" t="s">
        <v>191</v>
      </c>
      <c r="B18" s="54">
        <v>2.79</v>
      </c>
      <c r="C18" s="54">
        <v>44.74</v>
      </c>
      <c r="D18" s="54">
        <v>27.57</v>
      </c>
      <c r="E18" s="54">
        <v>6.25</v>
      </c>
      <c r="F18" s="54">
        <v>61.12</v>
      </c>
      <c r="G18" s="54">
        <v>52.98</v>
      </c>
      <c r="H18" s="54">
        <v>34.130000000000003</v>
      </c>
      <c r="I18" s="54">
        <v>0.76</v>
      </c>
      <c r="J18" s="54">
        <v>0.65</v>
      </c>
      <c r="K18" s="54">
        <v>245.59</v>
      </c>
      <c r="L18" s="54">
        <v>36.35</v>
      </c>
      <c r="M18" s="54">
        <v>40.92</v>
      </c>
      <c r="N18" s="54">
        <v>753.70</v>
      </c>
      <c r="O18" s="54">
        <v>0</v>
      </c>
      <c r="P18" s="54">
        <v>0.80</v>
      </c>
      <c r="Q18" s="54">
        <v>29.57</v>
      </c>
      <c r="R18" s="43"/>
      <c r="S18" s="43"/>
      <c r="T18" s="43"/>
      <c r="U18" s="43"/>
    </row>
    <row r="19" spans="1:21" s="11" customFormat="1" ht="15">
      <c r="A19" s="53" t="s">
        <v>192</v>
      </c>
      <c r="B19" s="54">
        <v>1.05</v>
      </c>
      <c r="C19" s="54">
        <v>41.98</v>
      </c>
      <c r="D19" s="54">
        <v>24.66</v>
      </c>
      <c r="E19" s="54">
        <v>5.22</v>
      </c>
      <c r="F19" s="54">
        <v>19.809999999999999</v>
      </c>
      <c r="G19" s="54">
        <v>54.35</v>
      </c>
      <c r="H19" s="54">
        <v>35.82</v>
      </c>
      <c r="I19" s="54">
        <v>0.90</v>
      </c>
      <c r="J19" s="54">
        <v>0.63</v>
      </c>
      <c r="K19" s="54">
        <v>231.30</v>
      </c>
      <c r="L19" s="54">
        <v>37.380000000000003</v>
      </c>
      <c r="M19" s="54">
        <v>29.65</v>
      </c>
      <c r="N19" s="54">
        <v>795.80</v>
      </c>
      <c r="O19" s="54">
        <v>0</v>
      </c>
      <c r="P19" s="54">
        <v>0.92</v>
      </c>
      <c r="Q19" s="54">
        <v>29.38</v>
      </c>
      <c r="R19" s="43"/>
      <c r="S19" s="43"/>
      <c r="T19" s="43"/>
      <c r="U19" s="43"/>
    </row>
    <row r="20" spans="1:21" s="11" customFormat="1" ht="15">
      <c r="A20" s="53" t="s">
        <v>193</v>
      </c>
      <c r="B20" s="54">
        <v>2.0299999999999998</v>
      </c>
      <c r="C20" s="54">
        <v>43.67</v>
      </c>
      <c r="D20" s="54">
        <v>25.55</v>
      </c>
      <c r="E20" s="54">
        <v>4.1399999999999997</v>
      </c>
      <c r="F20" s="54">
        <v>74.41</v>
      </c>
      <c r="G20" s="54">
        <v>52.89</v>
      </c>
      <c r="H20" s="54">
        <v>36.020000000000003</v>
      </c>
      <c r="I20" s="54">
        <v>0.86</v>
      </c>
      <c r="J20" s="54">
        <v>0.83</v>
      </c>
      <c r="K20" s="54">
        <v>228.26</v>
      </c>
      <c r="L20" s="54">
        <v>38.82</v>
      </c>
      <c r="M20" s="54">
        <v>25.78</v>
      </c>
      <c r="N20" s="55" t="s">
        <v>14</v>
      </c>
      <c r="O20" s="54">
        <v>0</v>
      </c>
      <c r="P20" s="54">
        <v>0.92</v>
      </c>
      <c r="Q20" s="54">
        <v>28.81</v>
      </c>
      <c r="R20" s="43"/>
      <c r="S20" s="43"/>
      <c r="T20" s="43"/>
      <c r="U20" s="43"/>
    </row>
    <row r="21" spans="1:21" s="11" customFormat="1" ht="15">
      <c r="A21" s="53" t="s">
        <v>194</v>
      </c>
      <c r="B21" s="54">
        <v>7.99</v>
      </c>
      <c r="C21" s="54">
        <v>44.22</v>
      </c>
      <c r="D21" s="54">
        <v>31.46</v>
      </c>
      <c r="E21" s="54">
        <v>5.82</v>
      </c>
      <c r="F21" s="54">
        <v>63.91</v>
      </c>
      <c r="G21" s="54">
        <v>39.58</v>
      </c>
      <c r="H21" s="54">
        <v>34.33</v>
      </c>
      <c r="I21" s="54">
        <v>0.71</v>
      </c>
      <c r="J21" s="54">
        <v>1.03</v>
      </c>
      <c r="K21" s="54">
        <v>232.45</v>
      </c>
      <c r="L21" s="54">
        <v>40.58</v>
      </c>
      <c r="M21" s="54">
        <v>21</v>
      </c>
      <c r="N21" s="55" t="s">
        <v>14</v>
      </c>
      <c r="O21" s="54">
        <v>0</v>
      </c>
      <c r="P21" s="54">
        <v>0.89</v>
      </c>
      <c r="Q21" s="54">
        <v>28.05</v>
      </c>
      <c r="R21" s="43"/>
      <c r="S21" s="43"/>
      <c r="T21" s="43"/>
      <c r="U21" s="43"/>
    </row>
    <row r="22" spans="1:21" s="11" customFormat="1" ht="15">
      <c r="A22" s="53" t="s">
        <v>195</v>
      </c>
      <c r="B22" s="54">
        <v>7.85</v>
      </c>
      <c r="C22" s="54">
        <v>50.19</v>
      </c>
      <c r="D22" s="54">
        <v>34.60</v>
      </c>
      <c r="E22" s="54">
        <v>3.23</v>
      </c>
      <c r="F22" s="54">
        <v>26.23</v>
      </c>
      <c r="G22" s="54">
        <v>40.950000000000003</v>
      </c>
      <c r="H22" s="54">
        <v>26.53</v>
      </c>
      <c r="I22" s="54">
        <v>1</v>
      </c>
      <c r="J22" s="54">
        <v>0.56999999999999995</v>
      </c>
      <c r="K22" s="54">
        <v>232.11</v>
      </c>
      <c r="L22" s="54">
        <v>41.07</v>
      </c>
      <c r="M22" s="54">
        <v>17.77</v>
      </c>
      <c r="N22" s="55" t="s">
        <v>14</v>
      </c>
      <c r="O22" s="54">
        <v>0</v>
      </c>
      <c r="P22" s="54">
        <v>0.73</v>
      </c>
      <c r="Q22" s="54">
        <v>27.44</v>
      </c>
      <c r="R22" s="43"/>
      <c r="S22" s="43"/>
      <c r="T22" s="43"/>
      <c r="U22" s="43"/>
    </row>
    <row r="23" spans="1:21" s="11" customFormat="1" ht="15">
      <c r="A23" s="53" t="s">
        <v>196</v>
      </c>
      <c r="B23" s="54">
        <v>3.33</v>
      </c>
      <c r="C23" s="54">
        <v>43.16</v>
      </c>
      <c r="D23" s="54">
        <v>25.27</v>
      </c>
      <c r="E23" s="54">
        <v>5.57</v>
      </c>
      <c r="F23" s="54">
        <v>52.74</v>
      </c>
      <c r="G23" s="54">
        <v>35.56</v>
      </c>
      <c r="H23" s="54">
        <v>27.52</v>
      </c>
      <c r="I23" s="54">
        <v>0.88</v>
      </c>
      <c r="J23" s="54">
        <v>0.70</v>
      </c>
      <c r="K23" s="54">
        <v>233.77</v>
      </c>
      <c r="L23" s="54">
        <v>39.69</v>
      </c>
      <c r="M23" s="54">
        <v>17.62</v>
      </c>
      <c r="N23" s="55" t="s">
        <v>14</v>
      </c>
      <c r="O23" s="54">
        <v>0</v>
      </c>
      <c r="P23" s="54">
        <v>0.61</v>
      </c>
      <c r="Q23" s="54">
        <v>27.26</v>
      </c>
      <c r="R23" s="43"/>
      <c r="S23" s="43"/>
      <c r="T23" s="43"/>
      <c r="U23" s="43"/>
    </row>
    <row r="24" spans="1:21" s="11" customFormat="1" ht="15">
      <c r="A24" s="53" t="s">
        <v>197</v>
      </c>
      <c r="B24" s="54">
        <v>4.20</v>
      </c>
      <c r="C24" s="54">
        <v>39.799999999999997</v>
      </c>
      <c r="D24" s="54">
        <v>24.77</v>
      </c>
      <c r="E24" s="54">
        <v>5.20</v>
      </c>
      <c r="F24" s="54">
        <v>70.900000000000006</v>
      </c>
      <c r="G24" s="54">
        <v>31.84</v>
      </c>
      <c r="H24" s="54">
        <v>25.43</v>
      </c>
      <c r="I24" s="54">
        <v>0.59</v>
      </c>
      <c r="J24" s="54">
        <v>1.44</v>
      </c>
      <c r="K24" s="54">
        <v>232.75</v>
      </c>
      <c r="L24" s="54">
        <v>39.729999999999997</v>
      </c>
      <c r="M24" s="54">
        <v>15.47</v>
      </c>
      <c r="N24" s="55" t="s">
        <v>14</v>
      </c>
      <c r="O24" s="54">
        <v>0</v>
      </c>
      <c r="P24" s="54">
        <v>0.56999999999999995</v>
      </c>
      <c r="Q24" s="54">
        <v>25.88</v>
      </c>
      <c r="R24" s="43"/>
      <c r="S24" s="43"/>
      <c r="T24" s="43"/>
      <c r="U24" s="43"/>
    </row>
    <row r="25" spans="1:21" s="11" customFormat="1" ht="15">
      <c r="A25" s="53" t="s">
        <v>198</v>
      </c>
      <c r="B25" s="54">
        <v>6.24</v>
      </c>
      <c r="C25" s="54">
        <v>53.33</v>
      </c>
      <c r="D25" s="54">
        <v>35.08</v>
      </c>
      <c r="E25" s="54">
        <v>5.14</v>
      </c>
      <c r="F25" s="54">
        <v>47.24</v>
      </c>
      <c r="G25" s="54">
        <v>35.36</v>
      </c>
      <c r="H25" s="54">
        <v>23.71</v>
      </c>
      <c r="I25" s="54">
        <v>0.76</v>
      </c>
      <c r="J25" s="54">
        <v>0.51</v>
      </c>
      <c r="K25" s="54">
        <v>234.26</v>
      </c>
      <c r="L25" s="54">
        <v>37.74</v>
      </c>
      <c r="M25" s="54">
        <v>17.32</v>
      </c>
      <c r="N25" s="55" t="s">
        <v>14</v>
      </c>
      <c r="O25" s="54">
        <v>0</v>
      </c>
      <c r="P25" s="54">
        <v>0.61</v>
      </c>
      <c r="Q25" s="54">
        <v>26.47</v>
      </c>
      <c r="R25" s="43"/>
      <c r="S25" s="43"/>
      <c r="T25" s="43"/>
      <c r="U25" s="43"/>
    </row>
    <row r="26" spans="1:21" s="11" customFormat="1" ht="15">
      <c r="A26" s="53" t="s">
        <v>199</v>
      </c>
      <c r="B26" s="54">
        <v>13.82</v>
      </c>
      <c r="C26" s="54">
        <v>58.75</v>
      </c>
      <c r="D26" s="54">
        <v>41.85</v>
      </c>
      <c r="E26" s="54">
        <v>11.73</v>
      </c>
      <c r="F26" s="54">
        <v>82.11</v>
      </c>
      <c r="G26" s="54">
        <v>37.979999999999997</v>
      </c>
      <c r="H26" s="54">
        <v>23.81</v>
      </c>
      <c r="I26" s="54">
        <v>0.67</v>
      </c>
      <c r="J26" s="54">
        <v>0.62</v>
      </c>
      <c r="K26" s="54">
        <v>239.01</v>
      </c>
      <c r="L26" s="54">
        <v>36.700000000000003</v>
      </c>
      <c r="M26" s="54">
        <v>20.14</v>
      </c>
      <c r="N26" s="55" t="s">
        <v>14</v>
      </c>
      <c r="O26" s="54">
        <v>0</v>
      </c>
      <c r="P26" s="54">
        <v>0.75</v>
      </c>
      <c r="Q26" s="54">
        <v>25.67</v>
      </c>
      <c r="R26" s="43"/>
      <c r="S26" s="43"/>
      <c r="T26" s="43"/>
      <c r="U26" s="43"/>
    </row>
    <row r="27" spans="1:21" s="11" customFormat="1" ht="15">
      <c r="A27" s="53" t="s">
        <v>200</v>
      </c>
      <c r="B27" s="54">
        <v>93.52</v>
      </c>
      <c r="C27" s="54">
        <v>135.37</v>
      </c>
      <c r="D27" s="54">
        <v>141.25</v>
      </c>
      <c r="E27" s="54">
        <v>11.05</v>
      </c>
      <c r="F27" s="54">
        <v>36.03</v>
      </c>
      <c r="G27" s="54">
        <v>55.89</v>
      </c>
      <c r="H27" s="54">
        <v>25.58</v>
      </c>
      <c r="I27" s="54">
        <v>1.1399999999999999</v>
      </c>
      <c r="J27" s="54">
        <v>0.17</v>
      </c>
      <c r="K27" s="54">
        <v>231.52</v>
      </c>
      <c r="L27" s="54">
        <v>35.270000000000003</v>
      </c>
      <c r="M27" s="54">
        <v>28.01</v>
      </c>
      <c r="N27" s="55" t="s">
        <v>14</v>
      </c>
      <c r="O27" s="54">
        <v>0</v>
      </c>
      <c r="P27" s="54">
        <v>1.1399999999999999</v>
      </c>
      <c r="Q27" s="54">
        <v>20.82</v>
      </c>
      <c r="R27" s="43"/>
      <c r="S27" s="43"/>
      <c r="T27" s="43"/>
      <c r="U27" s="43"/>
    </row>
    <row r="28" spans="1:21" s="11" customFormat="1" ht="15">
      <c r="A28" s="53" t="s">
        <v>201</v>
      </c>
      <c r="B28" s="54">
        <v>59.03</v>
      </c>
      <c r="C28" s="54">
        <v>96.52</v>
      </c>
      <c r="D28" s="54">
        <v>101.25</v>
      </c>
      <c r="E28" s="54">
        <v>14.87</v>
      </c>
      <c r="F28" s="54">
        <v>22.67</v>
      </c>
      <c r="G28" s="54">
        <v>84.98</v>
      </c>
      <c r="H28" s="54">
        <v>35.15</v>
      </c>
      <c r="I28" s="54">
        <v>1.05</v>
      </c>
      <c r="J28" s="54">
        <v>0.46</v>
      </c>
      <c r="K28" s="54">
        <v>231.84</v>
      </c>
      <c r="L28" s="54">
        <v>32.79</v>
      </c>
      <c r="M28" s="54">
        <v>27.47</v>
      </c>
      <c r="N28" s="55" t="s">
        <v>14</v>
      </c>
      <c r="O28" s="54">
        <v>0</v>
      </c>
      <c r="P28" s="54">
        <v>1.47</v>
      </c>
      <c r="Q28" s="54">
        <v>29.82</v>
      </c>
      <c r="R28" s="43"/>
      <c r="S28" s="43"/>
      <c r="T28" s="43"/>
      <c r="U28" s="43"/>
    </row>
    <row r="29" spans="1:21" s="11" customFormat="1" ht="15">
      <c r="A29" s="53" t="s">
        <v>202</v>
      </c>
      <c r="B29" s="54">
        <v>60.81</v>
      </c>
      <c r="C29" s="54">
        <v>110.45</v>
      </c>
      <c r="D29" s="54">
        <v>110.24</v>
      </c>
      <c r="E29" s="54">
        <v>14.97</v>
      </c>
      <c r="F29" s="54">
        <v>10.26</v>
      </c>
      <c r="G29" s="54">
        <v>97.40</v>
      </c>
      <c r="H29" s="54">
        <v>39.69</v>
      </c>
      <c r="I29" s="54">
        <v>1.02</v>
      </c>
      <c r="J29" s="54">
        <v>0.15</v>
      </c>
      <c r="K29" s="54">
        <v>262.70999999999998</v>
      </c>
      <c r="L29" s="54">
        <v>32.5</v>
      </c>
      <c r="M29" s="54">
        <v>35.54</v>
      </c>
      <c r="N29" s="55" t="s">
        <v>14</v>
      </c>
      <c r="O29" s="54">
        <v>0</v>
      </c>
      <c r="P29" s="54">
        <v>1.87</v>
      </c>
      <c r="Q29" s="54">
        <v>26.34</v>
      </c>
      <c r="R29" s="43"/>
      <c r="S29" s="43"/>
      <c r="T29" s="43"/>
      <c r="U29" s="43"/>
    </row>
    <row r="30" spans="1:21" s="11" customFormat="1" ht="15">
      <c r="A30" s="53" t="s">
        <v>203</v>
      </c>
      <c r="B30" s="54">
        <v>114.70</v>
      </c>
      <c r="C30" s="54">
        <v>105.29</v>
      </c>
      <c r="D30" s="54">
        <v>141.90</v>
      </c>
      <c r="E30" s="54">
        <v>10.62</v>
      </c>
      <c r="F30" s="54">
        <v>5.56</v>
      </c>
      <c r="G30" s="54">
        <v>107.41</v>
      </c>
      <c r="H30" s="54">
        <v>45.28</v>
      </c>
      <c r="I30" s="54">
        <v>1.41</v>
      </c>
      <c r="J30" s="54">
        <v>0.20</v>
      </c>
      <c r="K30" s="54">
        <v>243.60</v>
      </c>
      <c r="L30" s="54">
        <v>30.34</v>
      </c>
      <c r="M30" s="54">
        <v>38.590000000000003</v>
      </c>
      <c r="N30" s="55" t="s">
        <v>14</v>
      </c>
      <c r="O30" s="54">
        <v>0</v>
      </c>
      <c r="P30" s="54">
        <v>2.39</v>
      </c>
      <c r="Q30" s="54">
        <v>25.30</v>
      </c>
      <c r="R30" s="43"/>
      <c r="S30" s="43"/>
      <c r="T30" s="43"/>
      <c r="U30" s="43"/>
    </row>
    <row r="31" spans="1:21" s="11" customFormat="1" ht="15">
      <c r="A31" s="53" t="s">
        <v>204</v>
      </c>
      <c r="B31" s="54">
        <v>118.97</v>
      </c>
      <c r="C31" s="54">
        <v>94.19</v>
      </c>
      <c r="D31" s="54">
        <v>146.41</v>
      </c>
      <c r="E31" s="54">
        <v>6.26</v>
      </c>
      <c r="F31" s="54">
        <v>3.53</v>
      </c>
      <c r="G31" s="54">
        <v>135.91999999999999</v>
      </c>
      <c r="H31" s="54">
        <v>49.21</v>
      </c>
      <c r="I31" s="54">
        <v>1.42</v>
      </c>
      <c r="J31" s="54">
        <v>0.23</v>
      </c>
      <c r="K31" s="54">
        <v>237.49</v>
      </c>
      <c r="L31" s="54">
        <v>29.05</v>
      </c>
      <c r="M31" s="54">
        <v>41.09</v>
      </c>
      <c r="N31" s="55" t="s">
        <v>14</v>
      </c>
      <c r="O31" s="54">
        <v>0</v>
      </c>
      <c r="P31" s="54">
        <v>3.07</v>
      </c>
      <c r="Q31" s="54">
        <v>34.979999999999997</v>
      </c>
      <c r="R31" s="43"/>
      <c r="S31" s="43"/>
      <c r="T31" s="43"/>
      <c r="U31" s="43"/>
    </row>
    <row r="32" spans="1:21" s="11" customFormat="1" ht="15">
      <c r="A32" s="53" t="s">
        <v>205</v>
      </c>
      <c r="B32" s="54">
        <v>219.92</v>
      </c>
      <c r="C32" s="54">
        <v>95.5</v>
      </c>
      <c r="D32" s="54">
        <v>229.71</v>
      </c>
      <c r="E32" s="54">
        <v>6.14</v>
      </c>
      <c r="F32" s="54">
        <v>3.83</v>
      </c>
      <c r="G32" s="54">
        <v>161.11000000000001</v>
      </c>
      <c r="H32" s="54">
        <v>59.61</v>
      </c>
      <c r="I32" s="54">
        <v>1.41</v>
      </c>
      <c r="J32" s="54">
        <v>0.21</v>
      </c>
      <c r="K32" s="54">
        <v>228.20</v>
      </c>
      <c r="L32" s="54">
        <v>28.93</v>
      </c>
      <c r="M32" s="54">
        <v>46.53</v>
      </c>
      <c r="N32" s="55" t="s">
        <v>14</v>
      </c>
      <c r="O32" s="54">
        <v>0</v>
      </c>
      <c r="P32" s="54">
        <v>3</v>
      </c>
      <c r="Q32" s="54">
        <v>35.479999999999997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</v>
      </c>
      <c r="C34" s="28">
        <f t="shared" si="0"/>
        <v>32.560000000000002</v>
      </c>
      <c r="D34" s="28">
        <f t="shared" si="0"/>
        <v>19.48</v>
      </c>
      <c r="E34" s="28">
        <f t="shared" si="0"/>
        <v>0.56000000000000005</v>
      </c>
      <c r="F34" s="28">
        <f t="shared" si="0"/>
        <v>3.5299999999999998</v>
      </c>
      <c r="G34" s="28">
        <f t="shared" si="0"/>
        <v>30.620000000000001</v>
      </c>
      <c r="H34" s="28">
        <f t="shared" si="0"/>
        <v>23.109999999999999</v>
      </c>
      <c r="I34" s="28">
        <f t="shared" si="0"/>
        <v>0.58999999999999997</v>
      </c>
      <c r="J34" s="28">
        <f t="shared" si="0"/>
        <v>0.12</v>
      </c>
      <c r="K34" s="28">
        <f t="shared" si="0"/>
        <v>177.59</v>
      </c>
      <c r="L34" s="28">
        <f t="shared" si="0"/>
        <v>24.75</v>
      </c>
      <c r="M34" s="28">
        <f t="shared" si="0"/>
        <v>15.470000000000001</v>
      </c>
      <c r="N34" s="28">
        <f t="shared" si="0"/>
        <v>4.9000000000000004</v>
      </c>
      <c r="O34" s="28">
        <f t="shared" si="0"/>
        <v>0</v>
      </c>
      <c r="P34" s="28">
        <f t="shared" si="0"/>
        <v>0.56999999999999995</v>
      </c>
      <c r="Q34" s="28">
        <f t="shared" si="0"/>
        <v>20.82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219.91999999999999</v>
      </c>
      <c r="C35" s="29">
        <f t="shared" si="1"/>
        <v>135.37</v>
      </c>
      <c r="D35" s="29">
        <f t="shared" si="1"/>
        <v>229.71000000000001</v>
      </c>
      <c r="E35" s="29">
        <f t="shared" si="1"/>
        <v>14.970000000000001</v>
      </c>
      <c r="F35" s="29">
        <f t="shared" si="1"/>
        <v>82.109999999999999</v>
      </c>
      <c r="G35" s="29">
        <f t="shared" si="1"/>
        <v>161.11000000000001</v>
      </c>
      <c r="H35" s="29">
        <f t="shared" si="1"/>
        <v>59.609999999999999</v>
      </c>
      <c r="I35" s="29">
        <f t="shared" si="1"/>
        <v>1.4199999999999999</v>
      </c>
      <c r="J35" s="29">
        <f t="shared" si="1"/>
        <v>1.4399999999999999</v>
      </c>
      <c r="K35" s="29">
        <f t="shared" si="1"/>
        <v>308.82999999999998</v>
      </c>
      <c r="L35" s="29">
        <f t="shared" si="1"/>
        <v>41.07</v>
      </c>
      <c r="M35" s="29">
        <f t="shared" si="1"/>
        <v>68.450000000000003</v>
      </c>
      <c r="N35" s="29">
        <f t="shared" si="1"/>
        <v>795.79999999999995</v>
      </c>
      <c r="O35" s="29">
        <f t="shared" si="1"/>
        <v>0</v>
      </c>
      <c r="P35" s="29">
        <f t="shared" si="1"/>
        <v>3.0699999999999998</v>
      </c>
      <c r="Q35" s="29">
        <f t="shared" si="1"/>
        <v>35.479999999999997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32.467083333333328</v>
      </c>
      <c r="C36" s="28">
        <f t="shared" si="2"/>
        <v>61.153750000000009</v>
      </c>
      <c r="D36" s="28">
        <f t="shared" si="2"/>
        <v>59.192500000000003</v>
      </c>
      <c r="E36" s="28">
        <f t="shared" si="2"/>
        <v>5.760416666666667</v>
      </c>
      <c r="F36" s="28">
        <f t="shared" si="2"/>
        <v>36.303750000000001</v>
      </c>
      <c r="G36" s="28">
        <f t="shared" si="2"/>
        <v>61.819166666666682</v>
      </c>
      <c r="H36" s="28">
        <f t="shared" si="2"/>
        <v>32.43333333333333</v>
      </c>
      <c r="I36" s="28">
        <f t="shared" si="2"/>
        <v>0.86458333333333348</v>
      </c>
      <c r="J36" s="28">
        <f t="shared" si="2"/>
        <v>0.48875000000000007</v>
      </c>
      <c r="K36" s="28">
        <f t="shared" si="2"/>
        <v>235.94833333333338</v>
      </c>
      <c r="L36" s="28">
        <f t="shared" si="2"/>
        <v>32.707499999999996</v>
      </c>
      <c r="M36" s="28">
        <f t="shared" si="2"/>
        <v>40.115416666666668</v>
      </c>
      <c r="N36" s="28">
        <f t="shared" si="2"/>
        <v>262.25454545454545</v>
      </c>
      <c r="O36" s="28">
        <f t="shared" si="2"/>
        <v>0</v>
      </c>
      <c r="P36" s="28">
        <f t="shared" si="2"/>
        <v>1.0862500000000002</v>
      </c>
      <c r="Q36" s="28">
        <f t="shared" si="2"/>
        <v>28.789583333333336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54.346056653007352</v>
      </c>
      <c r="C37" s="28">
        <f t="shared" si="3" ref="C37:Q37">STDEV(C9:C32)</f>
        <v>28.477384133118974</v>
      </c>
      <c r="D37" s="28">
        <f t="shared" si="3"/>
        <v>55.594909232848792</v>
      </c>
      <c r="E37" s="28">
        <f t="shared" si="3"/>
        <v>4.0610627000359383</v>
      </c>
      <c r="F37" s="28">
        <f t="shared" si="3"/>
        <v>24.137730308720446</v>
      </c>
      <c r="G37" s="28">
        <f t="shared" si="3"/>
        <v>33.506029946169711</v>
      </c>
      <c r="H37" s="28">
        <f t="shared" si="3"/>
        <v>9.1687681912527204</v>
      </c>
      <c r="I37" s="28">
        <f t="shared" si="3"/>
        <v>0.25751283913397438</v>
      </c>
      <c r="J37" s="28">
        <f t="shared" si="3"/>
        <v>0.33300101187990916</v>
      </c>
      <c r="K37" s="28">
        <f t="shared" si="3"/>
        <v>21.719663634729176</v>
      </c>
      <c r="L37" s="28">
        <f t="shared" si="3"/>
        <v>5.5163490210227906</v>
      </c>
      <c r="M37" s="28">
        <f t="shared" si="3"/>
        <v>18.442131344139501</v>
      </c>
      <c r="N37" s="28">
        <f t="shared" si="3"/>
        <v>323.29795657763242</v>
      </c>
      <c r="O37" s="28">
        <f t="shared" si="3"/>
        <v>0</v>
      </c>
      <c r="P37" s="28">
        <f t="shared" si="3"/>
        <v>0.73840493486032888</v>
      </c>
      <c r="Q37" s="28">
        <f t="shared" si="3"/>
        <v>3.0302223754911863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COUNT(N9:N32)+13</f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3637f15-290b-47f7-aeaf-35a063940d58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3" sqref="G63"/>
    </sheetView>
  </sheetViews>
  <sheetFormatPr defaultColWidth="8.85881696428571" defaultRowHeight="15"/>
  <cols>
    <col min="1" max="1" width="18.2857142857143" style="26" customWidth="1"/>
    <col min="2" max="2" width="15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07-06-2023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206</v>
      </c>
      <c r="B9" s="54">
        <v>75.37</v>
      </c>
      <c r="C9" s="54">
        <v>66.59</v>
      </c>
      <c r="D9" s="54">
        <v>97.83</v>
      </c>
      <c r="E9" s="54">
        <v>5</v>
      </c>
      <c r="F9" s="54">
        <v>15.52</v>
      </c>
      <c r="G9" s="54">
        <v>172.35</v>
      </c>
      <c r="H9" s="54">
        <v>64.41</v>
      </c>
      <c r="I9" s="54">
        <v>1.39</v>
      </c>
      <c r="J9" s="54">
        <v>0.65</v>
      </c>
      <c r="K9" s="54">
        <v>196.59</v>
      </c>
      <c r="L9" s="54">
        <v>28.57</v>
      </c>
      <c r="M9" s="54">
        <v>40.68</v>
      </c>
      <c r="N9" s="55" t="s">
        <v>14</v>
      </c>
      <c r="O9" s="54">
        <v>0</v>
      </c>
      <c r="P9" s="54">
        <v>2.95</v>
      </c>
      <c r="Q9" s="54">
        <v>40.32</v>
      </c>
      <c r="R9" s="43"/>
      <c r="S9" s="43"/>
      <c r="T9" s="43"/>
      <c r="U9" s="43"/>
    </row>
    <row r="10" spans="1:21" s="11" customFormat="1" ht="15">
      <c r="A10" s="53" t="s">
        <v>207</v>
      </c>
      <c r="B10" s="54">
        <v>50.10</v>
      </c>
      <c r="C10" s="54">
        <v>56.19</v>
      </c>
      <c r="D10" s="54">
        <v>69.760000000000005</v>
      </c>
      <c r="E10" s="54">
        <v>3.54</v>
      </c>
      <c r="F10" s="54">
        <v>5.13</v>
      </c>
      <c r="G10" s="54">
        <v>93.23</v>
      </c>
      <c r="H10" s="54">
        <v>53.76</v>
      </c>
      <c r="I10" s="54">
        <v>1.06</v>
      </c>
      <c r="J10" s="54">
        <v>0.11</v>
      </c>
      <c r="K10" s="54">
        <v>229.24</v>
      </c>
      <c r="L10" s="54">
        <v>27.29</v>
      </c>
      <c r="M10" s="54">
        <v>45.83</v>
      </c>
      <c r="N10" s="55" t="s">
        <v>14</v>
      </c>
      <c r="O10" s="54">
        <v>0</v>
      </c>
      <c r="P10" s="54">
        <v>2.12</v>
      </c>
      <c r="Q10" s="54">
        <v>35.24</v>
      </c>
      <c r="R10" s="43"/>
      <c r="S10" s="43"/>
      <c r="T10" s="43"/>
      <c r="U10" s="43"/>
    </row>
    <row r="11" spans="1:21" s="11" customFormat="1" ht="15">
      <c r="A11" s="53" t="s">
        <v>208</v>
      </c>
      <c r="B11" s="54">
        <v>33.33</v>
      </c>
      <c r="C11" s="54">
        <v>70.290000000000006</v>
      </c>
      <c r="D11" s="54">
        <v>55.22</v>
      </c>
      <c r="E11" s="54">
        <v>21.57</v>
      </c>
      <c r="F11" s="54">
        <v>3.87</v>
      </c>
      <c r="G11" s="54">
        <v>107.44</v>
      </c>
      <c r="H11" s="54">
        <v>50.79</v>
      </c>
      <c r="I11" s="54">
        <v>1.1499999999999999</v>
      </c>
      <c r="J11" s="54">
        <v>0.18</v>
      </c>
      <c r="K11" s="54">
        <v>224.60</v>
      </c>
      <c r="L11" s="54">
        <v>27.08</v>
      </c>
      <c r="M11" s="54">
        <v>50.06</v>
      </c>
      <c r="N11" s="55" t="s">
        <v>14</v>
      </c>
      <c r="O11" s="54">
        <v>0</v>
      </c>
      <c r="P11" s="54">
        <v>1.76</v>
      </c>
      <c r="Q11" s="54">
        <v>32.78</v>
      </c>
      <c r="R11" s="43"/>
      <c r="S11" s="43"/>
      <c r="T11" s="43"/>
      <c r="U11" s="43"/>
    </row>
    <row r="12" spans="1:21" s="11" customFormat="1" ht="15">
      <c r="A12" s="53" t="s">
        <v>209</v>
      </c>
      <c r="B12" s="54">
        <v>39.22</v>
      </c>
      <c r="C12" s="54">
        <v>73.23</v>
      </c>
      <c r="D12" s="54">
        <v>61.45</v>
      </c>
      <c r="E12" s="54">
        <v>38.840000000000003</v>
      </c>
      <c r="F12" s="54">
        <v>4.43</v>
      </c>
      <c r="G12" s="54">
        <v>119.55</v>
      </c>
      <c r="H12" s="54">
        <v>59.06</v>
      </c>
      <c r="I12" s="54">
        <v>0.85</v>
      </c>
      <c r="J12" s="54">
        <v>0.23</v>
      </c>
      <c r="K12" s="54">
        <v>223.30</v>
      </c>
      <c r="L12" s="54">
        <v>27.44</v>
      </c>
      <c r="M12" s="54">
        <v>48.99</v>
      </c>
      <c r="N12" s="54">
        <v>5</v>
      </c>
      <c r="O12" s="54">
        <v>0</v>
      </c>
      <c r="P12" s="54">
        <v>1.62</v>
      </c>
      <c r="Q12" s="54">
        <v>31.88</v>
      </c>
      <c r="R12" s="43"/>
      <c r="S12" s="43"/>
      <c r="T12" s="43"/>
      <c r="U12" s="43"/>
    </row>
    <row r="13" spans="1:21" s="11" customFormat="1" ht="15">
      <c r="A13" s="53" t="s">
        <v>210</v>
      </c>
      <c r="B13" s="54">
        <v>42.31</v>
      </c>
      <c r="C13" s="54">
        <v>56.96</v>
      </c>
      <c r="D13" s="54">
        <v>66.010000000000005</v>
      </c>
      <c r="E13" s="54">
        <v>13.59</v>
      </c>
      <c r="F13" s="54">
        <v>3.70</v>
      </c>
      <c r="G13" s="54">
        <v>170.79</v>
      </c>
      <c r="H13" s="54">
        <v>74.540000000000006</v>
      </c>
      <c r="I13" s="54">
        <v>0.97</v>
      </c>
      <c r="J13" s="54">
        <v>0.09</v>
      </c>
      <c r="K13" s="54">
        <v>248.82</v>
      </c>
      <c r="L13" s="54">
        <v>26.37</v>
      </c>
      <c r="M13" s="54">
        <v>48.62</v>
      </c>
      <c r="N13" s="54">
        <v>5</v>
      </c>
      <c r="O13" s="54">
        <v>0</v>
      </c>
      <c r="P13" s="54">
        <v>1.69</v>
      </c>
      <c r="Q13" s="54">
        <v>31.54</v>
      </c>
      <c r="R13" s="43"/>
      <c r="S13" s="43"/>
      <c r="T13" s="43"/>
      <c r="U13" s="43"/>
    </row>
    <row r="14" spans="1:21" s="11" customFormat="1" ht="15">
      <c r="A14" s="53" t="s">
        <v>211</v>
      </c>
      <c r="B14" s="54">
        <v>45.89</v>
      </c>
      <c r="C14" s="54">
        <v>80.17</v>
      </c>
      <c r="D14" s="54">
        <v>81.459999999999994</v>
      </c>
      <c r="E14" s="54">
        <v>57.77</v>
      </c>
      <c r="F14" s="54">
        <v>10.130000000000001</v>
      </c>
      <c r="G14" s="54">
        <v>206.86</v>
      </c>
      <c r="H14" s="54">
        <v>93.39</v>
      </c>
      <c r="I14" s="54">
        <v>0.90</v>
      </c>
      <c r="J14" s="54">
        <v>0.55000000000000004</v>
      </c>
      <c r="K14" s="54">
        <v>236.98</v>
      </c>
      <c r="L14" s="54">
        <v>27.01</v>
      </c>
      <c r="M14" s="54">
        <v>48.85</v>
      </c>
      <c r="N14" s="54">
        <v>46.40</v>
      </c>
      <c r="O14" s="54">
        <v>0</v>
      </c>
      <c r="P14" s="54">
        <v>1.78</v>
      </c>
      <c r="Q14" s="54">
        <v>30.70</v>
      </c>
      <c r="R14" s="43"/>
      <c r="S14" s="43"/>
      <c r="T14" s="43"/>
      <c r="U14" s="43"/>
    </row>
    <row r="15" spans="1:21" s="11" customFormat="1" ht="15">
      <c r="A15" s="53" t="s">
        <v>212</v>
      </c>
      <c r="B15" s="54">
        <v>48.79</v>
      </c>
      <c r="C15" s="54">
        <v>62.53</v>
      </c>
      <c r="D15" s="54">
        <v>72.319999999999993</v>
      </c>
      <c r="E15" s="54">
        <v>57.79</v>
      </c>
      <c r="F15" s="54">
        <v>15.07</v>
      </c>
      <c r="G15" s="54">
        <v>202.60</v>
      </c>
      <c r="H15" s="54">
        <v>104.25</v>
      </c>
      <c r="I15" s="54">
        <v>0.79</v>
      </c>
      <c r="J15" s="54">
        <v>0.33</v>
      </c>
      <c r="K15" s="54">
        <v>235.05</v>
      </c>
      <c r="L15" s="54">
        <v>29.16</v>
      </c>
      <c r="M15" s="54">
        <v>40.90</v>
      </c>
      <c r="N15" s="54">
        <v>38.90</v>
      </c>
      <c r="O15" s="54">
        <v>0</v>
      </c>
      <c r="P15" s="54">
        <v>1.75</v>
      </c>
      <c r="Q15" s="54">
        <v>30.62</v>
      </c>
      <c r="R15" s="43"/>
      <c r="S15" s="43"/>
      <c r="T15" s="43"/>
      <c r="U15" s="43"/>
    </row>
    <row r="16" spans="1:21" s="11" customFormat="1" ht="15">
      <c r="A16" s="53" t="s">
        <v>213</v>
      </c>
      <c r="B16" s="54">
        <v>41.80</v>
      </c>
      <c r="C16" s="54">
        <v>66.98</v>
      </c>
      <c r="D16" s="54">
        <v>67.08</v>
      </c>
      <c r="E16" s="54">
        <v>25.45</v>
      </c>
      <c r="F16" s="54">
        <v>10.59</v>
      </c>
      <c r="G16" s="54">
        <v>192.06</v>
      </c>
      <c r="H16" s="54">
        <v>105.60</v>
      </c>
      <c r="I16" s="54">
        <v>0.79</v>
      </c>
      <c r="J16" s="54">
        <v>0.74</v>
      </c>
      <c r="K16" s="54">
        <v>225.95</v>
      </c>
      <c r="L16" s="54">
        <v>33.68</v>
      </c>
      <c r="M16" s="54">
        <v>33.04</v>
      </c>
      <c r="N16" s="55" t="s">
        <v>14</v>
      </c>
      <c r="O16" s="54">
        <v>0</v>
      </c>
      <c r="P16" s="54">
        <v>1.68</v>
      </c>
      <c r="Q16" s="54">
        <v>31.88</v>
      </c>
      <c r="R16" s="43"/>
      <c r="S16" s="43"/>
      <c r="T16" s="43"/>
      <c r="U16" s="43"/>
    </row>
    <row r="17" spans="1:21" s="11" customFormat="1" ht="15">
      <c r="A17" s="53" t="s">
        <v>214</v>
      </c>
      <c r="B17" s="54">
        <v>22.86</v>
      </c>
      <c r="C17" s="54">
        <v>69.239999999999995</v>
      </c>
      <c r="D17" s="54">
        <v>57.19</v>
      </c>
      <c r="E17" s="54">
        <v>34.58</v>
      </c>
      <c r="F17" s="54">
        <v>48.23</v>
      </c>
      <c r="G17" s="54">
        <v>148.32</v>
      </c>
      <c r="H17" s="54">
        <v>92.06</v>
      </c>
      <c r="I17" s="54">
        <v>0.89</v>
      </c>
      <c r="J17" s="54">
        <v>0.75</v>
      </c>
      <c r="K17" s="54">
        <v>218.53</v>
      </c>
      <c r="L17" s="54">
        <v>35.65</v>
      </c>
      <c r="M17" s="54">
        <v>29.04</v>
      </c>
      <c r="N17" s="55" t="s">
        <v>14</v>
      </c>
      <c r="O17" s="54">
        <v>0</v>
      </c>
      <c r="P17" s="54">
        <v>1.56</v>
      </c>
      <c r="Q17" s="54">
        <v>31.49</v>
      </c>
      <c r="R17" s="43"/>
      <c r="S17" s="43"/>
      <c r="T17" s="43"/>
      <c r="U17" s="43"/>
    </row>
    <row r="18" spans="1:21" s="11" customFormat="1" ht="15">
      <c r="A18" s="53" t="s">
        <v>215</v>
      </c>
      <c r="B18" s="54">
        <v>14.35</v>
      </c>
      <c r="C18" s="54">
        <v>66.11</v>
      </c>
      <c r="D18" s="54">
        <v>47.54</v>
      </c>
      <c r="E18" s="54">
        <v>29.85</v>
      </c>
      <c r="F18" s="54">
        <v>42.64</v>
      </c>
      <c r="G18" s="54">
        <v>105.66</v>
      </c>
      <c r="H18" s="54">
        <v>67.319999999999993</v>
      </c>
      <c r="I18" s="54">
        <v>0.70</v>
      </c>
      <c r="J18" s="54">
        <v>0.95</v>
      </c>
      <c r="K18" s="54">
        <v>215.04</v>
      </c>
      <c r="L18" s="54">
        <v>37.369999999999997</v>
      </c>
      <c r="M18" s="54">
        <v>26.17</v>
      </c>
      <c r="N18" s="55" t="s">
        <v>14</v>
      </c>
      <c r="O18" s="54">
        <v>0</v>
      </c>
      <c r="P18" s="54">
        <v>1.40</v>
      </c>
      <c r="Q18" s="54">
        <v>30.02</v>
      </c>
      <c r="R18" s="43"/>
      <c r="S18" s="43"/>
      <c r="T18" s="43"/>
      <c r="U18" s="43"/>
    </row>
    <row r="19" spans="1:21" s="11" customFormat="1" ht="15">
      <c r="A19" s="53" t="s">
        <v>216</v>
      </c>
      <c r="B19" s="54">
        <v>4.57</v>
      </c>
      <c r="C19" s="54">
        <v>69.930000000000007</v>
      </c>
      <c r="D19" s="54">
        <v>42.44</v>
      </c>
      <c r="E19" s="54">
        <v>15.76</v>
      </c>
      <c r="F19" s="54">
        <v>48.16</v>
      </c>
      <c r="G19" s="54">
        <v>76.13</v>
      </c>
      <c r="H19" s="54">
        <v>57.48</v>
      </c>
      <c r="I19" s="54">
        <v>0.72</v>
      </c>
      <c r="J19" s="54">
        <v>0.94</v>
      </c>
      <c r="K19" s="54">
        <v>226.26</v>
      </c>
      <c r="L19" s="54">
        <v>38.619999999999997</v>
      </c>
      <c r="M19" s="54">
        <v>23.41</v>
      </c>
      <c r="N19" s="55" t="s">
        <v>14</v>
      </c>
      <c r="O19" s="54">
        <v>0</v>
      </c>
      <c r="P19" s="54">
        <v>1.1299999999999999</v>
      </c>
      <c r="Q19" s="54">
        <v>29.32</v>
      </c>
      <c r="R19" s="43"/>
      <c r="S19" s="43"/>
      <c r="T19" s="43"/>
      <c r="U19" s="43"/>
    </row>
    <row r="20" spans="1:21" s="11" customFormat="1" ht="15">
      <c r="A20" s="53" t="s">
        <v>217</v>
      </c>
      <c r="B20" s="54">
        <v>4.74</v>
      </c>
      <c r="C20" s="54">
        <v>48.42</v>
      </c>
      <c r="D20" s="54">
        <v>29.84</v>
      </c>
      <c r="E20" s="54">
        <v>28.20</v>
      </c>
      <c r="F20" s="54">
        <v>106.81</v>
      </c>
      <c r="G20" s="54">
        <v>84.30</v>
      </c>
      <c r="H20" s="54">
        <v>44.47</v>
      </c>
      <c r="I20" s="54">
        <v>0.68</v>
      </c>
      <c r="J20" s="54">
        <v>1.1000000000000001</v>
      </c>
      <c r="K20" s="54">
        <v>227.19</v>
      </c>
      <c r="L20" s="54">
        <v>40.799999999999997</v>
      </c>
      <c r="M20" s="54">
        <v>20.420000000000002</v>
      </c>
      <c r="N20" s="55" t="s">
        <v>14</v>
      </c>
      <c r="O20" s="54">
        <v>0</v>
      </c>
      <c r="P20" s="54">
        <v>0.93</v>
      </c>
      <c r="Q20" s="54">
        <v>28.42</v>
      </c>
      <c r="R20" s="43"/>
      <c r="S20" s="43"/>
      <c r="T20" s="43"/>
      <c r="U20" s="43"/>
    </row>
    <row r="21" spans="1:21" s="11" customFormat="1" ht="15">
      <c r="A21" s="53" t="s">
        <v>218</v>
      </c>
      <c r="B21" s="54">
        <v>3.86</v>
      </c>
      <c r="C21" s="54">
        <v>47.76</v>
      </c>
      <c r="D21" s="54">
        <v>27.98</v>
      </c>
      <c r="E21" s="54">
        <v>22.64</v>
      </c>
      <c r="F21" s="54">
        <v>82.36</v>
      </c>
      <c r="G21" s="54">
        <v>61.48</v>
      </c>
      <c r="H21" s="54">
        <v>33.049999999999997</v>
      </c>
      <c r="I21" s="54">
        <v>0.71</v>
      </c>
      <c r="J21" s="54">
        <v>0.78</v>
      </c>
      <c r="K21" s="54">
        <v>223.06</v>
      </c>
      <c r="L21" s="54">
        <v>40.049999999999997</v>
      </c>
      <c r="M21" s="54">
        <v>17.579999999999998</v>
      </c>
      <c r="N21" s="54">
        <v>465.60</v>
      </c>
      <c r="O21" s="54">
        <v>0</v>
      </c>
      <c r="P21" s="54">
        <v>0.81</v>
      </c>
      <c r="Q21" s="54">
        <v>27.74</v>
      </c>
      <c r="R21" s="43"/>
      <c r="S21" s="43"/>
      <c r="T21" s="43"/>
      <c r="U21" s="43"/>
    </row>
    <row r="22" spans="1:21" s="11" customFormat="1" ht="15">
      <c r="A22" s="53" t="s">
        <v>219</v>
      </c>
      <c r="B22" s="54">
        <v>1.92</v>
      </c>
      <c r="C22" s="54">
        <v>50.16</v>
      </c>
      <c r="D22" s="54">
        <v>29.22</v>
      </c>
      <c r="E22" s="54">
        <v>7.35</v>
      </c>
      <c r="F22" s="54">
        <v>45.80</v>
      </c>
      <c r="G22" s="54">
        <v>51.39</v>
      </c>
      <c r="H22" s="54">
        <v>31.5</v>
      </c>
      <c r="I22" s="54">
        <v>0.82</v>
      </c>
      <c r="J22" s="54">
        <v>1.06</v>
      </c>
      <c r="K22" s="54">
        <v>229.25</v>
      </c>
      <c r="L22" s="55" t="s">
        <v>14</v>
      </c>
      <c r="M22" s="55" t="s">
        <v>14</v>
      </c>
      <c r="N22" s="55" t="s">
        <v>14</v>
      </c>
      <c r="O22" s="54">
        <v>0</v>
      </c>
      <c r="P22" s="54">
        <v>0.64</v>
      </c>
      <c r="Q22" s="54">
        <v>27.21</v>
      </c>
      <c r="R22" s="43"/>
      <c r="S22" s="43"/>
      <c r="T22" s="43"/>
      <c r="U22" s="43"/>
    </row>
    <row r="23" spans="1:21" s="11" customFormat="1" ht="15">
      <c r="A23" s="53" t="s">
        <v>220</v>
      </c>
      <c r="B23" s="54">
        <v>7.94</v>
      </c>
      <c r="C23" s="54">
        <v>55.09</v>
      </c>
      <c r="D23" s="54">
        <v>37.409999999999997</v>
      </c>
      <c r="E23" s="54">
        <v>23.40</v>
      </c>
      <c r="F23" s="54">
        <v>93.60</v>
      </c>
      <c r="G23" s="54">
        <v>59.02</v>
      </c>
      <c r="H23" s="54">
        <v>36.90</v>
      </c>
      <c r="I23" s="54">
        <v>0.71</v>
      </c>
      <c r="J23" s="54">
        <v>1.91</v>
      </c>
      <c r="K23" s="54">
        <v>235.25</v>
      </c>
      <c r="L23" s="55" t="s">
        <v>14</v>
      </c>
      <c r="M23" s="55" t="s">
        <v>14</v>
      </c>
      <c r="N23" s="55" t="s">
        <v>14</v>
      </c>
      <c r="O23" s="54">
        <v>0</v>
      </c>
      <c r="P23" s="54">
        <v>0.62</v>
      </c>
      <c r="Q23" s="54">
        <v>28.91</v>
      </c>
      <c r="R23" s="43"/>
      <c r="S23" s="43"/>
      <c r="T23" s="43"/>
      <c r="U23" s="43"/>
    </row>
    <row r="24" spans="1:21" s="11" customFormat="1" ht="15">
      <c r="A24" s="53" t="s">
        <v>221</v>
      </c>
      <c r="B24" s="54">
        <v>3.79</v>
      </c>
      <c r="C24" s="54">
        <v>54.52</v>
      </c>
      <c r="D24" s="54">
        <v>33.770000000000003</v>
      </c>
      <c r="E24" s="54">
        <v>13.73</v>
      </c>
      <c r="F24" s="54">
        <v>55.85</v>
      </c>
      <c r="G24" s="54">
        <v>68.31</v>
      </c>
      <c r="H24" s="54">
        <v>31.93</v>
      </c>
      <c r="I24" s="54">
        <v>0.69</v>
      </c>
      <c r="J24" s="54">
        <v>1.06</v>
      </c>
      <c r="K24" s="54">
        <v>231.85</v>
      </c>
      <c r="L24" s="54">
        <v>38.14</v>
      </c>
      <c r="M24" s="54">
        <v>22.57</v>
      </c>
      <c r="N24" s="54">
        <v>421.20</v>
      </c>
      <c r="O24" s="54">
        <v>0</v>
      </c>
      <c r="P24" s="54">
        <v>0.63</v>
      </c>
      <c r="Q24" s="54">
        <v>27.79</v>
      </c>
      <c r="R24" s="43"/>
      <c r="S24" s="43"/>
      <c r="T24" s="43"/>
      <c r="U24" s="43"/>
    </row>
    <row r="25" spans="1:21" s="11" customFormat="1" ht="15">
      <c r="A25" s="53" t="s">
        <v>222</v>
      </c>
      <c r="B25" s="54">
        <v>8.31</v>
      </c>
      <c r="C25" s="54">
        <v>66</v>
      </c>
      <c r="D25" s="54">
        <v>43.74</v>
      </c>
      <c r="E25" s="54">
        <v>14.78</v>
      </c>
      <c r="F25" s="54">
        <v>46.85</v>
      </c>
      <c r="G25" s="54">
        <v>75.900000000000006</v>
      </c>
      <c r="H25" s="54">
        <v>34.75</v>
      </c>
      <c r="I25" s="54">
        <v>0.66</v>
      </c>
      <c r="J25" s="54">
        <v>0.71</v>
      </c>
      <c r="K25" s="54">
        <v>231.71</v>
      </c>
      <c r="L25" s="54">
        <v>36.869999999999997</v>
      </c>
      <c r="M25" s="54">
        <v>21.79</v>
      </c>
      <c r="N25" s="55" t="s">
        <v>14</v>
      </c>
      <c r="O25" s="54">
        <v>0</v>
      </c>
      <c r="P25" s="54">
        <v>0.77</v>
      </c>
      <c r="Q25" s="54">
        <v>28.02</v>
      </c>
      <c r="R25" s="43"/>
      <c r="S25" s="43"/>
      <c r="T25" s="43"/>
      <c r="U25" s="43"/>
    </row>
    <row r="26" spans="1:21" s="11" customFormat="1" ht="15">
      <c r="A26" s="53" t="s">
        <v>223</v>
      </c>
      <c r="B26" s="54">
        <v>8.14</v>
      </c>
      <c r="C26" s="54">
        <v>56.67</v>
      </c>
      <c r="D26" s="54">
        <v>35.94</v>
      </c>
      <c r="E26" s="54">
        <v>11.97</v>
      </c>
      <c r="F26" s="54">
        <v>46.86</v>
      </c>
      <c r="G26" s="54">
        <v>81.41</v>
      </c>
      <c r="H26" s="54">
        <v>37.049999999999997</v>
      </c>
      <c r="I26" s="54">
        <v>0.72</v>
      </c>
      <c r="J26" s="54">
        <v>1.65</v>
      </c>
      <c r="K26" s="54">
        <v>227.28</v>
      </c>
      <c r="L26" s="54">
        <v>34.880000000000003</v>
      </c>
      <c r="M26" s="54">
        <v>26.57</v>
      </c>
      <c r="N26" s="55" t="s">
        <v>14</v>
      </c>
      <c r="O26" s="54">
        <v>0</v>
      </c>
      <c r="P26" s="54">
        <v>0.78</v>
      </c>
      <c r="Q26" s="54">
        <v>28.47</v>
      </c>
      <c r="R26" s="43"/>
      <c r="S26" s="43"/>
      <c r="T26" s="43"/>
      <c r="U26" s="43"/>
    </row>
    <row r="27" spans="1:21" s="11" customFormat="1" ht="15">
      <c r="A27" s="53" t="s">
        <v>224</v>
      </c>
      <c r="B27" s="54">
        <v>9.39</v>
      </c>
      <c r="C27" s="54">
        <v>76.819999999999993</v>
      </c>
      <c r="D27" s="54">
        <v>50.57</v>
      </c>
      <c r="E27" s="54">
        <v>15.63</v>
      </c>
      <c r="F27" s="54">
        <v>21.27</v>
      </c>
      <c r="G27" s="54">
        <v>95.47</v>
      </c>
      <c r="H27" s="54">
        <v>39.65</v>
      </c>
      <c r="I27" s="54">
        <v>0.67</v>
      </c>
      <c r="J27" s="54">
        <v>0.70</v>
      </c>
      <c r="K27" s="54">
        <v>236</v>
      </c>
      <c r="L27" s="54">
        <v>33.700000000000003</v>
      </c>
      <c r="M27" s="54">
        <v>26.14</v>
      </c>
      <c r="N27" s="54">
        <v>5.0999999999999996</v>
      </c>
      <c r="O27" s="54">
        <v>0</v>
      </c>
      <c r="P27" s="54">
        <v>1.0900000000000001</v>
      </c>
      <c r="Q27" s="54">
        <v>28.07</v>
      </c>
      <c r="R27" s="43"/>
      <c r="S27" s="43"/>
      <c r="T27" s="43"/>
      <c r="U27" s="43"/>
    </row>
    <row r="28" spans="1:21" s="11" customFormat="1" ht="15">
      <c r="A28" s="53" t="s">
        <v>225</v>
      </c>
      <c r="B28" s="54">
        <v>7.06</v>
      </c>
      <c r="C28" s="54">
        <v>68.97</v>
      </c>
      <c r="D28" s="54">
        <v>43.31</v>
      </c>
      <c r="E28" s="54">
        <v>7.95</v>
      </c>
      <c r="F28" s="54">
        <v>20.82</v>
      </c>
      <c r="G28" s="54">
        <v>96.44</v>
      </c>
      <c r="H28" s="54">
        <v>42.80</v>
      </c>
      <c r="I28" s="54">
        <v>0.83</v>
      </c>
      <c r="J28" s="54">
        <v>1.91</v>
      </c>
      <c r="K28" s="54">
        <v>224.88</v>
      </c>
      <c r="L28" s="54">
        <v>32.51</v>
      </c>
      <c r="M28" s="54">
        <v>29.02</v>
      </c>
      <c r="N28" s="54">
        <v>5.30</v>
      </c>
      <c r="O28" s="54">
        <v>0</v>
      </c>
      <c r="P28" s="54">
        <v>1.22</v>
      </c>
      <c r="Q28" s="54">
        <v>28.81</v>
      </c>
      <c r="R28" s="43"/>
      <c r="S28" s="43"/>
      <c r="T28" s="43"/>
      <c r="U28" s="43"/>
    </row>
    <row r="29" spans="1:21" s="11" customFormat="1" ht="15">
      <c r="A29" s="53" t="s">
        <v>226</v>
      </c>
      <c r="B29" s="54">
        <v>15.55</v>
      </c>
      <c r="C29" s="54">
        <v>77.959999999999994</v>
      </c>
      <c r="D29" s="54">
        <v>51.65</v>
      </c>
      <c r="E29" s="54">
        <v>21.34</v>
      </c>
      <c r="F29" s="54">
        <v>35.18</v>
      </c>
      <c r="G29" s="54">
        <v>84.70</v>
      </c>
      <c r="H29" s="54">
        <v>36.97</v>
      </c>
      <c r="I29" s="54">
        <v>0.73</v>
      </c>
      <c r="J29" s="54">
        <v>1.39</v>
      </c>
      <c r="K29" s="54">
        <v>231.54</v>
      </c>
      <c r="L29" s="54">
        <v>31.72</v>
      </c>
      <c r="M29" s="54">
        <v>30.97</v>
      </c>
      <c r="N29" s="54">
        <v>5.30</v>
      </c>
      <c r="O29" s="54">
        <v>0</v>
      </c>
      <c r="P29" s="54">
        <v>1.23</v>
      </c>
      <c r="Q29" s="54">
        <v>27.5</v>
      </c>
      <c r="R29" s="43"/>
      <c r="S29" s="43"/>
      <c r="T29" s="43"/>
      <c r="U29" s="43"/>
    </row>
    <row r="30" spans="1:21" s="11" customFormat="1" ht="15">
      <c r="A30" s="53" t="s">
        <v>227</v>
      </c>
      <c r="B30" s="54">
        <v>32.479999999999997</v>
      </c>
      <c r="C30" s="54">
        <v>74.510000000000005</v>
      </c>
      <c r="D30" s="54">
        <v>67.06</v>
      </c>
      <c r="E30" s="54">
        <v>17.18</v>
      </c>
      <c r="F30" s="54">
        <v>11.49</v>
      </c>
      <c r="G30" s="54">
        <v>78.13</v>
      </c>
      <c r="H30" s="54">
        <v>38.22</v>
      </c>
      <c r="I30" s="54">
        <v>0.74</v>
      </c>
      <c r="J30" s="54">
        <v>0.53</v>
      </c>
      <c r="K30" s="54">
        <v>139.46</v>
      </c>
      <c r="L30" s="54">
        <v>31.31</v>
      </c>
      <c r="M30" s="54">
        <v>33.619999999999997</v>
      </c>
      <c r="N30" s="54">
        <v>4.80</v>
      </c>
      <c r="O30" s="54">
        <v>0</v>
      </c>
      <c r="P30" s="54">
        <v>1.41</v>
      </c>
      <c r="Q30" s="54">
        <v>29.42</v>
      </c>
      <c r="R30" s="43"/>
      <c r="S30" s="43"/>
      <c r="T30" s="43"/>
      <c r="U30" s="43"/>
    </row>
    <row r="31" spans="1:21" s="11" customFormat="1" ht="15">
      <c r="A31" s="53" t="s">
        <v>228</v>
      </c>
      <c r="B31" s="54">
        <v>32.25</v>
      </c>
      <c r="C31" s="54">
        <v>90.72</v>
      </c>
      <c r="D31" s="54">
        <v>76.569999999999993</v>
      </c>
      <c r="E31" s="54">
        <v>47.29</v>
      </c>
      <c r="F31" s="54">
        <v>11.14</v>
      </c>
      <c r="G31" s="54">
        <v>82.62</v>
      </c>
      <c r="H31" s="54">
        <v>41.27</v>
      </c>
      <c r="I31" s="54">
        <v>0.96</v>
      </c>
      <c r="J31" s="54">
        <v>0.28999999999999998</v>
      </c>
      <c r="K31" s="54">
        <v>216.36</v>
      </c>
      <c r="L31" s="54">
        <v>31.01</v>
      </c>
      <c r="M31" s="54">
        <v>35.049999999999997</v>
      </c>
      <c r="N31" s="54">
        <v>5.0999999999999996</v>
      </c>
      <c r="O31" s="54">
        <v>0</v>
      </c>
      <c r="P31" s="54">
        <v>1.56</v>
      </c>
      <c r="Q31" s="54">
        <v>29.28</v>
      </c>
      <c r="R31" s="43"/>
      <c r="S31" s="43"/>
      <c r="T31" s="43"/>
      <c r="U31" s="43"/>
    </row>
    <row r="32" spans="1:21" s="11" customFormat="1" ht="15">
      <c r="A32" s="53" t="s">
        <v>229</v>
      </c>
      <c r="B32" s="54">
        <v>19.28</v>
      </c>
      <c r="C32" s="54">
        <v>59.04</v>
      </c>
      <c r="D32" s="54">
        <v>48.38</v>
      </c>
      <c r="E32" s="54">
        <v>37.03</v>
      </c>
      <c r="F32" s="54">
        <v>26.98</v>
      </c>
      <c r="G32" s="54">
        <v>88.01</v>
      </c>
      <c r="H32" s="54">
        <v>44.95</v>
      </c>
      <c r="I32" s="54">
        <v>0.89</v>
      </c>
      <c r="J32" s="54">
        <v>0.89</v>
      </c>
      <c r="K32" s="54">
        <v>225.87</v>
      </c>
      <c r="L32" s="54">
        <v>30.68</v>
      </c>
      <c r="M32" s="54">
        <v>36.549999999999997</v>
      </c>
      <c r="N32" s="54">
        <v>5.40</v>
      </c>
      <c r="O32" s="54">
        <v>0</v>
      </c>
      <c r="P32" s="54">
        <v>1.53</v>
      </c>
      <c r="Q32" s="54">
        <v>29.62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1.9199999999999999</v>
      </c>
      <c r="C34" s="28">
        <f t="shared" si="0"/>
        <v>47.759999999999998</v>
      </c>
      <c r="D34" s="28">
        <f t="shared" si="0"/>
        <v>27.98</v>
      </c>
      <c r="E34" s="28">
        <f t="shared" si="0"/>
        <v>3.54</v>
      </c>
      <c r="F34" s="28">
        <f t="shared" si="0"/>
        <v>3.7000000000000002</v>
      </c>
      <c r="G34" s="28">
        <f t="shared" si="0"/>
        <v>51.390000000000001</v>
      </c>
      <c r="H34" s="28">
        <f t="shared" si="0"/>
        <v>31.5</v>
      </c>
      <c r="I34" s="28">
        <f t="shared" si="0"/>
        <v>0.66000000000000003</v>
      </c>
      <c r="J34" s="28">
        <f t="shared" si="0"/>
        <v>0.089999999999999997</v>
      </c>
      <c r="K34" s="28">
        <f t="shared" si="0"/>
        <v>139.46000000000001</v>
      </c>
      <c r="L34" s="28">
        <f t="shared" si="0"/>
        <v>26.370000000000001</v>
      </c>
      <c r="M34" s="28">
        <f t="shared" si="0"/>
        <v>17.579999999999998</v>
      </c>
      <c r="N34" s="28">
        <f t="shared" si="0"/>
        <v>4.7999999999999998</v>
      </c>
      <c r="O34" s="28">
        <f t="shared" si="0"/>
        <v>0</v>
      </c>
      <c r="P34" s="28">
        <f t="shared" si="0"/>
        <v>0.62</v>
      </c>
      <c r="Q34" s="28">
        <f t="shared" si="0"/>
        <v>27.210000000000001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75.370000000000005</v>
      </c>
      <c r="C35" s="29">
        <f t="shared" si="1"/>
        <v>90.719999999999999</v>
      </c>
      <c r="D35" s="29">
        <f t="shared" si="1"/>
        <v>97.829999999999998</v>
      </c>
      <c r="E35" s="29">
        <f t="shared" si="1"/>
        <v>57.789999999999999</v>
      </c>
      <c r="F35" s="29">
        <f t="shared" si="1"/>
        <v>106.81</v>
      </c>
      <c r="G35" s="29">
        <f t="shared" si="1"/>
        <v>206.86000000000001</v>
      </c>
      <c r="H35" s="29">
        <f t="shared" si="1"/>
        <v>105.59999999999999</v>
      </c>
      <c r="I35" s="29">
        <f t="shared" si="1"/>
        <v>1.3899999999999999</v>
      </c>
      <c r="J35" s="29">
        <f t="shared" si="1"/>
        <v>1.9099999999999999</v>
      </c>
      <c r="K35" s="29">
        <f t="shared" si="1"/>
        <v>248.81999999999999</v>
      </c>
      <c r="L35" s="29">
        <f t="shared" si="1"/>
        <v>40.799999999999997</v>
      </c>
      <c r="M35" s="29">
        <f t="shared" si="1"/>
        <v>50.060000000000002</v>
      </c>
      <c r="N35" s="29">
        <f t="shared" si="1"/>
        <v>465.60000000000002</v>
      </c>
      <c r="O35" s="29">
        <f t="shared" si="1"/>
        <v>0</v>
      </c>
      <c r="P35" s="29">
        <f t="shared" si="1"/>
        <v>2.9500000000000002</v>
      </c>
      <c r="Q35" s="29">
        <f t="shared" si="1"/>
        <v>40.32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23.887500000000003</v>
      </c>
      <c r="C36" s="28">
        <f t="shared" si="2"/>
        <v>65.202500000000001</v>
      </c>
      <c r="D36" s="28">
        <f t="shared" si="2"/>
        <v>53.905833333333341</v>
      </c>
      <c r="E36" s="28">
        <f t="shared" si="2"/>
        <v>23.842916666666664</v>
      </c>
      <c r="F36" s="28">
        <f t="shared" si="2"/>
        <v>33.853333333333332</v>
      </c>
      <c r="G36" s="28">
        <f t="shared" si="2"/>
        <v>108.42374999999998</v>
      </c>
      <c r="H36" s="28">
        <f t="shared" si="2"/>
        <v>54.840416666666663</v>
      </c>
      <c r="I36" s="28">
        <f t="shared" si="2"/>
        <v>0.83416666666666683</v>
      </c>
      <c r="J36" s="28">
        <f t="shared" si="2"/>
        <v>0.8125</v>
      </c>
      <c r="K36" s="28">
        <f t="shared" si="2"/>
        <v>223.33583333333331</v>
      </c>
      <c r="L36" s="28">
        <f t="shared" si="2"/>
        <v>32.723181818181814</v>
      </c>
      <c r="M36" s="28">
        <f t="shared" si="2"/>
        <v>33.448636363636361</v>
      </c>
      <c r="N36" s="28">
        <f t="shared" si="2"/>
        <v>84.424999999999983</v>
      </c>
      <c r="O36" s="28">
        <f t="shared" si="2"/>
        <v>0</v>
      </c>
      <c r="P36" s="28">
        <f t="shared" si="2"/>
        <v>1.3608333333333329</v>
      </c>
      <c r="Q36" s="28">
        <f t="shared" si="2"/>
        <v>30.210416666666664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19.801719567403417</v>
      </c>
      <c r="C37" s="28">
        <f t="shared" si="3" ref="C37:Q37">STDEV(C9:C32)</f>
        <v>10.844484572914128</v>
      </c>
      <c r="D37" s="28">
        <f t="shared" si="3"/>
        <v>18.238265296197746</v>
      </c>
      <c r="E37" s="28">
        <f t="shared" si="3"/>
        <v>15.233802083058485</v>
      </c>
      <c r="F37" s="28">
        <f t="shared" si="3"/>
        <v>29.030410541910786</v>
      </c>
      <c r="G37" s="28">
        <f t="shared" si="3"/>
        <v>47.21746045990416</v>
      </c>
      <c r="H37" s="28">
        <f t="shared" si="3"/>
        <v>23.325900230387084</v>
      </c>
      <c r="I37" s="28">
        <f t="shared" si="3"/>
        <v>0.17512521400332351</v>
      </c>
      <c r="J37" s="28">
        <f t="shared" si="3"/>
        <v>0.51749606173674723</v>
      </c>
      <c r="K37" s="28">
        <f t="shared" si="3"/>
        <v>20.325899716258011</v>
      </c>
      <c r="L37" s="28">
        <f t="shared" si="3"/>
        <v>4.573695376163502</v>
      </c>
      <c r="M37" s="28">
        <f t="shared" si="3"/>
        <v>10.313747319293485</v>
      </c>
      <c r="N37" s="28">
        <f t="shared" si="3"/>
        <v>168.56032168174855</v>
      </c>
      <c r="O37" s="28">
        <f t="shared" si="3"/>
        <v>0</v>
      </c>
      <c r="P37" s="28">
        <f t="shared" si="3"/>
        <v>0.54848341631357966</v>
      </c>
      <c r="Q37" s="28">
        <f t="shared" si="3"/>
        <v>2.9022876721448565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>COUNT(L9:L32)+2</f>
        <v>24</v>
      </c>
      <c r="M38" s="32">
        <f>COUNT(M9:M32)+2</f>
        <v>24</v>
      </c>
      <c r="N38" s="32">
        <f>COUNT(N9:N32)+12</f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75e30a1-a966-4e1c-8594-79d539471e82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51" sqref="H51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08-06-2023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230</v>
      </c>
      <c r="B9" s="54">
        <v>11.73</v>
      </c>
      <c r="C9" s="54">
        <v>54.83</v>
      </c>
      <c r="D9" s="54">
        <v>40.31</v>
      </c>
      <c r="E9" s="54">
        <v>14.83</v>
      </c>
      <c r="F9" s="54">
        <v>7.54</v>
      </c>
      <c r="G9" s="54">
        <v>95.71</v>
      </c>
      <c r="H9" s="54">
        <v>45.04</v>
      </c>
      <c r="I9" s="54">
        <v>0.90</v>
      </c>
      <c r="J9" s="54">
        <v>0.18</v>
      </c>
      <c r="K9" s="54">
        <v>248.46</v>
      </c>
      <c r="L9" s="54">
        <v>29.58</v>
      </c>
      <c r="M9" s="54">
        <v>39.159999999999997</v>
      </c>
      <c r="N9" s="54">
        <v>5.0999999999999996</v>
      </c>
      <c r="O9" s="54">
        <v>0</v>
      </c>
      <c r="P9" s="54">
        <v>1.37</v>
      </c>
      <c r="Q9" s="54">
        <v>30.11</v>
      </c>
      <c r="R9" s="43"/>
      <c r="S9" s="43"/>
      <c r="T9" s="43"/>
      <c r="U9" s="43"/>
    </row>
    <row r="10" spans="1:21" s="11" customFormat="1" ht="15">
      <c r="A10" s="53" t="s">
        <v>231</v>
      </c>
      <c r="B10" s="54">
        <v>3.13</v>
      </c>
      <c r="C10" s="54">
        <v>45.73</v>
      </c>
      <c r="D10" s="54">
        <v>27.96</v>
      </c>
      <c r="E10" s="54">
        <v>8.92</v>
      </c>
      <c r="F10" s="54">
        <v>26.25</v>
      </c>
      <c r="G10" s="54">
        <v>74.069999999999993</v>
      </c>
      <c r="H10" s="54">
        <v>41.14</v>
      </c>
      <c r="I10" s="54">
        <v>0.74</v>
      </c>
      <c r="J10" s="54">
        <v>0.34</v>
      </c>
      <c r="K10" s="54">
        <v>219.24</v>
      </c>
      <c r="L10" s="54">
        <v>28.44</v>
      </c>
      <c r="M10" s="54">
        <v>43.42</v>
      </c>
      <c r="N10" s="54">
        <v>4.9000000000000004</v>
      </c>
      <c r="O10" s="54">
        <v>0</v>
      </c>
      <c r="P10" s="54">
        <v>0.98</v>
      </c>
      <c r="Q10" s="54">
        <v>29.43</v>
      </c>
      <c r="R10" s="43"/>
      <c r="S10" s="43"/>
      <c r="T10" s="43"/>
      <c r="U10" s="43"/>
    </row>
    <row r="11" spans="1:21" s="11" customFormat="1" ht="15">
      <c r="A11" s="53" t="s">
        <v>232</v>
      </c>
      <c r="B11" s="54">
        <v>4.18</v>
      </c>
      <c r="C11" s="54">
        <v>49.64</v>
      </c>
      <c r="D11" s="54">
        <v>29.74</v>
      </c>
      <c r="E11" s="54">
        <v>10.76</v>
      </c>
      <c r="F11" s="54">
        <v>19.18</v>
      </c>
      <c r="G11" s="54">
        <v>66.25</v>
      </c>
      <c r="H11" s="54">
        <v>33.58</v>
      </c>
      <c r="I11" s="54">
        <v>0.78</v>
      </c>
      <c r="J11" s="54">
        <v>0.18</v>
      </c>
      <c r="K11" s="54">
        <v>197.58</v>
      </c>
      <c r="L11" s="54">
        <v>27.33</v>
      </c>
      <c r="M11" s="54">
        <v>50.95</v>
      </c>
      <c r="N11" s="54">
        <v>5.20</v>
      </c>
      <c r="O11" s="54">
        <v>0</v>
      </c>
      <c r="P11" s="54">
        <v>0.82</v>
      </c>
      <c r="Q11" s="54">
        <v>28.18</v>
      </c>
      <c r="R11" s="43"/>
      <c r="S11" s="43"/>
      <c r="T11" s="43"/>
      <c r="U11" s="43"/>
    </row>
    <row r="12" spans="1:21" s="11" customFormat="1" ht="15">
      <c r="A12" s="53" t="s">
        <v>233</v>
      </c>
      <c r="B12" s="54">
        <v>9.2200000000000006</v>
      </c>
      <c r="C12" s="54">
        <v>46.01</v>
      </c>
      <c r="D12" s="54">
        <v>33.43</v>
      </c>
      <c r="E12" s="54">
        <v>6.23</v>
      </c>
      <c r="F12" s="54">
        <v>5.31</v>
      </c>
      <c r="G12" s="54">
        <v>77.03</v>
      </c>
      <c r="H12" s="54">
        <v>36.5</v>
      </c>
      <c r="I12" s="54">
        <v>0.78</v>
      </c>
      <c r="J12" s="54">
        <v>0.26</v>
      </c>
      <c r="K12" s="54">
        <v>221.60</v>
      </c>
      <c r="L12" s="54">
        <v>26.82</v>
      </c>
      <c r="M12" s="54">
        <v>52.79</v>
      </c>
      <c r="N12" s="54">
        <v>5.20</v>
      </c>
      <c r="O12" s="54">
        <v>0</v>
      </c>
      <c r="P12" s="54">
        <v>0.91</v>
      </c>
      <c r="Q12" s="54">
        <v>30.47</v>
      </c>
      <c r="R12" s="43"/>
      <c r="S12" s="43"/>
      <c r="T12" s="43"/>
      <c r="U12" s="43"/>
    </row>
    <row r="13" spans="1:21" s="11" customFormat="1" ht="15">
      <c r="A13" s="53" t="s">
        <v>234</v>
      </c>
      <c r="B13" s="54">
        <v>26.13</v>
      </c>
      <c r="C13" s="54">
        <v>58.49</v>
      </c>
      <c r="D13" s="54">
        <v>53.24</v>
      </c>
      <c r="E13" s="54">
        <v>4.28</v>
      </c>
      <c r="F13" s="54">
        <v>3.62</v>
      </c>
      <c r="G13" s="54">
        <v>77.150000000000006</v>
      </c>
      <c r="H13" s="54">
        <v>37.659999999999997</v>
      </c>
      <c r="I13" s="54">
        <v>0.69</v>
      </c>
      <c r="J13" s="54">
        <v>0.20</v>
      </c>
      <c r="K13" s="54">
        <v>220.72</v>
      </c>
      <c r="L13" s="54">
        <v>26.10</v>
      </c>
      <c r="M13" s="54">
        <v>54.72</v>
      </c>
      <c r="N13" s="54">
        <v>5.30</v>
      </c>
      <c r="O13" s="54">
        <v>0</v>
      </c>
      <c r="P13" s="54">
        <v>0.98</v>
      </c>
      <c r="Q13" s="54">
        <v>30.26</v>
      </c>
      <c r="R13" s="43"/>
      <c r="S13" s="43"/>
      <c r="T13" s="43"/>
      <c r="U13" s="43"/>
    </row>
    <row r="14" spans="1:21" s="11" customFormat="1" ht="15">
      <c r="A14" s="53" t="s">
        <v>235</v>
      </c>
      <c r="B14" s="54">
        <v>37.56</v>
      </c>
      <c r="C14" s="54">
        <v>58.28</v>
      </c>
      <c r="D14" s="54">
        <v>62.93</v>
      </c>
      <c r="E14" s="54">
        <v>6.63</v>
      </c>
      <c r="F14" s="54">
        <v>7.42</v>
      </c>
      <c r="G14" s="54">
        <v>88.71</v>
      </c>
      <c r="H14" s="54">
        <v>39.60</v>
      </c>
      <c r="I14" s="54">
        <v>0.64</v>
      </c>
      <c r="J14" s="54">
        <v>0.15</v>
      </c>
      <c r="K14" s="54">
        <v>234.46</v>
      </c>
      <c r="L14" s="54">
        <v>26.30</v>
      </c>
      <c r="M14" s="54">
        <v>53.53</v>
      </c>
      <c r="N14" s="54">
        <v>48</v>
      </c>
      <c r="O14" s="54">
        <v>0</v>
      </c>
      <c r="P14" s="54">
        <v>0.99</v>
      </c>
      <c r="Q14" s="54">
        <v>28.10</v>
      </c>
      <c r="R14" s="43"/>
      <c r="S14" s="43"/>
      <c r="T14" s="43"/>
      <c r="U14" s="43"/>
    </row>
    <row r="15" spans="1:21" s="11" customFormat="1" ht="15">
      <c r="A15" s="53" t="s">
        <v>236</v>
      </c>
      <c r="B15" s="54">
        <v>25.48</v>
      </c>
      <c r="C15" s="54">
        <v>47.77</v>
      </c>
      <c r="D15" s="54">
        <v>47.07</v>
      </c>
      <c r="E15" s="54">
        <v>3.99</v>
      </c>
      <c r="F15" s="54">
        <v>4.6500000000000004</v>
      </c>
      <c r="G15" s="54">
        <v>98.29</v>
      </c>
      <c r="H15" s="54">
        <v>39.770000000000003</v>
      </c>
      <c r="I15" s="54">
        <v>0.77</v>
      </c>
      <c r="J15" s="54">
        <v>0.28000000000000003</v>
      </c>
      <c r="K15" s="54">
        <v>234.51</v>
      </c>
      <c r="L15" s="54">
        <v>31.01</v>
      </c>
      <c r="M15" s="54">
        <v>50.21</v>
      </c>
      <c r="N15" s="54">
        <v>171.30</v>
      </c>
      <c r="O15" s="54">
        <v>0</v>
      </c>
      <c r="P15" s="54">
        <v>1.1000000000000001</v>
      </c>
      <c r="Q15" s="54">
        <v>32.14</v>
      </c>
      <c r="R15" s="43"/>
      <c r="S15" s="43"/>
      <c r="T15" s="43"/>
      <c r="U15" s="43"/>
    </row>
    <row r="16" spans="1:21" s="11" customFormat="1" ht="15">
      <c r="A16" s="53" t="s">
        <v>237</v>
      </c>
      <c r="B16" s="54">
        <v>21.96</v>
      </c>
      <c r="C16" s="54">
        <v>54.03</v>
      </c>
      <c r="D16" s="54">
        <v>46.85</v>
      </c>
      <c r="E16" s="54">
        <v>2.29</v>
      </c>
      <c r="F16" s="54">
        <v>14.14</v>
      </c>
      <c r="G16" s="54">
        <v>96.73</v>
      </c>
      <c r="H16" s="54">
        <v>42.55</v>
      </c>
      <c r="I16" s="54">
        <v>0.69</v>
      </c>
      <c r="J16" s="54">
        <v>0.65</v>
      </c>
      <c r="K16" s="54">
        <v>225.10</v>
      </c>
      <c r="L16" s="54">
        <v>34.270000000000003</v>
      </c>
      <c r="M16" s="54">
        <v>34.08</v>
      </c>
      <c r="N16" s="54">
        <v>409.80</v>
      </c>
      <c r="O16" s="54">
        <v>0</v>
      </c>
      <c r="P16" s="54">
        <v>1.05</v>
      </c>
      <c r="Q16" s="54">
        <v>31.95</v>
      </c>
      <c r="R16" s="43"/>
      <c r="S16" s="43"/>
      <c r="T16" s="43"/>
      <c r="U16" s="43"/>
    </row>
    <row r="17" spans="1:21" s="11" customFormat="1" ht="15">
      <c r="A17" s="53" t="s">
        <v>238</v>
      </c>
      <c r="B17" s="54">
        <v>12.49</v>
      </c>
      <c r="C17" s="54">
        <v>51.89</v>
      </c>
      <c r="D17" s="54">
        <v>39.299999999999997</v>
      </c>
      <c r="E17" s="54">
        <v>3.49</v>
      </c>
      <c r="F17" s="54">
        <v>24.47</v>
      </c>
      <c r="G17" s="54">
        <v>85.41</v>
      </c>
      <c r="H17" s="54">
        <v>42.25</v>
      </c>
      <c r="I17" s="54">
        <v>0.61</v>
      </c>
      <c r="J17" s="54">
        <v>0.89</v>
      </c>
      <c r="K17" s="54">
        <v>227.62</v>
      </c>
      <c r="L17" s="54">
        <v>38.119999999999997</v>
      </c>
      <c r="M17" s="54">
        <v>28.12</v>
      </c>
      <c r="N17" s="54">
        <v>575.60</v>
      </c>
      <c r="O17" s="54">
        <v>0</v>
      </c>
      <c r="P17" s="54">
        <v>0.96</v>
      </c>
      <c r="Q17" s="54">
        <v>28.46</v>
      </c>
      <c r="R17" s="43"/>
      <c r="S17" s="43"/>
      <c r="T17" s="43"/>
      <c r="U17" s="43"/>
    </row>
    <row r="18" spans="1:21" s="11" customFormat="1" ht="15">
      <c r="A18" s="53" t="s">
        <v>239</v>
      </c>
      <c r="B18" s="54">
        <v>4.96</v>
      </c>
      <c r="C18" s="54">
        <v>58.26</v>
      </c>
      <c r="D18" s="54">
        <v>35.33</v>
      </c>
      <c r="E18" s="54">
        <v>3.58</v>
      </c>
      <c r="F18" s="54">
        <v>19.11</v>
      </c>
      <c r="G18" s="54">
        <v>72.81</v>
      </c>
      <c r="H18" s="54">
        <v>37.700000000000003</v>
      </c>
      <c r="I18" s="54">
        <v>0.78</v>
      </c>
      <c r="J18" s="54">
        <v>0.71</v>
      </c>
      <c r="K18" s="54">
        <v>229.61</v>
      </c>
      <c r="L18" s="54">
        <v>39.68</v>
      </c>
      <c r="M18" s="54">
        <v>23.08</v>
      </c>
      <c r="N18" s="54">
        <v>718.40</v>
      </c>
      <c r="O18" s="54">
        <v>0</v>
      </c>
      <c r="P18" s="54">
        <v>0.87</v>
      </c>
      <c r="Q18" s="54">
        <v>28.68</v>
      </c>
      <c r="R18" s="43"/>
      <c r="S18" s="43"/>
      <c r="T18" s="43"/>
      <c r="U18" s="43"/>
    </row>
    <row r="19" spans="1:21" s="11" customFormat="1" ht="15">
      <c r="A19" s="53" t="s">
        <v>240</v>
      </c>
      <c r="B19" s="54">
        <v>5.25</v>
      </c>
      <c r="C19" s="54">
        <v>54.13</v>
      </c>
      <c r="D19" s="54">
        <v>32.01</v>
      </c>
      <c r="E19" s="54">
        <v>18.18</v>
      </c>
      <c r="F19" s="54">
        <v>76.09</v>
      </c>
      <c r="G19" s="54">
        <v>67.09</v>
      </c>
      <c r="H19" s="54">
        <v>34.43</v>
      </c>
      <c r="I19" s="54">
        <v>0.65</v>
      </c>
      <c r="J19" s="54">
        <v>0.83</v>
      </c>
      <c r="K19" s="54">
        <v>230.79</v>
      </c>
      <c r="L19" s="54">
        <v>39.89</v>
      </c>
      <c r="M19" s="54">
        <v>20.67</v>
      </c>
      <c r="N19" s="54">
        <v>763.40</v>
      </c>
      <c r="O19" s="54">
        <v>0</v>
      </c>
      <c r="P19" s="54">
        <v>0.81</v>
      </c>
      <c r="Q19" s="54">
        <v>28.38</v>
      </c>
      <c r="R19" s="43"/>
      <c r="S19" s="43"/>
      <c r="T19" s="43"/>
      <c r="U19" s="43"/>
    </row>
    <row r="20" spans="1:21" s="11" customFormat="1" ht="15">
      <c r="A20" s="53" t="s">
        <v>241</v>
      </c>
      <c r="B20" s="54">
        <v>5.33</v>
      </c>
      <c r="C20" s="54">
        <v>50.65</v>
      </c>
      <c r="D20" s="54">
        <v>32.869999999999997</v>
      </c>
      <c r="E20" s="54">
        <v>24.24</v>
      </c>
      <c r="F20" s="54">
        <v>59.25</v>
      </c>
      <c r="G20" s="54">
        <v>66.739999999999995</v>
      </c>
      <c r="H20" s="54">
        <v>34.5</v>
      </c>
      <c r="I20" s="54">
        <v>0.69</v>
      </c>
      <c r="J20" s="54">
        <v>1.1100000000000001</v>
      </c>
      <c r="K20" s="54">
        <v>221.77</v>
      </c>
      <c r="L20" s="54">
        <v>39.76</v>
      </c>
      <c r="M20" s="54">
        <v>18.64</v>
      </c>
      <c r="N20" s="54">
        <v>367.10</v>
      </c>
      <c r="O20" s="54">
        <v>0</v>
      </c>
      <c r="P20" s="54">
        <v>0.81</v>
      </c>
      <c r="Q20" s="54">
        <v>28.08</v>
      </c>
      <c r="R20" s="43"/>
      <c r="S20" s="43"/>
      <c r="T20" s="43"/>
      <c r="U20" s="43"/>
    </row>
    <row r="21" spans="1:21" s="11" customFormat="1" ht="15">
      <c r="A21" s="53" t="s">
        <v>242</v>
      </c>
      <c r="B21" s="54">
        <v>1.65</v>
      </c>
      <c r="C21" s="54">
        <v>49.47</v>
      </c>
      <c r="D21" s="54">
        <v>29.27</v>
      </c>
      <c r="E21" s="54">
        <v>9.41</v>
      </c>
      <c r="F21" s="54">
        <v>22.54</v>
      </c>
      <c r="G21" s="54">
        <v>60.96</v>
      </c>
      <c r="H21" s="54">
        <v>33.880000000000003</v>
      </c>
      <c r="I21" s="54">
        <v>0.84</v>
      </c>
      <c r="J21" s="54">
        <v>1.54</v>
      </c>
      <c r="K21" s="54">
        <v>229.49</v>
      </c>
      <c r="L21" s="54">
        <v>41.12</v>
      </c>
      <c r="M21" s="54">
        <v>17.920000000000002</v>
      </c>
      <c r="N21" s="54">
        <v>746.20</v>
      </c>
      <c r="O21" s="54">
        <v>0</v>
      </c>
      <c r="P21" s="54">
        <v>0.75</v>
      </c>
      <c r="Q21" s="54">
        <v>28.08</v>
      </c>
      <c r="R21" s="43"/>
      <c r="S21" s="43"/>
      <c r="T21" s="43"/>
      <c r="U21" s="43"/>
    </row>
    <row r="22" spans="1:21" s="11" customFormat="1" ht="15">
      <c r="A22" s="53" t="s">
        <v>243</v>
      </c>
      <c r="B22" s="54">
        <v>3.32</v>
      </c>
      <c r="C22" s="54">
        <v>46.70</v>
      </c>
      <c r="D22" s="54">
        <v>27.29</v>
      </c>
      <c r="E22" s="54">
        <v>8.5399999999999991</v>
      </c>
      <c r="F22" s="54">
        <v>67.959999999999994</v>
      </c>
      <c r="G22" s="54">
        <v>57.92</v>
      </c>
      <c r="H22" s="54">
        <v>31.61</v>
      </c>
      <c r="I22" s="54">
        <v>0.78</v>
      </c>
      <c r="J22" s="54">
        <v>1.59</v>
      </c>
      <c r="K22" s="54">
        <v>232.45</v>
      </c>
      <c r="L22" s="54">
        <v>40.96</v>
      </c>
      <c r="M22" s="54">
        <v>15.90</v>
      </c>
      <c r="N22" s="54">
        <v>753.30</v>
      </c>
      <c r="O22" s="54">
        <v>0</v>
      </c>
      <c r="P22" s="54">
        <v>0.65</v>
      </c>
      <c r="Q22" s="54">
        <v>27.66</v>
      </c>
      <c r="R22" s="43"/>
      <c r="S22" s="43"/>
      <c r="T22" s="43"/>
      <c r="U22" s="43"/>
    </row>
    <row r="23" spans="1:21" s="11" customFormat="1" ht="15">
      <c r="A23" s="53" t="s">
        <v>244</v>
      </c>
      <c r="B23" s="54">
        <v>5.12</v>
      </c>
      <c r="C23" s="54">
        <v>42.75</v>
      </c>
      <c r="D23" s="54">
        <v>27.97</v>
      </c>
      <c r="E23" s="54">
        <v>7.94</v>
      </c>
      <c r="F23" s="54">
        <v>52.80</v>
      </c>
      <c r="G23" s="54">
        <v>55.90</v>
      </c>
      <c r="H23" s="54">
        <v>31.70</v>
      </c>
      <c r="I23" s="54">
        <v>0.74</v>
      </c>
      <c r="J23" s="54">
        <v>1.29</v>
      </c>
      <c r="K23" s="54">
        <v>228.74</v>
      </c>
      <c r="L23" s="54">
        <v>41.05</v>
      </c>
      <c r="M23" s="54">
        <v>17.46</v>
      </c>
      <c r="N23" s="54">
        <v>545.10</v>
      </c>
      <c r="O23" s="54">
        <v>0</v>
      </c>
      <c r="P23" s="54">
        <v>0.62</v>
      </c>
      <c r="Q23" s="54">
        <v>25.82</v>
      </c>
      <c r="R23" s="43"/>
      <c r="S23" s="43"/>
      <c r="T23" s="43"/>
      <c r="U23" s="43"/>
    </row>
    <row r="24" spans="1:21" s="11" customFormat="1" ht="15">
      <c r="A24" s="53" t="s">
        <v>245</v>
      </c>
      <c r="B24" s="54">
        <v>2.34</v>
      </c>
      <c r="C24" s="54">
        <v>48.71</v>
      </c>
      <c r="D24" s="54">
        <v>29.31</v>
      </c>
      <c r="E24" s="54">
        <v>5.44</v>
      </c>
      <c r="F24" s="54">
        <v>39.57</v>
      </c>
      <c r="G24" s="54">
        <v>53.66</v>
      </c>
      <c r="H24" s="54">
        <v>29.33</v>
      </c>
      <c r="I24" s="54">
        <v>0.71</v>
      </c>
      <c r="J24" s="54">
        <v>1.48</v>
      </c>
      <c r="K24" s="54">
        <v>228.72</v>
      </c>
      <c r="L24" s="54">
        <v>38.44</v>
      </c>
      <c r="M24" s="54">
        <v>18.73</v>
      </c>
      <c r="N24" s="54">
        <v>200.70</v>
      </c>
      <c r="O24" s="54">
        <v>0</v>
      </c>
      <c r="P24" s="54">
        <v>0.60</v>
      </c>
      <c r="Q24" s="54">
        <v>26.86</v>
      </c>
      <c r="R24" s="43"/>
      <c r="S24" s="43"/>
      <c r="T24" s="43"/>
      <c r="U24" s="43"/>
    </row>
    <row r="25" spans="1:21" s="11" customFormat="1" ht="15">
      <c r="A25" s="53" t="s">
        <v>246</v>
      </c>
      <c r="B25" s="54">
        <v>6.82</v>
      </c>
      <c r="C25" s="54">
        <v>51.07</v>
      </c>
      <c r="D25" s="54">
        <v>34.299999999999997</v>
      </c>
      <c r="E25" s="54">
        <v>15.22</v>
      </c>
      <c r="F25" s="54">
        <v>77.819999999999993</v>
      </c>
      <c r="G25" s="54">
        <v>54.36</v>
      </c>
      <c r="H25" s="54">
        <v>26.32</v>
      </c>
      <c r="I25" s="54">
        <v>0.69</v>
      </c>
      <c r="J25" s="54">
        <v>1.1200000000000001</v>
      </c>
      <c r="K25" s="54">
        <v>230.72</v>
      </c>
      <c r="L25" s="54">
        <v>37.78</v>
      </c>
      <c r="M25" s="54">
        <v>19.73</v>
      </c>
      <c r="N25" s="54">
        <v>149</v>
      </c>
      <c r="O25" s="54">
        <v>0</v>
      </c>
      <c r="P25" s="54">
        <v>0.63</v>
      </c>
      <c r="Q25" s="54">
        <v>26.84</v>
      </c>
      <c r="R25" s="43"/>
      <c r="S25" s="43"/>
      <c r="T25" s="43"/>
      <c r="U25" s="43"/>
    </row>
    <row r="26" spans="1:21" s="11" customFormat="1" ht="15">
      <c r="A26" s="53" t="s">
        <v>247</v>
      </c>
      <c r="B26" s="54">
        <v>15.44</v>
      </c>
      <c r="C26" s="54">
        <v>60.26</v>
      </c>
      <c r="D26" s="54">
        <v>45.71</v>
      </c>
      <c r="E26" s="54">
        <v>15.17</v>
      </c>
      <c r="F26" s="54">
        <v>67.38</v>
      </c>
      <c r="G26" s="54">
        <v>55.15</v>
      </c>
      <c r="H26" s="54">
        <v>27.13</v>
      </c>
      <c r="I26" s="54">
        <v>0.70</v>
      </c>
      <c r="J26" s="54">
        <v>1.18</v>
      </c>
      <c r="K26" s="54">
        <v>233.03</v>
      </c>
      <c r="L26" s="54">
        <v>36.33</v>
      </c>
      <c r="M26" s="54">
        <v>20.53</v>
      </c>
      <c r="N26" s="54">
        <v>50</v>
      </c>
      <c r="O26" s="54">
        <v>0</v>
      </c>
      <c r="P26" s="54">
        <v>0.76</v>
      </c>
      <c r="Q26" s="54">
        <v>26.02</v>
      </c>
      <c r="R26" s="43"/>
      <c r="S26" s="43"/>
      <c r="T26" s="43"/>
      <c r="U26" s="43"/>
    </row>
    <row r="27" spans="1:21" s="11" customFormat="1" ht="15">
      <c r="A27" s="53" t="s">
        <v>248</v>
      </c>
      <c r="B27" s="54">
        <v>29.31</v>
      </c>
      <c r="C27" s="54">
        <v>98.27</v>
      </c>
      <c r="D27" s="54">
        <v>78.38</v>
      </c>
      <c r="E27" s="54">
        <v>6.28</v>
      </c>
      <c r="F27" s="54">
        <v>23.72</v>
      </c>
      <c r="G27" s="54">
        <v>59</v>
      </c>
      <c r="H27" s="54">
        <v>28.66</v>
      </c>
      <c r="I27" s="54">
        <v>0.87</v>
      </c>
      <c r="J27" s="54">
        <v>0.68</v>
      </c>
      <c r="K27" s="54">
        <v>246.52</v>
      </c>
      <c r="L27" s="54">
        <v>35.380000000000003</v>
      </c>
      <c r="M27" s="54">
        <v>22.40</v>
      </c>
      <c r="N27" s="54">
        <v>24.20</v>
      </c>
      <c r="O27" s="54">
        <v>0</v>
      </c>
      <c r="P27" s="54">
        <v>1.1599999999999999</v>
      </c>
      <c r="Q27" s="54">
        <v>25.78</v>
      </c>
      <c r="R27" s="43"/>
      <c r="S27" s="43"/>
      <c r="T27" s="43"/>
      <c r="U27" s="43"/>
    </row>
    <row r="28" spans="1:21" s="11" customFormat="1" ht="15">
      <c r="A28" s="53" t="s">
        <v>249</v>
      </c>
      <c r="B28" s="54">
        <v>117.25</v>
      </c>
      <c r="C28" s="54">
        <v>128.52000000000001</v>
      </c>
      <c r="D28" s="54">
        <v>165.60</v>
      </c>
      <c r="E28" s="54">
        <v>11.17</v>
      </c>
      <c r="F28" s="54">
        <v>6.31</v>
      </c>
      <c r="G28" s="54">
        <v>76.39</v>
      </c>
      <c r="H28" s="54">
        <v>35.94</v>
      </c>
      <c r="I28" s="54">
        <v>1.1399999999999999</v>
      </c>
      <c r="J28" s="54">
        <v>0.09</v>
      </c>
      <c r="K28" s="54">
        <v>214.46</v>
      </c>
      <c r="L28" s="54">
        <v>33.72</v>
      </c>
      <c r="M28" s="54">
        <v>29.79</v>
      </c>
      <c r="N28" s="54">
        <v>5.30</v>
      </c>
      <c r="O28" s="54">
        <v>0</v>
      </c>
      <c r="P28" s="54">
        <v>1.72</v>
      </c>
      <c r="Q28" s="54">
        <v>23.53</v>
      </c>
      <c r="R28" s="43"/>
      <c r="S28" s="43"/>
      <c r="T28" s="43"/>
      <c r="U28" s="43"/>
    </row>
    <row r="29" spans="1:21" s="11" customFormat="1" ht="15">
      <c r="A29" s="53" t="s">
        <v>250</v>
      </c>
      <c r="B29" s="54">
        <v>143.85</v>
      </c>
      <c r="C29" s="54">
        <v>115.56</v>
      </c>
      <c r="D29" s="54">
        <v>178.97</v>
      </c>
      <c r="E29" s="54">
        <v>12.09</v>
      </c>
      <c r="F29" s="54">
        <v>4.12</v>
      </c>
      <c r="G29" s="54">
        <v>145.19999999999999</v>
      </c>
      <c r="H29" s="54">
        <v>52.13</v>
      </c>
      <c r="I29" s="54">
        <v>1.58</v>
      </c>
      <c r="J29" s="54">
        <v>0.16</v>
      </c>
      <c r="K29" s="54">
        <v>235.14</v>
      </c>
      <c r="L29" s="54">
        <v>32.270000000000003</v>
      </c>
      <c r="M29" s="54">
        <v>35.270000000000003</v>
      </c>
      <c r="N29" s="54">
        <v>5.5</v>
      </c>
      <c r="O29" s="54">
        <v>0</v>
      </c>
      <c r="P29" s="54">
        <v>2.71</v>
      </c>
      <c r="Q29" s="54">
        <v>25.86</v>
      </c>
      <c r="R29" s="43"/>
      <c r="S29" s="43"/>
      <c r="T29" s="43"/>
      <c r="U29" s="43"/>
    </row>
    <row r="30" spans="1:21" s="11" customFormat="1" ht="15">
      <c r="A30" s="53" t="s">
        <v>251</v>
      </c>
      <c r="B30" s="54">
        <v>120.97</v>
      </c>
      <c r="C30" s="54">
        <v>102.07</v>
      </c>
      <c r="D30" s="54">
        <v>145.75</v>
      </c>
      <c r="E30" s="54">
        <v>8.0399999999999991</v>
      </c>
      <c r="F30" s="54">
        <v>4</v>
      </c>
      <c r="G30" s="54">
        <v>242.24</v>
      </c>
      <c r="H30" s="54">
        <v>70.58</v>
      </c>
      <c r="I30" s="54">
        <v>1.71</v>
      </c>
      <c r="J30" s="54">
        <v>0.30</v>
      </c>
      <c r="K30" s="54">
        <v>221.51</v>
      </c>
      <c r="L30" s="54">
        <v>31.80</v>
      </c>
      <c r="M30" s="54">
        <v>38.40</v>
      </c>
      <c r="N30" s="54">
        <v>5.30</v>
      </c>
      <c r="O30" s="54">
        <v>0</v>
      </c>
      <c r="P30" s="54">
        <v>3.49</v>
      </c>
      <c r="Q30" s="54">
        <v>34.53</v>
      </c>
      <c r="R30" s="43"/>
      <c r="S30" s="43"/>
      <c r="T30" s="43"/>
      <c r="U30" s="43"/>
    </row>
    <row r="31" spans="1:21" s="11" customFormat="1" ht="15">
      <c r="A31" s="53" t="s">
        <v>252</v>
      </c>
      <c r="B31" s="54">
        <v>368.20</v>
      </c>
      <c r="C31" s="54">
        <v>122.68</v>
      </c>
      <c r="D31" s="54">
        <v>355.18</v>
      </c>
      <c r="E31" s="54">
        <v>8.6999999999999993</v>
      </c>
      <c r="F31" s="54">
        <v>4.3899999999999997</v>
      </c>
      <c r="G31" s="54">
        <v>221.86</v>
      </c>
      <c r="H31" s="54">
        <v>79.510000000000005</v>
      </c>
      <c r="I31" s="54">
        <v>1.5</v>
      </c>
      <c r="J31" s="54">
        <v>0.16</v>
      </c>
      <c r="K31" s="54">
        <v>225.61</v>
      </c>
      <c r="L31" s="54">
        <v>30.84</v>
      </c>
      <c r="M31" s="54">
        <v>43.73</v>
      </c>
      <c r="N31" s="54">
        <v>5.20</v>
      </c>
      <c r="O31" s="54">
        <v>0</v>
      </c>
      <c r="P31" s="54">
        <v>3.49</v>
      </c>
      <c r="Q31" s="54">
        <v>31.62</v>
      </c>
      <c r="R31" s="43"/>
      <c r="S31" s="43"/>
      <c r="T31" s="43"/>
      <c r="U31" s="43"/>
    </row>
    <row r="32" spans="1:21" s="11" customFormat="1" ht="15">
      <c r="A32" s="53" t="s">
        <v>253</v>
      </c>
      <c r="B32" s="54">
        <v>175.18</v>
      </c>
      <c r="C32" s="54">
        <v>107.56</v>
      </c>
      <c r="D32" s="54">
        <v>200.49</v>
      </c>
      <c r="E32" s="54">
        <v>7.03</v>
      </c>
      <c r="F32" s="54">
        <v>3.82</v>
      </c>
      <c r="G32" s="54">
        <v>219.80</v>
      </c>
      <c r="H32" s="54">
        <v>85.05</v>
      </c>
      <c r="I32" s="54">
        <v>1.80</v>
      </c>
      <c r="J32" s="54">
        <v>0.14000000000000001</v>
      </c>
      <c r="K32" s="54">
        <v>222.05</v>
      </c>
      <c r="L32" s="54">
        <v>29.77</v>
      </c>
      <c r="M32" s="54">
        <v>46.88</v>
      </c>
      <c r="N32" s="54">
        <v>5</v>
      </c>
      <c r="O32" s="54">
        <v>0</v>
      </c>
      <c r="P32" s="54">
        <v>3.49</v>
      </c>
      <c r="Q32" s="54">
        <v>37.86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1.6499999999999999</v>
      </c>
      <c r="C34" s="28">
        <f t="shared" si="0"/>
        <v>42.75</v>
      </c>
      <c r="D34" s="28">
        <f t="shared" si="0"/>
        <v>27.289999999999999</v>
      </c>
      <c r="E34" s="28">
        <f t="shared" si="0"/>
        <v>2.29</v>
      </c>
      <c r="F34" s="28">
        <f t="shared" si="0"/>
        <v>3.6200000000000001</v>
      </c>
      <c r="G34" s="28">
        <f t="shared" si="0"/>
        <v>53.659999999999997</v>
      </c>
      <c r="H34" s="28">
        <f t="shared" si="0"/>
        <v>26.32</v>
      </c>
      <c r="I34" s="28">
        <f t="shared" si="0"/>
        <v>0.60999999999999999</v>
      </c>
      <c r="J34" s="28">
        <f t="shared" si="0"/>
        <v>0.089999999999999997</v>
      </c>
      <c r="K34" s="28">
        <f t="shared" si="0"/>
        <v>197.58000000000001</v>
      </c>
      <c r="L34" s="28">
        <f t="shared" si="0"/>
        <v>26.100000000000001</v>
      </c>
      <c r="M34" s="28">
        <f t="shared" si="0"/>
        <v>15.9</v>
      </c>
      <c r="N34" s="28">
        <f t="shared" si="0"/>
        <v>4.9000000000000004</v>
      </c>
      <c r="O34" s="28">
        <f t="shared" si="0"/>
        <v>0</v>
      </c>
      <c r="P34" s="28">
        <f t="shared" si="0"/>
        <v>0.59999999999999998</v>
      </c>
      <c r="Q34" s="28">
        <f t="shared" si="0"/>
        <v>23.530000000000001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368.19999999999999</v>
      </c>
      <c r="C35" s="29">
        <f t="shared" si="1"/>
        <v>128.52000000000001</v>
      </c>
      <c r="D35" s="29">
        <f t="shared" si="1"/>
        <v>355.18000000000001</v>
      </c>
      <c r="E35" s="29">
        <f t="shared" si="1"/>
        <v>24.239999999999998</v>
      </c>
      <c r="F35" s="29">
        <f t="shared" si="1"/>
        <v>77.819999999999993</v>
      </c>
      <c r="G35" s="29">
        <f t="shared" si="1"/>
        <v>242.24000000000001</v>
      </c>
      <c r="H35" s="29">
        <f t="shared" si="1"/>
        <v>85.049999999999997</v>
      </c>
      <c r="I35" s="29">
        <f t="shared" si="1"/>
        <v>1.8</v>
      </c>
      <c r="J35" s="29">
        <f t="shared" si="1"/>
        <v>1.5900000000000001</v>
      </c>
      <c r="K35" s="29">
        <f t="shared" si="1"/>
        <v>248.46000000000001</v>
      </c>
      <c r="L35" s="29">
        <f t="shared" si="1"/>
        <v>41.119999999999997</v>
      </c>
      <c r="M35" s="29">
        <f t="shared" si="1"/>
        <v>54.719999999999999</v>
      </c>
      <c r="N35" s="29">
        <f t="shared" si="1"/>
        <v>763.39999999999998</v>
      </c>
      <c r="O35" s="29">
        <f t="shared" si="1"/>
        <v>0</v>
      </c>
      <c r="P35" s="29">
        <f t="shared" si="1"/>
        <v>3.4900000000000002</v>
      </c>
      <c r="Q35" s="29">
        <f t="shared" si="1"/>
        <v>37.859999999999999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48.202916666666674</v>
      </c>
      <c r="C36" s="28">
        <f t="shared" si="2"/>
        <v>66.805416666666659</v>
      </c>
      <c r="D36" s="28">
        <f t="shared" si="2"/>
        <v>74.969166666666666</v>
      </c>
      <c r="E36" s="28">
        <f t="shared" si="2"/>
        <v>9.2687499999999989</v>
      </c>
      <c r="F36" s="28">
        <f t="shared" si="2"/>
        <v>26.727500000000003</v>
      </c>
      <c r="G36" s="28">
        <f t="shared" si="2"/>
        <v>94.517916666666679</v>
      </c>
      <c r="H36" s="28">
        <f t="shared" si="2"/>
        <v>41.523333333333333</v>
      </c>
      <c r="I36" s="28">
        <f t="shared" si="2"/>
        <v>0.90749999999999986</v>
      </c>
      <c r="J36" s="28">
        <f t="shared" si="2"/>
        <v>0.6462500000000001</v>
      </c>
      <c r="K36" s="28">
        <f t="shared" si="2"/>
        <v>227.49583333333331</v>
      </c>
      <c r="L36" s="28">
        <f t="shared" si="2"/>
        <v>34.031666666666659</v>
      </c>
      <c r="M36" s="28">
        <f t="shared" si="2"/>
        <v>33.171249999999993</v>
      </c>
      <c r="N36" s="28">
        <f t="shared" si="2"/>
        <v>232.25416666666669</v>
      </c>
      <c r="O36" s="28">
        <f t="shared" si="2"/>
        <v>0</v>
      </c>
      <c r="P36" s="28">
        <f t="shared" si="2"/>
        <v>1.321666666666667</v>
      </c>
      <c r="Q36" s="28">
        <f t="shared" si="2"/>
        <v>28.945833333333329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84.562750895115016</v>
      </c>
      <c r="C37" s="28">
        <f t="shared" si="3" ref="C37:Q37">STDEV(C9:C32)</f>
        <v>27.821435273695098</v>
      </c>
      <c r="D37" s="28">
        <f t="shared" si="3"/>
        <v>79.487647818998283</v>
      </c>
      <c r="E37" s="28">
        <f t="shared" si="3"/>
        <v>5.2535721284375345</v>
      </c>
      <c r="F37" s="28">
        <f t="shared" si="3"/>
        <v>25.789157858361293</v>
      </c>
      <c r="G37" s="28">
        <f t="shared" si="3"/>
        <v>55.418570579150007</v>
      </c>
      <c r="H37" s="28">
        <f t="shared" si="3"/>
        <v>15.56131314082031</v>
      </c>
      <c r="I37" s="28">
        <f t="shared" si="3"/>
        <v>0.35762805550873211</v>
      </c>
      <c r="J37" s="28">
        <f t="shared" si="3"/>
        <v>0.51235019019348904</v>
      </c>
      <c r="K37" s="28">
        <f t="shared" si="3"/>
        <v>10.144098698543726</v>
      </c>
      <c r="L37" s="28">
        <f t="shared" si="3"/>
        <v>5.1930150969453273</v>
      </c>
      <c r="M37" s="28">
        <f t="shared" si="3"/>
        <v>13.660499803861679</v>
      </c>
      <c r="N37" s="28">
        <f t="shared" si="3"/>
        <v>291.71001082696262</v>
      </c>
      <c r="O37" s="28">
        <f t="shared" si="3"/>
        <v>0</v>
      </c>
      <c r="P37" s="28">
        <f t="shared" si="3"/>
        <v>0.94525205594876205</v>
      </c>
      <c r="Q37" s="28">
        <f t="shared" si="3"/>
        <v>3.1189336481318959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cdabaa8-6d6c-4b60-888b-35d9f6b8dcde}">
  <sheetPr codeName=""/>
  <dimension ref="A1:U119"/>
  <sheetViews>
    <sheetView workbookViewId="0" topLeftCell="A1">
      <pane xSplit="2" ySplit="8" topLeftCell="C18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M39" sqref="M39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09-06-2023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254</v>
      </c>
      <c r="B9" s="54">
        <v>118.47</v>
      </c>
      <c r="C9" s="54">
        <v>72.03</v>
      </c>
      <c r="D9" s="54">
        <v>135.40</v>
      </c>
      <c r="E9" s="54">
        <v>5.87</v>
      </c>
      <c r="F9" s="54">
        <v>5.03</v>
      </c>
      <c r="G9" s="54">
        <v>178.90</v>
      </c>
      <c r="H9" s="54">
        <v>79.58</v>
      </c>
      <c r="I9" s="54">
        <v>1.59</v>
      </c>
      <c r="J9" s="54">
        <v>0.22</v>
      </c>
      <c r="K9" s="54">
        <v>226.26</v>
      </c>
      <c r="L9" s="54">
        <v>28.41</v>
      </c>
      <c r="M9" s="54">
        <v>47.76</v>
      </c>
      <c r="N9" s="54">
        <v>5</v>
      </c>
      <c r="O9" s="54">
        <v>0</v>
      </c>
      <c r="P9" s="54">
        <v>3.34</v>
      </c>
      <c r="Q9" s="54">
        <v>41.70</v>
      </c>
      <c r="R9" s="43"/>
      <c r="S9" s="43"/>
      <c r="T9" s="43"/>
      <c r="U9" s="43"/>
    </row>
    <row r="10" spans="1:21" s="11" customFormat="1" ht="15">
      <c r="A10" s="53" t="s">
        <v>255</v>
      </c>
      <c r="B10" s="54">
        <v>45.34</v>
      </c>
      <c r="C10" s="54">
        <v>57.18</v>
      </c>
      <c r="D10" s="54">
        <v>68.56</v>
      </c>
      <c r="E10" s="54">
        <v>6.08</v>
      </c>
      <c r="F10" s="54">
        <v>18.05</v>
      </c>
      <c r="G10" s="54">
        <v>131.06</v>
      </c>
      <c r="H10" s="54">
        <v>69.02</v>
      </c>
      <c r="I10" s="54">
        <v>1.30</v>
      </c>
      <c r="J10" s="54">
        <v>0.19</v>
      </c>
      <c r="K10" s="54">
        <v>226.39</v>
      </c>
      <c r="L10" s="54">
        <v>27.82</v>
      </c>
      <c r="M10" s="54">
        <v>45.24</v>
      </c>
      <c r="N10" s="54">
        <v>5.0999999999999996</v>
      </c>
      <c r="O10" s="54">
        <v>0</v>
      </c>
      <c r="P10" s="54">
        <v>2.38</v>
      </c>
      <c r="Q10" s="54">
        <v>42.20</v>
      </c>
      <c r="R10" s="43"/>
      <c r="S10" s="43"/>
      <c r="T10" s="43"/>
      <c r="U10" s="43"/>
    </row>
    <row r="11" spans="1:21" s="11" customFormat="1" ht="15">
      <c r="A11" s="53" t="s">
        <v>256</v>
      </c>
      <c r="B11" s="54">
        <v>47.97</v>
      </c>
      <c r="C11" s="54">
        <v>50.14</v>
      </c>
      <c r="D11" s="54">
        <v>65.45</v>
      </c>
      <c r="E11" s="54">
        <v>6.44</v>
      </c>
      <c r="F11" s="54">
        <v>19.239999999999998</v>
      </c>
      <c r="G11" s="54">
        <v>91.31</v>
      </c>
      <c r="H11" s="54">
        <v>60.20</v>
      </c>
      <c r="I11" s="54">
        <v>1.02</v>
      </c>
      <c r="J11" s="54">
        <v>0.17</v>
      </c>
      <c r="K11" s="54">
        <v>221.18</v>
      </c>
      <c r="L11" s="54">
        <v>27.69</v>
      </c>
      <c r="M11" s="54">
        <v>42.5</v>
      </c>
      <c r="N11" s="54">
        <v>5.0999999999999996</v>
      </c>
      <c r="O11" s="54">
        <v>0</v>
      </c>
      <c r="P11" s="54">
        <v>2.14</v>
      </c>
      <c r="Q11" s="54">
        <v>39.60</v>
      </c>
      <c r="R11" s="43"/>
      <c r="S11" s="43"/>
      <c r="T11" s="43"/>
      <c r="U11" s="43"/>
    </row>
    <row r="12" spans="1:21" s="11" customFormat="1" ht="15">
      <c r="A12" s="53" t="s">
        <v>257</v>
      </c>
      <c r="B12" s="54">
        <v>36.090000000000003</v>
      </c>
      <c r="C12" s="54">
        <v>52.24</v>
      </c>
      <c r="D12" s="54">
        <v>56.90</v>
      </c>
      <c r="E12" s="54">
        <v>3.85</v>
      </c>
      <c r="F12" s="54">
        <v>4.7699999999999996</v>
      </c>
      <c r="G12" s="54">
        <v>64.17</v>
      </c>
      <c r="H12" s="54">
        <v>45.68</v>
      </c>
      <c r="I12" s="54">
        <v>1.1200000000000001</v>
      </c>
      <c r="J12" s="54">
        <v>0.15</v>
      </c>
      <c r="K12" s="54">
        <v>223</v>
      </c>
      <c r="L12" s="54">
        <v>26.31</v>
      </c>
      <c r="M12" s="54">
        <v>41.41</v>
      </c>
      <c r="N12" s="54">
        <v>4.9000000000000004</v>
      </c>
      <c r="O12" s="54">
        <v>0</v>
      </c>
      <c r="P12" s="54">
        <v>1.53</v>
      </c>
      <c r="Q12" s="54">
        <v>33.75</v>
      </c>
      <c r="R12" s="43"/>
      <c r="S12" s="43"/>
      <c r="T12" s="43"/>
      <c r="U12" s="43"/>
    </row>
    <row r="13" spans="1:21" s="11" customFormat="1" ht="15">
      <c r="A13" s="53" t="s">
        <v>258</v>
      </c>
      <c r="B13" s="54">
        <v>25</v>
      </c>
      <c r="C13" s="54">
        <v>50.17</v>
      </c>
      <c r="D13" s="54">
        <v>48.38</v>
      </c>
      <c r="E13" s="54">
        <v>4.17</v>
      </c>
      <c r="F13" s="54">
        <v>25.05</v>
      </c>
      <c r="G13" s="54">
        <v>59.97</v>
      </c>
      <c r="H13" s="54">
        <v>45.83</v>
      </c>
      <c r="I13" s="54">
        <v>0.95</v>
      </c>
      <c r="J13" s="54">
        <v>0.84</v>
      </c>
      <c r="K13" s="54">
        <v>223.85</v>
      </c>
      <c r="L13" s="54">
        <v>26.35</v>
      </c>
      <c r="M13" s="54">
        <v>39.51</v>
      </c>
      <c r="N13" s="54">
        <v>4.70</v>
      </c>
      <c r="O13" s="54">
        <v>0</v>
      </c>
      <c r="P13" s="54">
        <v>1.1399999999999999</v>
      </c>
      <c r="Q13" s="54">
        <v>30.85</v>
      </c>
      <c r="R13" s="43"/>
      <c r="S13" s="43"/>
      <c r="T13" s="43"/>
      <c r="U13" s="43"/>
    </row>
    <row r="14" spans="1:21" s="11" customFormat="1" ht="15">
      <c r="A14" s="53" t="s">
        <v>259</v>
      </c>
      <c r="B14" s="54">
        <v>23.18</v>
      </c>
      <c r="C14" s="54">
        <v>53.5</v>
      </c>
      <c r="D14" s="54">
        <v>48.76</v>
      </c>
      <c r="E14" s="54">
        <v>7.92</v>
      </c>
      <c r="F14" s="54">
        <v>25.13</v>
      </c>
      <c r="G14" s="54">
        <v>72.41</v>
      </c>
      <c r="H14" s="54">
        <v>37.89</v>
      </c>
      <c r="I14" s="54">
        <v>0.83</v>
      </c>
      <c r="J14" s="54">
        <v>0.34</v>
      </c>
      <c r="K14" s="54">
        <v>226.94</v>
      </c>
      <c r="L14" s="54">
        <v>26.68</v>
      </c>
      <c r="M14" s="54">
        <v>33.450000000000003</v>
      </c>
      <c r="N14" s="54">
        <v>60.80</v>
      </c>
      <c r="O14" s="54">
        <v>0</v>
      </c>
      <c r="P14" s="54">
        <v>0.96</v>
      </c>
      <c r="Q14" s="54">
        <v>28.68</v>
      </c>
      <c r="R14" s="43"/>
      <c r="S14" s="43"/>
      <c r="T14" s="43"/>
      <c r="U14" s="43"/>
    </row>
    <row r="15" spans="1:21" s="11" customFormat="1" ht="15">
      <c r="A15" s="53" t="s">
        <v>260</v>
      </c>
      <c r="B15" s="54">
        <v>24.58</v>
      </c>
      <c r="C15" s="54">
        <v>60.24</v>
      </c>
      <c r="D15" s="54">
        <v>52.19</v>
      </c>
      <c r="E15" s="54">
        <v>5.79</v>
      </c>
      <c r="F15" s="54">
        <v>5.23</v>
      </c>
      <c r="G15" s="54">
        <v>90.73</v>
      </c>
      <c r="H15" s="54">
        <v>41.01</v>
      </c>
      <c r="I15" s="54">
        <v>0.82</v>
      </c>
      <c r="J15" s="54">
        <v>0.71</v>
      </c>
      <c r="K15" s="54">
        <v>227.43</v>
      </c>
      <c r="L15" s="54">
        <v>31.88</v>
      </c>
      <c r="M15" s="54">
        <v>32.83</v>
      </c>
      <c r="N15" s="54">
        <v>200.5</v>
      </c>
      <c r="O15" s="54">
        <v>0</v>
      </c>
      <c r="P15" s="54">
        <v>0.97</v>
      </c>
      <c r="Q15" s="54">
        <v>28.44</v>
      </c>
      <c r="R15" s="43"/>
      <c r="S15" s="43"/>
      <c r="T15" s="43"/>
      <c r="U15" s="43"/>
    </row>
    <row r="16" spans="1:21" s="11" customFormat="1" ht="15">
      <c r="A16" s="53" t="s">
        <v>261</v>
      </c>
      <c r="B16" s="54">
        <v>21.35</v>
      </c>
      <c r="C16" s="54">
        <v>62.88</v>
      </c>
      <c r="D16" s="54">
        <v>52.47</v>
      </c>
      <c r="E16" s="54">
        <v>40.21</v>
      </c>
      <c r="F16" s="54">
        <v>34.130000000000003</v>
      </c>
      <c r="G16" s="54">
        <v>111.43</v>
      </c>
      <c r="H16" s="54">
        <v>48.39</v>
      </c>
      <c r="I16" s="54">
        <v>0.76</v>
      </c>
      <c r="J16" s="54">
        <v>1.03</v>
      </c>
      <c r="K16" s="54">
        <v>231.35</v>
      </c>
      <c r="L16" s="54">
        <v>36.700000000000003</v>
      </c>
      <c r="M16" s="54">
        <v>25.05</v>
      </c>
      <c r="N16" s="54">
        <v>408</v>
      </c>
      <c r="O16" s="54">
        <v>0</v>
      </c>
      <c r="P16" s="54">
        <v>1.05</v>
      </c>
      <c r="Q16" s="54">
        <v>27.89</v>
      </c>
      <c r="R16" s="43"/>
      <c r="S16" s="43"/>
      <c r="T16" s="43"/>
      <c r="U16" s="43"/>
    </row>
    <row r="17" spans="1:21" s="11" customFormat="1" ht="15">
      <c r="A17" s="53" t="s">
        <v>262</v>
      </c>
      <c r="B17" s="54">
        <v>19.64</v>
      </c>
      <c r="C17" s="54">
        <v>61.82</v>
      </c>
      <c r="D17" s="54">
        <v>47.13</v>
      </c>
      <c r="E17" s="54">
        <v>29.56</v>
      </c>
      <c r="F17" s="54">
        <v>13.31</v>
      </c>
      <c r="G17" s="54">
        <v>104.23</v>
      </c>
      <c r="H17" s="54">
        <v>48.78</v>
      </c>
      <c r="I17" s="54">
        <v>0.65</v>
      </c>
      <c r="J17" s="54">
        <v>0.98</v>
      </c>
      <c r="K17" s="54">
        <v>230.57</v>
      </c>
      <c r="L17" s="54">
        <v>39.31</v>
      </c>
      <c r="M17" s="54">
        <v>23.92</v>
      </c>
      <c r="N17" s="54">
        <v>549.20000000000005</v>
      </c>
      <c r="O17" s="54">
        <v>0</v>
      </c>
      <c r="P17" s="54">
        <v>1.02</v>
      </c>
      <c r="Q17" s="54">
        <v>27.32</v>
      </c>
      <c r="R17" s="43"/>
      <c r="S17" s="43"/>
      <c r="T17" s="43"/>
      <c r="U17" s="43"/>
    </row>
    <row r="18" spans="1:21" s="11" customFormat="1" ht="15">
      <c r="A18" s="53" t="s">
        <v>263</v>
      </c>
      <c r="B18" s="54">
        <v>6.14</v>
      </c>
      <c r="C18" s="54">
        <v>63</v>
      </c>
      <c r="D18" s="54">
        <v>40.11</v>
      </c>
      <c r="E18" s="54">
        <v>12.20</v>
      </c>
      <c r="F18" s="54">
        <v>27.27</v>
      </c>
      <c r="G18" s="54">
        <v>85.19</v>
      </c>
      <c r="H18" s="54">
        <v>44.48</v>
      </c>
      <c r="I18" s="54">
        <v>0.76</v>
      </c>
      <c r="J18" s="54">
        <v>0.98</v>
      </c>
      <c r="K18" s="54">
        <v>232.08</v>
      </c>
      <c r="L18" s="54">
        <v>35.840000000000003</v>
      </c>
      <c r="M18" s="54">
        <v>19.920000000000002</v>
      </c>
      <c r="N18" s="54">
        <v>726.80</v>
      </c>
      <c r="O18" s="54">
        <v>0</v>
      </c>
      <c r="P18" s="54">
        <v>0.89</v>
      </c>
      <c r="Q18" s="54">
        <v>27.12</v>
      </c>
      <c r="R18" s="43"/>
      <c r="S18" s="43"/>
      <c r="T18" s="43"/>
      <c r="U18" s="43"/>
    </row>
    <row r="19" spans="1:21" s="11" customFormat="1" ht="15">
      <c r="A19" s="53" t="s">
        <v>264</v>
      </c>
      <c r="B19" s="54">
        <v>22.59</v>
      </c>
      <c r="C19" s="54">
        <v>55.13</v>
      </c>
      <c r="D19" s="54">
        <v>47.85</v>
      </c>
      <c r="E19" s="54">
        <v>56.11</v>
      </c>
      <c r="F19" s="54">
        <v>64.92</v>
      </c>
      <c r="G19" s="54">
        <v>73.930000000000007</v>
      </c>
      <c r="H19" s="54">
        <v>40.270000000000003</v>
      </c>
      <c r="I19" s="54">
        <v>0.59</v>
      </c>
      <c r="J19" s="54">
        <v>0.49</v>
      </c>
      <c r="K19" s="54">
        <v>227.89</v>
      </c>
      <c r="L19" s="5" t="s">
        <v>14</v>
      </c>
      <c r="M19" s="5" t="s">
        <v>14</v>
      </c>
      <c r="N19" s="54">
        <v>800.40</v>
      </c>
      <c r="O19" s="54">
        <v>0</v>
      </c>
      <c r="P19" s="54">
        <v>0.83</v>
      </c>
      <c r="Q19" s="54">
        <v>26.09</v>
      </c>
      <c r="R19" s="43"/>
      <c r="S19" s="43"/>
      <c r="T19" s="43"/>
      <c r="U19" s="43"/>
    </row>
    <row r="20" spans="1:21" s="11" customFormat="1" ht="15">
      <c r="A20" s="53" t="s">
        <v>265</v>
      </c>
      <c r="B20" s="54">
        <v>4.76</v>
      </c>
      <c r="C20" s="54">
        <v>58.09</v>
      </c>
      <c r="D20" s="54">
        <v>36.520000000000003</v>
      </c>
      <c r="E20" s="54">
        <v>23.85</v>
      </c>
      <c r="F20" s="54">
        <v>49.5</v>
      </c>
      <c r="G20" s="54">
        <v>65.08</v>
      </c>
      <c r="H20" s="54">
        <v>41.04</v>
      </c>
      <c r="I20" s="54">
        <v>0.77</v>
      </c>
      <c r="J20" s="54">
        <v>0.86</v>
      </c>
      <c r="K20" s="54">
        <v>352.03</v>
      </c>
      <c r="L20" s="54">
        <v>2.10</v>
      </c>
      <c r="M20" s="5" t="s">
        <v>14</v>
      </c>
      <c r="N20" s="54">
        <v>811.60</v>
      </c>
      <c r="O20" s="54">
        <v>0</v>
      </c>
      <c r="P20" s="54">
        <v>0.77</v>
      </c>
      <c r="Q20" s="54">
        <v>26.39</v>
      </c>
      <c r="R20" s="43"/>
      <c r="S20" s="43"/>
      <c r="T20" s="43"/>
      <c r="U20" s="43"/>
    </row>
    <row r="21" spans="1:21" s="11" customFormat="1" ht="15">
      <c r="A21" s="53" t="s">
        <v>266</v>
      </c>
      <c r="B21" s="54">
        <v>2.15</v>
      </c>
      <c r="C21" s="54">
        <v>50.39</v>
      </c>
      <c r="D21" s="54">
        <v>30.18</v>
      </c>
      <c r="E21" s="54">
        <v>5.86</v>
      </c>
      <c r="F21" s="54">
        <v>19.27</v>
      </c>
      <c r="G21" s="54">
        <v>52.14</v>
      </c>
      <c r="H21" s="54">
        <v>34.35</v>
      </c>
      <c r="I21" s="54">
        <v>0.67</v>
      </c>
      <c r="J21" s="54">
        <v>1.1599999999999999</v>
      </c>
      <c r="K21" s="54">
        <v>341.70</v>
      </c>
      <c r="L21" s="54">
        <v>42.14</v>
      </c>
      <c r="M21" s="54">
        <v>14.94</v>
      </c>
      <c r="N21" s="54">
        <v>842.30</v>
      </c>
      <c r="O21" s="54">
        <v>0</v>
      </c>
      <c r="P21" s="54">
        <v>0.60</v>
      </c>
      <c r="Q21" s="54">
        <v>27.51</v>
      </c>
      <c r="R21" s="43"/>
      <c r="S21" s="43"/>
      <c r="T21" s="43"/>
      <c r="U21" s="43"/>
    </row>
    <row r="22" spans="1:21" s="11" customFormat="1" ht="15">
      <c r="A22" s="53" t="s">
        <v>267</v>
      </c>
      <c r="B22" s="54">
        <v>2.5299999999999998</v>
      </c>
      <c r="C22" s="54">
        <v>41.31</v>
      </c>
      <c r="D22" s="54">
        <v>25.23</v>
      </c>
      <c r="E22" s="54">
        <v>4.17</v>
      </c>
      <c r="F22" s="54">
        <v>40.06</v>
      </c>
      <c r="G22" s="54">
        <v>53.14</v>
      </c>
      <c r="H22" s="54">
        <v>34.31</v>
      </c>
      <c r="I22" s="54">
        <v>0.56000000000000005</v>
      </c>
      <c r="J22" s="54">
        <v>0.78</v>
      </c>
      <c r="K22" s="54">
        <v>350.02</v>
      </c>
      <c r="L22" s="54">
        <v>41.96</v>
      </c>
      <c r="M22" s="54">
        <v>16.45</v>
      </c>
      <c r="N22" s="54">
        <v>757</v>
      </c>
      <c r="O22" s="54">
        <v>0</v>
      </c>
      <c r="P22" s="54">
        <v>0.51</v>
      </c>
      <c r="Q22" s="54">
        <v>28.49</v>
      </c>
      <c r="R22" s="43"/>
      <c r="S22" s="43"/>
      <c r="T22" s="43"/>
      <c r="U22" s="43"/>
    </row>
    <row r="23" spans="1:21" s="11" customFormat="1" ht="15">
      <c r="A23" s="53" t="s">
        <v>268</v>
      </c>
      <c r="B23" s="54">
        <v>2.82</v>
      </c>
      <c r="C23" s="54">
        <v>41.23</v>
      </c>
      <c r="D23" s="54">
        <v>25.03</v>
      </c>
      <c r="E23" s="54">
        <v>3.12</v>
      </c>
      <c r="F23" s="54">
        <v>11.82</v>
      </c>
      <c r="G23" s="54">
        <v>42.71</v>
      </c>
      <c r="H23" s="54">
        <v>30.17</v>
      </c>
      <c r="I23" s="54">
        <v>0.56999999999999995</v>
      </c>
      <c r="J23" s="54">
        <v>1.26</v>
      </c>
      <c r="K23" s="54">
        <v>356.43</v>
      </c>
      <c r="L23" s="54">
        <v>39.380000000000003</v>
      </c>
      <c r="M23" s="54">
        <v>17.84</v>
      </c>
      <c r="N23" s="54">
        <v>259.89999999999998</v>
      </c>
      <c r="O23" s="54">
        <v>0</v>
      </c>
      <c r="P23" s="54">
        <v>0.44</v>
      </c>
      <c r="Q23" s="54">
        <v>26.21</v>
      </c>
      <c r="R23" s="43"/>
      <c r="S23" s="43"/>
      <c r="T23" s="43"/>
      <c r="U23" s="43"/>
    </row>
    <row r="24" spans="1:21" s="11" customFormat="1" ht="15">
      <c r="A24" s="53" t="s">
        <v>269</v>
      </c>
      <c r="B24" s="54">
        <v>4.45</v>
      </c>
      <c r="C24" s="54">
        <v>43.09</v>
      </c>
      <c r="D24" s="54">
        <v>28</v>
      </c>
      <c r="E24" s="54">
        <v>2.59</v>
      </c>
      <c r="F24" s="54">
        <v>20.51</v>
      </c>
      <c r="G24" s="54">
        <v>44.68</v>
      </c>
      <c r="H24" s="54">
        <v>25.43</v>
      </c>
      <c r="I24" s="54">
        <v>0.52</v>
      </c>
      <c r="J24" s="54">
        <v>1.56</v>
      </c>
      <c r="K24" s="54">
        <v>351.40</v>
      </c>
      <c r="L24" s="54">
        <v>40.15</v>
      </c>
      <c r="M24" s="54">
        <v>37.99</v>
      </c>
      <c r="N24" s="54">
        <v>184.20</v>
      </c>
      <c r="O24" s="54">
        <v>0.60</v>
      </c>
      <c r="P24" s="54">
        <v>0.43</v>
      </c>
      <c r="Q24" s="54">
        <v>26.56</v>
      </c>
      <c r="R24" s="43"/>
      <c r="S24" s="43"/>
      <c r="T24" s="43"/>
      <c r="U24" s="43"/>
    </row>
    <row r="25" spans="1:21" s="11" customFormat="1" ht="15">
      <c r="A25" s="53" t="s">
        <v>270</v>
      </c>
      <c r="B25" s="54">
        <v>4.6900000000000004</v>
      </c>
      <c r="C25" s="54">
        <v>48.52</v>
      </c>
      <c r="D25" s="54">
        <v>31.18</v>
      </c>
      <c r="E25" s="54">
        <v>4.37</v>
      </c>
      <c r="F25" s="54">
        <v>41.69</v>
      </c>
      <c r="G25" s="54">
        <v>64.80</v>
      </c>
      <c r="H25" s="54">
        <v>26.15</v>
      </c>
      <c r="I25" s="54">
        <v>0.60</v>
      </c>
      <c r="J25" s="54">
        <v>0.61</v>
      </c>
      <c r="K25" s="54">
        <v>99.31</v>
      </c>
      <c r="L25" s="54">
        <v>33.590000000000003</v>
      </c>
      <c r="M25" s="54">
        <v>38.64</v>
      </c>
      <c r="N25" s="54">
        <v>173.60</v>
      </c>
      <c r="O25" s="54">
        <v>0</v>
      </c>
      <c r="P25" s="54">
        <v>0.44</v>
      </c>
      <c r="Q25" s="54">
        <v>28.11</v>
      </c>
      <c r="R25" s="43"/>
      <c r="S25" s="43"/>
      <c r="T25" s="43"/>
      <c r="U25" s="43"/>
    </row>
    <row r="26" spans="1:21" s="11" customFormat="1" ht="15">
      <c r="A26" s="53" t="s">
        <v>271</v>
      </c>
      <c r="B26" s="54">
        <v>6.04</v>
      </c>
      <c r="C26" s="54">
        <v>72.84</v>
      </c>
      <c r="D26" s="54">
        <v>45.69</v>
      </c>
      <c r="E26" s="54">
        <v>4.17</v>
      </c>
      <c r="F26" s="54">
        <v>22.94</v>
      </c>
      <c r="G26" s="54">
        <v>52.89</v>
      </c>
      <c r="H26" s="54">
        <v>26.81</v>
      </c>
      <c r="I26" s="54">
        <v>0.79</v>
      </c>
      <c r="J26" s="54">
        <v>0.18</v>
      </c>
      <c r="K26" s="54">
        <v>316.41000000000003</v>
      </c>
      <c r="L26" s="54">
        <v>34.770000000000003</v>
      </c>
      <c r="M26" s="54">
        <v>39.58</v>
      </c>
      <c r="N26" s="54">
        <v>66.30</v>
      </c>
      <c r="O26" s="54">
        <v>0</v>
      </c>
      <c r="P26" s="54">
        <v>0.60</v>
      </c>
      <c r="Q26" s="54">
        <v>27.55</v>
      </c>
      <c r="R26" s="43"/>
      <c r="S26" s="43"/>
      <c r="T26" s="43"/>
      <c r="U26" s="43"/>
    </row>
    <row r="27" spans="1:21" s="11" customFormat="1" ht="15">
      <c r="A27" s="53" t="s">
        <v>272</v>
      </c>
      <c r="B27" s="54">
        <v>4.58</v>
      </c>
      <c r="C27" s="54">
        <v>58.55</v>
      </c>
      <c r="D27" s="54">
        <v>36.630000000000003</v>
      </c>
      <c r="E27" s="54">
        <v>4.08</v>
      </c>
      <c r="F27" s="54">
        <v>34.619999999999997</v>
      </c>
      <c r="G27" s="54">
        <v>57.26</v>
      </c>
      <c r="H27" s="54">
        <v>25.64</v>
      </c>
      <c r="I27" s="54">
        <v>0.74</v>
      </c>
      <c r="J27" s="54">
        <v>0.45</v>
      </c>
      <c r="K27" s="54">
        <v>205.95</v>
      </c>
      <c r="L27" s="54">
        <v>34.42</v>
      </c>
      <c r="M27" s="54">
        <v>27.78</v>
      </c>
      <c r="N27" s="54">
        <v>20.399999999999999</v>
      </c>
      <c r="O27" s="54">
        <v>0</v>
      </c>
      <c r="P27" s="54">
        <v>0.60</v>
      </c>
      <c r="Q27" s="54">
        <v>28.25</v>
      </c>
      <c r="R27" s="43"/>
      <c r="S27" s="43"/>
      <c r="T27" s="43"/>
      <c r="U27" s="43"/>
    </row>
    <row r="28" spans="1:21" s="11" customFormat="1" ht="15">
      <c r="A28" s="53" t="s">
        <v>273</v>
      </c>
      <c r="B28" s="54">
        <v>28.86</v>
      </c>
      <c r="C28" s="54">
        <v>71.83</v>
      </c>
      <c r="D28" s="54">
        <v>63.43</v>
      </c>
      <c r="E28" s="54">
        <v>5.17</v>
      </c>
      <c r="F28" s="54">
        <v>33.43</v>
      </c>
      <c r="G28" s="54">
        <v>57.30</v>
      </c>
      <c r="H28" s="54">
        <v>24.46</v>
      </c>
      <c r="I28" s="54">
        <v>0.71</v>
      </c>
      <c r="J28" s="54">
        <v>0.18</v>
      </c>
      <c r="K28" s="54">
        <v>324.42</v>
      </c>
      <c r="L28" s="54">
        <v>34.33</v>
      </c>
      <c r="M28" s="54">
        <v>28.86</v>
      </c>
      <c r="N28" s="54">
        <v>5.20</v>
      </c>
      <c r="O28" s="54">
        <v>0</v>
      </c>
      <c r="P28" s="54">
        <v>0.70</v>
      </c>
      <c r="Q28" s="54">
        <v>27.21</v>
      </c>
      <c r="R28" s="43"/>
      <c r="S28" s="43"/>
      <c r="T28" s="43"/>
      <c r="U28" s="43"/>
    </row>
    <row r="29" spans="1:21" s="11" customFormat="1" ht="15">
      <c r="A29" s="53" t="s">
        <v>274</v>
      </c>
      <c r="B29" s="54">
        <v>29.66</v>
      </c>
      <c r="C29" s="54">
        <v>73.069999999999993</v>
      </c>
      <c r="D29" s="54">
        <v>61.34</v>
      </c>
      <c r="E29" s="54">
        <v>3.44</v>
      </c>
      <c r="F29" s="54">
        <v>9</v>
      </c>
      <c r="G29" s="54">
        <v>69.12</v>
      </c>
      <c r="H29" s="54">
        <v>25.69</v>
      </c>
      <c r="I29" s="54">
        <v>0.96</v>
      </c>
      <c r="J29" s="54">
        <v>0.070000000000000007</v>
      </c>
      <c r="K29" s="54">
        <v>340.06</v>
      </c>
      <c r="L29" s="54">
        <v>32.659999999999997</v>
      </c>
      <c r="M29" s="54">
        <v>30.15</v>
      </c>
      <c r="N29" s="54">
        <v>4.9000000000000004</v>
      </c>
      <c r="O29" s="54">
        <v>0</v>
      </c>
      <c r="P29" s="54">
        <v>1.1100000000000001</v>
      </c>
      <c r="Q29" s="54">
        <v>26.64</v>
      </c>
      <c r="R29" s="43"/>
      <c r="S29" s="43"/>
      <c r="T29" s="43"/>
      <c r="U29" s="43"/>
    </row>
    <row r="30" spans="1:21" s="11" customFormat="1" ht="15">
      <c r="A30" s="53" t="s">
        <v>275</v>
      </c>
      <c r="B30" s="54">
        <v>41.78</v>
      </c>
      <c r="C30" s="54">
        <v>68.59</v>
      </c>
      <c r="D30" s="54">
        <v>72</v>
      </c>
      <c r="E30" s="54">
        <v>6.01</v>
      </c>
      <c r="F30" s="54">
        <v>13.41</v>
      </c>
      <c r="G30" s="54">
        <v>81.06</v>
      </c>
      <c r="H30" s="54">
        <v>30.30</v>
      </c>
      <c r="I30" s="54">
        <v>0.85</v>
      </c>
      <c r="J30" s="54">
        <v>0.10</v>
      </c>
      <c r="K30" s="54">
        <v>351.31</v>
      </c>
      <c r="L30" s="54">
        <v>32.03</v>
      </c>
      <c r="M30" s="54">
        <v>31.36</v>
      </c>
      <c r="N30" s="54">
        <v>5.0999999999999996</v>
      </c>
      <c r="O30" s="54">
        <v>0</v>
      </c>
      <c r="P30" s="54">
        <v>1.32</v>
      </c>
      <c r="Q30" s="54">
        <v>29.93</v>
      </c>
      <c r="R30" s="43"/>
      <c r="S30" s="43"/>
      <c r="T30" s="43"/>
      <c r="U30" s="43"/>
    </row>
    <row r="31" spans="1:21" s="11" customFormat="1" ht="15">
      <c r="A31" s="53" t="s">
        <v>276</v>
      </c>
      <c r="B31" s="54">
        <v>75.41</v>
      </c>
      <c r="C31" s="54">
        <v>70.22</v>
      </c>
      <c r="D31" s="54">
        <v>99.87</v>
      </c>
      <c r="E31" s="54">
        <v>16.53</v>
      </c>
      <c r="F31" s="54">
        <v>10.119999999999999</v>
      </c>
      <c r="G31" s="54">
        <v>88.47</v>
      </c>
      <c r="H31" s="54">
        <v>36.020000000000003</v>
      </c>
      <c r="I31" s="54">
        <v>0.79</v>
      </c>
      <c r="J31" s="54">
        <v>0.15</v>
      </c>
      <c r="K31" s="54">
        <v>324.86</v>
      </c>
      <c r="L31" s="54">
        <v>31.33</v>
      </c>
      <c r="M31" s="54">
        <v>34.14</v>
      </c>
      <c r="N31" s="54">
        <v>4.70</v>
      </c>
      <c r="O31" s="54">
        <v>0</v>
      </c>
      <c r="P31" s="54">
        <v>1.48</v>
      </c>
      <c r="Q31" s="54">
        <v>30.17</v>
      </c>
      <c r="R31" s="43"/>
      <c r="S31" s="43"/>
      <c r="T31" s="43"/>
      <c r="U31" s="43"/>
    </row>
    <row r="32" spans="1:21" s="11" customFormat="1" ht="15">
      <c r="A32" s="53" t="s">
        <v>277</v>
      </c>
      <c r="B32" s="54">
        <v>37.39</v>
      </c>
      <c r="C32" s="54">
        <v>58.67</v>
      </c>
      <c r="D32" s="54">
        <v>62.63</v>
      </c>
      <c r="E32" s="54">
        <v>11.31</v>
      </c>
      <c r="F32" s="54">
        <v>9.08</v>
      </c>
      <c r="G32" s="54">
        <v>92.23</v>
      </c>
      <c r="H32" s="54">
        <v>39.19</v>
      </c>
      <c r="I32" s="54">
        <v>0.89</v>
      </c>
      <c r="J32" s="54">
        <v>0.16</v>
      </c>
      <c r="K32" s="54">
        <v>341.60</v>
      </c>
      <c r="L32" s="54">
        <v>30.14</v>
      </c>
      <c r="M32" s="54">
        <v>36.299999999999997</v>
      </c>
      <c r="N32" s="54">
        <v>4.5999999999999996</v>
      </c>
      <c r="O32" s="54">
        <v>0</v>
      </c>
      <c r="P32" s="54">
        <v>1.60</v>
      </c>
      <c r="Q32" s="54">
        <v>30.15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2.1499999999999999</v>
      </c>
      <c r="C34" s="28">
        <f t="shared" si="0"/>
        <v>41.229999999999997</v>
      </c>
      <c r="D34" s="28">
        <f t="shared" si="0"/>
        <v>25.030000000000001</v>
      </c>
      <c r="E34" s="28">
        <f t="shared" si="0"/>
        <v>2.5899999999999999</v>
      </c>
      <c r="F34" s="28">
        <f t="shared" si="0"/>
        <v>4.7699999999999996</v>
      </c>
      <c r="G34" s="28">
        <f t="shared" si="0"/>
        <v>42.710000000000001</v>
      </c>
      <c r="H34" s="28">
        <f t="shared" si="0"/>
        <v>24.460000000000001</v>
      </c>
      <c r="I34" s="28">
        <f t="shared" si="0"/>
        <v>0.52000000000000002</v>
      </c>
      <c r="J34" s="28">
        <f t="shared" si="0"/>
        <v>0.070000000000000007</v>
      </c>
      <c r="K34" s="28">
        <f t="shared" si="0"/>
        <v>99.310000000000002</v>
      </c>
      <c r="L34" s="28">
        <f t="shared" si="0"/>
        <v>2.1000000000000001</v>
      </c>
      <c r="M34" s="28">
        <f t="shared" si="0"/>
        <v>14.94</v>
      </c>
      <c r="N34" s="28">
        <f t="shared" si="0"/>
        <v>4.5999999999999996</v>
      </c>
      <c r="O34" s="28">
        <f t="shared" si="0"/>
        <v>0</v>
      </c>
      <c r="P34" s="28">
        <f t="shared" si="0"/>
        <v>0.42999999999999999</v>
      </c>
      <c r="Q34" s="28">
        <f t="shared" si="0"/>
        <v>26.09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118.47</v>
      </c>
      <c r="C35" s="29">
        <f t="shared" si="1"/>
        <v>73.069999999999993</v>
      </c>
      <c r="D35" s="29">
        <f t="shared" si="1"/>
        <v>135.40000000000001</v>
      </c>
      <c r="E35" s="29">
        <f t="shared" si="1"/>
        <v>56.109999999999999</v>
      </c>
      <c r="F35" s="29">
        <f t="shared" si="1"/>
        <v>64.920000000000002</v>
      </c>
      <c r="G35" s="29">
        <f t="shared" si="1"/>
        <v>178.90000000000001</v>
      </c>
      <c r="H35" s="29">
        <f t="shared" si="1"/>
        <v>79.579999999999998</v>
      </c>
      <c r="I35" s="29">
        <f t="shared" si="1"/>
        <v>1.5900000000000001</v>
      </c>
      <c r="J35" s="29">
        <f t="shared" si="1"/>
        <v>1.5600000000000001</v>
      </c>
      <c r="K35" s="29">
        <f t="shared" si="1"/>
        <v>356.43000000000001</v>
      </c>
      <c r="L35" s="29">
        <f t="shared" si="1"/>
        <v>42.140000000000001</v>
      </c>
      <c r="M35" s="29">
        <f t="shared" si="1"/>
        <v>47.759999999999998</v>
      </c>
      <c r="N35" s="29">
        <f t="shared" si="1"/>
        <v>842.29999999999995</v>
      </c>
      <c r="O35" s="29">
        <f t="shared" si="1"/>
        <v>0.59999999999999998</v>
      </c>
      <c r="P35" s="29">
        <f t="shared" si="1"/>
        <v>3.3399999999999999</v>
      </c>
      <c r="Q35" s="29">
        <f t="shared" si="1"/>
        <v>42.200000000000003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26.477916666666662</v>
      </c>
      <c r="C36" s="28">
        <f t="shared" si="2"/>
        <v>58.113750000000003</v>
      </c>
      <c r="D36" s="28">
        <f t="shared" si="2"/>
        <v>53.372083333333329</v>
      </c>
      <c r="E36" s="28">
        <f t="shared" si="2"/>
        <v>11.369583333333333</v>
      </c>
      <c r="F36" s="28">
        <f t="shared" si="2"/>
        <v>23.232499999999998</v>
      </c>
      <c r="G36" s="28">
        <f t="shared" si="2"/>
        <v>78.508750000000006</v>
      </c>
      <c r="H36" s="28">
        <f t="shared" si="2"/>
        <v>40.028749999999995</v>
      </c>
      <c r="I36" s="28">
        <f t="shared" si="2"/>
        <v>0.8254166666666668</v>
      </c>
      <c r="J36" s="28">
        <f t="shared" si="2"/>
        <v>0.5675</v>
      </c>
      <c r="K36" s="28">
        <f t="shared" si="2"/>
        <v>273.01833333333332</v>
      </c>
      <c r="L36" s="28">
        <f t="shared" si="2"/>
        <v>31.9995652173913</v>
      </c>
      <c r="M36" s="28">
        <f t="shared" si="2"/>
        <v>32.073636363636361</v>
      </c>
      <c r="N36" s="28">
        <f t="shared" si="2"/>
        <v>246.26249999999996</v>
      </c>
      <c r="O36" s="28">
        <f t="shared" si="2"/>
        <v>0.024999999999999998</v>
      </c>
      <c r="P36" s="28">
        <f t="shared" si="2"/>
        <v>1.1187500000000004</v>
      </c>
      <c r="Q36" s="28">
        <f t="shared" si="2"/>
        <v>29.867083333333326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26.952733341934906</v>
      </c>
      <c r="C37" s="28">
        <f t="shared" si="3" ref="C37:Q37">STDEV(C9:C32)</f>
        <v>9.9588177281983796</v>
      </c>
      <c r="D37" s="28">
        <f t="shared" si="3"/>
        <v>24.727550376956643</v>
      </c>
      <c r="E37" s="28">
        <f t="shared" si="3"/>
        <v>13.339571233304532</v>
      </c>
      <c r="F37" s="28">
        <f t="shared" si="3"/>
        <v>15.307795754763832</v>
      </c>
      <c r="G37" s="28">
        <f t="shared" si="3"/>
        <v>30.661986848539325</v>
      </c>
      <c r="H37" s="28">
        <f t="shared" si="3"/>
        <v>14.079372303356493</v>
      </c>
      <c r="I37" s="28">
        <f t="shared" si="3"/>
        <v>0.24652328872554377</v>
      </c>
      <c r="J37" s="28">
        <f t="shared" si="3"/>
        <v>0.43593228433065068</v>
      </c>
      <c r="K37" s="28">
        <f t="shared" si="3"/>
        <v>69.351843815285292</v>
      </c>
      <c r="L37" s="28">
        <f t="shared" si="3"/>
        <v>8.1869438621729902</v>
      </c>
      <c r="M37" s="28">
        <f t="shared" si="3"/>
        <v>9.4274379418369261</v>
      </c>
      <c r="N37" s="28">
        <f t="shared" si="3"/>
        <v>316.45161840868866</v>
      </c>
      <c r="O37" s="28">
        <f t="shared" si="3"/>
        <v>0.1224744871391589</v>
      </c>
      <c r="P37" s="28">
        <f t="shared" si="3"/>
        <v>0.69807382504817594</v>
      </c>
      <c r="Q37" s="28">
        <f t="shared" si="3"/>
        <v>4.7140912528906496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>COUNT(L9:L32)+1</f>
        <v>24</v>
      </c>
      <c r="M38" s="32">
        <f>COUNT(M9:M32)+2</f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b9dc8b1-ae5d-4972-9632-97836e93bf55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9" sqref="G59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10-06-2023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278</v>
      </c>
      <c r="B9" s="54">
        <v>34.950000000000003</v>
      </c>
      <c r="C9" s="54">
        <v>58.55</v>
      </c>
      <c r="D9" s="54">
        <v>60.97</v>
      </c>
      <c r="E9" s="54">
        <v>12.43</v>
      </c>
      <c r="F9" s="54">
        <v>13.52</v>
      </c>
      <c r="G9" s="54">
        <v>93.83</v>
      </c>
      <c r="H9" s="54">
        <v>40.590000000000003</v>
      </c>
      <c r="I9" s="54">
        <v>0.87</v>
      </c>
      <c r="J9" s="54">
        <v>0.55000000000000004</v>
      </c>
      <c r="K9" s="54">
        <v>355.05</v>
      </c>
      <c r="L9" s="54">
        <v>29.37</v>
      </c>
      <c r="M9" s="54">
        <v>40.82</v>
      </c>
      <c r="N9" s="54">
        <v>4.5</v>
      </c>
      <c r="O9" s="54">
        <v>0</v>
      </c>
      <c r="P9" s="54">
        <v>1.5</v>
      </c>
      <c r="Q9" s="54">
        <v>32.10</v>
      </c>
      <c r="R9" s="43"/>
      <c r="S9" s="43"/>
      <c r="T9" s="43"/>
      <c r="U9" s="43"/>
    </row>
    <row r="10" spans="1:21" s="11" customFormat="1" ht="15">
      <c r="A10" s="53" t="s">
        <v>279</v>
      </c>
      <c r="B10" s="54">
        <v>16.11</v>
      </c>
      <c r="C10" s="54">
        <v>44.08</v>
      </c>
      <c r="D10" s="54">
        <v>37.89</v>
      </c>
      <c r="E10" s="54">
        <v>9.26</v>
      </c>
      <c r="F10" s="54">
        <v>21.03</v>
      </c>
      <c r="G10" s="54">
        <v>96.34</v>
      </c>
      <c r="H10" s="54">
        <v>42.25</v>
      </c>
      <c r="I10" s="54">
        <v>0.76</v>
      </c>
      <c r="J10" s="54">
        <v>0.65</v>
      </c>
      <c r="K10" s="54">
        <v>359.37</v>
      </c>
      <c r="L10" s="54">
        <v>29.5</v>
      </c>
      <c r="M10" s="54">
        <v>38.19</v>
      </c>
      <c r="N10" s="54">
        <v>4.70</v>
      </c>
      <c r="O10" s="54">
        <v>0</v>
      </c>
      <c r="P10" s="54">
        <v>1.36</v>
      </c>
      <c r="Q10" s="54">
        <v>33.35</v>
      </c>
      <c r="R10" s="43"/>
      <c r="S10" s="43"/>
      <c r="T10" s="43"/>
      <c r="U10" s="43"/>
    </row>
    <row r="11" spans="1:21" s="11" customFormat="1" ht="15">
      <c r="A11" s="53" t="s">
        <v>280</v>
      </c>
      <c r="B11" s="54">
        <v>15.69</v>
      </c>
      <c r="C11" s="54">
        <v>42.32</v>
      </c>
      <c r="D11" s="54">
        <v>36.58</v>
      </c>
      <c r="E11" s="54">
        <v>5.60</v>
      </c>
      <c r="F11" s="54">
        <v>13.43</v>
      </c>
      <c r="G11" s="54">
        <v>75.70</v>
      </c>
      <c r="H11" s="54">
        <v>33.10</v>
      </c>
      <c r="I11" s="54">
        <v>0.77</v>
      </c>
      <c r="J11" s="54">
        <v>0.26</v>
      </c>
      <c r="K11" s="54">
        <v>358.37</v>
      </c>
      <c r="L11" s="54">
        <v>29.24</v>
      </c>
      <c r="M11" s="54">
        <v>37.020000000000003</v>
      </c>
      <c r="N11" s="54">
        <v>4.70</v>
      </c>
      <c r="O11" s="54">
        <v>0</v>
      </c>
      <c r="P11" s="54">
        <v>1.1499999999999999</v>
      </c>
      <c r="Q11" s="54">
        <v>30.59</v>
      </c>
      <c r="R11" s="43"/>
      <c r="S11" s="43"/>
      <c r="T11" s="43"/>
      <c r="U11" s="43"/>
    </row>
    <row r="12" spans="1:21" s="11" customFormat="1" ht="15">
      <c r="A12" s="53" t="s">
        <v>281</v>
      </c>
      <c r="B12" s="54">
        <v>7.81</v>
      </c>
      <c r="C12" s="54">
        <v>41.09</v>
      </c>
      <c r="D12" s="54">
        <v>29.58</v>
      </c>
      <c r="E12" s="54">
        <v>6.36</v>
      </c>
      <c r="F12" s="54">
        <v>19.22</v>
      </c>
      <c r="G12" s="54">
        <v>61.79</v>
      </c>
      <c r="H12" s="54">
        <v>32.93</v>
      </c>
      <c r="I12" s="54">
        <v>0.79</v>
      </c>
      <c r="J12" s="54">
        <v>0.53</v>
      </c>
      <c r="K12" s="54">
        <v>355.07</v>
      </c>
      <c r="L12" s="54">
        <v>28.93</v>
      </c>
      <c r="M12" s="54">
        <v>38.47</v>
      </c>
      <c r="N12" s="54">
        <v>5.0999999999999996</v>
      </c>
      <c r="O12" s="54">
        <v>0</v>
      </c>
      <c r="P12" s="54">
        <v>0.87</v>
      </c>
      <c r="Q12" s="54">
        <v>29.94</v>
      </c>
      <c r="R12" s="43"/>
      <c r="S12" s="43"/>
      <c r="T12" s="43"/>
      <c r="U12" s="43"/>
    </row>
    <row r="13" spans="1:21" s="11" customFormat="1" ht="15">
      <c r="A13" s="53" t="s">
        <v>282</v>
      </c>
      <c r="B13" s="54">
        <v>9.35</v>
      </c>
      <c r="C13" s="54">
        <v>43.37</v>
      </c>
      <c r="D13" s="54">
        <v>31.87</v>
      </c>
      <c r="E13" s="54">
        <v>9.92</v>
      </c>
      <c r="F13" s="54">
        <v>19.88</v>
      </c>
      <c r="G13" s="54">
        <v>51.17</v>
      </c>
      <c r="H13" s="54">
        <v>29.19</v>
      </c>
      <c r="I13" s="54">
        <v>0.75</v>
      </c>
      <c r="J13" s="54">
        <v>0.12</v>
      </c>
      <c r="K13" s="54">
        <v>357.88</v>
      </c>
      <c r="L13" s="54">
        <v>28.91</v>
      </c>
      <c r="M13" s="54">
        <v>38.54</v>
      </c>
      <c r="N13" s="54">
        <v>5</v>
      </c>
      <c r="O13" s="54">
        <v>0</v>
      </c>
      <c r="P13" s="54">
        <v>0.75</v>
      </c>
      <c r="Q13" s="54">
        <v>30.64</v>
      </c>
      <c r="R13" s="43"/>
      <c r="S13" s="43"/>
      <c r="T13" s="43"/>
      <c r="U13" s="43"/>
    </row>
    <row r="14" spans="1:21" s="11" customFormat="1" ht="15">
      <c r="A14" s="53" t="s">
        <v>283</v>
      </c>
      <c r="B14" s="54">
        <v>11.49</v>
      </c>
      <c r="C14" s="54">
        <v>42.93</v>
      </c>
      <c r="D14" s="54">
        <v>32.99</v>
      </c>
      <c r="E14" s="54">
        <v>7.01</v>
      </c>
      <c r="F14" s="54">
        <v>11.25</v>
      </c>
      <c r="G14" s="54">
        <v>50.66</v>
      </c>
      <c r="H14" s="54">
        <v>27.97</v>
      </c>
      <c r="I14" s="54">
        <v>0.76</v>
      </c>
      <c r="J14" s="54">
        <v>0.19</v>
      </c>
      <c r="K14" s="54">
        <v>346.97</v>
      </c>
      <c r="L14" s="54">
        <v>28.60</v>
      </c>
      <c r="M14" s="54">
        <v>40.61</v>
      </c>
      <c r="N14" s="54">
        <v>26.30</v>
      </c>
      <c r="O14" s="54">
        <v>0</v>
      </c>
      <c r="P14" s="54">
        <v>0.67</v>
      </c>
      <c r="Q14" s="54">
        <v>29.13</v>
      </c>
      <c r="R14" s="43"/>
      <c r="S14" s="43"/>
      <c r="T14" s="43"/>
      <c r="U14" s="43"/>
    </row>
    <row r="15" spans="1:21" s="11" customFormat="1" ht="15">
      <c r="A15" s="53" t="s">
        <v>284</v>
      </c>
      <c r="B15" s="54">
        <v>24.47</v>
      </c>
      <c r="C15" s="54">
        <v>49.64</v>
      </c>
      <c r="D15" s="54">
        <v>47.67</v>
      </c>
      <c r="E15" s="54">
        <v>8.91</v>
      </c>
      <c r="F15" s="54">
        <v>10.24</v>
      </c>
      <c r="G15" s="54">
        <v>56.41</v>
      </c>
      <c r="H15" s="54">
        <v>27.19</v>
      </c>
      <c r="I15" s="54">
        <v>0.70</v>
      </c>
      <c r="J15" s="54">
        <v>0.25</v>
      </c>
      <c r="K15" s="54">
        <v>357.99</v>
      </c>
      <c r="L15" s="54">
        <v>29.32</v>
      </c>
      <c r="M15" s="54">
        <v>41</v>
      </c>
      <c r="N15" s="54">
        <v>53</v>
      </c>
      <c r="O15" s="54">
        <v>0</v>
      </c>
      <c r="P15" s="54">
        <v>0.77</v>
      </c>
      <c r="Q15" s="54">
        <v>28.76</v>
      </c>
      <c r="R15" s="43"/>
      <c r="S15" s="43"/>
      <c r="T15" s="43"/>
      <c r="U15" s="43"/>
    </row>
    <row r="16" spans="1:21" s="11" customFormat="1" ht="15">
      <c r="A16" s="53" t="s">
        <v>285</v>
      </c>
      <c r="B16" s="54">
        <v>27.64</v>
      </c>
      <c r="C16" s="54">
        <v>53.78</v>
      </c>
      <c r="D16" s="54">
        <v>51.54</v>
      </c>
      <c r="E16" s="54">
        <v>10.28</v>
      </c>
      <c r="F16" s="54">
        <v>9.83</v>
      </c>
      <c r="G16" s="54">
        <v>71.59</v>
      </c>
      <c r="H16" s="54">
        <v>33.270000000000003</v>
      </c>
      <c r="I16" s="54">
        <v>0.68</v>
      </c>
      <c r="J16" s="54">
        <v>0.14000000000000001</v>
      </c>
      <c r="K16" s="54">
        <v>246.36</v>
      </c>
      <c r="L16" s="54">
        <v>29.19</v>
      </c>
      <c r="M16" s="54">
        <v>41.67</v>
      </c>
      <c r="N16" s="54">
        <v>77.20</v>
      </c>
      <c r="O16" s="54">
        <v>0</v>
      </c>
      <c r="P16" s="54">
        <v>0.96</v>
      </c>
      <c r="Q16" s="54">
        <v>29.57</v>
      </c>
      <c r="R16" s="43"/>
      <c r="S16" s="43"/>
      <c r="T16" s="43"/>
      <c r="U16" s="43"/>
    </row>
    <row r="17" spans="1:21" s="11" customFormat="1" ht="15">
      <c r="A17" s="53" t="s">
        <v>286</v>
      </c>
      <c r="B17" s="54">
        <v>20.89</v>
      </c>
      <c r="C17" s="54">
        <v>52.93</v>
      </c>
      <c r="D17" s="54">
        <v>46.11</v>
      </c>
      <c r="E17" s="54">
        <v>9.35</v>
      </c>
      <c r="F17" s="54">
        <v>12.48</v>
      </c>
      <c r="G17" s="54">
        <v>92.45</v>
      </c>
      <c r="H17" s="54">
        <v>38.76</v>
      </c>
      <c r="I17" s="54">
        <v>0.84</v>
      </c>
      <c r="J17" s="54">
        <v>0.09</v>
      </c>
      <c r="K17" s="54">
        <v>355.33</v>
      </c>
      <c r="L17" s="54">
        <v>29.56</v>
      </c>
      <c r="M17" s="54">
        <v>41.81</v>
      </c>
      <c r="N17" s="54">
        <v>127.80</v>
      </c>
      <c r="O17" s="54">
        <v>0</v>
      </c>
      <c r="P17" s="54">
        <v>1.29</v>
      </c>
      <c r="Q17" s="54">
        <v>29.44</v>
      </c>
      <c r="R17" s="43"/>
      <c r="S17" s="43"/>
      <c r="T17" s="43"/>
      <c r="U17" s="43"/>
    </row>
    <row r="18" spans="1:21" s="11" customFormat="1" ht="15">
      <c r="A18" s="53" t="s">
        <v>287</v>
      </c>
      <c r="B18" s="54">
        <v>10.199999999999999</v>
      </c>
      <c r="C18" s="54">
        <v>59.40</v>
      </c>
      <c r="D18" s="54">
        <v>41.61</v>
      </c>
      <c r="E18" s="54">
        <v>12.53</v>
      </c>
      <c r="F18" s="54">
        <v>45.47</v>
      </c>
      <c r="G18" s="54">
        <v>102.33</v>
      </c>
      <c r="H18" s="54">
        <v>44.20</v>
      </c>
      <c r="I18" s="54">
        <v>0.82</v>
      </c>
      <c r="J18" s="54">
        <v>0.26</v>
      </c>
      <c r="K18" s="54">
        <v>229.86</v>
      </c>
      <c r="L18" s="54">
        <v>32.49</v>
      </c>
      <c r="M18" s="54">
        <v>40.96</v>
      </c>
      <c r="N18" s="54">
        <v>395.5</v>
      </c>
      <c r="O18" s="54">
        <v>0</v>
      </c>
      <c r="P18" s="54">
        <v>1.41</v>
      </c>
      <c r="Q18" s="54">
        <v>30.91</v>
      </c>
      <c r="R18" s="43"/>
      <c r="S18" s="43"/>
      <c r="T18" s="43"/>
      <c r="U18" s="43"/>
    </row>
    <row r="19" spans="1:21" s="11" customFormat="1" ht="15">
      <c r="A19" s="53" t="s">
        <v>288</v>
      </c>
      <c r="B19" s="54">
        <v>5.79</v>
      </c>
      <c r="C19" s="54">
        <v>50.27</v>
      </c>
      <c r="D19" s="54">
        <v>32.19</v>
      </c>
      <c r="E19" s="54">
        <v>10.98</v>
      </c>
      <c r="F19" s="54">
        <v>27.25</v>
      </c>
      <c r="G19" s="54">
        <v>105.90</v>
      </c>
      <c r="H19" s="54">
        <v>48.38</v>
      </c>
      <c r="I19" s="54">
        <v>0.68</v>
      </c>
      <c r="J19" s="54">
        <v>0.71</v>
      </c>
      <c r="K19" s="54">
        <v>354.65</v>
      </c>
      <c r="L19" s="54">
        <v>39.57</v>
      </c>
      <c r="M19" s="54">
        <v>29.55</v>
      </c>
      <c r="N19" s="54">
        <v>843.30</v>
      </c>
      <c r="O19" s="54">
        <v>0</v>
      </c>
      <c r="P19" s="54">
        <v>1.40</v>
      </c>
      <c r="Q19" s="54">
        <v>31.34</v>
      </c>
      <c r="R19" s="43"/>
      <c r="S19" s="43"/>
      <c r="T19" s="43"/>
      <c r="U19" s="43"/>
    </row>
    <row r="20" spans="1:21" s="11" customFormat="1" ht="15">
      <c r="A20" s="53" t="s">
        <v>289</v>
      </c>
      <c r="B20" s="54">
        <v>2.54</v>
      </c>
      <c r="C20" s="54">
        <v>51.36</v>
      </c>
      <c r="D20" s="54">
        <v>30.63</v>
      </c>
      <c r="E20" s="54">
        <v>4.54</v>
      </c>
      <c r="F20" s="54">
        <v>10.48</v>
      </c>
      <c r="G20" s="54">
        <v>90.06</v>
      </c>
      <c r="H20" s="54">
        <v>45.48</v>
      </c>
      <c r="I20" s="54">
        <v>0.69</v>
      </c>
      <c r="J20" s="54">
        <v>0.96</v>
      </c>
      <c r="K20" s="54">
        <v>357.68</v>
      </c>
      <c r="L20" s="54">
        <v>39.729999999999997</v>
      </c>
      <c r="M20" s="54">
        <v>23.15</v>
      </c>
      <c r="N20" s="54">
        <v>894.40</v>
      </c>
      <c r="O20" s="54">
        <v>0</v>
      </c>
      <c r="P20" s="54">
        <v>1.08</v>
      </c>
      <c r="Q20" s="54">
        <v>27.39</v>
      </c>
      <c r="R20" s="43"/>
      <c r="S20" s="43"/>
      <c r="T20" s="43"/>
      <c r="U20" s="43"/>
    </row>
    <row r="21" spans="1:21" s="11" customFormat="1" ht="15">
      <c r="A21" s="53" t="s">
        <v>290</v>
      </c>
      <c r="B21" s="54">
        <v>3.30</v>
      </c>
      <c r="C21" s="54">
        <v>45.13</v>
      </c>
      <c r="D21" s="54">
        <v>26.37</v>
      </c>
      <c r="E21" s="54">
        <v>2.66</v>
      </c>
      <c r="F21" s="54">
        <v>16.11</v>
      </c>
      <c r="G21" s="54">
        <v>66.180000000000007</v>
      </c>
      <c r="H21" s="54">
        <v>40.69</v>
      </c>
      <c r="I21" s="54">
        <v>0.70</v>
      </c>
      <c r="J21" s="54">
        <v>0.80</v>
      </c>
      <c r="K21" s="54">
        <v>345.97</v>
      </c>
      <c r="L21" s="54">
        <v>39.950000000000003</v>
      </c>
      <c r="M21" s="54">
        <v>23.63</v>
      </c>
      <c r="N21" s="54">
        <v>789.40</v>
      </c>
      <c r="O21" s="54">
        <v>0</v>
      </c>
      <c r="P21" s="54">
        <v>0.76</v>
      </c>
      <c r="Q21" s="54">
        <v>26.88</v>
      </c>
      <c r="R21" s="43"/>
      <c r="S21" s="43"/>
      <c r="T21" s="43"/>
      <c r="U21" s="43"/>
    </row>
    <row r="22" spans="1:21" s="11" customFormat="1" ht="15">
      <c r="A22" s="53" t="s">
        <v>291</v>
      </c>
      <c r="B22" s="54">
        <v>3.68</v>
      </c>
      <c r="C22" s="54">
        <v>40.82</v>
      </c>
      <c r="D22" s="54">
        <v>25.86</v>
      </c>
      <c r="E22" s="54">
        <v>2.40</v>
      </c>
      <c r="F22" s="54">
        <v>17.850000000000001</v>
      </c>
      <c r="G22" s="54">
        <v>62.92</v>
      </c>
      <c r="H22" s="54">
        <v>35.97</v>
      </c>
      <c r="I22" s="54">
        <v>0.71</v>
      </c>
      <c r="J22" s="54">
        <v>0.63</v>
      </c>
      <c r="K22" s="54">
        <v>357.86</v>
      </c>
      <c r="L22" s="54">
        <v>39.68</v>
      </c>
      <c r="M22" s="54">
        <v>21.19</v>
      </c>
      <c r="N22" s="54">
        <v>817.5</v>
      </c>
      <c r="O22" s="54">
        <v>0</v>
      </c>
      <c r="P22" s="54">
        <v>0.63</v>
      </c>
      <c r="Q22" s="54">
        <v>26.09</v>
      </c>
      <c r="R22" s="43"/>
      <c r="S22" s="43"/>
      <c r="T22" s="43"/>
      <c r="U22" s="43"/>
    </row>
    <row r="23" spans="1:21" s="11" customFormat="1" ht="15">
      <c r="A23" s="53" t="s">
        <v>292</v>
      </c>
      <c r="B23" s="54">
        <v>2.23</v>
      </c>
      <c r="C23" s="54">
        <v>41.14</v>
      </c>
      <c r="D23" s="54">
        <v>24.66</v>
      </c>
      <c r="E23" s="54">
        <v>2.09</v>
      </c>
      <c r="F23" s="54">
        <v>18.21</v>
      </c>
      <c r="G23" s="54">
        <v>57.85</v>
      </c>
      <c r="H23" s="54">
        <v>32.89</v>
      </c>
      <c r="I23" s="54">
        <v>0.57999999999999996</v>
      </c>
      <c r="J23" s="54">
        <v>0.80</v>
      </c>
      <c r="K23" s="54">
        <v>346.07</v>
      </c>
      <c r="L23" s="54">
        <v>38.81</v>
      </c>
      <c r="M23" s="54">
        <v>22.45</v>
      </c>
      <c r="N23" s="54">
        <v>362.80</v>
      </c>
      <c r="O23" s="54">
        <v>0</v>
      </c>
      <c r="P23" s="54">
        <v>0.55000000000000004</v>
      </c>
      <c r="Q23" s="54">
        <v>24.22</v>
      </c>
      <c r="R23" s="43"/>
      <c r="S23" s="43"/>
      <c r="T23" s="43"/>
      <c r="U23" s="43"/>
    </row>
    <row r="24" spans="1:21" s="11" customFormat="1" ht="15">
      <c r="A24" s="53" t="s">
        <v>293</v>
      </c>
      <c r="B24" s="54">
        <v>9.73</v>
      </c>
      <c r="C24" s="54">
        <v>43.83</v>
      </c>
      <c r="D24" s="54">
        <v>32.64</v>
      </c>
      <c r="E24" s="54">
        <v>5.75</v>
      </c>
      <c r="F24" s="54">
        <v>47.10</v>
      </c>
      <c r="G24" s="54">
        <v>49.31</v>
      </c>
      <c r="H24" s="54">
        <v>31.29</v>
      </c>
      <c r="I24" s="54">
        <v>0.5</v>
      </c>
      <c r="J24" s="54">
        <v>0.66</v>
      </c>
      <c r="K24" s="54">
        <v>328.45</v>
      </c>
      <c r="L24" s="54">
        <v>38.200000000000003</v>
      </c>
      <c r="M24" s="54">
        <v>26.61</v>
      </c>
      <c r="N24" s="54">
        <v>247.30</v>
      </c>
      <c r="O24" s="54">
        <v>0</v>
      </c>
      <c r="P24" s="54">
        <v>0.55000000000000004</v>
      </c>
      <c r="Q24" s="54">
        <v>25.85</v>
      </c>
      <c r="R24" s="43"/>
      <c r="S24" s="43"/>
      <c r="T24" s="43"/>
      <c r="U24" s="43"/>
    </row>
    <row r="25" spans="1:21" s="11" customFormat="1" ht="15">
      <c r="A25" s="53" t="s">
        <v>294</v>
      </c>
      <c r="B25" s="54">
        <v>9.8699999999999992</v>
      </c>
      <c r="C25" s="54">
        <v>50.21</v>
      </c>
      <c r="D25" s="54">
        <v>36.270000000000003</v>
      </c>
      <c r="E25" s="54">
        <v>19.690000000000001</v>
      </c>
      <c r="F25" s="54">
        <v>53.09</v>
      </c>
      <c r="G25" s="54">
        <v>48.60</v>
      </c>
      <c r="H25" s="54">
        <v>28.76</v>
      </c>
      <c r="I25" s="54">
        <v>0.59</v>
      </c>
      <c r="J25" s="54">
        <v>0.26</v>
      </c>
      <c r="K25" s="54">
        <v>341.79</v>
      </c>
      <c r="L25" s="54">
        <v>37.01</v>
      </c>
      <c r="M25" s="54">
        <v>23.79</v>
      </c>
      <c r="N25" s="54">
        <v>142.30000000000001</v>
      </c>
      <c r="O25" s="54">
        <v>0</v>
      </c>
      <c r="P25" s="54">
        <v>0.66</v>
      </c>
      <c r="Q25" s="54">
        <v>25.51</v>
      </c>
      <c r="R25" s="43"/>
      <c r="S25" s="43"/>
      <c r="T25" s="43"/>
      <c r="U25" s="43"/>
    </row>
    <row r="26" spans="1:21" s="11" customFormat="1" ht="15">
      <c r="A26" s="53" t="s">
        <v>295</v>
      </c>
      <c r="B26" s="54">
        <v>33.19</v>
      </c>
      <c r="C26" s="54">
        <v>78</v>
      </c>
      <c r="D26" s="54">
        <v>70.31</v>
      </c>
      <c r="E26" s="54">
        <v>12.11</v>
      </c>
      <c r="F26" s="54">
        <v>37.35</v>
      </c>
      <c r="G26" s="54">
        <v>48.51</v>
      </c>
      <c r="H26" s="54">
        <v>28.98</v>
      </c>
      <c r="I26" s="54">
        <v>0.63</v>
      </c>
      <c r="J26" s="54">
        <v>0.41</v>
      </c>
      <c r="K26" s="54">
        <v>168.08</v>
      </c>
      <c r="L26" s="54">
        <v>36.799999999999997</v>
      </c>
      <c r="M26" s="54">
        <v>28.61</v>
      </c>
      <c r="N26" s="54">
        <v>75.900000000000006</v>
      </c>
      <c r="O26" s="54">
        <v>0</v>
      </c>
      <c r="P26" s="54">
        <v>0.86</v>
      </c>
      <c r="Q26" s="54">
        <v>25.63</v>
      </c>
      <c r="R26" s="43"/>
      <c r="S26" s="43"/>
      <c r="T26" s="43"/>
      <c r="U26" s="43"/>
    </row>
    <row r="27" spans="1:21" s="11" customFormat="1" ht="15">
      <c r="A27" s="53" t="s">
        <v>296</v>
      </c>
      <c r="B27" s="54">
        <v>46</v>
      </c>
      <c r="C27" s="54">
        <v>105.90</v>
      </c>
      <c r="D27" s="54">
        <v>95.98</v>
      </c>
      <c r="E27" s="54">
        <v>10.199999999999999</v>
      </c>
      <c r="F27" s="54">
        <v>12.26</v>
      </c>
      <c r="G27" s="54">
        <v>63.36</v>
      </c>
      <c r="H27" s="54">
        <v>31.59</v>
      </c>
      <c r="I27" s="54">
        <v>0.92</v>
      </c>
      <c r="J27" s="54">
        <v>0.31</v>
      </c>
      <c r="K27" s="54">
        <v>179.38</v>
      </c>
      <c r="L27" s="54">
        <v>34.83</v>
      </c>
      <c r="M27" s="54">
        <v>33.270000000000003</v>
      </c>
      <c r="N27" s="54">
        <v>26.60</v>
      </c>
      <c r="O27" s="54">
        <v>0</v>
      </c>
      <c r="P27" s="54">
        <v>1.28</v>
      </c>
      <c r="Q27" s="54">
        <v>23.62</v>
      </c>
      <c r="R27" s="43"/>
      <c r="S27" s="43"/>
      <c r="T27" s="43"/>
      <c r="U27" s="43"/>
    </row>
    <row r="28" spans="1:21" s="11" customFormat="1" ht="15">
      <c r="A28" s="53" t="s">
        <v>297</v>
      </c>
      <c r="B28" s="54">
        <v>86.71</v>
      </c>
      <c r="C28" s="54">
        <v>104.53</v>
      </c>
      <c r="D28" s="54">
        <v>127.87</v>
      </c>
      <c r="E28" s="54">
        <v>8.5</v>
      </c>
      <c r="F28" s="54">
        <v>5</v>
      </c>
      <c r="G28" s="54">
        <v>110.98</v>
      </c>
      <c r="H28" s="54">
        <v>43.59</v>
      </c>
      <c r="I28" s="54">
        <v>1.31</v>
      </c>
      <c r="J28" s="54">
        <v>0.20</v>
      </c>
      <c r="K28" s="54">
        <v>341.52</v>
      </c>
      <c r="L28" s="54">
        <v>32.840000000000003</v>
      </c>
      <c r="M28" s="54">
        <v>37.90</v>
      </c>
      <c r="N28" s="54">
        <v>5.30</v>
      </c>
      <c r="O28" s="54">
        <v>0</v>
      </c>
      <c r="P28" s="54">
        <v>1.98</v>
      </c>
      <c r="Q28" s="54">
        <v>26.31</v>
      </c>
      <c r="R28" s="43"/>
      <c r="S28" s="43"/>
      <c r="T28" s="43"/>
      <c r="U28" s="43"/>
    </row>
    <row r="29" spans="1:21" s="11" customFormat="1" ht="15">
      <c r="A29" s="53" t="s">
        <v>298</v>
      </c>
      <c r="B29" s="54">
        <v>72.349999999999994</v>
      </c>
      <c r="C29" s="54">
        <v>95.52</v>
      </c>
      <c r="D29" s="54">
        <v>105.80</v>
      </c>
      <c r="E29" s="54">
        <v>8.83</v>
      </c>
      <c r="F29" s="54">
        <v>15.30</v>
      </c>
      <c r="G29" s="54">
        <v>168.29</v>
      </c>
      <c r="H29" s="54">
        <v>50.46</v>
      </c>
      <c r="I29" s="54">
        <v>1.43</v>
      </c>
      <c r="J29" s="54">
        <v>0.31</v>
      </c>
      <c r="K29" s="54">
        <v>295.95</v>
      </c>
      <c r="L29" s="54">
        <v>32.43</v>
      </c>
      <c r="M29" s="54">
        <v>33.630000000000003</v>
      </c>
      <c r="N29" s="54">
        <v>4.80</v>
      </c>
      <c r="O29" s="54">
        <v>0</v>
      </c>
      <c r="P29" s="54">
        <v>2.2799999999999998</v>
      </c>
      <c r="Q29" s="54">
        <v>30.55</v>
      </c>
      <c r="R29" s="43"/>
      <c r="S29" s="43"/>
      <c r="T29" s="43"/>
      <c r="U29" s="43"/>
    </row>
    <row r="30" spans="1:21" s="11" customFormat="1" ht="15">
      <c r="A30" s="53" t="s">
        <v>299</v>
      </c>
      <c r="B30" s="54">
        <v>17.68</v>
      </c>
      <c r="C30" s="54">
        <v>50.59</v>
      </c>
      <c r="D30" s="54">
        <v>42.74</v>
      </c>
      <c r="E30" s="54">
        <v>4.28</v>
      </c>
      <c r="F30" s="54">
        <v>21.15</v>
      </c>
      <c r="G30" s="54">
        <v>116.67</v>
      </c>
      <c r="H30" s="54">
        <v>47.05</v>
      </c>
      <c r="I30" s="54">
        <v>1.02</v>
      </c>
      <c r="J30" s="54">
        <v>0.24</v>
      </c>
      <c r="K30" s="54">
        <v>186.52</v>
      </c>
      <c r="L30" s="54">
        <v>32.03</v>
      </c>
      <c r="M30" s="54">
        <v>33.29</v>
      </c>
      <c r="N30" s="54">
        <v>5</v>
      </c>
      <c r="O30" s="54">
        <v>0</v>
      </c>
      <c r="P30" s="54">
        <v>1.91</v>
      </c>
      <c r="Q30" s="54">
        <v>30.97</v>
      </c>
      <c r="R30" s="43"/>
      <c r="S30" s="43"/>
      <c r="T30" s="43"/>
      <c r="U30" s="43"/>
    </row>
    <row r="31" spans="1:21" s="11" customFormat="1" ht="15">
      <c r="A31" s="53" t="s">
        <v>300</v>
      </c>
      <c r="B31" s="54">
        <v>9.35</v>
      </c>
      <c r="C31" s="54">
        <v>50.35</v>
      </c>
      <c r="D31" s="54">
        <v>35.049999999999997</v>
      </c>
      <c r="E31" s="54">
        <v>3.04</v>
      </c>
      <c r="F31" s="54">
        <v>17.59</v>
      </c>
      <c r="G31" s="54">
        <v>58.82</v>
      </c>
      <c r="H31" s="54">
        <v>38.39</v>
      </c>
      <c r="I31" s="54">
        <v>0.90</v>
      </c>
      <c r="J31" s="54">
        <v>0.16</v>
      </c>
      <c r="K31" s="54">
        <v>51.39</v>
      </c>
      <c r="L31" s="54">
        <v>31.59</v>
      </c>
      <c r="M31" s="54">
        <v>36.619999999999997</v>
      </c>
      <c r="N31" s="54">
        <v>4.9000000000000004</v>
      </c>
      <c r="O31" s="54">
        <v>0</v>
      </c>
      <c r="P31" s="54">
        <v>1.52</v>
      </c>
      <c r="Q31" s="54">
        <v>29.03</v>
      </c>
      <c r="R31" s="43"/>
      <c r="S31" s="43"/>
      <c r="T31" s="43"/>
      <c r="U31" s="43"/>
    </row>
    <row r="32" spans="1:21" s="11" customFormat="1" ht="15">
      <c r="A32" s="53" t="s">
        <v>301</v>
      </c>
      <c r="B32" s="54">
        <v>4.97</v>
      </c>
      <c r="C32" s="54">
        <v>47.61</v>
      </c>
      <c r="D32" s="54">
        <v>30.91</v>
      </c>
      <c r="E32" s="54">
        <v>2.80</v>
      </c>
      <c r="F32" s="54">
        <v>12.13</v>
      </c>
      <c r="G32" s="54">
        <v>46.10</v>
      </c>
      <c r="H32" s="54">
        <v>33.700000000000003</v>
      </c>
      <c r="I32" s="54">
        <v>0.77</v>
      </c>
      <c r="J32" s="54">
        <v>0.19</v>
      </c>
      <c r="K32" s="54">
        <v>33.57</v>
      </c>
      <c r="L32" s="54">
        <v>30.44</v>
      </c>
      <c r="M32" s="54">
        <v>39.36</v>
      </c>
      <c r="N32" s="54">
        <v>4.9000000000000004</v>
      </c>
      <c r="O32" s="54">
        <v>0</v>
      </c>
      <c r="P32" s="54">
        <v>1.1399999999999999</v>
      </c>
      <c r="Q32" s="54">
        <v>25.5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2.23</v>
      </c>
      <c r="C34" s="28">
        <f t="shared" si="0"/>
        <v>40.82</v>
      </c>
      <c r="D34" s="28">
        <f t="shared" si="0"/>
        <v>24.66</v>
      </c>
      <c r="E34" s="28">
        <f t="shared" si="0"/>
        <v>2.0899999999999999</v>
      </c>
      <c r="F34" s="28">
        <f t="shared" si="0"/>
        <v>5</v>
      </c>
      <c r="G34" s="28">
        <f t="shared" si="0"/>
        <v>46.100000000000001</v>
      </c>
      <c r="H34" s="28">
        <f t="shared" si="0"/>
        <v>27.190000000000001</v>
      </c>
      <c r="I34" s="28">
        <f t="shared" si="0"/>
        <v>0.5</v>
      </c>
      <c r="J34" s="28">
        <f t="shared" si="0"/>
        <v>0.089999999999999997</v>
      </c>
      <c r="K34" s="28">
        <f t="shared" si="0"/>
        <v>33.57</v>
      </c>
      <c r="L34" s="28">
        <f t="shared" si="0"/>
        <v>28.600000000000001</v>
      </c>
      <c r="M34" s="28">
        <f t="shared" si="0"/>
        <v>21.190000000000001</v>
      </c>
      <c r="N34" s="28">
        <f t="shared" si="0"/>
        <v>4.5</v>
      </c>
      <c r="O34" s="28">
        <f t="shared" si="0"/>
        <v>0</v>
      </c>
      <c r="P34" s="28">
        <f t="shared" si="0"/>
        <v>0.55000000000000004</v>
      </c>
      <c r="Q34" s="28">
        <f t="shared" si="0"/>
        <v>23.620000000000001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86.709999999999994</v>
      </c>
      <c r="C35" s="29">
        <f t="shared" si="1"/>
        <v>105.90000000000001</v>
      </c>
      <c r="D35" s="29">
        <f t="shared" si="1"/>
        <v>127.87</v>
      </c>
      <c r="E35" s="29">
        <f t="shared" si="1"/>
        <v>19.690000000000001</v>
      </c>
      <c r="F35" s="29">
        <f t="shared" si="1"/>
        <v>53.090000000000003</v>
      </c>
      <c r="G35" s="29">
        <f t="shared" si="1"/>
        <v>168.28999999999999</v>
      </c>
      <c r="H35" s="29">
        <f t="shared" si="1"/>
        <v>50.460000000000001</v>
      </c>
      <c r="I35" s="29">
        <f t="shared" si="1"/>
        <v>1.4299999999999999</v>
      </c>
      <c r="J35" s="29">
        <f t="shared" si="1"/>
        <v>0.95999999999999996</v>
      </c>
      <c r="K35" s="29">
        <f t="shared" si="1"/>
        <v>359.37</v>
      </c>
      <c r="L35" s="29">
        <f t="shared" si="1"/>
        <v>39.950000000000003</v>
      </c>
      <c r="M35" s="29">
        <f t="shared" si="1"/>
        <v>41.810000000000002</v>
      </c>
      <c r="N35" s="29">
        <f t="shared" si="1"/>
        <v>894.39999999999998</v>
      </c>
      <c r="O35" s="29">
        <f t="shared" si="1"/>
        <v>0</v>
      </c>
      <c r="P35" s="29">
        <f t="shared" si="1"/>
        <v>2.2799999999999998</v>
      </c>
      <c r="Q35" s="29">
        <f t="shared" si="1"/>
        <v>33.350000000000001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20.24958333333333</v>
      </c>
      <c r="C36" s="28">
        <f t="shared" si="2"/>
        <v>55.972916666666663</v>
      </c>
      <c r="D36" s="28">
        <f t="shared" si="2"/>
        <v>47.253750000000004</v>
      </c>
      <c r="E36" s="28">
        <f t="shared" si="2"/>
        <v>7.8966666666666674</v>
      </c>
      <c r="F36" s="28">
        <f t="shared" si="2"/>
        <v>20.30083333333333</v>
      </c>
      <c r="G36" s="28">
        <f t="shared" si="2"/>
        <v>76.90916666666665</v>
      </c>
      <c r="H36" s="28">
        <f t="shared" si="2"/>
        <v>36.944583333333334</v>
      </c>
      <c r="I36" s="28">
        <f t="shared" si="2"/>
        <v>0.79874999999999996</v>
      </c>
      <c r="J36" s="28">
        <f t="shared" si="2"/>
        <v>0.40333333333333332</v>
      </c>
      <c r="K36" s="28">
        <f t="shared" si="2"/>
        <v>292.13041666666663</v>
      </c>
      <c r="L36" s="28">
        <f t="shared" si="2"/>
        <v>33.292499999999997</v>
      </c>
      <c r="M36" s="28">
        <f t="shared" si="2"/>
        <v>33.839166666666664</v>
      </c>
      <c r="N36" s="28">
        <f t="shared" si="2"/>
        <v>205.34166666666667</v>
      </c>
      <c r="O36" s="28">
        <f t="shared" si="2"/>
        <v>0</v>
      </c>
      <c r="P36" s="28">
        <f t="shared" si="2"/>
        <v>1.1387500000000002</v>
      </c>
      <c r="Q36" s="28">
        <f t="shared" si="2"/>
        <v>28.47166666666666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21.595728538838145</v>
      </c>
      <c r="C37" s="28">
        <f t="shared" si="3" ref="C37:Q37">STDEV(C9:C32)</f>
        <v>19.541166019049605</v>
      </c>
      <c r="D37" s="28">
        <f t="shared" si="3"/>
        <v>26.949712721305012</v>
      </c>
      <c r="E37" s="28">
        <f t="shared" si="3"/>
        <v>4.2116171289161253</v>
      </c>
      <c r="F37" s="28">
        <f t="shared" si="3"/>
        <v>12.748034091121893</v>
      </c>
      <c r="G37" s="28">
        <f t="shared" si="3"/>
        <v>29.628870455904245</v>
      </c>
      <c r="H37" s="28">
        <f t="shared" si="3"/>
        <v>7.0565227174805258</v>
      </c>
      <c r="I37" s="28">
        <f t="shared" si="3"/>
        <v>0.21106999663206757</v>
      </c>
      <c r="J37" s="28">
        <f t="shared" si="3"/>
        <v>0.25562653918603973</v>
      </c>
      <c r="K37" s="28">
        <f t="shared" si="3"/>
        <v>99.367778544467612</v>
      </c>
      <c r="L37" s="28">
        <f t="shared" si="3"/>
        <v>4.2538844141203294</v>
      </c>
      <c r="M37" s="28">
        <f t="shared" si="3"/>
        <v>7.0912253903138902</v>
      </c>
      <c r="N37" s="28">
        <f t="shared" si="3"/>
        <v>308.75289531001783</v>
      </c>
      <c r="O37" s="28">
        <f t="shared" si="3"/>
        <v>0</v>
      </c>
      <c r="P37" s="28">
        <f t="shared" si="3"/>
        <v>0.4723421061237188</v>
      </c>
      <c r="Q37" s="28">
        <f t="shared" si="3"/>
        <v>2.6721472666178285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285ba2-d5c9-424d-915a-c0a9220b721d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63" sqref="I63"/>
    </sheetView>
  </sheetViews>
  <sheetFormatPr defaultColWidth="8.85881696428571" defaultRowHeight="15"/>
  <cols>
    <col min="1" max="1" width="18.2857142857143" style="26" customWidth="1"/>
    <col min="2" max="2" width="14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5.5" customHeight="1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11-06-2023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302</v>
      </c>
      <c r="B9" s="54">
        <v>1</v>
      </c>
      <c r="C9" s="54">
        <v>35.32</v>
      </c>
      <c r="D9" s="54">
        <v>20.94</v>
      </c>
      <c r="E9" s="54">
        <v>2.46</v>
      </c>
      <c r="F9" s="54">
        <v>22.01</v>
      </c>
      <c r="G9" s="54">
        <v>38.26</v>
      </c>
      <c r="H9" s="54">
        <v>25.20</v>
      </c>
      <c r="I9" s="54">
        <v>0.68</v>
      </c>
      <c r="J9" s="54">
        <v>0.11</v>
      </c>
      <c r="K9" s="54">
        <v>358.44</v>
      </c>
      <c r="L9" s="54">
        <v>29.34</v>
      </c>
      <c r="M9" s="54">
        <v>41.52</v>
      </c>
      <c r="N9" s="54">
        <v>4.70</v>
      </c>
      <c r="O9" s="54">
        <v>0</v>
      </c>
      <c r="P9" s="54">
        <v>0.82</v>
      </c>
      <c r="Q9" s="54">
        <v>26.66</v>
      </c>
      <c r="R9" s="43"/>
      <c r="S9" s="43"/>
      <c r="T9" s="43"/>
      <c r="U9" s="43"/>
    </row>
    <row r="10" spans="1:21" s="11" customFormat="1" ht="15">
      <c r="A10" s="53" t="s">
        <v>303</v>
      </c>
      <c r="B10" s="54">
        <v>1</v>
      </c>
      <c r="C10" s="54">
        <v>32.96</v>
      </c>
      <c r="D10" s="54">
        <v>19.64</v>
      </c>
      <c r="E10" s="54">
        <v>2.02</v>
      </c>
      <c r="F10" s="54">
        <v>11.98</v>
      </c>
      <c r="G10" s="54">
        <v>24.46</v>
      </c>
      <c r="H10" s="54">
        <v>23.36</v>
      </c>
      <c r="I10" s="54">
        <v>0.78</v>
      </c>
      <c r="J10" s="54">
        <v>0.19</v>
      </c>
      <c r="K10" s="54">
        <v>359.02</v>
      </c>
      <c r="L10" s="54">
        <v>28.55</v>
      </c>
      <c r="M10" s="54">
        <v>42.97</v>
      </c>
      <c r="N10" s="54">
        <v>4.80</v>
      </c>
      <c r="O10" s="54">
        <v>0</v>
      </c>
      <c r="P10" s="54">
        <v>0.64</v>
      </c>
      <c r="Q10" s="54">
        <v>26.20</v>
      </c>
      <c r="R10" s="43"/>
      <c r="S10" s="43"/>
      <c r="T10" s="43"/>
      <c r="U10" s="43"/>
    </row>
    <row r="11" spans="1:21" s="11" customFormat="1" ht="15">
      <c r="A11" s="53" t="s">
        <v>304</v>
      </c>
      <c r="B11" s="54">
        <v>1</v>
      </c>
      <c r="C11" s="54">
        <v>29.49</v>
      </c>
      <c r="D11" s="54">
        <v>17.72</v>
      </c>
      <c r="E11" s="54">
        <v>1.97</v>
      </c>
      <c r="F11" s="54">
        <v>11.56</v>
      </c>
      <c r="G11" s="55" t="s">
        <v>14</v>
      </c>
      <c r="H11" s="55" t="s">
        <v>14</v>
      </c>
      <c r="I11" s="54">
        <v>0.67</v>
      </c>
      <c r="J11" s="54">
        <v>0.15</v>
      </c>
      <c r="K11" s="54">
        <v>52.06</v>
      </c>
      <c r="L11" s="54">
        <v>27.91</v>
      </c>
      <c r="M11" s="54">
        <v>44.33</v>
      </c>
      <c r="N11" s="54">
        <v>4.80</v>
      </c>
      <c r="O11" s="54">
        <v>0</v>
      </c>
      <c r="P11" s="54">
        <v>0.49</v>
      </c>
      <c r="Q11" s="54">
        <v>23.55</v>
      </c>
      <c r="R11" s="43"/>
      <c r="S11" s="43"/>
      <c r="T11" s="43"/>
      <c r="U11" s="43"/>
    </row>
    <row r="12" spans="1:21" s="11" customFormat="1" ht="15">
      <c r="A12" s="53" t="s">
        <v>305</v>
      </c>
      <c r="B12" s="54">
        <v>1.04</v>
      </c>
      <c r="C12" s="54">
        <v>29.43</v>
      </c>
      <c r="D12" s="54">
        <v>17.690000000000001</v>
      </c>
      <c r="E12" s="54">
        <v>1.96</v>
      </c>
      <c r="F12" s="54">
        <v>14.02</v>
      </c>
      <c r="G12" s="54">
        <v>20.20</v>
      </c>
      <c r="H12" s="54">
        <v>18.75</v>
      </c>
      <c r="I12" s="54">
        <v>0.59</v>
      </c>
      <c r="J12" s="54">
        <v>0.26</v>
      </c>
      <c r="K12" s="54">
        <v>42</v>
      </c>
      <c r="L12" s="54">
        <v>27.58</v>
      </c>
      <c r="M12" s="54">
        <v>44.26</v>
      </c>
      <c r="N12" s="54">
        <v>4.5</v>
      </c>
      <c r="O12" s="54">
        <v>0</v>
      </c>
      <c r="P12" s="54">
        <v>0.40</v>
      </c>
      <c r="Q12" s="54">
        <v>25.5</v>
      </c>
      <c r="R12" s="43"/>
      <c r="S12" s="43"/>
      <c r="T12" s="43"/>
      <c r="U12" s="43"/>
    </row>
    <row r="13" spans="1:21" s="11" customFormat="1" ht="15">
      <c r="A13" s="53" t="s">
        <v>306</v>
      </c>
      <c r="B13" s="54">
        <v>1</v>
      </c>
      <c r="C13" s="54">
        <v>30.19</v>
      </c>
      <c r="D13" s="54">
        <v>18.11</v>
      </c>
      <c r="E13" s="54">
        <v>1.46</v>
      </c>
      <c r="F13" s="54">
        <v>8.85</v>
      </c>
      <c r="G13" s="54">
        <v>25.89</v>
      </c>
      <c r="H13" s="54">
        <v>16.62</v>
      </c>
      <c r="I13" s="54">
        <v>0.60</v>
      </c>
      <c r="J13" s="54">
        <v>0.27</v>
      </c>
      <c r="K13" s="54">
        <v>42.86</v>
      </c>
      <c r="L13" s="54">
        <v>27.52</v>
      </c>
      <c r="M13" s="54">
        <v>46.19</v>
      </c>
      <c r="N13" s="54">
        <v>4.80</v>
      </c>
      <c r="O13" s="54">
        <v>0</v>
      </c>
      <c r="P13" s="54">
        <v>0.34</v>
      </c>
      <c r="Q13" s="54">
        <v>24.5</v>
      </c>
      <c r="R13" s="43"/>
      <c r="S13" s="43"/>
      <c r="T13" s="43"/>
      <c r="U13" s="43"/>
    </row>
    <row r="14" spans="1:21" s="11" customFormat="1" ht="15">
      <c r="A14" s="53" t="s">
        <v>307</v>
      </c>
      <c r="B14" s="54">
        <v>1</v>
      </c>
      <c r="C14" s="54">
        <v>31.08</v>
      </c>
      <c r="D14" s="54">
        <v>18.600000000000001</v>
      </c>
      <c r="E14" s="54">
        <v>1.27</v>
      </c>
      <c r="F14" s="54">
        <v>6.67</v>
      </c>
      <c r="G14" s="54">
        <v>21.33</v>
      </c>
      <c r="H14" s="54">
        <v>15.40</v>
      </c>
      <c r="I14" s="54">
        <v>0.52</v>
      </c>
      <c r="J14" s="54">
        <v>0.26</v>
      </c>
      <c r="K14" s="54">
        <v>340.39</v>
      </c>
      <c r="L14" s="54">
        <v>27.01</v>
      </c>
      <c r="M14" s="54">
        <v>47.06</v>
      </c>
      <c r="N14" s="54">
        <v>51</v>
      </c>
      <c r="O14" s="54">
        <v>0</v>
      </c>
      <c r="P14" s="54">
        <v>0.31</v>
      </c>
      <c r="Q14" s="54">
        <v>22.54</v>
      </c>
      <c r="R14" s="43"/>
      <c r="S14" s="43"/>
      <c r="T14" s="43"/>
      <c r="U14" s="43"/>
    </row>
    <row r="15" spans="1:21" s="11" customFormat="1" ht="15">
      <c r="A15" s="53" t="s">
        <v>308</v>
      </c>
      <c r="B15" s="54">
        <v>1</v>
      </c>
      <c r="C15" s="54">
        <v>33.46</v>
      </c>
      <c r="D15" s="54">
        <v>19.920000000000002</v>
      </c>
      <c r="E15" s="54">
        <v>1.54</v>
      </c>
      <c r="F15" s="54">
        <v>7.72</v>
      </c>
      <c r="G15" s="54">
        <v>27.42</v>
      </c>
      <c r="H15" s="54">
        <v>15.75</v>
      </c>
      <c r="I15" s="54">
        <v>0.51</v>
      </c>
      <c r="J15" s="54">
        <v>0.35</v>
      </c>
      <c r="K15" s="54">
        <v>45.63</v>
      </c>
      <c r="L15" s="54">
        <v>27.83</v>
      </c>
      <c r="M15" s="54">
        <v>47.63</v>
      </c>
      <c r="N15" s="54">
        <v>156.69999999999999</v>
      </c>
      <c r="O15" s="54">
        <v>0</v>
      </c>
      <c r="P15" s="54">
        <v>0.33</v>
      </c>
      <c r="Q15" s="54">
        <v>24.21</v>
      </c>
      <c r="R15" s="43"/>
      <c r="S15" s="43"/>
      <c r="T15" s="43"/>
      <c r="U15" s="43"/>
    </row>
    <row r="16" spans="1:21" s="11" customFormat="1" ht="15">
      <c r="A16" s="53" t="s">
        <v>309</v>
      </c>
      <c r="B16" s="54">
        <v>1.1299999999999999</v>
      </c>
      <c r="C16" s="54">
        <v>36.18</v>
      </c>
      <c r="D16" s="54">
        <v>21.52</v>
      </c>
      <c r="E16" s="54">
        <v>1.20</v>
      </c>
      <c r="F16" s="54">
        <v>6.57</v>
      </c>
      <c r="G16" s="54">
        <v>39.409999999999997</v>
      </c>
      <c r="H16" s="54">
        <v>17.12</v>
      </c>
      <c r="I16" s="54">
        <v>0.60</v>
      </c>
      <c r="J16" s="54">
        <v>0.40</v>
      </c>
      <c r="K16" s="54">
        <v>36.770000000000003</v>
      </c>
      <c r="L16" s="54">
        <v>31.52</v>
      </c>
      <c r="M16" s="54">
        <v>45.10</v>
      </c>
      <c r="N16" s="54">
        <v>421.20</v>
      </c>
      <c r="O16" s="54">
        <v>0</v>
      </c>
      <c r="P16" s="54">
        <v>0.44</v>
      </c>
      <c r="Q16" s="54">
        <v>23.24</v>
      </c>
      <c r="R16" s="43"/>
      <c r="S16" s="43"/>
      <c r="T16" s="43"/>
      <c r="U16" s="43"/>
    </row>
    <row r="17" spans="1:21" s="11" customFormat="1" ht="15">
      <c r="A17" s="53" t="s">
        <v>310</v>
      </c>
      <c r="B17" s="54">
        <v>1.68</v>
      </c>
      <c r="C17" s="54">
        <v>39.90</v>
      </c>
      <c r="D17" s="54">
        <v>23.49</v>
      </c>
      <c r="E17" s="54">
        <v>1.64</v>
      </c>
      <c r="F17" s="54">
        <v>7.37</v>
      </c>
      <c r="G17" s="54">
        <v>47.81</v>
      </c>
      <c r="H17" s="54">
        <v>18.420000000000002</v>
      </c>
      <c r="I17" s="54">
        <v>0.57999999999999996</v>
      </c>
      <c r="J17" s="54">
        <v>0.65</v>
      </c>
      <c r="K17" s="54">
        <v>343.28</v>
      </c>
      <c r="L17" s="54">
        <v>34.5</v>
      </c>
      <c r="M17" s="54">
        <v>36.950000000000003</v>
      </c>
      <c r="N17" s="54">
        <v>672.40</v>
      </c>
      <c r="O17" s="54">
        <v>0</v>
      </c>
      <c r="P17" s="54">
        <v>0.66</v>
      </c>
      <c r="Q17" s="54">
        <v>22.98</v>
      </c>
      <c r="R17" s="43"/>
      <c r="S17" s="43"/>
      <c r="T17" s="43"/>
      <c r="U17" s="43"/>
    </row>
    <row r="18" spans="1:21" s="11" customFormat="1" ht="15">
      <c r="A18" s="53" t="s">
        <v>311</v>
      </c>
      <c r="B18" s="54">
        <v>1.83</v>
      </c>
      <c r="C18" s="54">
        <v>38.65</v>
      </c>
      <c r="D18" s="54">
        <v>23.18</v>
      </c>
      <c r="E18" s="54">
        <v>1.45</v>
      </c>
      <c r="F18" s="54">
        <v>8.58</v>
      </c>
      <c r="G18" s="54">
        <v>49.56</v>
      </c>
      <c r="H18" s="54">
        <v>19.5</v>
      </c>
      <c r="I18" s="54">
        <v>0.60</v>
      </c>
      <c r="J18" s="54">
        <v>0.73</v>
      </c>
      <c r="K18" s="54">
        <v>344.58</v>
      </c>
      <c r="L18" s="54">
        <v>35.700000000000003</v>
      </c>
      <c r="M18" s="54">
        <v>31.67</v>
      </c>
      <c r="N18" s="54">
        <v>747.80</v>
      </c>
      <c r="O18" s="54">
        <v>0</v>
      </c>
      <c r="P18" s="54">
        <v>0.60</v>
      </c>
      <c r="Q18" s="54">
        <v>24.25</v>
      </c>
      <c r="R18" s="43"/>
      <c r="S18" s="43"/>
      <c r="T18" s="43"/>
      <c r="U18" s="43"/>
    </row>
    <row r="19" spans="1:21" s="11" customFormat="1" ht="15">
      <c r="A19" s="53" t="s">
        <v>312</v>
      </c>
      <c r="B19" s="54">
        <v>1.73</v>
      </c>
      <c r="C19" s="54">
        <v>43.91</v>
      </c>
      <c r="D19" s="54">
        <v>26.26</v>
      </c>
      <c r="E19" s="54">
        <v>2.15</v>
      </c>
      <c r="F19" s="54">
        <v>13.37</v>
      </c>
      <c r="G19" s="54">
        <v>50.82</v>
      </c>
      <c r="H19" s="54">
        <v>20.65</v>
      </c>
      <c r="I19" s="54">
        <v>0.51</v>
      </c>
      <c r="J19" s="54">
        <v>1.35</v>
      </c>
      <c r="K19" s="54">
        <v>355.89</v>
      </c>
      <c r="L19" s="54">
        <v>38.76</v>
      </c>
      <c r="M19" s="54">
        <v>29.49</v>
      </c>
      <c r="N19" s="54">
        <v>877.30</v>
      </c>
      <c r="O19" s="54">
        <v>0</v>
      </c>
      <c r="P19" s="54">
        <v>0.79</v>
      </c>
      <c r="Q19" s="54">
        <v>22.31</v>
      </c>
      <c r="R19" s="43"/>
      <c r="S19" s="43"/>
      <c r="T19" s="43"/>
      <c r="U19" s="43"/>
    </row>
    <row r="20" spans="1:21" s="11" customFormat="1" ht="15">
      <c r="A20" s="53" t="s">
        <v>313</v>
      </c>
      <c r="B20" s="54">
        <v>4.7699999999999996</v>
      </c>
      <c r="C20" s="54">
        <v>43.09</v>
      </c>
      <c r="D20" s="54">
        <v>25.36</v>
      </c>
      <c r="E20" s="54">
        <v>2.0099999999999998</v>
      </c>
      <c r="F20" s="54">
        <v>29.22</v>
      </c>
      <c r="G20" s="54">
        <v>50.43</v>
      </c>
      <c r="H20" s="54">
        <v>24.99</v>
      </c>
      <c r="I20" s="54">
        <v>0.55000000000000004</v>
      </c>
      <c r="J20" s="54">
        <v>1.94</v>
      </c>
      <c r="K20" s="54">
        <v>351.04</v>
      </c>
      <c r="L20" s="54">
        <v>40.299999999999997</v>
      </c>
      <c r="M20" s="54">
        <v>20.54</v>
      </c>
      <c r="N20" s="54">
        <v>872.5</v>
      </c>
      <c r="O20" s="54">
        <v>0</v>
      </c>
      <c r="P20" s="54">
        <v>0.75</v>
      </c>
      <c r="Q20" s="54">
        <v>22.59</v>
      </c>
      <c r="R20" s="43"/>
      <c r="S20" s="43"/>
      <c r="T20" s="43"/>
      <c r="U20" s="43"/>
    </row>
    <row r="21" spans="1:21" s="11" customFormat="1" ht="15">
      <c r="A21" s="53" t="s">
        <v>314</v>
      </c>
      <c r="B21" s="54">
        <v>5.93</v>
      </c>
      <c r="C21" s="54">
        <v>37.39</v>
      </c>
      <c r="D21" s="54">
        <v>25.54</v>
      </c>
      <c r="E21" s="54">
        <v>3.06</v>
      </c>
      <c r="F21" s="54">
        <v>32.76</v>
      </c>
      <c r="G21" s="54">
        <v>45.18</v>
      </c>
      <c r="H21" s="54">
        <v>26.74</v>
      </c>
      <c r="I21" s="54">
        <v>0.56999999999999995</v>
      </c>
      <c r="J21" s="54">
        <v>1.90</v>
      </c>
      <c r="K21" s="54">
        <v>4.63</v>
      </c>
      <c r="L21" s="54">
        <v>40.94</v>
      </c>
      <c r="M21" s="54">
        <v>20.90</v>
      </c>
      <c r="N21" s="54">
        <v>790.10</v>
      </c>
      <c r="O21" s="54">
        <v>0</v>
      </c>
      <c r="P21" s="54">
        <v>0.65</v>
      </c>
      <c r="Q21" s="54">
        <v>24.19</v>
      </c>
      <c r="R21" s="43"/>
      <c r="S21" s="43"/>
      <c r="T21" s="43"/>
      <c r="U21" s="43"/>
    </row>
    <row r="22" spans="1:21" s="11" customFormat="1" ht="15">
      <c r="A22" s="53" t="s">
        <v>315</v>
      </c>
      <c r="B22" s="54">
        <v>4.66</v>
      </c>
      <c r="C22" s="54">
        <v>40.14</v>
      </c>
      <c r="D22" s="54">
        <v>25.65</v>
      </c>
      <c r="E22" s="54">
        <v>3.09</v>
      </c>
      <c r="F22" s="54">
        <v>18.41</v>
      </c>
      <c r="G22" s="54">
        <v>46.5</v>
      </c>
      <c r="H22" s="54">
        <v>23.47</v>
      </c>
      <c r="I22" s="54">
        <v>0.59</v>
      </c>
      <c r="J22" s="54">
        <v>2.09</v>
      </c>
      <c r="K22" s="54">
        <v>10.42</v>
      </c>
      <c r="L22" s="54">
        <v>39.29</v>
      </c>
      <c r="M22" s="54">
        <v>21</v>
      </c>
      <c r="N22" s="54">
        <v>608.20000000000005</v>
      </c>
      <c r="O22" s="54">
        <v>0</v>
      </c>
      <c r="P22" s="54">
        <v>0.62</v>
      </c>
      <c r="Q22" s="54">
        <v>22.60</v>
      </c>
      <c r="R22" s="43"/>
      <c r="S22" s="43"/>
      <c r="T22" s="43"/>
      <c r="U22" s="43"/>
    </row>
    <row r="23" spans="1:21" s="11" customFormat="1" ht="15">
      <c r="A23" s="53" t="s">
        <v>316</v>
      </c>
      <c r="B23" s="54">
        <v>7.25</v>
      </c>
      <c r="C23" s="54">
        <v>40.54</v>
      </c>
      <c r="D23" s="54">
        <v>26.16</v>
      </c>
      <c r="E23" s="54">
        <v>2.61</v>
      </c>
      <c r="F23" s="54">
        <v>23.79</v>
      </c>
      <c r="G23" s="54">
        <v>49.14</v>
      </c>
      <c r="H23" s="54">
        <v>23.69</v>
      </c>
      <c r="I23" s="54">
        <v>0.60</v>
      </c>
      <c r="J23" s="54">
        <v>2</v>
      </c>
      <c r="K23" s="54">
        <v>353.26</v>
      </c>
      <c r="L23" s="54">
        <v>39.96</v>
      </c>
      <c r="M23" s="54">
        <v>19.54</v>
      </c>
      <c r="N23" s="54">
        <v>703.40</v>
      </c>
      <c r="O23" s="54">
        <v>0</v>
      </c>
      <c r="P23" s="54">
        <v>0.57999999999999996</v>
      </c>
      <c r="Q23" s="54">
        <v>23.70</v>
      </c>
      <c r="R23" s="43"/>
      <c r="S23" s="43"/>
      <c r="T23" s="43"/>
      <c r="U23" s="43"/>
    </row>
    <row r="24" spans="1:21" s="11" customFormat="1" ht="15">
      <c r="A24" s="53" t="s">
        <v>317</v>
      </c>
      <c r="B24" s="54">
        <v>16.239999999999998</v>
      </c>
      <c r="C24" s="54">
        <v>37.840000000000003</v>
      </c>
      <c r="D24" s="54">
        <v>34.32</v>
      </c>
      <c r="E24" s="54">
        <v>2.98</v>
      </c>
      <c r="F24" s="54">
        <v>33.33</v>
      </c>
      <c r="G24" s="54">
        <v>38.049999999999997</v>
      </c>
      <c r="H24" s="54">
        <v>21.94</v>
      </c>
      <c r="I24" s="54">
        <v>0.41</v>
      </c>
      <c r="J24" s="54">
        <v>1.79</v>
      </c>
      <c r="K24" s="54">
        <v>11.38</v>
      </c>
      <c r="L24" s="54">
        <v>39.369999999999997</v>
      </c>
      <c r="M24" s="54">
        <v>18.600000000000001</v>
      </c>
      <c r="N24" s="54">
        <v>403.10</v>
      </c>
      <c r="O24" s="54">
        <v>0</v>
      </c>
      <c r="P24" s="54">
        <v>0.53</v>
      </c>
      <c r="Q24" s="54">
        <v>24.90</v>
      </c>
      <c r="R24" s="43"/>
      <c r="S24" s="43"/>
      <c r="T24" s="43"/>
      <c r="U24" s="43"/>
    </row>
    <row r="25" spans="1:21" s="11" customFormat="1" ht="15">
      <c r="A25" s="53" t="s">
        <v>318</v>
      </c>
      <c r="B25" s="54">
        <v>8.1999999999999993</v>
      </c>
      <c r="C25" s="54">
        <v>37.47</v>
      </c>
      <c r="D25" s="54">
        <v>27.15</v>
      </c>
      <c r="E25" s="54">
        <v>3.53</v>
      </c>
      <c r="F25" s="54">
        <v>28.13</v>
      </c>
      <c r="G25" s="54">
        <v>37.08</v>
      </c>
      <c r="H25" s="54">
        <v>22.38</v>
      </c>
      <c r="I25" s="54">
        <v>0.44</v>
      </c>
      <c r="J25" s="54">
        <v>1.33</v>
      </c>
      <c r="K25" s="54">
        <v>7.04</v>
      </c>
      <c r="L25" s="54">
        <v>38.07</v>
      </c>
      <c r="M25" s="54">
        <v>20.85</v>
      </c>
      <c r="N25" s="54">
        <v>113.90</v>
      </c>
      <c r="O25" s="54">
        <v>0</v>
      </c>
      <c r="P25" s="54">
        <v>0.55000000000000004</v>
      </c>
      <c r="Q25" s="54">
        <v>24.17</v>
      </c>
      <c r="R25" s="43"/>
      <c r="S25" s="43"/>
      <c r="T25" s="43"/>
      <c r="U25" s="43"/>
    </row>
    <row r="26" spans="1:21" s="11" customFormat="1" ht="15">
      <c r="A26" s="53" t="s">
        <v>319</v>
      </c>
      <c r="B26" s="54">
        <v>8.32</v>
      </c>
      <c r="C26" s="54">
        <v>41.31</v>
      </c>
      <c r="D26" s="54">
        <v>28.99</v>
      </c>
      <c r="E26" s="54">
        <v>5.07</v>
      </c>
      <c r="F26" s="54">
        <v>38.67</v>
      </c>
      <c r="G26" s="54">
        <v>42.08</v>
      </c>
      <c r="H26" s="54">
        <v>22.75</v>
      </c>
      <c r="I26" s="54">
        <v>0.87</v>
      </c>
      <c r="J26" s="54">
        <v>0.36</v>
      </c>
      <c r="K26" s="54">
        <v>331.32</v>
      </c>
      <c r="L26" s="54">
        <v>37.200000000000003</v>
      </c>
      <c r="M26" s="54">
        <v>23.90</v>
      </c>
      <c r="N26" s="54">
        <v>80.70</v>
      </c>
      <c r="O26" s="54">
        <v>0</v>
      </c>
      <c r="P26" s="54">
        <v>0.62</v>
      </c>
      <c r="Q26" s="54">
        <v>26.38</v>
      </c>
      <c r="R26" s="43"/>
      <c r="S26" s="43"/>
      <c r="T26" s="43"/>
      <c r="U26" s="43"/>
    </row>
    <row r="27" spans="1:21" s="11" customFormat="1" ht="15">
      <c r="A27" s="53" t="s">
        <v>320</v>
      </c>
      <c r="B27" s="54">
        <v>4.8899999999999997</v>
      </c>
      <c r="C27" s="54">
        <v>42.87</v>
      </c>
      <c r="D27" s="54">
        <v>28.23</v>
      </c>
      <c r="E27" s="54">
        <v>6.5</v>
      </c>
      <c r="F27" s="54">
        <v>38.15</v>
      </c>
      <c r="G27" s="54">
        <v>50.02</v>
      </c>
      <c r="H27" s="54">
        <v>23.67</v>
      </c>
      <c r="I27" s="54">
        <v>0.62</v>
      </c>
      <c r="J27" s="54">
        <v>0.27</v>
      </c>
      <c r="K27" s="54">
        <v>225.52</v>
      </c>
      <c r="L27" s="54">
        <v>35.340000000000003</v>
      </c>
      <c r="M27" s="54">
        <v>26.15</v>
      </c>
      <c r="N27" s="54">
        <v>21.5</v>
      </c>
      <c r="O27" s="54">
        <v>0</v>
      </c>
      <c r="P27" s="54">
        <v>0.60</v>
      </c>
      <c r="Q27" s="54">
        <v>26.61</v>
      </c>
      <c r="R27" s="43"/>
      <c r="S27" s="43"/>
      <c r="T27" s="43"/>
      <c r="U27" s="43"/>
    </row>
    <row r="28" spans="1:21" s="11" customFormat="1" ht="15">
      <c r="A28" s="53" t="s">
        <v>321</v>
      </c>
      <c r="B28" s="54">
        <v>6.17</v>
      </c>
      <c r="C28" s="54">
        <v>45.87</v>
      </c>
      <c r="D28" s="54">
        <v>30.52</v>
      </c>
      <c r="E28" s="54">
        <v>3.46</v>
      </c>
      <c r="F28" s="54">
        <v>12.61</v>
      </c>
      <c r="G28" s="54">
        <v>53.96</v>
      </c>
      <c r="H28" s="54">
        <v>26.52</v>
      </c>
      <c r="I28" s="54">
        <v>0.77</v>
      </c>
      <c r="J28" s="54">
        <v>0.27</v>
      </c>
      <c r="K28" s="54">
        <v>51.22</v>
      </c>
      <c r="L28" s="54">
        <v>34.31</v>
      </c>
      <c r="M28" s="54">
        <v>28.72</v>
      </c>
      <c r="N28" s="54">
        <v>4.9000000000000004</v>
      </c>
      <c r="O28" s="54">
        <v>0</v>
      </c>
      <c r="P28" s="54">
        <v>0.74</v>
      </c>
      <c r="Q28" s="54">
        <v>24.03</v>
      </c>
      <c r="R28" s="43"/>
      <c r="S28" s="43"/>
      <c r="T28" s="43"/>
      <c r="U28" s="43"/>
    </row>
    <row r="29" spans="1:21" s="11" customFormat="1" ht="15">
      <c r="A29" s="53" t="s">
        <v>322</v>
      </c>
      <c r="B29" s="54">
        <v>5.01</v>
      </c>
      <c r="C29" s="54">
        <v>46.10</v>
      </c>
      <c r="D29" s="54">
        <v>29.53</v>
      </c>
      <c r="E29" s="54">
        <v>6.11</v>
      </c>
      <c r="F29" s="54">
        <v>14.52</v>
      </c>
      <c r="G29" s="54">
        <v>52.44</v>
      </c>
      <c r="H29" s="54">
        <v>24.80</v>
      </c>
      <c r="I29" s="54">
        <v>0.68</v>
      </c>
      <c r="J29" s="54">
        <v>0.35</v>
      </c>
      <c r="K29" s="54">
        <v>342.33</v>
      </c>
      <c r="L29" s="54">
        <v>32.94</v>
      </c>
      <c r="M29" s="54">
        <v>32.799999999999997</v>
      </c>
      <c r="N29" s="54">
        <v>4.9000000000000004</v>
      </c>
      <c r="O29" s="54">
        <v>0</v>
      </c>
      <c r="P29" s="54">
        <v>0.96</v>
      </c>
      <c r="Q29" s="54">
        <v>23.83</v>
      </c>
      <c r="R29" s="43"/>
      <c r="S29" s="43"/>
      <c r="T29" s="43"/>
      <c r="U29" s="43"/>
    </row>
    <row r="30" spans="1:21" s="11" customFormat="1" ht="15">
      <c r="A30" s="53" t="s">
        <v>323</v>
      </c>
      <c r="B30" s="54">
        <v>18.73</v>
      </c>
      <c r="C30" s="54">
        <v>49.12</v>
      </c>
      <c r="D30" s="54">
        <v>39.42</v>
      </c>
      <c r="E30" s="54">
        <v>7.28</v>
      </c>
      <c r="F30" s="54">
        <v>17.88</v>
      </c>
      <c r="G30" s="54">
        <v>50.63</v>
      </c>
      <c r="H30" s="54">
        <v>26.88</v>
      </c>
      <c r="I30" s="54">
        <v>0.68</v>
      </c>
      <c r="J30" s="54">
        <v>0.36</v>
      </c>
      <c r="K30" s="54">
        <v>345.21</v>
      </c>
      <c r="L30" s="54">
        <v>31.75</v>
      </c>
      <c r="M30" s="54">
        <v>33.54</v>
      </c>
      <c r="N30" s="54">
        <v>5</v>
      </c>
      <c r="O30" s="54">
        <v>0</v>
      </c>
      <c r="P30" s="54">
        <v>0.98</v>
      </c>
      <c r="Q30" s="54">
        <v>23.85</v>
      </c>
      <c r="R30" s="43"/>
      <c r="S30" s="43"/>
      <c r="T30" s="43"/>
      <c r="U30" s="43"/>
    </row>
    <row r="31" spans="1:21" s="11" customFormat="1" ht="15">
      <c r="A31" s="53" t="s">
        <v>324</v>
      </c>
      <c r="B31" s="54">
        <v>15.21</v>
      </c>
      <c r="C31" s="54">
        <v>56.48</v>
      </c>
      <c r="D31" s="54">
        <v>40.97</v>
      </c>
      <c r="E31" s="54">
        <v>14.02</v>
      </c>
      <c r="F31" s="54">
        <v>14.98</v>
      </c>
      <c r="G31" s="54">
        <v>56.29</v>
      </c>
      <c r="H31" s="54">
        <v>24.07</v>
      </c>
      <c r="I31" s="54">
        <v>0.70</v>
      </c>
      <c r="J31" s="54">
        <v>0.16</v>
      </c>
      <c r="K31" s="54">
        <v>40.049999999999997</v>
      </c>
      <c r="L31" s="54">
        <v>31.68</v>
      </c>
      <c r="M31" s="54">
        <v>32.340000000000003</v>
      </c>
      <c r="N31" s="54">
        <v>5.20</v>
      </c>
      <c r="O31" s="54">
        <v>0</v>
      </c>
      <c r="P31" s="54">
        <v>1.31</v>
      </c>
      <c r="Q31" s="54">
        <v>22.61</v>
      </c>
      <c r="R31" s="43"/>
      <c r="S31" s="43"/>
      <c r="T31" s="43"/>
      <c r="U31" s="43"/>
    </row>
    <row r="32" spans="1:21" s="11" customFormat="1" ht="15">
      <c r="A32" s="53" t="s">
        <v>325</v>
      </c>
      <c r="B32" s="54">
        <v>5.14</v>
      </c>
      <c r="C32" s="54">
        <v>47.86</v>
      </c>
      <c r="D32" s="54">
        <v>31.18</v>
      </c>
      <c r="E32" s="54">
        <v>7.34</v>
      </c>
      <c r="F32" s="54">
        <v>12.88</v>
      </c>
      <c r="G32" s="54">
        <v>60.78</v>
      </c>
      <c r="H32" s="54">
        <v>28.87</v>
      </c>
      <c r="I32" s="54">
        <v>0.71</v>
      </c>
      <c r="J32" s="54">
        <v>0.17</v>
      </c>
      <c r="K32" s="54">
        <v>39.450000000000003</v>
      </c>
      <c r="L32" s="54">
        <v>31.38</v>
      </c>
      <c r="M32" s="54">
        <v>34.659999999999997</v>
      </c>
      <c r="N32" s="54">
        <v>4.9000000000000004</v>
      </c>
      <c r="O32" s="54">
        <v>0</v>
      </c>
      <c r="P32" s="54">
        <v>1.32</v>
      </c>
      <c r="Q32" s="54">
        <v>24.14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</v>
      </c>
      <c r="C34" s="28">
        <f t="shared" si="0"/>
        <v>29.43</v>
      </c>
      <c r="D34" s="28">
        <f t="shared" si="0"/>
        <v>17.690000000000001</v>
      </c>
      <c r="E34" s="28">
        <f t="shared" si="0"/>
        <v>1.2</v>
      </c>
      <c r="F34" s="28">
        <f t="shared" si="0"/>
        <v>6.5700000000000003</v>
      </c>
      <c r="G34" s="28">
        <f t="shared" si="0"/>
        <v>20.199999999999999</v>
      </c>
      <c r="H34" s="28">
        <f t="shared" si="0"/>
        <v>15.4</v>
      </c>
      <c r="I34" s="28">
        <f t="shared" si="0"/>
        <v>0.40999999999999998</v>
      </c>
      <c r="J34" s="28">
        <f t="shared" si="0"/>
        <v>0.11</v>
      </c>
      <c r="K34" s="28">
        <f t="shared" si="0"/>
        <v>4.6299999999999999</v>
      </c>
      <c r="L34" s="28">
        <f t="shared" si="0"/>
        <v>27.010000000000002</v>
      </c>
      <c r="M34" s="28">
        <f t="shared" si="0"/>
        <v>18.600000000000001</v>
      </c>
      <c r="N34" s="28">
        <f t="shared" si="0"/>
        <v>4.5</v>
      </c>
      <c r="O34" s="28">
        <f t="shared" si="0"/>
        <v>0</v>
      </c>
      <c r="P34" s="28">
        <f t="shared" si="0"/>
        <v>0.31</v>
      </c>
      <c r="Q34" s="28">
        <f t="shared" si="0"/>
        <v>22.309999999999999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18.73</v>
      </c>
      <c r="C35" s="29">
        <f t="shared" si="1"/>
        <v>56.479999999999997</v>
      </c>
      <c r="D35" s="29">
        <f t="shared" si="1"/>
        <v>40.969999999999999</v>
      </c>
      <c r="E35" s="29">
        <f t="shared" si="1"/>
        <v>14.02</v>
      </c>
      <c r="F35" s="29">
        <f t="shared" si="1"/>
        <v>38.670000000000002</v>
      </c>
      <c r="G35" s="29">
        <f t="shared" si="1"/>
        <v>60.780000000000001</v>
      </c>
      <c r="H35" s="29">
        <f t="shared" si="1"/>
        <v>28.870000000000001</v>
      </c>
      <c r="I35" s="29">
        <f t="shared" si="1"/>
        <v>0.87</v>
      </c>
      <c r="J35" s="29">
        <f t="shared" si="1"/>
        <v>2.0899999999999999</v>
      </c>
      <c r="K35" s="29">
        <f t="shared" si="1"/>
        <v>359.01999999999998</v>
      </c>
      <c r="L35" s="29">
        <f t="shared" si="1"/>
        <v>40.939999999999998</v>
      </c>
      <c r="M35" s="29">
        <f t="shared" si="1"/>
        <v>47.630000000000003</v>
      </c>
      <c r="N35" s="29">
        <f t="shared" si="1"/>
        <v>877.29999999999995</v>
      </c>
      <c r="O35" s="29">
        <f t="shared" si="1"/>
        <v>0</v>
      </c>
      <c r="P35" s="29">
        <f t="shared" si="1"/>
        <v>1.3200000000000001</v>
      </c>
      <c r="Q35" s="29">
        <f t="shared" si="1"/>
        <v>26.66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5.1637500000000012</v>
      </c>
      <c r="C36" s="28">
        <f t="shared" si="2"/>
        <v>39.443750000000001</v>
      </c>
      <c r="D36" s="28">
        <f t="shared" si="2"/>
        <v>25.837083333333329</v>
      </c>
      <c r="E36" s="28">
        <f t="shared" si="2"/>
        <v>3.5908333333333329</v>
      </c>
      <c r="F36" s="28">
        <f t="shared" si="2"/>
        <v>18.084583333333331</v>
      </c>
      <c r="G36" s="28">
        <f t="shared" si="2"/>
        <v>42.510434782608698</v>
      </c>
      <c r="H36" s="28">
        <f t="shared" si="2"/>
        <v>22.240869565217391</v>
      </c>
      <c r="I36" s="28">
        <f t="shared" si="2"/>
        <v>0.61791666666666645</v>
      </c>
      <c r="J36" s="28">
        <f t="shared" si="2"/>
        <v>0.73791666666666689</v>
      </c>
      <c r="K36" s="28">
        <f t="shared" si="2"/>
        <v>184.74125000000001</v>
      </c>
      <c r="L36" s="28">
        <f t="shared" si="2"/>
        <v>33.697916666666664</v>
      </c>
      <c r="M36" s="28">
        <f t="shared" si="2"/>
        <v>32.946249999999999</v>
      </c>
      <c r="N36" s="28">
        <f t="shared" si="2"/>
        <v>273.67916666666662</v>
      </c>
      <c r="O36" s="28">
        <f t="shared" si="2"/>
        <v>0</v>
      </c>
      <c r="P36" s="28">
        <f t="shared" si="2"/>
        <v>0.6679166666666666</v>
      </c>
      <c r="Q36" s="28">
        <f t="shared" si="2"/>
        <v>24.147499999999997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5.1314578083747726</v>
      </c>
      <c r="C37" s="28">
        <f t="shared" si="3" ref="C37:Q37">STDEV(C9:C32)</f>
        <v>6.79645803693559</v>
      </c>
      <c r="D37" s="28">
        <f t="shared" si="3"/>
        <v>6.3947937242230539</v>
      </c>
      <c r="E37" s="28">
        <f t="shared" si="3"/>
        <v>2.9278674783901155</v>
      </c>
      <c r="F37" s="28">
        <f t="shared" si="3"/>
        <v>10.227615634055237</v>
      </c>
      <c r="G37" s="28">
        <f t="shared" si="3"/>
        <v>11.688380974385245</v>
      </c>
      <c r="H37" s="28">
        <f t="shared" si="3"/>
        <v>3.8202723761098598</v>
      </c>
      <c r="I37" s="28">
        <f t="shared" si="3"/>
        <v>0.10660692393969674</v>
      </c>
      <c r="J37" s="28">
        <f t="shared" si="3"/>
        <v>0.70917575651116849</v>
      </c>
      <c r="K37" s="28">
        <f t="shared" si="3"/>
        <v>158.55628363763529</v>
      </c>
      <c r="L37" s="28">
        <f t="shared" si="3"/>
        <v>4.7352773934325612</v>
      </c>
      <c r="M37" s="28">
        <f t="shared" si="3"/>
        <v>10.048287681296104</v>
      </c>
      <c r="N37" s="28">
        <f t="shared" si="3"/>
        <v>337.56200715947915</v>
      </c>
      <c r="O37" s="28">
        <f t="shared" si="3"/>
        <v>0</v>
      </c>
      <c r="P37" s="28">
        <f t="shared" si="3"/>
        <v>0.26629469074474771</v>
      </c>
      <c r="Q37" s="28">
        <f t="shared" si="3"/>
        <v>1.3220841583421479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landscape" paperSize="9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86f34b-9ec0-4b57-881d-2dd791180e2d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65" sqref="I65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12-06-2023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326</v>
      </c>
      <c r="B9" s="54">
        <v>1.62</v>
      </c>
      <c r="C9" s="54">
        <v>39.35</v>
      </c>
      <c r="D9" s="54">
        <v>23.66</v>
      </c>
      <c r="E9" s="54">
        <v>3.22</v>
      </c>
      <c r="F9" s="54">
        <v>10.51</v>
      </c>
      <c r="G9" s="54">
        <v>53.11</v>
      </c>
      <c r="H9" s="54">
        <v>27.97</v>
      </c>
      <c r="I9" s="54">
        <v>0.72</v>
      </c>
      <c r="J9" s="54">
        <v>0.25</v>
      </c>
      <c r="K9" s="54">
        <v>54.59</v>
      </c>
      <c r="L9" s="54">
        <v>30.23</v>
      </c>
      <c r="M9" s="54">
        <v>39.799999999999997</v>
      </c>
      <c r="N9" s="54">
        <v>5</v>
      </c>
      <c r="O9" s="54">
        <v>0</v>
      </c>
      <c r="P9" s="54">
        <v>1.04</v>
      </c>
      <c r="Q9" s="54">
        <v>24.10</v>
      </c>
      <c r="R9" s="43"/>
      <c r="S9" s="43"/>
      <c r="T9" s="43"/>
      <c r="U9" s="43"/>
    </row>
    <row r="10" spans="1:21" s="11" customFormat="1" ht="15">
      <c r="A10" s="53" t="s">
        <v>327</v>
      </c>
      <c r="B10" s="54">
        <v>1</v>
      </c>
      <c r="C10" s="54">
        <v>41.54</v>
      </c>
      <c r="D10" s="54">
        <v>24.38</v>
      </c>
      <c r="E10" s="54">
        <v>11.46</v>
      </c>
      <c r="F10" s="54">
        <v>12.75</v>
      </c>
      <c r="G10" s="54">
        <v>45.18</v>
      </c>
      <c r="H10" s="54">
        <v>26.05</v>
      </c>
      <c r="I10" s="54">
        <v>0.59</v>
      </c>
      <c r="J10" s="54">
        <v>0.08</v>
      </c>
      <c r="K10" s="54">
        <v>346.32</v>
      </c>
      <c r="L10" s="54">
        <v>29.40</v>
      </c>
      <c r="M10" s="54">
        <v>41.45</v>
      </c>
      <c r="N10" s="54">
        <v>5</v>
      </c>
      <c r="O10" s="54">
        <v>0</v>
      </c>
      <c r="P10" s="54">
        <v>1.03</v>
      </c>
      <c r="Q10" s="54">
        <v>21.74</v>
      </c>
      <c r="R10" s="43"/>
      <c r="S10" s="43"/>
      <c r="T10" s="43"/>
      <c r="U10" s="43"/>
    </row>
    <row r="11" spans="1:21" s="11" customFormat="1" ht="15">
      <c r="A11" s="53" t="s">
        <v>328</v>
      </c>
      <c r="B11" s="54">
        <v>1</v>
      </c>
      <c r="C11" s="54">
        <v>39.700000000000003</v>
      </c>
      <c r="D11" s="54">
        <v>23.36</v>
      </c>
      <c r="E11" s="54">
        <v>12.04</v>
      </c>
      <c r="F11" s="54">
        <v>28.16</v>
      </c>
      <c r="G11" s="54">
        <v>47.52</v>
      </c>
      <c r="H11" s="54">
        <v>24.08</v>
      </c>
      <c r="I11" s="54">
        <v>0.53</v>
      </c>
      <c r="J11" s="54">
        <v>0.14000000000000001</v>
      </c>
      <c r="K11" s="54">
        <v>351.40</v>
      </c>
      <c r="L11" s="54">
        <v>29.02</v>
      </c>
      <c r="M11" s="54">
        <v>46.38</v>
      </c>
      <c r="N11" s="54">
        <v>5.30</v>
      </c>
      <c r="O11" s="54">
        <v>0</v>
      </c>
      <c r="P11" s="54">
        <v>1.05</v>
      </c>
      <c r="Q11" s="54">
        <v>25.18</v>
      </c>
      <c r="R11" s="43"/>
      <c r="S11" s="43"/>
      <c r="T11" s="43"/>
      <c r="U11" s="43"/>
    </row>
    <row r="12" spans="1:21" s="11" customFormat="1" ht="15">
      <c r="A12" s="53" t="s">
        <v>329</v>
      </c>
      <c r="B12" s="54">
        <v>5.36</v>
      </c>
      <c r="C12" s="54">
        <v>34.380000000000003</v>
      </c>
      <c r="D12" s="54">
        <v>23.92</v>
      </c>
      <c r="E12" s="54">
        <v>11.17</v>
      </c>
      <c r="F12" s="54">
        <v>23.32</v>
      </c>
      <c r="G12" s="54">
        <v>48.11</v>
      </c>
      <c r="H12" s="54">
        <v>22.48</v>
      </c>
      <c r="I12" s="54">
        <v>0.64</v>
      </c>
      <c r="J12" s="54">
        <v>0.65</v>
      </c>
      <c r="K12" s="54">
        <v>359.68</v>
      </c>
      <c r="L12" s="54">
        <v>28.09</v>
      </c>
      <c r="M12" s="54">
        <v>48.25</v>
      </c>
      <c r="N12" s="54">
        <v>4.70</v>
      </c>
      <c r="O12" s="54">
        <v>0</v>
      </c>
      <c r="P12" s="54">
        <v>0.98</v>
      </c>
      <c r="Q12" s="54">
        <v>26.47</v>
      </c>
      <c r="R12" s="43"/>
      <c r="S12" s="43"/>
      <c r="T12" s="43"/>
      <c r="U12" s="43"/>
    </row>
    <row r="13" spans="1:21" s="11" customFormat="1" ht="15">
      <c r="A13" s="53" t="s">
        <v>330</v>
      </c>
      <c r="B13" s="54">
        <v>3.10</v>
      </c>
      <c r="C13" s="54">
        <v>37.909999999999997</v>
      </c>
      <c r="D13" s="54">
        <v>23.58</v>
      </c>
      <c r="E13" s="54">
        <v>7.21</v>
      </c>
      <c r="F13" s="54">
        <v>14.33</v>
      </c>
      <c r="G13" s="54">
        <v>36.19</v>
      </c>
      <c r="H13" s="54">
        <v>21.30</v>
      </c>
      <c r="I13" s="54">
        <v>0.61</v>
      </c>
      <c r="J13" s="54">
        <v>0.33</v>
      </c>
      <c r="K13" s="54">
        <v>349.34</v>
      </c>
      <c r="L13" s="54">
        <v>28.21</v>
      </c>
      <c r="M13" s="54">
        <v>47.96</v>
      </c>
      <c r="N13" s="54">
        <v>4.80</v>
      </c>
      <c r="O13" s="54">
        <v>0</v>
      </c>
      <c r="P13" s="54">
        <v>0.86</v>
      </c>
      <c r="Q13" s="54">
        <v>24.61</v>
      </c>
      <c r="R13" s="43"/>
      <c r="S13" s="43"/>
      <c r="T13" s="43"/>
      <c r="U13" s="43"/>
    </row>
    <row r="14" spans="1:21" s="11" customFormat="1" ht="15">
      <c r="A14" s="53" t="s">
        <v>331</v>
      </c>
      <c r="B14" s="54">
        <v>6.48</v>
      </c>
      <c r="C14" s="54">
        <v>47.92</v>
      </c>
      <c r="D14" s="54">
        <v>31.69</v>
      </c>
      <c r="E14" s="54">
        <v>5.08</v>
      </c>
      <c r="F14" s="54">
        <v>9.24</v>
      </c>
      <c r="G14" s="54">
        <v>37.92</v>
      </c>
      <c r="H14" s="54">
        <v>19.64</v>
      </c>
      <c r="I14" s="54">
        <v>0.54</v>
      </c>
      <c r="J14" s="54">
        <v>0.14000000000000001</v>
      </c>
      <c r="K14" s="54">
        <v>48.89</v>
      </c>
      <c r="L14" s="54">
        <v>28.19</v>
      </c>
      <c r="M14" s="54">
        <v>45.66</v>
      </c>
      <c r="N14" s="54">
        <v>26.90</v>
      </c>
      <c r="O14" s="54">
        <v>0</v>
      </c>
      <c r="P14" s="54">
        <v>0.71</v>
      </c>
      <c r="Q14" s="54">
        <v>25.04</v>
      </c>
      <c r="R14" s="43"/>
      <c r="S14" s="43"/>
      <c r="T14" s="43"/>
      <c r="U14" s="43"/>
    </row>
    <row r="15" spans="1:21" s="11" customFormat="1" ht="15">
      <c r="A15" s="53" t="s">
        <v>332</v>
      </c>
      <c r="B15" s="54">
        <v>9.75</v>
      </c>
      <c r="C15" s="54">
        <v>47.51</v>
      </c>
      <c r="D15" s="54">
        <v>34.69</v>
      </c>
      <c r="E15" s="54">
        <v>6.53</v>
      </c>
      <c r="F15" s="54">
        <v>9.51</v>
      </c>
      <c r="G15" s="54">
        <v>41.47</v>
      </c>
      <c r="H15" s="54">
        <v>20.29</v>
      </c>
      <c r="I15" s="54">
        <v>0.61</v>
      </c>
      <c r="J15" s="54">
        <v>0.24</v>
      </c>
      <c r="K15" s="54">
        <v>46.02</v>
      </c>
      <c r="L15" s="54">
        <v>28.74</v>
      </c>
      <c r="M15" s="54">
        <v>45.89</v>
      </c>
      <c r="N15" s="54">
        <v>71.5</v>
      </c>
      <c r="O15" s="54">
        <v>0</v>
      </c>
      <c r="P15" s="54">
        <v>0.66</v>
      </c>
      <c r="Q15" s="54">
        <v>25.21</v>
      </c>
      <c r="R15" s="43"/>
      <c r="S15" s="43"/>
      <c r="T15" s="43"/>
      <c r="U15" s="43"/>
    </row>
    <row r="16" spans="1:21" s="11" customFormat="1" ht="15">
      <c r="A16" s="53" t="s">
        <v>333</v>
      </c>
      <c r="B16" s="54">
        <v>5.18</v>
      </c>
      <c r="C16" s="54">
        <v>42.23</v>
      </c>
      <c r="D16" s="54">
        <v>27.57</v>
      </c>
      <c r="E16" s="54">
        <v>3.10</v>
      </c>
      <c r="F16" s="54">
        <v>5.70</v>
      </c>
      <c r="G16" s="54">
        <v>45.19</v>
      </c>
      <c r="H16" s="54">
        <v>20.51</v>
      </c>
      <c r="I16" s="54">
        <v>0.55000000000000004</v>
      </c>
      <c r="J16" s="54">
        <v>0.32</v>
      </c>
      <c r="K16" s="54">
        <v>47.26</v>
      </c>
      <c r="L16" s="54">
        <v>31.42</v>
      </c>
      <c r="M16" s="54">
        <v>44.43</v>
      </c>
      <c r="N16" s="54">
        <v>422.10</v>
      </c>
      <c r="O16" s="54">
        <v>0</v>
      </c>
      <c r="P16" s="54">
        <v>0.86</v>
      </c>
      <c r="Q16" s="54">
        <v>23.60</v>
      </c>
      <c r="R16" s="43"/>
      <c r="S16" s="43"/>
      <c r="T16" s="43"/>
      <c r="U16" s="43"/>
    </row>
    <row r="17" spans="1:21" s="11" customFormat="1" ht="15">
      <c r="A17" s="53" t="s">
        <v>334</v>
      </c>
      <c r="B17" s="54">
        <v>2.38</v>
      </c>
      <c r="C17" s="54">
        <v>44.70</v>
      </c>
      <c r="D17" s="54">
        <v>27.22</v>
      </c>
      <c r="E17" s="54">
        <v>5.12</v>
      </c>
      <c r="F17" s="54">
        <v>9.48</v>
      </c>
      <c r="G17" s="54">
        <v>49.22</v>
      </c>
      <c r="H17" s="54">
        <v>22.02</v>
      </c>
      <c r="I17" s="54">
        <v>0.55000000000000004</v>
      </c>
      <c r="J17" s="54">
        <v>0.31</v>
      </c>
      <c r="K17" s="54">
        <v>35.840000000000003</v>
      </c>
      <c r="L17" s="54">
        <v>34.22</v>
      </c>
      <c r="M17" s="54">
        <v>37.590000000000003</v>
      </c>
      <c r="N17" s="54">
        <v>614.60</v>
      </c>
      <c r="O17" s="54">
        <v>0</v>
      </c>
      <c r="P17" s="54">
        <v>0.81</v>
      </c>
      <c r="Q17" s="54">
        <v>23.74</v>
      </c>
      <c r="R17" s="43"/>
      <c r="S17" s="43"/>
      <c r="T17" s="43"/>
      <c r="U17" s="43"/>
    </row>
    <row r="18" spans="1:21" s="11" customFormat="1" ht="15">
      <c r="A18" s="53" t="s">
        <v>335</v>
      </c>
      <c r="B18" s="54">
        <v>1.97</v>
      </c>
      <c r="C18" s="54">
        <v>46.59</v>
      </c>
      <c r="D18" s="54">
        <v>27.32</v>
      </c>
      <c r="E18" s="54">
        <v>4.8899999999999997</v>
      </c>
      <c r="F18" s="54">
        <v>9.60</v>
      </c>
      <c r="G18" s="54">
        <v>52.58</v>
      </c>
      <c r="H18" s="54">
        <v>22.66</v>
      </c>
      <c r="I18" s="54">
        <v>0.56999999999999995</v>
      </c>
      <c r="J18" s="54">
        <v>0.34</v>
      </c>
      <c r="K18" s="54">
        <v>39.68</v>
      </c>
      <c r="L18" s="54">
        <v>35.94</v>
      </c>
      <c r="M18" s="54">
        <v>32.86</v>
      </c>
      <c r="N18" s="54">
        <v>755.70</v>
      </c>
      <c r="O18" s="54">
        <v>0</v>
      </c>
      <c r="P18" s="54">
        <v>1.08</v>
      </c>
      <c r="Q18" s="54">
        <v>23.68</v>
      </c>
      <c r="R18" s="43"/>
      <c r="S18" s="43"/>
      <c r="T18" s="43"/>
      <c r="U18" s="43"/>
    </row>
    <row r="19" spans="1:21" s="11" customFormat="1" ht="15">
      <c r="A19" s="53" t="s">
        <v>336</v>
      </c>
      <c r="B19" s="54">
        <v>2</v>
      </c>
      <c r="C19" s="54">
        <v>46.32</v>
      </c>
      <c r="D19" s="54">
        <v>27.81</v>
      </c>
      <c r="E19" s="54">
        <v>5.23</v>
      </c>
      <c r="F19" s="54">
        <v>20.69</v>
      </c>
      <c r="G19" s="54">
        <v>55.28</v>
      </c>
      <c r="H19" s="54">
        <v>22.97</v>
      </c>
      <c r="I19" s="54">
        <v>0.57999999999999996</v>
      </c>
      <c r="J19" s="54">
        <v>0.41</v>
      </c>
      <c r="K19" s="54">
        <v>21.55</v>
      </c>
      <c r="L19" s="54">
        <v>39.07</v>
      </c>
      <c r="M19" s="54">
        <v>31.02</v>
      </c>
      <c r="N19" s="54">
        <v>886.90</v>
      </c>
      <c r="O19" s="54">
        <v>0</v>
      </c>
      <c r="P19" s="54">
        <v>1.05</v>
      </c>
      <c r="Q19" s="54">
        <v>21.71</v>
      </c>
      <c r="R19" s="43"/>
      <c r="S19" s="43"/>
      <c r="T19" s="43"/>
      <c r="U19" s="43"/>
    </row>
    <row r="20" spans="1:21" s="11" customFormat="1" ht="15">
      <c r="A20" s="53" t="s">
        <v>337</v>
      </c>
      <c r="B20" s="54">
        <v>1.59</v>
      </c>
      <c r="C20" s="54">
        <v>41.63</v>
      </c>
      <c r="D20" s="54">
        <v>24.90</v>
      </c>
      <c r="E20" s="54">
        <v>4.4800000000000004</v>
      </c>
      <c r="F20" s="54">
        <v>28.27</v>
      </c>
      <c r="G20" s="54">
        <v>50.88</v>
      </c>
      <c r="H20" s="54">
        <v>23.74</v>
      </c>
      <c r="I20" s="54">
        <v>0.57999999999999996</v>
      </c>
      <c r="J20" s="54">
        <v>0.42</v>
      </c>
      <c r="K20" s="54">
        <v>358.13</v>
      </c>
      <c r="L20" s="54">
        <v>39.39</v>
      </c>
      <c r="M20" s="54">
        <v>26.29</v>
      </c>
      <c r="N20" s="54">
        <v>897.30</v>
      </c>
      <c r="O20" s="54">
        <v>0</v>
      </c>
      <c r="P20" s="54">
        <v>0.81</v>
      </c>
      <c r="Q20" s="54">
        <v>23.22</v>
      </c>
      <c r="R20" s="43"/>
      <c r="S20" s="43"/>
      <c r="T20" s="43"/>
      <c r="U20" s="43"/>
    </row>
    <row r="21" spans="1:21" s="11" customFormat="1" ht="15">
      <c r="A21" s="53" t="s">
        <v>338</v>
      </c>
      <c r="B21" s="54">
        <v>2.4700000000000002</v>
      </c>
      <c r="C21" s="54">
        <v>39.97</v>
      </c>
      <c r="D21" s="54">
        <v>24.69</v>
      </c>
      <c r="E21" s="54">
        <v>3.97</v>
      </c>
      <c r="F21" s="54">
        <v>25.79</v>
      </c>
      <c r="G21" s="54">
        <v>42.96</v>
      </c>
      <c r="H21" s="54">
        <v>25.64</v>
      </c>
      <c r="I21" s="54">
        <v>0.65</v>
      </c>
      <c r="J21" s="54">
        <v>0.82</v>
      </c>
      <c r="K21" s="54">
        <v>350.27</v>
      </c>
      <c r="L21" s="54">
        <v>41.17</v>
      </c>
      <c r="M21" s="54">
        <v>23.88</v>
      </c>
      <c r="N21" s="54">
        <v>879.80</v>
      </c>
      <c r="O21" s="54">
        <v>0</v>
      </c>
      <c r="P21" s="54">
        <v>0.61</v>
      </c>
      <c r="Q21" s="54">
        <v>23.42</v>
      </c>
      <c r="R21" s="43"/>
      <c r="S21" s="43"/>
      <c r="T21" s="43"/>
      <c r="U21" s="43"/>
    </row>
    <row r="22" spans="1:21" s="11" customFormat="1" ht="15">
      <c r="A22" s="53" t="s">
        <v>339</v>
      </c>
      <c r="B22" s="54">
        <v>3.46</v>
      </c>
      <c r="C22" s="54">
        <v>37.630000000000003</v>
      </c>
      <c r="D22" s="54">
        <v>23.37</v>
      </c>
      <c r="E22" s="54">
        <v>2.65</v>
      </c>
      <c r="F22" s="54">
        <v>22.25</v>
      </c>
      <c r="G22" s="56" t="s">
        <v>12</v>
      </c>
      <c r="H22" s="56" t="s">
        <v>12</v>
      </c>
      <c r="I22" s="54">
        <v>0.66</v>
      </c>
      <c r="J22" s="54">
        <v>1.03</v>
      </c>
      <c r="K22" s="54">
        <v>352.08</v>
      </c>
      <c r="L22" s="54">
        <v>42.10</v>
      </c>
      <c r="M22" s="54">
        <v>20.62</v>
      </c>
      <c r="N22" s="54">
        <v>787.90</v>
      </c>
      <c r="O22" s="54">
        <v>0</v>
      </c>
      <c r="P22" s="54">
        <v>0.52</v>
      </c>
      <c r="Q22" s="54">
        <v>22.76</v>
      </c>
      <c r="R22" s="43"/>
      <c r="S22" s="43"/>
      <c r="T22" s="43"/>
      <c r="U22" s="43"/>
    </row>
    <row r="23" spans="1:21" s="11" customFormat="1" ht="15">
      <c r="A23" s="53" t="s">
        <v>340</v>
      </c>
      <c r="B23" s="54">
        <v>5.61</v>
      </c>
      <c r="C23" s="54">
        <v>33.07</v>
      </c>
      <c r="D23" s="54">
        <v>22.13</v>
      </c>
      <c r="E23" s="54">
        <v>4.25</v>
      </c>
      <c r="F23" s="54">
        <v>45.76</v>
      </c>
      <c r="G23" s="54">
        <v>23.23</v>
      </c>
      <c r="H23" s="54">
        <v>15.76</v>
      </c>
      <c r="I23" s="54">
        <v>0.89</v>
      </c>
      <c r="J23" s="54">
        <v>0.19</v>
      </c>
      <c r="K23" s="54">
        <v>56.31</v>
      </c>
      <c r="L23" s="54">
        <v>41.02</v>
      </c>
      <c r="M23" s="54">
        <v>20.22</v>
      </c>
      <c r="N23" s="54">
        <v>503.40</v>
      </c>
      <c r="O23" s="54">
        <v>0</v>
      </c>
      <c r="P23" s="54">
        <v>0.5</v>
      </c>
      <c r="Q23" s="54">
        <v>26.07</v>
      </c>
      <c r="R23" s="43"/>
      <c r="S23" s="43"/>
      <c r="T23" s="43"/>
      <c r="U23" s="43"/>
    </row>
    <row r="24" spans="1:21" s="11" customFormat="1" ht="15">
      <c r="A24" s="53" t="s">
        <v>341</v>
      </c>
      <c r="B24" s="54">
        <v>2.62</v>
      </c>
      <c r="C24" s="54">
        <v>37.880000000000003</v>
      </c>
      <c r="D24" s="54">
        <v>22.73</v>
      </c>
      <c r="E24" s="54">
        <v>7.39</v>
      </c>
      <c r="F24" s="54">
        <v>56.77</v>
      </c>
      <c r="G24" s="54">
        <v>24.83</v>
      </c>
      <c r="H24" s="54">
        <v>15.76</v>
      </c>
      <c r="I24" s="54">
        <v>0.75</v>
      </c>
      <c r="J24" s="54">
        <v>0.36</v>
      </c>
      <c r="K24" s="54">
        <v>173.43</v>
      </c>
      <c r="L24" s="54">
        <v>38.76</v>
      </c>
      <c r="M24" s="54">
        <v>23.28</v>
      </c>
      <c r="N24" s="54">
        <v>250.30</v>
      </c>
      <c r="O24" s="54">
        <v>0</v>
      </c>
      <c r="P24" s="54">
        <v>0.54</v>
      </c>
      <c r="Q24" s="54">
        <v>25.92</v>
      </c>
      <c r="R24" s="43"/>
      <c r="S24" s="43"/>
      <c r="T24" s="43"/>
      <c r="U24" s="43"/>
    </row>
    <row r="25" spans="1:21" s="11" customFormat="1" ht="15">
      <c r="A25" s="53" t="s">
        <v>342</v>
      </c>
      <c r="B25" s="54">
        <v>1.83</v>
      </c>
      <c r="C25" s="54">
        <v>46.27</v>
      </c>
      <c r="D25" s="54">
        <v>27.65</v>
      </c>
      <c r="E25" s="54">
        <v>5.37</v>
      </c>
      <c r="F25" s="54">
        <v>19.96</v>
      </c>
      <c r="G25" s="54">
        <v>33.42</v>
      </c>
      <c r="H25" s="54">
        <v>22.41</v>
      </c>
      <c r="I25" s="54">
        <v>0.75</v>
      </c>
      <c r="J25" s="54">
        <v>1.01</v>
      </c>
      <c r="K25" s="54">
        <v>349.15</v>
      </c>
      <c r="L25" s="54">
        <v>37.17</v>
      </c>
      <c r="M25" s="54">
        <v>33.67</v>
      </c>
      <c r="N25" s="54">
        <v>108.70</v>
      </c>
      <c r="O25" s="54">
        <v>0</v>
      </c>
      <c r="P25" s="54">
        <v>0.55000000000000004</v>
      </c>
      <c r="Q25" s="54">
        <v>26.52</v>
      </c>
      <c r="R25" s="43"/>
      <c r="S25" s="43"/>
      <c r="T25" s="43"/>
      <c r="U25" s="43"/>
    </row>
    <row r="26" spans="1:21" s="11" customFormat="1" ht="15">
      <c r="A26" s="53" t="s">
        <v>343</v>
      </c>
      <c r="B26" s="54">
        <v>4.04</v>
      </c>
      <c r="C26" s="54">
        <v>48.16</v>
      </c>
      <c r="D26" s="54">
        <v>30.47</v>
      </c>
      <c r="E26" s="54">
        <v>2.5499999999999998</v>
      </c>
      <c r="F26" s="54">
        <v>31.55</v>
      </c>
      <c r="G26" s="54">
        <v>33.42</v>
      </c>
      <c r="H26" s="54">
        <v>25.20</v>
      </c>
      <c r="I26" s="54">
        <v>0.97</v>
      </c>
      <c r="J26" s="54">
        <v>0.93</v>
      </c>
      <c r="K26" s="54">
        <v>345.46</v>
      </c>
      <c r="L26" s="54">
        <v>33.840000000000003</v>
      </c>
      <c r="M26" s="54">
        <v>32.58</v>
      </c>
      <c r="N26" s="54">
        <v>50.80</v>
      </c>
      <c r="O26" s="54">
        <v>0.20</v>
      </c>
      <c r="P26" s="54">
        <v>0.54</v>
      </c>
      <c r="Q26" s="54">
        <v>27.90</v>
      </c>
      <c r="R26" s="43"/>
      <c r="S26" s="43"/>
      <c r="T26" s="43"/>
      <c r="U26" s="43"/>
    </row>
    <row r="27" spans="1:21" s="11" customFormat="1" ht="15">
      <c r="A27" s="53" t="s">
        <v>344</v>
      </c>
      <c r="B27" s="54">
        <v>5.66</v>
      </c>
      <c r="C27" s="54">
        <v>49.98</v>
      </c>
      <c r="D27" s="54">
        <v>32.770000000000003</v>
      </c>
      <c r="E27" s="54">
        <v>3.35</v>
      </c>
      <c r="F27" s="54">
        <v>33.57</v>
      </c>
      <c r="G27" s="54">
        <v>32.36</v>
      </c>
      <c r="H27" s="54">
        <v>25.20</v>
      </c>
      <c r="I27" s="54">
        <v>0.69</v>
      </c>
      <c r="J27" s="54">
        <v>0.44</v>
      </c>
      <c r="K27" s="54">
        <v>299.81</v>
      </c>
      <c r="L27" s="54">
        <v>33.5</v>
      </c>
      <c r="M27" s="54">
        <v>32.25</v>
      </c>
      <c r="N27" s="54">
        <v>22.20</v>
      </c>
      <c r="O27" s="54">
        <v>0</v>
      </c>
      <c r="P27" s="54">
        <v>0.64</v>
      </c>
      <c r="Q27" s="54">
        <v>26.41</v>
      </c>
      <c r="R27" s="43"/>
      <c r="S27" s="43"/>
      <c r="T27" s="43"/>
      <c r="U27" s="43"/>
    </row>
    <row r="28" spans="1:21" s="11" customFormat="1" ht="15">
      <c r="A28" s="53" t="s">
        <v>345</v>
      </c>
      <c r="B28" s="54">
        <v>12.08</v>
      </c>
      <c r="C28" s="54">
        <v>60.82</v>
      </c>
      <c r="D28" s="54">
        <v>43.01</v>
      </c>
      <c r="E28" s="54">
        <v>3.11</v>
      </c>
      <c r="F28" s="54">
        <v>22.71</v>
      </c>
      <c r="G28" s="54">
        <v>42.58</v>
      </c>
      <c r="H28" s="54">
        <v>23.58</v>
      </c>
      <c r="I28" s="54">
        <v>0.81</v>
      </c>
      <c r="J28" s="54">
        <v>0.91</v>
      </c>
      <c r="K28" s="54">
        <v>268.05</v>
      </c>
      <c r="L28" s="54">
        <v>34.22</v>
      </c>
      <c r="M28" s="54">
        <v>29.91</v>
      </c>
      <c r="N28" s="54">
        <v>6.30</v>
      </c>
      <c r="O28" s="54">
        <v>0</v>
      </c>
      <c r="P28" s="54">
        <v>0.96</v>
      </c>
      <c r="Q28" s="54">
        <v>25.18</v>
      </c>
      <c r="R28" s="43"/>
      <c r="S28" s="43"/>
      <c r="T28" s="43"/>
      <c r="U28" s="43"/>
    </row>
    <row r="29" spans="1:21" s="11" customFormat="1" ht="15">
      <c r="A29" s="53" t="s">
        <v>346</v>
      </c>
      <c r="B29" s="54">
        <v>3.80</v>
      </c>
      <c r="C29" s="54">
        <v>45.56</v>
      </c>
      <c r="D29" s="54">
        <v>28.84</v>
      </c>
      <c r="E29" s="54">
        <v>2.48</v>
      </c>
      <c r="F29" s="54">
        <v>16.04</v>
      </c>
      <c r="G29" s="54">
        <v>70.97</v>
      </c>
      <c r="H29" s="54">
        <v>26.93</v>
      </c>
      <c r="I29" s="54">
        <v>0.78</v>
      </c>
      <c r="J29" s="54">
        <v>1.66</v>
      </c>
      <c r="K29" s="54">
        <v>348.73</v>
      </c>
      <c r="L29" s="54">
        <v>29.33</v>
      </c>
      <c r="M29" s="54">
        <v>60.62</v>
      </c>
      <c r="N29" s="54">
        <v>20.5</v>
      </c>
      <c r="O29" s="54">
        <v>1</v>
      </c>
      <c r="P29" s="54">
        <v>0.94</v>
      </c>
      <c r="Q29" s="54">
        <v>26.22</v>
      </c>
      <c r="R29" s="43"/>
      <c r="S29" s="43"/>
      <c r="T29" s="43"/>
      <c r="U29" s="43"/>
    </row>
    <row r="30" spans="1:21" s="11" customFormat="1" ht="15">
      <c r="A30" s="53" t="s">
        <v>347</v>
      </c>
      <c r="B30" s="54">
        <v>7.03</v>
      </c>
      <c r="C30" s="54">
        <v>42.05</v>
      </c>
      <c r="D30" s="54">
        <v>28.67</v>
      </c>
      <c r="E30" s="54">
        <v>2.2999999999999998</v>
      </c>
      <c r="F30" s="54">
        <v>11.61</v>
      </c>
      <c r="G30" s="54">
        <v>73.53</v>
      </c>
      <c r="H30" s="54">
        <v>31.35</v>
      </c>
      <c r="I30" s="54">
        <v>0.67</v>
      </c>
      <c r="J30" s="54">
        <v>0.23</v>
      </c>
      <c r="K30" s="54">
        <v>357.86</v>
      </c>
      <c r="L30" s="54">
        <v>29.90</v>
      </c>
      <c r="M30" s="54">
        <v>47.22</v>
      </c>
      <c r="N30" s="54">
        <v>6.20</v>
      </c>
      <c r="O30" s="54">
        <v>0</v>
      </c>
      <c r="P30" s="54">
        <v>0.95</v>
      </c>
      <c r="Q30" s="54">
        <v>25.32</v>
      </c>
      <c r="R30" s="43"/>
      <c r="S30" s="43"/>
      <c r="T30" s="43"/>
      <c r="U30" s="43"/>
    </row>
    <row r="31" spans="1:21" s="11" customFormat="1" ht="15">
      <c r="A31" s="53" t="s">
        <v>348</v>
      </c>
      <c r="B31" s="54">
        <v>9.1300000000000008</v>
      </c>
      <c r="C31" s="54">
        <v>53.47</v>
      </c>
      <c r="D31" s="54">
        <v>37.479999999999997</v>
      </c>
      <c r="E31" s="54">
        <v>3.64</v>
      </c>
      <c r="F31" s="54">
        <v>15.29</v>
      </c>
      <c r="G31" s="54">
        <v>73.53</v>
      </c>
      <c r="H31" s="54">
        <v>35.51</v>
      </c>
      <c r="I31" s="54">
        <v>0.78</v>
      </c>
      <c r="J31" s="54">
        <v>0.18</v>
      </c>
      <c r="K31" s="54">
        <v>241.06</v>
      </c>
      <c r="L31" s="54">
        <v>30.22</v>
      </c>
      <c r="M31" s="54">
        <v>43.83</v>
      </c>
      <c r="N31" s="54">
        <v>5.5</v>
      </c>
      <c r="O31" s="54">
        <v>0</v>
      </c>
      <c r="P31" s="54">
        <v>0.93</v>
      </c>
      <c r="Q31" s="54">
        <v>24.36</v>
      </c>
      <c r="R31" s="43"/>
      <c r="S31" s="43"/>
      <c r="T31" s="43"/>
      <c r="U31" s="43"/>
    </row>
    <row r="32" spans="1:21" s="11" customFormat="1" ht="15">
      <c r="A32" s="53" t="s">
        <v>349</v>
      </c>
      <c r="B32" s="54">
        <v>7.89</v>
      </c>
      <c r="C32" s="54">
        <v>43.31</v>
      </c>
      <c r="D32" s="54">
        <v>30.72</v>
      </c>
      <c r="E32" s="54">
        <v>4.37</v>
      </c>
      <c r="F32" s="54">
        <v>19.5</v>
      </c>
      <c r="G32" s="54">
        <v>69.239999999999995</v>
      </c>
      <c r="H32" s="54">
        <v>35.51</v>
      </c>
      <c r="I32" s="54">
        <v>0.73</v>
      </c>
      <c r="J32" s="54">
        <v>0.59</v>
      </c>
      <c r="K32" s="54">
        <v>336.22</v>
      </c>
      <c r="L32" s="54">
        <v>29.69</v>
      </c>
      <c r="M32" s="54">
        <v>50.27</v>
      </c>
      <c r="N32" s="54">
        <v>5.70</v>
      </c>
      <c r="O32" s="54">
        <v>0</v>
      </c>
      <c r="P32" s="54">
        <v>0.86</v>
      </c>
      <c r="Q32" s="54">
        <v>26.43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</v>
      </c>
      <c r="C34" s="28">
        <f t="shared" si="0"/>
        <v>33.07</v>
      </c>
      <c r="D34" s="28">
        <f t="shared" si="0"/>
        <v>22.129999999999999</v>
      </c>
      <c r="E34" s="28">
        <f t="shared" si="0"/>
        <v>2.2999999999999998</v>
      </c>
      <c r="F34" s="28">
        <f t="shared" si="0"/>
        <v>5.7000000000000002</v>
      </c>
      <c r="G34" s="28">
        <f t="shared" si="0"/>
        <v>23.23</v>
      </c>
      <c r="H34" s="28">
        <f t="shared" si="0"/>
        <v>15.76</v>
      </c>
      <c r="I34" s="28">
        <f t="shared" si="0"/>
        <v>0.53000000000000003</v>
      </c>
      <c r="J34" s="28">
        <f t="shared" si="0"/>
        <v>0.080000000000000002</v>
      </c>
      <c r="K34" s="28">
        <f t="shared" si="0"/>
        <v>21.550000000000001</v>
      </c>
      <c r="L34" s="28">
        <f t="shared" si="0"/>
        <v>28.09</v>
      </c>
      <c r="M34" s="28">
        <f t="shared" si="0"/>
        <v>20.219999999999999</v>
      </c>
      <c r="N34" s="28">
        <f t="shared" si="0"/>
        <v>4.7000000000000002</v>
      </c>
      <c r="O34" s="28">
        <f t="shared" si="0"/>
        <v>0</v>
      </c>
      <c r="P34" s="28">
        <f t="shared" si="0"/>
        <v>0.5</v>
      </c>
      <c r="Q34" s="28">
        <f t="shared" si="0"/>
        <v>21.710000000000001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12.08</v>
      </c>
      <c r="C35" s="29">
        <f t="shared" si="1"/>
        <v>60.82</v>
      </c>
      <c r="D35" s="29">
        <f t="shared" si="1"/>
        <v>43.009999999999998</v>
      </c>
      <c r="E35" s="29">
        <f t="shared" si="1"/>
        <v>12.039999999999999</v>
      </c>
      <c r="F35" s="29">
        <f t="shared" si="1"/>
        <v>56.770000000000003</v>
      </c>
      <c r="G35" s="29">
        <f t="shared" si="1"/>
        <v>73.530000000000001</v>
      </c>
      <c r="H35" s="29">
        <f t="shared" si="1"/>
        <v>35.509999999999998</v>
      </c>
      <c r="I35" s="29">
        <f t="shared" si="1"/>
        <v>0.96999999999999997</v>
      </c>
      <c r="J35" s="29">
        <f t="shared" si="1"/>
        <v>1.6599999999999999</v>
      </c>
      <c r="K35" s="29">
        <f t="shared" si="1"/>
        <v>359.68000000000001</v>
      </c>
      <c r="L35" s="29">
        <f t="shared" si="1"/>
        <v>42.100000000000001</v>
      </c>
      <c r="M35" s="29">
        <f t="shared" si="1"/>
        <v>60.619999999999997</v>
      </c>
      <c r="N35" s="29">
        <f t="shared" si="1"/>
        <v>897.29999999999995</v>
      </c>
      <c r="O35" s="29">
        <f t="shared" si="1"/>
        <v>1</v>
      </c>
      <c r="P35" s="29">
        <f t="shared" si="1"/>
        <v>1.0800000000000001</v>
      </c>
      <c r="Q35" s="29">
        <f t="shared" si="1"/>
        <v>27.899999999999999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4.4604166666666663</v>
      </c>
      <c r="C36" s="28">
        <f t="shared" si="2"/>
        <v>43.664583333333333</v>
      </c>
      <c r="D36" s="28">
        <f t="shared" si="2"/>
        <v>28.026250000000001</v>
      </c>
      <c r="E36" s="28">
        <f t="shared" si="2"/>
        <v>5.2066666666666679</v>
      </c>
      <c r="F36" s="28">
        <f t="shared" si="2"/>
        <v>20.931666666666668</v>
      </c>
      <c r="G36" s="28">
        <f t="shared" si="2"/>
        <v>47.074782608695656</v>
      </c>
      <c r="H36" s="28">
        <f t="shared" si="2"/>
        <v>24.198260869565214</v>
      </c>
      <c r="I36" s="28">
        <f t="shared" si="2"/>
        <v>0.67499999999999993</v>
      </c>
      <c r="J36" s="28">
        <f t="shared" si="2"/>
        <v>0.4991666666666667</v>
      </c>
      <c r="K36" s="28">
        <f t="shared" si="2"/>
        <v>230.71375</v>
      </c>
      <c r="L36" s="28">
        <f t="shared" si="2"/>
        <v>33.451666666666675</v>
      </c>
      <c r="M36" s="28">
        <f t="shared" si="2"/>
        <v>37.747083333333329</v>
      </c>
      <c r="N36" s="28">
        <f t="shared" si="2"/>
        <v>264.46249999999998</v>
      </c>
      <c r="O36" s="28">
        <f t="shared" si="2"/>
        <v>0.049999999999999996</v>
      </c>
      <c r="P36" s="28">
        <f t="shared" si="2"/>
        <v>0.81166666666666665</v>
      </c>
      <c r="Q36" s="28">
        <f t="shared" si="2"/>
        <v>24.783750000000001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3.0140720385589979</v>
      </c>
      <c r="C37" s="28">
        <f t="shared" si="3" ref="C37:Q37">STDEV(C9:C32)</f>
        <v>6.1622087931312661</v>
      </c>
      <c r="D37" s="28">
        <f t="shared" si="3"/>
        <v>5.1339973514161246</v>
      </c>
      <c r="E37" s="28">
        <f t="shared" si="3"/>
        <v>2.8274703191717321</v>
      </c>
      <c r="F37" s="28">
        <f t="shared" si="3"/>
        <v>12.224623286332942</v>
      </c>
      <c r="G37" s="28">
        <f t="shared" si="3"/>
        <v>14.376840552387538</v>
      </c>
      <c r="H37" s="28">
        <f t="shared" si="3"/>
        <v>5.0095423962436811</v>
      </c>
      <c r="I37" s="28">
        <f t="shared" si="3"/>
        <v>0.11560803342027891</v>
      </c>
      <c r="J37" s="28">
        <f t="shared" si="3"/>
        <v>0.38280335133995552</v>
      </c>
      <c r="K37" s="28">
        <f t="shared" si="3"/>
        <v>141.78233884043959</v>
      </c>
      <c r="L37" s="28">
        <f t="shared" si="3"/>
        <v>4.7496989988534715</v>
      </c>
      <c r="M37" s="28">
        <f t="shared" si="3"/>
        <v>10.682974459255332</v>
      </c>
      <c r="N37" s="28">
        <f t="shared" si="3"/>
        <v>347.19111991812235</v>
      </c>
      <c r="O37" s="28">
        <f t="shared" si="3"/>
        <v>0.206418738616856</v>
      </c>
      <c r="P37" s="28">
        <f t="shared" si="3"/>
        <v>0.19716836033917992</v>
      </c>
      <c r="Q37" s="28">
        <f t="shared" si="3"/>
        <v>1.5918319020385954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036bf64-1400-43f2-a170-50a0c9e76234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9" sqref="G69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13-06-2023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350</v>
      </c>
      <c r="B9" s="54">
        <v>5.24</v>
      </c>
      <c r="C9" s="54">
        <v>37.57</v>
      </c>
      <c r="D9" s="54">
        <v>25.58</v>
      </c>
      <c r="E9" s="54">
        <v>4.08</v>
      </c>
      <c r="F9" s="54">
        <v>11.75</v>
      </c>
      <c r="G9" s="54">
        <v>69.239999999999995</v>
      </c>
      <c r="H9" s="54">
        <v>26.73</v>
      </c>
      <c r="I9" s="54">
        <v>0.73</v>
      </c>
      <c r="J9" s="54">
        <v>0.91</v>
      </c>
      <c r="K9" s="54">
        <v>263.33</v>
      </c>
      <c r="L9" s="54">
        <v>28.87</v>
      </c>
      <c r="M9" s="54">
        <v>49.99</v>
      </c>
      <c r="N9" s="54">
        <v>5.90</v>
      </c>
      <c r="O9" s="54">
        <v>0</v>
      </c>
      <c r="P9" s="54">
        <v>0.82</v>
      </c>
      <c r="Q9" s="54">
        <v>26.49</v>
      </c>
      <c r="R9" s="43"/>
      <c r="S9" s="43"/>
      <c r="T9" s="43"/>
      <c r="U9" s="43"/>
    </row>
    <row r="10" spans="1:21" s="11" customFormat="1" ht="15">
      <c r="A10" s="53" t="s">
        <v>351</v>
      </c>
      <c r="B10" s="54">
        <v>2.2400000000000002</v>
      </c>
      <c r="C10" s="54">
        <v>33.229999999999997</v>
      </c>
      <c r="D10" s="54">
        <v>20.78</v>
      </c>
      <c r="E10" s="54">
        <v>3.78</v>
      </c>
      <c r="F10" s="54">
        <v>15.20</v>
      </c>
      <c r="G10" s="54">
        <v>60.73</v>
      </c>
      <c r="H10" s="54">
        <v>24.63</v>
      </c>
      <c r="I10" s="54">
        <v>0.68</v>
      </c>
      <c r="J10" s="54">
        <v>0.34</v>
      </c>
      <c r="K10" s="54">
        <v>240.62</v>
      </c>
      <c r="L10" s="54">
        <v>28.42</v>
      </c>
      <c r="M10" s="54">
        <v>50.62</v>
      </c>
      <c r="N10" s="54">
        <v>5.40</v>
      </c>
      <c r="O10" s="54">
        <v>0</v>
      </c>
      <c r="P10" s="54">
        <v>0.70</v>
      </c>
      <c r="Q10" s="54">
        <v>25.5</v>
      </c>
      <c r="R10" s="43"/>
      <c r="S10" s="43"/>
      <c r="T10" s="43"/>
      <c r="U10" s="43"/>
    </row>
    <row r="11" spans="1:21" s="11" customFormat="1" ht="15">
      <c r="A11" s="53" t="s">
        <v>352</v>
      </c>
      <c r="B11" s="54">
        <v>1.27</v>
      </c>
      <c r="C11" s="54">
        <v>25.32</v>
      </c>
      <c r="D11" s="54">
        <v>15.42</v>
      </c>
      <c r="E11" s="54">
        <v>4.45</v>
      </c>
      <c r="F11" s="54">
        <v>20.63</v>
      </c>
      <c r="G11" s="54">
        <v>46.33</v>
      </c>
      <c r="H11" s="54">
        <v>22.82</v>
      </c>
      <c r="I11" s="54">
        <v>0.75</v>
      </c>
      <c r="J11" s="54">
        <v>0.22</v>
      </c>
      <c r="K11" s="54">
        <v>249.44</v>
      </c>
      <c r="L11" s="54">
        <v>27.90</v>
      </c>
      <c r="M11" s="54">
        <v>50.47</v>
      </c>
      <c r="N11" s="54">
        <v>5.30</v>
      </c>
      <c r="O11" s="54">
        <v>0</v>
      </c>
      <c r="P11" s="54">
        <v>0.63</v>
      </c>
      <c r="Q11" s="54">
        <v>28.36</v>
      </c>
      <c r="R11" s="43"/>
      <c r="S11" s="43"/>
      <c r="T11" s="43"/>
      <c r="U11" s="43"/>
    </row>
    <row r="12" spans="1:21" s="11" customFormat="1" ht="15">
      <c r="A12" s="53" t="s">
        <v>353</v>
      </c>
      <c r="B12" s="54">
        <v>2.14</v>
      </c>
      <c r="C12" s="54">
        <v>24.99</v>
      </c>
      <c r="D12" s="54">
        <v>16</v>
      </c>
      <c r="E12" s="54">
        <v>3.53</v>
      </c>
      <c r="F12" s="54">
        <v>13.15</v>
      </c>
      <c r="G12" s="54">
        <v>30.12</v>
      </c>
      <c r="H12" s="54">
        <v>18.37</v>
      </c>
      <c r="I12" s="54">
        <v>0.65</v>
      </c>
      <c r="J12" s="54">
        <v>0.32</v>
      </c>
      <c r="K12" s="54">
        <v>230.69</v>
      </c>
      <c r="L12" s="54">
        <v>27.59</v>
      </c>
      <c r="M12" s="54">
        <v>50.45</v>
      </c>
      <c r="N12" s="54">
        <v>5.30</v>
      </c>
      <c r="O12" s="54">
        <v>0</v>
      </c>
      <c r="P12" s="54">
        <v>0.56000000000000005</v>
      </c>
      <c r="Q12" s="54">
        <v>28.02</v>
      </c>
      <c r="R12" s="43"/>
      <c r="S12" s="43"/>
      <c r="T12" s="43"/>
      <c r="U12" s="43"/>
    </row>
    <row r="13" spans="1:21" s="11" customFormat="1" ht="15">
      <c r="A13" s="53" t="s">
        <v>354</v>
      </c>
      <c r="B13" s="54">
        <v>1.24</v>
      </c>
      <c r="C13" s="54">
        <v>26.88</v>
      </c>
      <c r="D13" s="54">
        <v>16.30</v>
      </c>
      <c r="E13" s="54">
        <v>3.95</v>
      </c>
      <c r="F13" s="54">
        <v>18.489999999999998</v>
      </c>
      <c r="G13" s="54">
        <v>26.57</v>
      </c>
      <c r="H13" s="54">
        <v>17.43</v>
      </c>
      <c r="I13" s="54">
        <v>0.63</v>
      </c>
      <c r="J13" s="54">
        <v>0.18</v>
      </c>
      <c r="K13" s="54">
        <v>222.25</v>
      </c>
      <c r="L13" s="54">
        <v>27.75</v>
      </c>
      <c r="M13" s="54">
        <v>50.57</v>
      </c>
      <c r="N13" s="54">
        <v>5.40</v>
      </c>
      <c r="O13" s="54">
        <v>0</v>
      </c>
      <c r="P13" s="54">
        <v>0.49</v>
      </c>
      <c r="Q13" s="54">
        <v>26.41</v>
      </c>
      <c r="R13" s="43"/>
      <c r="S13" s="43"/>
      <c r="T13" s="43"/>
      <c r="U13" s="43"/>
    </row>
    <row r="14" spans="1:21" s="11" customFormat="1" ht="15">
      <c r="A14" s="53" t="s">
        <v>355</v>
      </c>
      <c r="B14" s="54">
        <v>6.41</v>
      </c>
      <c r="C14" s="54">
        <v>35.270000000000003</v>
      </c>
      <c r="D14" s="54">
        <v>24.86</v>
      </c>
      <c r="E14" s="54">
        <v>4.07</v>
      </c>
      <c r="F14" s="54">
        <v>15.34</v>
      </c>
      <c r="G14" s="54">
        <v>24.73</v>
      </c>
      <c r="H14" s="54">
        <v>16.77</v>
      </c>
      <c r="I14" s="54">
        <v>0.69</v>
      </c>
      <c r="J14" s="54">
        <v>0.34</v>
      </c>
      <c r="K14" s="54">
        <v>352.43</v>
      </c>
      <c r="L14" s="54">
        <v>27.55</v>
      </c>
      <c r="M14" s="54">
        <v>51.98</v>
      </c>
      <c r="N14" s="54">
        <v>11.30</v>
      </c>
      <c r="O14" s="54">
        <v>0</v>
      </c>
      <c r="P14" s="54">
        <v>0.45</v>
      </c>
      <c r="Q14" s="54">
        <v>27.68</v>
      </c>
      <c r="R14" s="43"/>
      <c r="S14" s="43"/>
      <c r="T14" s="43"/>
      <c r="U14" s="43"/>
    </row>
    <row r="15" spans="1:21" s="11" customFormat="1" ht="15">
      <c r="A15" s="53" t="s">
        <v>356</v>
      </c>
      <c r="B15" s="54">
        <v>13.11</v>
      </c>
      <c r="C15" s="54">
        <v>32.94</v>
      </c>
      <c r="D15" s="54">
        <v>29.34</v>
      </c>
      <c r="E15" s="54">
        <v>3.45</v>
      </c>
      <c r="F15" s="54">
        <v>10.93</v>
      </c>
      <c r="G15" s="54">
        <v>31.56</v>
      </c>
      <c r="H15" s="54">
        <v>16.059999999999999</v>
      </c>
      <c r="I15" s="54">
        <v>0.66</v>
      </c>
      <c r="J15" s="54">
        <v>0.36</v>
      </c>
      <c r="K15" s="54">
        <v>183.54</v>
      </c>
      <c r="L15" s="54">
        <v>27.26</v>
      </c>
      <c r="M15" s="54">
        <v>55.25</v>
      </c>
      <c r="N15" s="54">
        <v>50.40</v>
      </c>
      <c r="O15" s="54">
        <v>0</v>
      </c>
      <c r="P15" s="54">
        <v>0.51</v>
      </c>
      <c r="Q15" s="54">
        <v>26.54</v>
      </c>
      <c r="R15" s="43"/>
      <c r="S15" s="43"/>
      <c r="T15" s="43"/>
      <c r="U15" s="43"/>
    </row>
    <row r="16" spans="1:21" s="11" customFormat="1" ht="15">
      <c r="A16" s="53" t="s">
        <v>357</v>
      </c>
      <c r="B16" s="54">
        <v>13.58</v>
      </c>
      <c r="C16" s="54">
        <v>36.15</v>
      </c>
      <c r="D16" s="54">
        <v>31.48</v>
      </c>
      <c r="E16" s="54">
        <v>3.56</v>
      </c>
      <c r="F16" s="54">
        <v>15.80</v>
      </c>
      <c r="G16" s="54">
        <v>39.520000000000003</v>
      </c>
      <c r="H16" s="54">
        <v>16.89</v>
      </c>
      <c r="I16" s="54">
        <v>0.65</v>
      </c>
      <c r="J16" s="54">
        <v>0.15</v>
      </c>
      <c r="K16" s="54">
        <v>269.13</v>
      </c>
      <c r="L16" s="54">
        <v>28.41</v>
      </c>
      <c r="M16" s="54">
        <v>54.34</v>
      </c>
      <c r="N16" s="54">
        <v>153.60</v>
      </c>
      <c r="O16" s="54">
        <v>0</v>
      </c>
      <c r="P16" s="54">
        <v>0.56999999999999995</v>
      </c>
      <c r="Q16" s="54">
        <v>27.54</v>
      </c>
      <c r="R16" s="43"/>
      <c r="S16" s="43"/>
      <c r="T16" s="43"/>
      <c r="U16" s="43"/>
    </row>
    <row r="17" spans="1:21" s="11" customFormat="1" ht="15">
      <c r="A17" s="53" t="s">
        <v>358</v>
      </c>
      <c r="B17" s="54">
        <v>7.22</v>
      </c>
      <c r="C17" s="54">
        <v>40.71</v>
      </c>
      <c r="D17" s="54">
        <v>28.90</v>
      </c>
      <c r="E17" s="54">
        <v>2.71</v>
      </c>
      <c r="F17" s="54">
        <v>15.86</v>
      </c>
      <c r="G17" s="54">
        <v>44.56</v>
      </c>
      <c r="H17" s="54">
        <v>21.19</v>
      </c>
      <c r="I17" s="54">
        <v>0.70</v>
      </c>
      <c r="J17" s="54">
        <v>0.13</v>
      </c>
      <c r="K17" s="54">
        <v>307.26</v>
      </c>
      <c r="L17" s="54">
        <v>30.47</v>
      </c>
      <c r="M17" s="54">
        <v>51.09</v>
      </c>
      <c r="N17" s="54">
        <v>304.80</v>
      </c>
      <c r="O17" s="54">
        <v>0</v>
      </c>
      <c r="P17" s="54">
        <v>0.59</v>
      </c>
      <c r="Q17" s="54">
        <v>28.10</v>
      </c>
      <c r="R17" s="43"/>
      <c r="S17" s="43"/>
      <c r="T17" s="43"/>
      <c r="U17" s="43"/>
    </row>
    <row r="18" spans="1:21" s="11" customFormat="1" ht="15">
      <c r="A18" s="53" t="s">
        <v>359</v>
      </c>
      <c r="B18" s="54">
        <v>5.33</v>
      </c>
      <c r="C18" s="54">
        <v>37.89</v>
      </c>
      <c r="D18" s="54">
        <v>25.29</v>
      </c>
      <c r="E18" s="54">
        <v>2.4500000000000002</v>
      </c>
      <c r="F18" s="54">
        <v>10.90</v>
      </c>
      <c r="G18" s="54">
        <v>44.63</v>
      </c>
      <c r="H18" s="54">
        <v>22.84</v>
      </c>
      <c r="I18" s="54">
        <v>0.77</v>
      </c>
      <c r="J18" s="54">
        <v>0.26</v>
      </c>
      <c r="K18" s="54">
        <v>254.20</v>
      </c>
      <c r="L18" s="54">
        <v>32.72</v>
      </c>
      <c r="M18" s="54">
        <v>40.97</v>
      </c>
      <c r="N18" s="54">
        <v>500.5</v>
      </c>
      <c r="O18" s="54">
        <v>0</v>
      </c>
      <c r="P18" s="54">
        <v>0.59</v>
      </c>
      <c r="Q18" s="54">
        <v>27.05</v>
      </c>
      <c r="R18" s="43"/>
      <c r="S18" s="43"/>
      <c r="T18" s="43"/>
      <c r="U18" s="43"/>
    </row>
    <row r="19" spans="1:21" s="11" customFormat="1" ht="15">
      <c r="A19" s="53" t="s">
        <v>360</v>
      </c>
      <c r="B19" s="54">
        <v>1.81</v>
      </c>
      <c r="C19" s="54">
        <v>40.31</v>
      </c>
      <c r="D19" s="54">
        <v>24.34</v>
      </c>
      <c r="E19" s="54">
        <v>2.69</v>
      </c>
      <c r="F19" s="54">
        <v>28.13</v>
      </c>
      <c r="G19" s="54">
        <v>44.63</v>
      </c>
      <c r="H19" s="54">
        <v>22.84</v>
      </c>
      <c r="I19" s="54">
        <v>0.75</v>
      </c>
      <c r="J19" s="54">
        <v>0.36</v>
      </c>
      <c r="K19" s="54">
        <v>174.64</v>
      </c>
      <c r="L19" s="54">
        <v>36</v>
      </c>
      <c r="M19" s="54">
        <v>34.75</v>
      </c>
      <c r="N19" s="54">
        <v>859.40</v>
      </c>
      <c r="O19" s="54">
        <v>0</v>
      </c>
      <c r="P19" s="54">
        <v>0.60</v>
      </c>
      <c r="Q19" s="54">
        <v>25.71</v>
      </c>
      <c r="R19" s="43"/>
      <c r="S19" s="43"/>
      <c r="T19" s="43"/>
      <c r="U19" s="43"/>
    </row>
    <row r="20" spans="1:21" s="11" customFormat="1" ht="15">
      <c r="A20" s="53" t="s">
        <v>361</v>
      </c>
      <c r="B20" s="54">
        <v>2.16</v>
      </c>
      <c r="C20" s="54">
        <v>38.520000000000003</v>
      </c>
      <c r="D20" s="54">
        <v>23.34</v>
      </c>
      <c r="E20" s="54">
        <v>3.47</v>
      </c>
      <c r="F20" s="54">
        <v>23.46</v>
      </c>
      <c r="G20" s="54">
        <v>37.39</v>
      </c>
      <c r="H20" s="54">
        <v>20.14</v>
      </c>
      <c r="I20" s="54">
        <v>0.69</v>
      </c>
      <c r="J20" s="54">
        <v>0.41</v>
      </c>
      <c r="K20" s="54">
        <v>212.73</v>
      </c>
      <c r="L20" s="54">
        <v>37.08</v>
      </c>
      <c r="M20" s="54">
        <v>29.72</v>
      </c>
      <c r="N20" s="54">
        <v>808.20</v>
      </c>
      <c r="O20" s="54">
        <v>0</v>
      </c>
      <c r="P20" s="54">
        <v>0.59</v>
      </c>
      <c r="Q20" s="54">
        <v>26.24</v>
      </c>
      <c r="R20" s="43"/>
      <c r="S20" s="43"/>
      <c r="T20" s="43"/>
      <c r="U20" s="43"/>
    </row>
    <row r="21" spans="1:21" s="11" customFormat="1" ht="15">
      <c r="A21" s="53" t="s">
        <v>362</v>
      </c>
      <c r="B21" s="54">
        <v>1.91</v>
      </c>
      <c r="C21" s="54">
        <v>41.25</v>
      </c>
      <c r="D21" s="54">
        <v>24.57</v>
      </c>
      <c r="E21" s="54">
        <v>2.5499999999999998</v>
      </c>
      <c r="F21" s="54">
        <v>13.93</v>
      </c>
      <c r="G21" s="54">
        <v>44.75</v>
      </c>
      <c r="H21" s="54">
        <v>23.70</v>
      </c>
      <c r="I21" s="54">
        <v>0.71</v>
      </c>
      <c r="J21" s="54">
        <v>0.65</v>
      </c>
      <c r="K21" s="54">
        <v>352.28</v>
      </c>
      <c r="L21" s="54">
        <v>39.04</v>
      </c>
      <c r="M21" s="54">
        <v>27.12</v>
      </c>
      <c r="N21" s="54">
        <v>810</v>
      </c>
      <c r="O21" s="54">
        <v>0</v>
      </c>
      <c r="P21" s="54">
        <v>0.74</v>
      </c>
      <c r="Q21" s="54">
        <v>24.99</v>
      </c>
      <c r="R21" s="43"/>
      <c r="S21" s="43"/>
      <c r="T21" s="43"/>
      <c r="U21" s="43"/>
    </row>
    <row r="22" spans="1:21" s="11" customFormat="1" ht="15">
      <c r="A22" s="53" t="s">
        <v>363</v>
      </c>
      <c r="B22" s="54">
        <v>3.71</v>
      </c>
      <c r="C22" s="54">
        <v>39.549999999999997</v>
      </c>
      <c r="D22" s="54">
        <v>24.02</v>
      </c>
      <c r="E22" s="54">
        <v>2.08</v>
      </c>
      <c r="F22" s="54">
        <v>19.68</v>
      </c>
      <c r="G22" s="54">
        <v>44.75</v>
      </c>
      <c r="H22" s="54">
        <v>23.70</v>
      </c>
      <c r="I22" s="54">
        <v>0.55000000000000004</v>
      </c>
      <c r="J22" s="54">
        <v>1</v>
      </c>
      <c r="K22" s="54">
        <v>350.82</v>
      </c>
      <c r="L22" s="54">
        <v>41.03</v>
      </c>
      <c r="M22" s="54">
        <v>23.02</v>
      </c>
      <c r="N22" s="54">
        <v>771.90</v>
      </c>
      <c r="O22" s="54">
        <v>0</v>
      </c>
      <c r="P22" s="54">
        <v>0.63</v>
      </c>
      <c r="Q22" s="54">
        <v>25.61</v>
      </c>
      <c r="R22" s="43"/>
      <c r="S22" s="43"/>
      <c r="T22" s="43"/>
      <c r="U22" s="43"/>
    </row>
    <row r="23" spans="1:21" s="11" customFormat="1" ht="15">
      <c r="A23" s="53" t="s">
        <v>364</v>
      </c>
      <c r="B23" s="54">
        <v>5.58</v>
      </c>
      <c r="C23" s="54">
        <v>36.28</v>
      </c>
      <c r="D23" s="54">
        <v>23.80</v>
      </c>
      <c r="E23" s="54">
        <v>1.78</v>
      </c>
      <c r="F23" s="54">
        <v>22.21</v>
      </c>
      <c r="G23" s="54">
        <v>41.41</v>
      </c>
      <c r="H23" s="54">
        <v>21.33</v>
      </c>
      <c r="I23" s="54">
        <v>0.52</v>
      </c>
      <c r="J23" s="54">
        <v>0.79</v>
      </c>
      <c r="K23" s="54">
        <v>354.43</v>
      </c>
      <c r="L23" s="54">
        <v>40.36</v>
      </c>
      <c r="M23" s="54">
        <v>21.60</v>
      </c>
      <c r="N23" s="54">
        <v>597.10</v>
      </c>
      <c r="O23" s="54">
        <v>0</v>
      </c>
      <c r="P23" s="54">
        <v>0.59</v>
      </c>
      <c r="Q23" s="54">
        <v>25.86</v>
      </c>
      <c r="R23" s="43"/>
      <c r="S23" s="43"/>
      <c r="T23" s="43"/>
      <c r="U23" s="43"/>
    </row>
    <row r="24" spans="1:21" s="11" customFormat="1" ht="15">
      <c r="A24" s="53" t="s">
        <v>365</v>
      </c>
      <c r="B24" s="54">
        <v>4.18</v>
      </c>
      <c r="C24" s="54">
        <v>40.25</v>
      </c>
      <c r="D24" s="54">
        <v>26.21</v>
      </c>
      <c r="E24" s="54">
        <v>2.0499999999999998</v>
      </c>
      <c r="F24" s="54">
        <v>22.75</v>
      </c>
      <c r="G24" s="54">
        <v>36.409999999999997</v>
      </c>
      <c r="H24" s="54">
        <v>18.649999999999999</v>
      </c>
      <c r="I24" s="54">
        <v>0.47</v>
      </c>
      <c r="J24" s="54">
        <v>1.17</v>
      </c>
      <c r="K24" s="54">
        <v>357.06</v>
      </c>
      <c r="L24" s="54">
        <v>39.35</v>
      </c>
      <c r="M24" s="54">
        <v>23</v>
      </c>
      <c r="N24" s="54">
        <v>285.89999999999998</v>
      </c>
      <c r="O24" s="54">
        <v>0</v>
      </c>
      <c r="P24" s="54">
        <v>0.53</v>
      </c>
      <c r="Q24" s="54">
        <v>24.56</v>
      </c>
      <c r="R24" s="43"/>
      <c r="S24" s="43"/>
      <c r="T24" s="43"/>
      <c r="U24" s="43"/>
    </row>
    <row r="25" spans="1:21" s="11" customFormat="1" ht="15">
      <c r="A25" s="53" t="s">
        <v>366</v>
      </c>
      <c r="B25" s="54">
        <v>6.76</v>
      </c>
      <c r="C25" s="54">
        <v>43.43</v>
      </c>
      <c r="D25" s="54">
        <v>28.88</v>
      </c>
      <c r="E25" s="54">
        <v>2.77</v>
      </c>
      <c r="F25" s="54">
        <v>31.31</v>
      </c>
      <c r="G25" s="54">
        <v>37.79</v>
      </c>
      <c r="H25" s="54">
        <v>19.04</v>
      </c>
      <c r="I25" s="54">
        <v>0.40</v>
      </c>
      <c r="J25" s="54">
        <v>1.25</v>
      </c>
      <c r="K25" s="54">
        <v>356.99</v>
      </c>
      <c r="L25" s="54">
        <v>38.03</v>
      </c>
      <c r="M25" s="54">
        <v>26.79</v>
      </c>
      <c r="N25" s="54">
        <v>150.19999999999999</v>
      </c>
      <c r="O25" s="54">
        <v>0</v>
      </c>
      <c r="P25" s="54">
        <v>0.54</v>
      </c>
      <c r="Q25" s="54">
        <v>25.93</v>
      </c>
      <c r="R25" s="43"/>
      <c r="S25" s="43"/>
      <c r="T25" s="43"/>
      <c r="U25" s="43"/>
    </row>
    <row r="26" spans="1:21" s="11" customFormat="1" ht="15">
      <c r="A26" s="53" t="s">
        <v>367</v>
      </c>
      <c r="B26" s="54">
        <v>7.43</v>
      </c>
      <c r="C26" s="54">
        <v>46.54</v>
      </c>
      <c r="D26" s="54">
        <v>32.29</v>
      </c>
      <c r="E26" s="54">
        <v>3.47</v>
      </c>
      <c r="F26" s="54">
        <v>32.93</v>
      </c>
      <c r="G26" s="54">
        <v>39.83</v>
      </c>
      <c r="H26" s="54">
        <v>20.66</v>
      </c>
      <c r="I26" s="54">
        <v>0.62</v>
      </c>
      <c r="J26" s="54">
        <v>2.06</v>
      </c>
      <c r="K26" s="54">
        <v>354.75</v>
      </c>
      <c r="L26" s="54">
        <v>36.22</v>
      </c>
      <c r="M26" s="54">
        <v>31.02</v>
      </c>
      <c r="N26" s="54">
        <v>57.10</v>
      </c>
      <c r="O26" s="54">
        <v>0</v>
      </c>
      <c r="P26" s="54">
        <v>0.65</v>
      </c>
      <c r="Q26" s="54">
        <v>25.5</v>
      </c>
      <c r="R26" s="43"/>
      <c r="S26" s="43"/>
      <c r="T26" s="43"/>
      <c r="U26" s="43"/>
    </row>
    <row r="27" spans="1:21" s="11" customFormat="1" ht="15">
      <c r="A27" s="53" t="s">
        <v>368</v>
      </c>
      <c r="B27" s="54">
        <v>5.5</v>
      </c>
      <c r="C27" s="54">
        <v>44.83</v>
      </c>
      <c r="D27" s="54">
        <v>29.80</v>
      </c>
      <c r="E27" s="54">
        <v>2.42</v>
      </c>
      <c r="F27" s="54">
        <v>13.82</v>
      </c>
      <c r="G27" s="54">
        <v>40.380000000000003</v>
      </c>
      <c r="H27" s="54">
        <v>20.66</v>
      </c>
      <c r="I27" s="54">
        <v>0.68</v>
      </c>
      <c r="J27" s="54">
        <v>1.18</v>
      </c>
      <c r="K27" s="54">
        <v>353.34</v>
      </c>
      <c r="L27" s="54">
        <v>33.90</v>
      </c>
      <c r="M27" s="54">
        <v>49.63</v>
      </c>
      <c r="N27" s="54">
        <v>15.20</v>
      </c>
      <c r="O27" s="54">
        <v>0</v>
      </c>
      <c r="P27" s="54">
        <v>0.69</v>
      </c>
      <c r="Q27" s="54">
        <v>24.13</v>
      </c>
      <c r="R27" s="43"/>
      <c r="S27" s="43"/>
      <c r="T27" s="43"/>
      <c r="U27" s="43"/>
    </row>
    <row r="28" spans="1:21" s="11" customFormat="1" ht="15">
      <c r="A28" s="53" t="s">
        <v>369</v>
      </c>
      <c r="B28" s="54">
        <v>1.05</v>
      </c>
      <c r="C28" s="54">
        <v>43.12</v>
      </c>
      <c r="D28" s="54">
        <v>25.28</v>
      </c>
      <c r="E28" s="54">
        <v>1.64</v>
      </c>
      <c r="F28" s="54">
        <v>11.81</v>
      </c>
      <c r="G28" s="54">
        <v>41.37</v>
      </c>
      <c r="H28" s="54">
        <v>20.20</v>
      </c>
      <c r="I28" s="54">
        <v>0.66</v>
      </c>
      <c r="J28" s="54">
        <v>0.44</v>
      </c>
      <c r="K28" s="54">
        <v>42.12</v>
      </c>
      <c r="L28" s="54">
        <v>30.02</v>
      </c>
      <c r="M28" s="54">
        <v>46.81</v>
      </c>
      <c r="N28" s="54">
        <v>5.70</v>
      </c>
      <c r="O28" s="54">
        <v>0</v>
      </c>
      <c r="P28" s="54">
        <v>0.66</v>
      </c>
      <c r="Q28" s="54">
        <v>25.01</v>
      </c>
      <c r="R28" s="43"/>
      <c r="S28" s="43"/>
      <c r="T28" s="43"/>
      <c r="U28" s="43"/>
    </row>
    <row r="29" spans="1:21" s="11" customFormat="1" ht="15">
      <c r="A29" s="53" t="s">
        <v>370</v>
      </c>
      <c r="B29" s="54">
        <v>7.03</v>
      </c>
      <c r="C29" s="54">
        <v>46.15</v>
      </c>
      <c r="D29" s="54">
        <v>31.58</v>
      </c>
      <c r="E29" s="54">
        <v>3.27</v>
      </c>
      <c r="F29" s="54">
        <v>33.840000000000003</v>
      </c>
      <c r="G29" s="54">
        <v>41.37</v>
      </c>
      <c r="H29" s="54">
        <v>19.38</v>
      </c>
      <c r="I29" s="54">
        <v>0.62</v>
      </c>
      <c r="J29" s="54">
        <v>0.14000000000000001</v>
      </c>
      <c r="K29" s="54">
        <v>359.48</v>
      </c>
      <c r="L29" s="54">
        <v>30.75</v>
      </c>
      <c r="M29" s="54">
        <v>41.30</v>
      </c>
      <c r="N29" s="54">
        <v>5.60</v>
      </c>
      <c r="O29" s="54">
        <v>0</v>
      </c>
      <c r="P29" s="54">
        <v>0.65</v>
      </c>
      <c r="Q29" s="54">
        <v>24.23</v>
      </c>
      <c r="R29" s="43"/>
      <c r="S29" s="43"/>
      <c r="T29" s="43"/>
      <c r="U29" s="43"/>
    </row>
    <row r="30" spans="1:21" s="11" customFormat="1" ht="15">
      <c r="A30" s="53" t="s">
        <v>371</v>
      </c>
      <c r="B30" s="54">
        <v>11.30</v>
      </c>
      <c r="C30" s="54">
        <v>57.69</v>
      </c>
      <c r="D30" s="54">
        <v>41.30</v>
      </c>
      <c r="E30" s="54">
        <v>3.97</v>
      </c>
      <c r="F30" s="54">
        <v>11.52</v>
      </c>
      <c r="G30" s="54">
        <v>51.97</v>
      </c>
      <c r="H30" s="54">
        <v>20.69</v>
      </c>
      <c r="I30" s="54">
        <v>0.72</v>
      </c>
      <c r="J30" s="54">
        <v>0.28000000000000003</v>
      </c>
      <c r="K30" s="54">
        <v>357.79</v>
      </c>
      <c r="L30" s="54">
        <v>30.04</v>
      </c>
      <c r="M30" s="54">
        <v>44.19</v>
      </c>
      <c r="N30" s="54">
        <v>5.5</v>
      </c>
      <c r="O30" s="54">
        <v>0</v>
      </c>
      <c r="P30" s="54">
        <v>0.85</v>
      </c>
      <c r="Q30" s="54">
        <v>22.52</v>
      </c>
      <c r="R30" s="43"/>
      <c r="S30" s="43"/>
      <c r="T30" s="43"/>
      <c r="U30" s="43"/>
    </row>
    <row r="31" spans="1:21" s="11" customFormat="1" ht="15">
      <c r="A31" s="53" t="s">
        <v>372</v>
      </c>
      <c r="B31" s="54">
        <v>10.82</v>
      </c>
      <c r="C31" s="54">
        <v>58.72</v>
      </c>
      <c r="D31" s="54">
        <v>40.5</v>
      </c>
      <c r="E31" s="54">
        <v>5.64</v>
      </c>
      <c r="F31" s="54">
        <v>16.600000000000001</v>
      </c>
      <c r="G31" s="54">
        <v>54.33</v>
      </c>
      <c r="H31" s="54">
        <v>25.69</v>
      </c>
      <c r="I31" s="54">
        <v>0.74</v>
      </c>
      <c r="J31" s="54">
        <v>0.18</v>
      </c>
      <c r="K31" s="54">
        <v>320.26</v>
      </c>
      <c r="L31" s="54">
        <v>29.52</v>
      </c>
      <c r="M31" s="54">
        <v>48.67</v>
      </c>
      <c r="N31" s="54">
        <v>5.70</v>
      </c>
      <c r="O31" s="54">
        <v>0</v>
      </c>
      <c r="P31" s="54">
        <v>0.92</v>
      </c>
      <c r="Q31" s="54">
        <v>25.55</v>
      </c>
      <c r="R31" s="43"/>
      <c r="S31" s="43"/>
      <c r="T31" s="43"/>
      <c r="U31" s="43"/>
    </row>
    <row r="32" spans="1:21" s="11" customFormat="1" ht="15">
      <c r="A32" s="53" t="s">
        <v>373</v>
      </c>
      <c r="B32" s="54">
        <v>6.97</v>
      </c>
      <c r="C32" s="54">
        <v>49.13</v>
      </c>
      <c r="D32" s="54">
        <v>32.5</v>
      </c>
      <c r="E32" s="54">
        <v>5.79</v>
      </c>
      <c r="F32" s="54">
        <v>18.829999999999998</v>
      </c>
      <c r="G32" s="54">
        <v>55.21</v>
      </c>
      <c r="H32" s="54">
        <v>25.69</v>
      </c>
      <c r="I32" s="54">
        <v>0.65</v>
      </c>
      <c r="J32" s="54">
        <v>0.13</v>
      </c>
      <c r="K32" s="54">
        <v>306.43</v>
      </c>
      <c r="L32" s="54">
        <v>29.38</v>
      </c>
      <c r="M32" s="54">
        <v>49.96</v>
      </c>
      <c r="N32" s="54">
        <v>5.40</v>
      </c>
      <c r="O32" s="54">
        <v>0</v>
      </c>
      <c r="P32" s="54">
        <v>0.97</v>
      </c>
      <c r="Q32" s="54">
        <v>26.68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1.05</v>
      </c>
      <c r="C34" s="28">
        <f t="shared" si="0"/>
        <v>24.989999999999998</v>
      </c>
      <c r="D34" s="28">
        <f t="shared" si="0"/>
        <v>15.42</v>
      </c>
      <c r="E34" s="28">
        <f t="shared" si="0"/>
        <v>1.6399999999999999</v>
      </c>
      <c r="F34" s="28">
        <f t="shared" si="0"/>
        <v>10.9</v>
      </c>
      <c r="G34" s="28">
        <f t="shared" si="0"/>
        <v>24.73</v>
      </c>
      <c r="H34" s="28">
        <f t="shared" si="0"/>
        <v>16.059999999999999</v>
      </c>
      <c r="I34" s="28">
        <f t="shared" si="0"/>
        <v>0.40000000000000002</v>
      </c>
      <c r="J34" s="28">
        <f t="shared" si="0"/>
        <v>0.13</v>
      </c>
      <c r="K34" s="28">
        <f t="shared" si="0"/>
        <v>42.119999999999997</v>
      </c>
      <c r="L34" s="28">
        <f t="shared" si="0"/>
        <v>27.260000000000002</v>
      </c>
      <c r="M34" s="28">
        <f t="shared" si="0"/>
        <v>21.600000000000001</v>
      </c>
      <c r="N34" s="28">
        <f t="shared" si="0"/>
        <v>5.2999999999999998</v>
      </c>
      <c r="O34" s="28">
        <f t="shared" si="0"/>
        <v>0</v>
      </c>
      <c r="P34" s="28">
        <f t="shared" si="0"/>
        <v>0.45000000000000001</v>
      </c>
      <c r="Q34" s="28">
        <f t="shared" si="0"/>
        <v>22.52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13.58</v>
      </c>
      <c r="C35" s="29">
        <f t="shared" si="1"/>
        <v>58.719999999999999</v>
      </c>
      <c r="D35" s="29">
        <f t="shared" si="1"/>
        <v>41.299999999999997</v>
      </c>
      <c r="E35" s="29">
        <f t="shared" si="1"/>
        <v>5.79</v>
      </c>
      <c r="F35" s="29">
        <f t="shared" si="1"/>
        <v>33.840000000000003</v>
      </c>
      <c r="G35" s="29">
        <f t="shared" si="1"/>
        <v>69.239999999999995</v>
      </c>
      <c r="H35" s="29">
        <f t="shared" si="1"/>
        <v>26.73</v>
      </c>
      <c r="I35" s="29">
        <f t="shared" si="1"/>
        <v>0.77000000000000002</v>
      </c>
      <c r="J35" s="29">
        <f t="shared" si="1"/>
        <v>2.0600000000000001</v>
      </c>
      <c r="K35" s="29">
        <f t="shared" si="1"/>
        <v>359.48000000000002</v>
      </c>
      <c r="L35" s="29">
        <f t="shared" si="1"/>
        <v>41.030000000000001</v>
      </c>
      <c r="M35" s="29">
        <f t="shared" si="1"/>
        <v>55.25</v>
      </c>
      <c r="N35" s="29">
        <f t="shared" si="1"/>
        <v>859.39999999999998</v>
      </c>
      <c r="O35" s="29">
        <f t="shared" si="1"/>
        <v>0</v>
      </c>
      <c r="P35" s="29">
        <f t="shared" si="1"/>
        <v>0.96999999999999997</v>
      </c>
      <c r="Q35" s="29">
        <f t="shared" si="1"/>
        <v>28.359999999999999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5.5829166666666659</v>
      </c>
      <c r="C36" s="28">
        <f t="shared" si="2"/>
        <v>39.86333333333333</v>
      </c>
      <c r="D36" s="28">
        <f t="shared" si="2"/>
        <v>26.764999999999997</v>
      </c>
      <c r="E36" s="28">
        <f t="shared" si="2"/>
        <v>3.3175000000000003</v>
      </c>
      <c r="F36" s="28">
        <f t="shared" si="2"/>
        <v>18.70291666666667</v>
      </c>
      <c r="G36" s="28">
        <f t="shared" si="2"/>
        <v>42.899166666666666</v>
      </c>
      <c r="H36" s="28">
        <f t="shared" si="2"/>
        <v>21.087499999999999</v>
      </c>
      <c r="I36" s="28">
        <f t="shared" si="2"/>
        <v>0.65374999999999994</v>
      </c>
      <c r="J36" s="28">
        <f t="shared" si="2"/>
        <v>0.55208333333333337</v>
      </c>
      <c r="K36" s="28">
        <f t="shared" si="2"/>
        <v>284.41708333333332</v>
      </c>
      <c r="L36" s="28">
        <f t="shared" si="2"/>
        <v>32.402499999999996</v>
      </c>
      <c r="M36" s="28">
        <f t="shared" si="2"/>
        <v>41.804583333333333</v>
      </c>
      <c r="N36" s="28">
        <f t="shared" si="2"/>
        <v>226.2833333333333</v>
      </c>
      <c r="O36" s="28">
        <f t="shared" si="2"/>
        <v>0</v>
      </c>
      <c r="P36" s="28">
        <f t="shared" si="2"/>
        <v>0.64666666666666661</v>
      </c>
      <c r="Q36" s="28">
        <f t="shared" si="2"/>
        <v>26.008749999999996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3.7244555822372183</v>
      </c>
      <c r="C37" s="28">
        <f t="shared" si="3" ref="C37:Q37">STDEV(C9:C32)</f>
        <v>8.4604649202432487</v>
      </c>
      <c r="D37" s="28">
        <f t="shared" si="3"/>
        <v>6.5009343810015041</v>
      </c>
      <c r="E37" s="28">
        <f t="shared" si="3"/>
        <v>1.0768926715726843</v>
      </c>
      <c r="F37" s="28">
        <f t="shared" si="3"/>
        <v>6.997237640772906</v>
      </c>
      <c r="G37" s="28">
        <f t="shared" si="3"/>
        <v>10.268011499064837</v>
      </c>
      <c r="H37" s="28">
        <f t="shared" si="3"/>
        <v>3.0012508261954962</v>
      </c>
      <c r="I37" s="28">
        <f t="shared" si="3"/>
        <v>0.090592854118806049</v>
      </c>
      <c r="J37" s="28">
        <f t="shared" si="3"/>
        <v>0.48528771534695447</v>
      </c>
      <c r="K37" s="28">
        <f t="shared" si="3"/>
        <v>80.663221751285874</v>
      </c>
      <c r="L37" s="28">
        <f t="shared" si="3"/>
        <v>4.6996893976924472</v>
      </c>
      <c r="M37" s="28">
        <f t="shared" si="3"/>
        <v>11.370277033513313</v>
      </c>
      <c r="N37" s="28">
        <f t="shared" si="3"/>
        <v>312.70722196116088</v>
      </c>
      <c r="O37" s="28">
        <f t="shared" si="3"/>
        <v>0</v>
      </c>
      <c r="P37" s="28">
        <f t="shared" si="3"/>
        <v>0.13189807219696328</v>
      </c>
      <c r="Q37" s="28">
        <f t="shared" si="3"/>
        <v>1.4042120256726773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4cf4329-fc08-4e0e-b807-d63cc76673b2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8" sqref="G6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14-06-2023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374</v>
      </c>
      <c r="B9" s="54">
        <v>7.18</v>
      </c>
      <c r="C9" s="54">
        <v>42.98</v>
      </c>
      <c r="D9" s="54">
        <v>30.13</v>
      </c>
      <c r="E9" s="54">
        <v>3.34</v>
      </c>
      <c r="F9" s="54">
        <v>12.12</v>
      </c>
      <c r="G9" s="54">
        <v>55.21</v>
      </c>
      <c r="H9" s="54">
        <v>22.91</v>
      </c>
      <c r="I9" s="54">
        <v>0.77</v>
      </c>
      <c r="J9" s="54">
        <v>0.39</v>
      </c>
      <c r="K9" s="54">
        <v>44.52</v>
      </c>
      <c r="L9" s="54">
        <v>31.11</v>
      </c>
      <c r="M9" s="54">
        <v>48.38</v>
      </c>
      <c r="N9" s="54">
        <v>5.30</v>
      </c>
      <c r="O9" s="54">
        <v>0</v>
      </c>
      <c r="P9" s="54">
        <v>0.98</v>
      </c>
      <c r="Q9" s="54">
        <v>25.22</v>
      </c>
      <c r="R9" s="43"/>
      <c r="S9" s="43"/>
      <c r="T9" s="43"/>
      <c r="U9" s="43"/>
    </row>
    <row r="10" spans="1:21" s="11" customFormat="1" ht="15">
      <c r="A10" s="53" t="s">
        <v>375</v>
      </c>
      <c r="B10" s="54">
        <v>1.17</v>
      </c>
      <c r="C10" s="54">
        <v>38.119999999999997</v>
      </c>
      <c r="D10" s="54">
        <v>22.48</v>
      </c>
      <c r="E10" s="54">
        <v>8.35</v>
      </c>
      <c r="F10" s="54">
        <v>16.559999999999999</v>
      </c>
      <c r="G10" s="54">
        <v>51.75</v>
      </c>
      <c r="H10" s="54">
        <v>22.91</v>
      </c>
      <c r="I10" s="54">
        <v>0.65</v>
      </c>
      <c r="J10" s="54">
        <v>0.27</v>
      </c>
      <c r="K10" s="54">
        <v>220.45</v>
      </c>
      <c r="L10" s="54">
        <v>31.60</v>
      </c>
      <c r="M10" s="54">
        <v>42.06</v>
      </c>
      <c r="N10" s="54">
        <v>6.10</v>
      </c>
      <c r="O10" s="54">
        <v>0</v>
      </c>
      <c r="P10" s="54">
        <v>0.82</v>
      </c>
      <c r="Q10" s="54">
        <v>25.16</v>
      </c>
      <c r="R10" s="43"/>
      <c r="S10" s="43"/>
      <c r="T10" s="43"/>
      <c r="U10" s="43"/>
    </row>
    <row r="11" spans="1:21" s="11" customFormat="1" ht="15">
      <c r="A11" s="53" t="s">
        <v>376</v>
      </c>
      <c r="B11" s="54">
        <v>1</v>
      </c>
      <c r="C11" s="54">
        <v>32.200000000000003</v>
      </c>
      <c r="D11" s="54">
        <v>19.22</v>
      </c>
      <c r="E11" s="54">
        <v>5.53</v>
      </c>
      <c r="F11" s="54">
        <v>13.63</v>
      </c>
      <c r="G11" s="54">
        <v>45.60</v>
      </c>
      <c r="H11" s="54">
        <v>20.70</v>
      </c>
      <c r="I11" s="54">
        <v>0.61</v>
      </c>
      <c r="J11" s="54">
        <v>0.33</v>
      </c>
      <c r="K11" s="54">
        <v>356.78</v>
      </c>
      <c r="L11" s="54">
        <v>30.31</v>
      </c>
      <c r="M11" s="54">
        <v>45.31</v>
      </c>
      <c r="N11" s="54">
        <v>6</v>
      </c>
      <c r="O11" s="54">
        <v>0</v>
      </c>
      <c r="P11" s="54">
        <v>0.80</v>
      </c>
      <c r="Q11" s="54">
        <v>25.57</v>
      </c>
      <c r="R11" s="43"/>
      <c r="S11" s="43"/>
      <c r="T11" s="43"/>
      <c r="U11" s="43"/>
    </row>
    <row r="12" spans="1:21" s="11" customFormat="1" ht="15">
      <c r="A12" s="53" t="s">
        <v>377</v>
      </c>
      <c r="B12" s="54">
        <v>1</v>
      </c>
      <c r="C12" s="54">
        <v>32.630000000000003</v>
      </c>
      <c r="D12" s="54">
        <v>19.46</v>
      </c>
      <c r="E12" s="54">
        <v>4.17</v>
      </c>
      <c r="F12" s="54">
        <v>11.89</v>
      </c>
      <c r="G12" s="54">
        <v>34.450000000000003</v>
      </c>
      <c r="H12" s="54">
        <v>16</v>
      </c>
      <c r="I12" s="54">
        <v>0.64</v>
      </c>
      <c r="J12" s="54">
        <v>0.24</v>
      </c>
      <c r="K12" s="54">
        <v>48.35</v>
      </c>
      <c r="L12" s="54">
        <v>29.99</v>
      </c>
      <c r="M12" s="54">
        <v>43.20</v>
      </c>
      <c r="N12" s="54">
        <v>5.5</v>
      </c>
      <c r="O12" s="54">
        <v>0</v>
      </c>
      <c r="P12" s="54">
        <v>0.87</v>
      </c>
      <c r="Q12" s="54">
        <v>23.29</v>
      </c>
      <c r="R12" s="43"/>
      <c r="S12" s="43"/>
      <c r="T12" s="43"/>
      <c r="U12" s="43"/>
    </row>
    <row r="13" spans="1:21" s="11" customFormat="1" ht="15">
      <c r="A13" s="53" t="s">
        <v>378</v>
      </c>
      <c r="B13" s="54">
        <v>7.40</v>
      </c>
      <c r="C13" s="54">
        <v>34.299999999999997</v>
      </c>
      <c r="D13" s="54">
        <v>25.51</v>
      </c>
      <c r="E13" s="54">
        <v>4.75</v>
      </c>
      <c r="F13" s="54">
        <v>20.51</v>
      </c>
      <c r="G13" s="54">
        <v>32.159999999999997</v>
      </c>
      <c r="H13" s="54">
        <v>17.11</v>
      </c>
      <c r="I13" s="54">
        <v>0.52</v>
      </c>
      <c r="J13" s="54">
        <v>0.13</v>
      </c>
      <c r="K13" s="54">
        <v>357.18</v>
      </c>
      <c r="L13" s="54">
        <v>29.57</v>
      </c>
      <c r="M13" s="54">
        <v>40.869999999999997</v>
      </c>
      <c r="N13" s="54">
        <v>5.90</v>
      </c>
      <c r="O13" s="54">
        <v>0</v>
      </c>
      <c r="P13" s="54">
        <v>0.67</v>
      </c>
      <c r="Q13" s="54">
        <v>24.47</v>
      </c>
      <c r="R13" s="43"/>
      <c r="S13" s="43"/>
      <c r="T13" s="43"/>
      <c r="U13" s="43"/>
    </row>
    <row r="14" spans="1:21" s="11" customFormat="1" ht="15">
      <c r="A14" s="53" t="s">
        <v>379</v>
      </c>
      <c r="B14" s="54">
        <v>2.99</v>
      </c>
      <c r="C14" s="54">
        <v>34.51</v>
      </c>
      <c r="D14" s="54">
        <v>22.09</v>
      </c>
      <c r="E14" s="54">
        <v>4.03</v>
      </c>
      <c r="F14" s="54">
        <v>12.42</v>
      </c>
      <c r="G14" s="54">
        <v>37.049999999999997</v>
      </c>
      <c r="H14" s="54">
        <v>17.850000000000001</v>
      </c>
      <c r="I14" s="54">
        <v>0.69</v>
      </c>
      <c r="J14" s="54">
        <v>0.13</v>
      </c>
      <c r="K14" s="54">
        <v>66.13</v>
      </c>
      <c r="L14" s="54">
        <v>29.70</v>
      </c>
      <c r="M14" s="54">
        <v>41.78</v>
      </c>
      <c r="N14" s="54">
        <v>52.80</v>
      </c>
      <c r="O14" s="54">
        <v>0</v>
      </c>
      <c r="P14" s="54">
        <v>0.57999999999999996</v>
      </c>
      <c r="Q14" s="54">
        <v>25.43</v>
      </c>
      <c r="R14" s="43"/>
      <c r="S14" s="43"/>
      <c r="T14" s="43"/>
      <c r="U14" s="43"/>
    </row>
    <row r="15" spans="1:21" s="11" customFormat="1" ht="15">
      <c r="A15" s="53" t="s">
        <v>380</v>
      </c>
      <c r="B15" s="54">
        <v>6.57</v>
      </c>
      <c r="C15" s="54">
        <v>38.68</v>
      </c>
      <c r="D15" s="54">
        <v>27.26</v>
      </c>
      <c r="E15" s="54">
        <v>3.11</v>
      </c>
      <c r="F15" s="54">
        <v>6.21</v>
      </c>
      <c r="G15" s="54">
        <v>40.86</v>
      </c>
      <c r="H15" s="54">
        <v>25.85</v>
      </c>
      <c r="I15" s="54">
        <v>0.66</v>
      </c>
      <c r="J15" s="54">
        <v>0.21</v>
      </c>
      <c r="K15" s="54">
        <v>65.849999999999994</v>
      </c>
      <c r="L15" s="54">
        <v>30.58</v>
      </c>
      <c r="M15" s="54">
        <v>44.23</v>
      </c>
      <c r="N15" s="54">
        <v>167.90</v>
      </c>
      <c r="O15" s="54">
        <v>0</v>
      </c>
      <c r="P15" s="54">
        <v>0.53</v>
      </c>
      <c r="Q15" s="54">
        <v>23.68</v>
      </c>
      <c r="R15" s="43"/>
      <c r="S15" s="43"/>
      <c r="T15" s="43"/>
      <c r="U15" s="43"/>
    </row>
    <row r="16" spans="1:21" s="11" customFormat="1" ht="15">
      <c r="A16" s="53" t="s">
        <v>381</v>
      </c>
      <c r="B16" s="54">
        <v>5.64</v>
      </c>
      <c r="C16" s="54">
        <v>39.54</v>
      </c>
      <c r="D16" s="54">
        <v>26.99</v>
      </c>
      <c r="E16" s="54">
        <v>3.11</v>
      </c>
      <c r="F16" s="54">
        <v>7.66</v>
      </c>
      <c r="G16" s="54">
        <v>45.68</v>
      </c>
      <c r="H16" s="54">
        <v>25.85</v>
      </c>
      <c r="I16" s="54">
        <v>0.56000000000000005</v>
      </c>
      <c r="J16" s="54">
        <v>0.87</v>
      </c>
      <c r="K16" s="54">
        <v>353.40</v>
      </c>
      <c r="L16" s="54">
        <v>33.590000000000003</v>
      </c>
      <c r="M16" s="54">
        <v>44.21</v>
      </c>
      <c r="N16" s="54">
        <v>421.40</v>
      </c>
      <c r="O16" s="54">
        <v>0</v>
      </c>
      <c r="P16" s="54">
        <v>0.68</v>
      </c>
      <c r="Q16" s="54">
        <v>25.19</v>
      </c>
      <c r="R16" s="43"/>
      <c r="S16" s="43"/>
      <c r="T16" s="43"/>
      <c r="U16" s="43"/>
    </row>
    <row r="17" spans="1:21" s="11" customFormat="1" ht="15">
      <c r="A17" s="53" t="s">
        <v>382</v>
      </c>
      <c r="B17" s="54">
        <v>3.27</v>
      </c>
      <c r="C17" s="54">
        <v>39.229999999999997</v>
      </c>
      <c r="D17" s="54">
        <v>24.13</v>
      </c>
      <c r="E17" s="54">
        <v>2.13</v>
      </c>
      <c r="F17" s="54">
        <v>6.76</v>
      </c>
      <c r="G17" s="54">
        <v>47.17</v>
      </c>
      <c r="H17" s="54">
        <v>24.51</v>
      </c>
      <c r="I17" s="54">
        <v>0.60</v>
      </c>
      <c r="J17" s="54">
        <v>1.0900000000000001</v>
      </c>
      <c r="K17" s="54">
        <v>342.97</v>
      </c>
      <c r="L17" s="54">
        <v>35.90</v>
      </c>
      <c r="M17" s="54">
        <v>35.229999999999997</v>
      </c>
      <c r="N17" s="54">
        <v>576.10</v>
      </c>
      <c r="O17" s="54">
        <v>0</v>
      </c>
      <c r="P17" s="54">
        <v>0.66</v>
      </c>
      <c r="Q17" s="54">
        <v>24.20</v>
      </c>
      <c r="R17" s="43"/>
      <c r="S17" s="43"/>
      <c r="T17" s="43"/>
      <c r="U17" s="43"/>
    </row>
    <row r="18" spans="1:21" s="11" customFormat="1" ht="15">
      <c r="A18" s="53" t="s">
        <v>383</v>
      </c>
      <c r="B18" s="54">
        <v>1.64</v>
      </c>
      <c r="C18" s="54">
        <v>39.94</v>
      </c>
      <c r="D18" s="54">
        <v>24</v>
      </c>
      <c r="E18" s="54">
        <v>1.92</v>
      </c>
      <c r="F18" s="54">
        <v>8.6999999999999993</v>
      </c>
      <c r="G18" s="54">
        <v>48.12</v>
      </c>
      <c r="H18" s="54">
        <v>23.30</v>
      </c>
      <c r="I18" s="54">
        <v>0.60</v>
      </c>
      <c r="J18" s="54">
        <v>2.09</v>
      </c>
      <c r="K18" s="54">
        <v>359.90</v>
      </c>
      <c r="L18" s="54">
        <v>38.40</v>
      </c>
      <c r="M18" s="54">
        <v>31.09</v>
      </c>
      <c r="N18" s="54">
        <v>779.5</v>
      </c>
      <c r="O18" s="54">
        <v>0</v>
      </c>
      <c r="P18" s="54">
        <v>0.57999999999999996</v>
      </c>
      <c r="Q18" s="54">
        <v>22</v>
      </c>
      <c r="R18" s="43"/>
      <c r="S18" s="43"/>
      <c r="T18" s="43"/>
      <c r="U18" s="43"/>
    </row>
    <row r="19" spans="1:21" s="11" customFormat="1" ht="15">
      <c r="A19" s="53" t="s">
        <v>384</v>
      </c>
      <c r="B19" s="54">
        <v>2.40</v>
      </c>
      <c r="C19" s="54">
        <v>40.72</v>
      </c>
      <c r="D19" s="54">
        <v>23.98</v>
      </c>
      <c r="E19" s="54">
        <v>1.75</v>
      </c>
      <c r="F19" s="54">
        <v>11.72</v>
      </c>
      <c r="G19" s="54">
        <v>48.12</v>
      </c>
      <c r="H19" s="54">
        <v>22.39</v>
      </c>
      <c r="I19" s="54">
        <v>0.59</v>
      </c>
      <c r="J19" s="54">
        <v>1.98</v>
      </c>
      <c r="K19" s="54">
        <v>358.49</v>
      </c>
      <c r="L19" s="54">
        <v>39.22</v>
      </c>
      <c r="M19" s="54">
        <v>27.29</v>
      </c>
      <c r="N19" s="54">
        <v>830.5</v>
      </c>
      <c r="O19" s="54">
        <v>0</v>
      </c>
      <c r="P19" s="54">
        <v>0.57999999999999996</v>
      </c>
      <c r="Q19" s="54">
        <v>23.46</v>
      </c>
      <c r="R19" s="43"/>
      <c r="S19" s="43"/>
      <c r="T19" s="43"/>
      <c r="U19" s="43"/>
    </row>
    <row r="20" spans="1:21" s="11" customFormat="1" ht="15">
      <c r="A20" s="53" t="s">
        <v>385</v>
      </c>
      <c r="B20" s="54">
        <v>2.2999999999999998</v>
      </c>
      <c r="C20" s="54">
        <v>38.340000000000003</v>
      </c>
      <c r="D20" s="54">
        <v>22.87</v>
      </c>
      <c r="E20" s="54">
        <v>1.65</v>
      </c>
      <c r="F20" s="54">
        <v>15.52</v>
      </c>
      <c r="G20" s="54">
        <v>46.87</v>
      </c>
      <c r="H20" s="54">
        <v>23.22</v>
      </c>
      <c r="I20" s="54">
        <v>0.56999999999999995</v>
      </c>
      <c r="J20" s="54">
        <v>0.74</v>
      </c>
      <c r="K20" s="54">
        <v>357.45</v>
      </c>
      <c r="L20" s="54">
        <v>39.51</v>
      </c>
      <c r="M20" s="54">
        <v>27.10</v>
      </c>
      <c r="N20" s="54">
        <v>856.30</v>
      </c>
      <c r="O20" s="54">
        <v>0</v>
      </c>
      <c r="P20" s="54">
        <v>0.57999999999999996</v>
      </c>
      <c r="Q20" s="54">
        <v>22.13</v>
      </c>
      <c r="R20" s="43"/>
      <c r="S20" s="43"/>
      <c r="T20" s="43"/>
      <c r="U20" s="43"/>
    </row>
    <row r="21" spans="1:21" s="11" customFormat="1" ht="15">
      <c r="A21" s="53" t="s">
        <v>386</v>
      </c>
      <c r="B21" s="54">
        <v>3.02</v>
      </c>
      <c r="C21" s="54">
        <v>39.200000000000003</v>
      </c>
      <c r="D21" s="54">
        <v>24.55</v>
      </c>
      <c r="E21" s="54">
        <v>1.46</v>
      </c>
      <c r="F21" s="54">
        <v>17.95</v>
      </c>
      <c r="G21" s="54">
        <v>46.55</v>
      </c>
      <c r="H21" s="54">
        <v>23.22</v>
      </c>
      <c r="I21" s="54">
        <v>0.60</v>
      </c>
      <c r="J21" s="54">
        <v>1.26</v>
      </c>
      <c r="K21" s="54">
        <v>358.79</v>
      </c>
      <c r="L21" s="54">
        <v>38.299999999999997</v>
      </c>
      <c r="M21" s="54">
        <v>33.44</v>
      </c>
      <c r="N21" s="54">
        <v>494.40</v>
      </c>
      <c r="O21" s="54">
        <v>0</v>
      </c>
      <c r="P21" s="54">
        <v>0.55000000000000004</v>
      </c>
      <c r="Q21" s="54">
        <v>21.56</v>
      </c>
      <c r="R21" s="43"/>
      <c r="S21" s="43"/>
      <c r="T21" s="43"/>
      <c r="U21" s="43"/>
    </row>
    <row r="22" spans="1:21" s="11" customFormat="1" ht="15">
      <c r="A22" s="53" t="s">
        <v>387</v>
      </c>
      <c r="B22" s="54">
        <v>3.05</v>
      </c>
      <c r="C22" s="54">
        <v>39.299999999999997</v>
      </c>
      <c r="D22" s="54">
        <v>24.78</v>
      </c>
      <c r="E22" s="54">
        <v>2.12</v>
      </c>
      <c r="F22" s="54">
        <v>32.29</v>
      </c>
      <c r="G22" s="54">
        <v>46</v>
      </c>
      <c r="H22" s="54">
        <v>21.17</v>
      </c>
      <c r="I22" s="54">
        <v>0.56000000000000005</v>
      </c>
      <c r="J22" s="54">
        <v>1.04</v>
      </c>
      <c r="K22" s="54">
        <v>154.74</v>
      </c>
      <c r="L22" s="54">
        <v>33.64</v>
      </c>
      <c r="M22" s="54">
        <v>39.24</v>
      </c>
      <c r="N22" s="54">
        <v>241.30</v>
      </c>
      <c r="O22" s="54">
        <v>0</v>
      </c>
      <c r="P22" s="54">
        <v>0.54</v>
      </c>
      <c r="Q22" s="54">
        <v>25.45</v>
      </c>
      <c r="R22" s="43"/>
      <c r="S22" s="43"/>
      <c r="T22" s="43"/>
      <c r="U22" s="43"/>
    </row>
    <row r="23" spans="1:21" s="11" customFormat="1" ht="15">
      <c r="A23" s="53" t="s">
        <v>388</v>
      </c>
      <c r="B23" s="54">
        <v>4.0999999999999996</v>
      </c>
      <c r="C23" s="54">
        <v>38.28</v>
      </c>
      <c r="D23" s="54">
        <v>25.06</v>
      </c>
      <c r="E23" s="54">
        <v>1.81</v>
      </c>
      <c r="F23" s="54">
        <v>12.13</v>
      </c>
      <c r="G23" s="54">
        <v>41.78</v>
      </c>
      <c r="H23" s="54">
        <v>20.65</v>
      </c>
      <c r="I23" s="54">
        <v>0.59</v>
      </c>
      <c r="J23" s="54">
        <v>1.23</v>
      </c>
      <c r="K23" s="54">
        <v>39.69</v>
      </c>
      <c r="L23" s="54">
        <v>30.98</v>
      </c>
      <c r="M23" s="54">
        <v>60.34</v>
      </c>
      <c r="N23" s="54">
        <v>98.80</v>
      </c>
      <c r="O23" s="54">
        <v>0.20</v>
      </c>
      <c r="P23" s="54">
        <v>0.51</v>
      </c>
      <c r="Q23" s="54">
        <v>24.94</v>
      </c>
      <c r="R23" s="43"/>
      <c r="S23" s="43"/>
      <c r="T23" s="43"/>
      <c r="U23" s="43"/>
    </row>
    <row r="24" spans="1:21" s="11" customFormat="1" ht="15">
      <c r="A24" s="53" t="s">
        <v>389</v>
      </c>
      <c r="B24" s="54">
        <v>8.94</v>
      </c>
      <c r="C24" s="54">
        <v>47.96</v>
      </c>
      <c r="D24" s="54">
        <v>34.28</v>
      </c>
      <c r="E24" s="54">
        <v>1.74</v>
      </c>
      <c r="F24" s="54">
        <v>10.89</v>
      </c>
      <c r="G24" s="54">
        <v>38.90</v>
      </c>
      <c r="H24" s="54">
        <v>21.83</v>
      </c>
      <c r="I24" s="54">
        <v>0.66</v>
      </c>
      <c r="J24" s="54">
        <v>0.73</v>
      </c>
      <c r="K24" s="54">
        <v>120.23</v>
      </c>
      <c r="L24" s="54">
        <v>28.47</v>
      </c>
      <c r="M24" s="54">
        <v>57.28</v>
      </c>
      <c r="N24" s="54">
        <v>72.20</v>
      </c>
      <c r="O24" s="54">
        <v>0</v>
      </c>
      <c r="P24" s="54">
        <v>0.68</v>
      </c>
      <c r="Q24" s="54">
        <v>23.60</v>
      </c>
      <c r="R24" s="43"/>
      <c r="S24" s="43"/>
      <c r="T24" s="43"/>
      <c r="U24" s="43"/>
    </row>
    <row r="25" spans="1:21" s="11" customFormat="1" ht="15">
      <c r="A25" s="53" t="s">
        <v>390</v>
      </c>
      <c r="B25" s="54">
        <v>20.190000000000001</v>
      </c>
      <c r="C25" s="54">
        <v>64.08</v>
      </c>
      <c r="D25" s="54">
        <v>52.20</v>
      </c>
      <c r="E25" s="54">
        <v>2.2000000000000002</v>
      </c>
      <c r="F25" s="54">
        <v>19.77</v>
      </c>
      <c r="G25" s="54">
        <v>52.60</v>
      </c>
      <c r="H25" s="54">
        <v>23.55</v>
      </c>
      <c r="I25" s="54">
        <v>0.71</v>
      </c>
      <c r="J25" s="54">
        <v>0.86</v>
      </c>
      <c r="K25" s="54">
        <v>127.99</v>
      </c>
      <c r="L25" s="54">
        <v>29.14</v>
      </c>
      <c r="M25" s="54">
        <v>61.07</v>
      </c>
      <c r="N25" s="54">
        <v>73.80</v>
      </c>
      <c r="O25" s="54">
        <v>0</v>
      </c>
      <c r="P25" s="54">
        <v>0.79</v>
      </c>
      <c r="Q25" s="54">
        <v>26.69</v>
      </c>
      <c r="R25" s="43"/>
      <c r="S25" s="43"/>
      <c r="T25" s="43"/>
      <c r="U25" s="43"/>
    </row>
    <row r="26" spans="1:21" s="11" customFormat="1" ht="15">
      <c r="A26" s="53" t="s">
        <v>391</v>
      </c>
      <c r="B26" s="54">
        <v>20.25</v>
      </c>
      <c r="C26" s="54">
        <v>50.04</v>
      </c>
      <c r="D26" s="54">
        <v>44.26</v>
      </c>
      <c r="E26" s="54">
        <v>2.39</v>
      </c>
      <c r="F26" s="54">
        <v>11.17</v>
      </c>
      <c r="G26" s="54">
        <v>55.79</v>
      </c>
      <c r="H26" s="54">
        <v>23.55</v>
      </c>
      <c r="I26" s="54">
        <v>0.71</v>
      </c>
      <c r="J26" s="54">
        <v>0.59</v>
      </c>
      <c r="K26" s="54">
        <v>141.81</v>
      </c>
      <c r="L26" s="54">
        <v>29.57</v>
      </c>
      <c r="M26" s="54">
        <v>60.62</v>
      </c>
      <c r="N26" s="54">
        <v>56.40</v>
      </c>
      <c r="O26" s="54">
        <v>0</v>
      </c>
      <c r="P26" s="54">
        <v>0.92</v>
      </c>
      <c r="Q26" s="54">
        <v>26.57</v>
      </c>
      <c r="R26" s="43"/>
      <c r="S26" s="43"/>
      <c r="T26" s="43"/>
      <c r="U26" s="43"/>
    </row>
    <row r="27" spans="1:21" s="11" customFormat="1" ht="15">
      <c r="A27" s="53" t="s">
        <v>392</v>
      </c>
      <c r="B27" s="54">
        <v>20.57</v>
      </c>
      <c r="C27" s="54">
        <v>47.51</v>
      </c>
      <c r="D27" s="54">
        <v>41.89</v>
      </c>
      <c r="E27" s="54">
        <v>3.42</v>
      </c>
      <c r="F27" s="54">
        <v>10.51</v>
      </c>
      <c r="G27" s="54">
        <v>58.33</v>
      </c>
      <c r="H27" s="54">
        <v>29.29</v>
      </c>
      <c r="I27" s="54">
        <v>0.83</v>
      </c>
      <c r="J27" s="54">
        <v>0.57999999999999996</v>
      </c>
      <c r="K27" s="54">
        <v>291.69</v>
      </c>
      <c r="L27" s="54">
        <v>30.27</v>
      </c>
      <c r="M27" s="54">
        <v>48.92</v>
      </c>
      <c r="N27" s="54">
        <v>27.5</v>
      </c>
      <c r="O27" s="54">
        <v>0</v>
      </c>
      <c r="P27" s="54">
        <v>1.03</v>
      </c>
      <c r="Q27" s="54">
        <v>26.04</v>
      </c>
      <c r="R27" s="43"/>
      <c r="S27" s="43"/>
      <c r="T27" s="43"/>
      <c r="U27" s="43"/>
    </row>
    <row r="28" spans="1:21" s="11" customFormat="1" ht="15">
      <c r="A28" s="53" t="s">
        <v>393</v>
      </c>
      <c r="B28" s="54">
        <v>18.79</v>
      </c>
      <c r="C28" s="54">
        <v>56.81</v>
      </c>
      <c r="D28" s="54">
        <v>44.99</v>
      </c>
      <c r="E28" s="54">
        <v>3</v>
      </c>
      <c r="F28" s="54">
        <v>18.170000000000002</v>
      </c>
      <c r="G28" s="54">
        <v>61.94</v>
      </c>
      <c r="H28" s="54">
        <v>29.29</v>
      </c>
      <c r="I28" s="54">
        <v>0.79</v>
      </c>
      <c r="J28" s="54">
        <v>0.15</v>
      </c>
      <c r="K28" s="54">
        <v>42.19</v>
      </c>
      <c r="L28" s="54">
        <v>29.76</v>
      </c>
      <c r="M28" s="54">
        <v>43.90</v>
      </c>
      <c r="N28" s="54">
        <v>6.30</v>
      </c>
      <c r="O28" s="54">
        <v>0</v>
      </c>
      <c r="P28" s="54">
        <v>0.97</v>
      </c>
      <c r="Q28" s="54">
        <v>26.74</v>
      </c>
      <c r="R28" s="43"/>
      <c r="S28" s="43"/>
      <c r="T28" s="43"/>
      <c r="U28" s="43"/>
    </row>
    <row r="29" spans="1:21" s="11" customFormat="1" ht="15">
      <c r="A29" s="53" t="s">
        <v>394</v>
      </c>
      <c r="B29" s="54">
        <v>45.54</v>
      </c>
      <c r="C29" s="54">
        <v>62.25</v>
      </c>
      <c r="D29" s="54">
        <v>71.52</v>
      </c>
      <c r="E29" s="54">
        <v>2.73</v>
      </c>
      <c r="F29" s="54">
        <v>10.16</v>
      </c>
      <c r="G29" s="54">
        <v>78.08</v>
      </c>
      <c r="H29" s="54">
        <v>30.45</v>
      </c>
      <c r="I29" s="54">
        <v>0.83</v>
      </c>
      <c r="J29" s="54">
        <v>0.14000000000000001</v>
      </c>
      <c r="K29" s="54">
        <v>341.32</v>
      </c>
      <c r="L29" s="54">
        <v>29.45</v>
      </c>
      <c r="M29" s="54">
        <v>48.91</v>
      </c>
      <c r="N29" s="54">
        <v>6.40</v>
      </c>
      <c r="O29" s="54">
        <v>0</v>
      </c>
      <c r="P29" s="54">
        <v>1.26</v>
      </c>
      <c r="Q29" s="54">
        <v>26.25</v>
      </c>
      <c r="R29" s="43"/>
      <c r="S29" s="43"/>
      <c r="T29" s="43"/>
      <c r="U29" s="43"/>
    </row>
    <row r="30" spans="1:21" s="11" customFormat="1" ht="15">
      <c r="A30" s="53" t="s">
        <v>395</v>
      </c>
      <c r="B30" s="54">
        <v>33.840000000000003</v>
      </c>
      <c r="C30" s="54">
        <v>63.79</v>
      </c>
      <c r="D30" s="54">
        <v>61.52</v>
      </c>
      <c r="E30" s="54">
        <v>2.90</v>
      </c>
      <c r="F30" s="54">
        <v>6.23</v>
      </c>
      <c r="G30" s="54">
        <v>88.21</v>
      </c>
      <c r="H30" s="54">
        <v>32.630000000000003</v>
      </c>
      <c r="I30" s="54">
        <v>0.90</v>
      </c>
      <c r="J30" s="54">
        <v>0.06</v>
      </c>
      <c r="K30" s="54">
        <v>349.86</v>
      </c>
      <c r="L30" s="54">
        <v>29.38</v>
      </c>
      <c r="M30" s="54">
        <v>45.30</v>
      </c>
      <c r="N30" s="54">
        <v>6.20</v>
      </c>
      <c r="O30" s="54">
        <v>0</v>
      </c>
      <c r="P30" s="54">
        <v>1.41</v>
      </c>
      <c r="Q30" s="54">
        <v>26.13</v>
      </c>
      <c r="R30" s="43"/>
      <c r="S30" s="43"/>
      <c r="T30" s="43"/>
      <c r="U30" s="43"/>
    </row>
    <row r="31" spans="1:21" s="11" customFormat="1" ht="15">
      <c r="A31" s="53" t="s">
        <v>396</v>
      </c>
      <c r="B31" s="54">
        <v>64.67</v>
      </c>
      <c r="C31" s="54">
        <v>65.25</v>
      </c>
      <c r="D31" s="54">
        <v>88.44</v>
      </c>
      <c r="E31" s="54">
        <v>3.79</v>
      </c>
      <c r="F31" s="54">
        <v>8.5500000000000007</v>
      </c>
      <c r="G31" s="54">
        <v>102.09</v>
      </c>
      <c r="H31" s="54">
        <v>36.19</v>
      </c>
      <c r="I31" s="54">
        <v>0.90</v>
      </c>
      <c r="J31" s="54">
        <v>0.16</v>
      </c>
      <c r="K31" s="54">
        <v>342.37</v>
      </c>
      <c r="L31" s="54">
        <v>28.97</v>
      </c>
      <c r="M31" s="54">
        <v>50.85</v>
      </c>
      <c r="N31" s="54">
        <v>6.5</v>
      </c>
      <c r="O31" s="54">
        <v>0</v>
      </c>
      <c r="P31" s="54">
        <v>1.59</v>
      </c>
      <c r="Q31" s="54">
        <v>28.65</v>
      </c>
      <c r="R31" s="43"/>
      <c r="S31" s="43"/>
      <c r="T31" s="43"/>
      <c r="U31" s="43"/>
    </row>
    <row r="32" spans="1:21" s="11" customFormat="1" ht="15">
      <c r="A32" s="53" t="s">
        <v>397</v>
      </c>
      <c r="B32" s="54">
        <v>39.659999999999997</v>
      </c>
      <c r="C32" s="54">
        <v>53.13</v>
      </c>
      <c r="D32" s="54">
        <v>61.78</v>
      </c>
      <c r="E32" s="54">
        <v>3.51</v>
      </c>
      <c r="F32" s="54">
        <v>5.28</v>
      </c>
      <c r="G32" s="54">
        <v>109.98</v>
      </c>
      <c r="H32" s="54">
        <v>40.450000000000003</v>
      </c>
      <c r="I32" s="54">
        <v>0.91</v>
      </c>
      <c r="J32" s="54">
        <v>0.25</v>
      </c>
      <c r="K32" s="54">
        <v>302.17</v>
      </c>
      <c r="L32" s="54">
        <v>28.11</v>
      </c>
      <c r="M32" s="54">
        <v>50.52</v>
      </c>
      <c r="N32" s="54">
        <v>6.5</v>
      </c>
      <c r="O32" s="54">
        <v>0</v>
      </c>
      <c r="P32" s="54">
        <v>2.0099999999999998</v>
      </c>
      <c r="Q32" s="54">
        <v>28.65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</v>
      </c>
      <c r="C34" s="28">
        <f t="shared" si="0"/>
        <v>32.200000000000003</v>
      </c>
      <c r="D34" s="28">
        <f t="shared" si="0"/>
        <v>19.219999999999999</v>
      </c>
      <c r="E34" s="28">
        <f t="shared" si="0"/>
        <v>1.46</v>
      </c>
      <c r="F34" s="28">
        <f t="shared" si="0"/>
        <v>5.2800000000000002</v>
      </c>
      <c r="G34" s="28">
        <f t="shared" si="0"/>
        <v>32.159999999999997</v>
      </c>
      <c r="H34" s="28">
        <f t="shared" si="0"/>
        <v>16</v>
      </c>
      <c r="I34" s="28">
        <f t="shared" si="0"/>
        <v>0.52000000000000002</v>
      </c>
      <c r="J34" s="28">
        <f t="shared" si="0"/>
        <v>0.059999999999999998</v>
      </c>
      <c r="K34" s="28">
        <f t="shared" si="0"/>
        <v>39.689999999999998</v>
      </c>
      <c r="L34" s="28">
        <f t="shared" si="0"/>
        <v>28.109999999999999</v>
      </c>
      <c r="M34" s="28">
        <f t="shared" si="0"/>
        <v>27.100000000000001</v>
      </c>
      <c r="N34" s="28">
        <f t="shared" si="0"/>
        <v>5.2999999999999998</v>
      </c>
      <c r="O34" s="28">
        <f t="shared" si="0"/>
        <v>0</v>
      </c>
      <c r="P34" s="28">
        <f t="shared" si="0"/>
        <v>0.51000000000000001</v>
      </c>
      <c r="Q34" s="28">
        <f t="shared" si="0"/>
        <v>21.559999999999999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64.670000000000002</v>
      </c>
      <c r="C35" s="29">
        <f t="shared" si="1"/>
        <v>65.25</v>
      </c>
      <c r="D35" s="29">
        <f t="shared" si="1"/>
        <v>88.439999999999998</v>
      </c>
      <c r="E35" s="29">
        <f t="shared" si="1"/>
        <v>8.3499999999999996</v>
      </c>
      <c r="F35" s="29">
        <f t="shared" si="1"/>
        <v>32.289999999999999</v>
      </c>
      <c r="G35" s="29">
        <f t="shared" si="1"/>
        <v>109.98</v>
      </c>
      <c r="H35" s="29">
        <f t="shared" si="1"/>
        <v>40.450000000000003</v>
      </c>
      <c r="I35" s="29">
        <f t="shared" si="1"/>
        <v>0.91000000000000003</v>
      </c>
      <c r="J35" s="29">
        <f t="shared" si="1"/>
        <v>2.0899999999999999</v>
      </c>
      <c r="K35" s="29">
        <f t="shared" si="1"/>
        <v>359.89999999999998</v>
      </c>
      <c r="L35" s="29">
        <f t="shared" si="1"/>
        <v>39.509999999999998</v>
      </c>
      <c r="M35" s="29">
        <f t="shared" si="1"/>
        <v>61.07</v>
      </c>
      <c r="N35" s="29">
        <f t="shared" si="1"/>
        <v>856.29999999999995</v>
      </c>
      <c r="O35" s="29">
        <f t="shared" si="1"/>
        <v>0.20000000000000001</v>
      </c>
      <c r="P35" s="29">
        <f t="shared" si="1"/>
        <v>2.0099999999999998</v>
      </c>
      <c r="Q35" s="29">
        <f t="shared" si="1"/>
        <v>28.649999999999999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13.549166666666665</v>
      </c>
      <c r="C36" s="28">
        <f t="shared" si="2"/>
        <v>44.949583333333344</v>
      </c>
      <c r="D36" s="28">
        <f t="shared" si="2"/>
        <v>35.974583333333335</v>
      </c>
      <c r="E36" s="28">
        <f t="shared" si="2"/>
        <v>3.1212500000000012</v>
      </c>
      <c r="F36" s="28">
        <f t="shared" si="2"/>
        <v>12.783333333333333</v>
      </c>
      <c r="G36" s="28">
        <f t="shared" si="2"/>
        <v>54.720416666666658</v>
      </c>
      <c r="H36" s="28">
        <f t="shared" si="2"/>
        <v>24.786250000000006</v>
      </c>
      <c r="I36" s="28">
        <f t="shared" si="2"/>
        <v>0.68541666666666667</v>
      </c>
      <c r="J36" s="28">
        <f t="shared" si="2"/>
        <v>0.64666666666666672</v>
      </c>
      <c r="K36" s="28">
        <f t="shared" si="2"/>
        <v>231.01333333333324</v>
      </c>
      <c r="L36" s="28">
        <f t="shared" si="2"/>
        <v>31.896666666666665</v>
      </c>
      <c r="M36" s="28">
        <f t="shared" si="2"/>
        <v>44.630833333333335</v>
      </c>
      <c r="N36" s="28">
        <f t="shared" si="2"/>
        <v>200.39999999999998</v>
      </c>
      <c r="O36" s="28">
        <f t="shared" si="2"/>
        <v>0.0083333333333333332</v>
      </c>
      <c r="P36" s="28">
        <f t="shared" si="2"/>
        <v>0.85791666666666677</v>
      </c>
      <c r="Q36" s="28">
        <f t="shared" si="2"/>
        <v>25.044583333333332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16.804911527564656</v>
      </c>
      <c r="C37" s="28">
        <f t="shared" si="3" ref="C37:Q37">STDEV(C9:C32)</f>
        <v>10.562702009045015</v>
      </c>
      <c r="D37" s="28">
        <f t="shared" si="3"/>
        <v>18.636753537768747</v>
      </c>
      <c r="E37" s="28">
        <f t="shared" si="3"/>
        <v>1.5310732595427801</v>
      </c>
      <c r="F37" s="28">
        <f t="shared" si="3"/>
        <v>5.9998142483324184</v>
      </c>
      <c r="G37" s="28">
        <f t="shared" si="3"/>
        <v>20.216237872855718</v>
      </c>
      <c r="H37" s="28">
        <f t="shared" si="3"/>
        <v>5.8037460260406171</v>
      </c>
      <c r="I37" s="28">
        <f t="shared" si="3"/>
        <v>0.11908999763301717</v>
      </c>
      <c r="J37" s="28">
        <f t="shared" si="3"/>
        <v>0.57055020483028829</v>
      </c>
      <c r="K37" s="28">
        <f t="shared" si="3"/>
        <v>132.45241011369922</v>
      </c>
      <c r="L37" s="28">
        <f t="shared" si="3"/>
        <v>3.6336933739972914</v>
      </c>
      <c r="M37" s="28">
        <f t="shared" si="3"/>
        <v>9.6088106836186142</v>
      </c>
      <c r="N37" s="28">
        <f t="shared" si="3"/>
        <v>290.02164087169945</v>
      </c>
      <c r="O37" s="28">
        <f t="shared" si="3"/>
        <v>0.040824829046386311</v>
      </c>
      <c r="P37" s="28">
        <f t="shared" si="3"/>
        <v>0.37714002896706045</v>
      </c>
      <c r="Q37" s="28">
        <f t="shared" si="3"/>
        <v>1.8495874491043613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5ad236e-b155-450b-a919-3a11b1ffe812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F60" sqref="F60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15-06-2023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398</v>
      </c>
      <c r="B9" s="54">
        <v>23.23</v>
      </c>
      <c r="C9" s="54">
        <v>42.63</v>
      </c>
      <c r="D9" s="54">
        <v>42.80</v>
      </c>
      <c r="E9" s="54">
        <v>3.97</v>
      </c>
      <c r="F9" s="54">
        <v>13.63</v>
      </c>
      <c r="G9" s="54">
        <v>109.98</v>
      </c>
      <c r="H9" s="54">
        <v>40.450000000000003</v>
      </c>
      <c r="I9" s="54">
        <v>0.77</v>
      </c>
      <c r="J9" s="54">
        <v>0.20</v>
      </c>
      <c r="K9" s="54">
        <v>271.36</v>
      </c>
      <c r="L9" s="54">
        <v>27.53</v>
      </c>
      <c r="M9" s="54">
        <v>54.67</v>
      </c>
      <c r="N9" s="54">
        <v>6.30</v>
      </c>
      <c r="O9" s="54">
        <v>0</v>
      </c>
      <c r="P9" s="54">
        <v>1.97</v>
      </c>
      <c r="Q9" s="54">
        <v>28.81</v>
      </c>
      <c r="R9" s="43"/>
      <c r="S9" s="43"/>
      <c r="T9" s="43"/>
      <c r="U9" s="43"/>
    </row>
    <row r="10" spans="1:21" s="11" customFormat="1" ht="15">
      <c r="A10" s="53" t="s">
        <v>399</v>
      </c>
      <c r="B10" s="54">
        <v>12.96</v>
      </c>
      <c r="C10" s="54">
        <v>35.85</v>
      </c>
      <c r="D10" s="54">
        <v>30.82</v>
      </c>
      <c r="E10" s="54">
        <v>3.88</v>
      </c>
      <c r="F10" s="54">
        <v>15.57</v>
      </c>
      <c r="G10" s="54">
        <v>79.569999999999993</v>
      </c>
      <c r="H10" s="54">
        <v>33.299999999999997</v>
      </c>
      <c r="I10" s="54">
        <v>0.63</v>
      </c>
      <c r="J10" s="54">
        <v>0.19</v>
      </c>
      <c r="K10" s="54">
        <v>356.88</v>
      </c>
      <c r="L10" s="54">
        <v>26.75</v>
      </c>
      <c r="M10" s="54">
        <v>56.12</v>
      </c>
      <c r="N10" s="54">
        <v>6.40</v>
      </c>
      <c r="O10" s="54">
        <v>0</v>
      </c>
      <c r="P10" s="54">
        <v>1.61</v>
      </c>
      <c r="Q10" s="54">
        <v>30.45</v>
      </c>
      <c r="R10" s="43"/>
      <c r="S10" s="43"/>
      <c r="T10" s="43"/>
      <c r="U10" s="43"/>
    </row>
    <row r="11" spans="1:21" s="11" customFormat="1" ht="15">
      <c r="A11" s="53" t="s">
        <v>400</v>
      </c>
      <c r="B11" s="54">
        <v>13.34</v>
      </c>
      <c r="C11" s="54">
        <v>32.86</v>
      </c>
      <c r="D11" s="54">
        <v>29.48</v>
      </c>
      <c r="E11" s="54">
        <v>3.56</v>
      </c>
      <c r="F11" s="54">
        <v>8.8800000000000008</v>
      </c>
      <c r="G11" s="54">
        <v>55.02</v>
      </c>
      <c r="H11" s="54">
        <v>28.92</v>
      </c>
      <c r="I11" s="54">
        <v>0.71</v>
      </c>
      <c r="J11" s="54">
        <v>0.13</v>
      </c>
      <c r="K11" s="54">
        <v>311.56</v>
      </c>
      <c r="L11" s="54">
        <v>26.75</v>
      </c>
      <c r="M11" s="54">
        <v>54.91</v>
      </c>
      <c r="N11" s="54">
        <v>6.10</v>
      </c>
      <c r="O11" s="54">
        <v>0</v>
      </c>
      <c r="P11" s="54">
        <v>1.39</v>
      </c>
      <c r="Q11" s="54">
        <v>29.29</v>
      </c>
      <c r="R11" s="43"/>
      <c r="S11" s="43"/>
      <c r="T11" s="43"/>
      <c r="U11" s="43"/>
    </row>
    <row r="12" spans="1:21" s="11" customFormat="1" ht="15">
      <c r="A12" s="53" t="s">
        <v>401</v>
      </c>
      <c r="B12" s="54">
        <v>10.02</v>
      </c>
      <c r="C12" s="54">
        <v>33.89</v>
      </c>
      <c r="D12" s="54">
        <v>27.38</v>
      </c>
      <c r="E12" s="54">
        <v>2.69</v>
      </c>
      <c r="F12" s="54">
        <v>8.75</v>
      </c>
      <c r="G12" s="54">
        <v>46.90</v>
      </c>
      <c r="H12" s="54">
        <v>25.85</v>
      </c>
      <c r="I12" s="54">
        <v>0.71</v>
      </c>
      <c r="J12" s="54">
        <v>0.14000000000000001</v>
      </c>
      <c r="K12" s="54">
        <v>297.64999999999998</v>
      </c>
      <c r="L12" s="54">
        <v>26.80</v>
      </c>
      <c r="M12" s="54">
        <v>53.92</v>
      </c>
      <c r="N12" s="54">
        <v>6</v>
      </c>
      <c r="O12" s="54">
        <v>0</v>
      </c>
      <c r="P12" s="54">
        <v>1.05</v>
      </c>
      <c r="Q12" s="54">
        <v>27.11</v>
      </c>
      <c r="R12" s="43"/>
      <c r="S12" s="43"/>
      <c r="T12" s="43"/>
      <c r="U12" s="43"/>
    </row>
    <row r="13" spans="1:21" s="11" customFormat="1" ht="15">
      <c r="A13" s="53" t="s">
        <v>402</v>
      </c>
      <c r="B13" s="54">
        <v>10.01</v>
      </c>
      <c r="C13" s="54">
        <v>35.57</v>
      </c>
      <c r="D13" s="54">
        <v>28.30</v>
      </c>
      <c r="E13" s="54">
        <v>2.13</v>
      </c>
      <c r="F13" s="54">
        <v>8.39</v>
      </c>
      <c r="G13" s="54">
        <v>44.94</v>
      </c>
      <c r="H13" s="54">
        <v>25.66</v>
      </c>
      <c r="I13" s="54">
        <v>0.65</v>
      </c>
      <c r="J13" s="54">
        <v>0.15</v>
      </c>
      <c r="K13" s="54">
        <v>50.89</v>
      </c>
      <c r="L13" s="54">
        <v>26.83</v>
      </c>
      <c r="M13" s="54">
        <v>52.61</v>
      </c>
      <c r="N13" s="54">
        <v>6.20</v>
      </c>
      <c r="O13" s="54">
        <v>0</v>
      </c>
      <c r="P13" s="54">
        <v>0.86</v>
      </c>
      <c r="Q13" s="54">
        <v>27.83</v>
      </c>
      <c r="R13" s="43"/>
      <c r="S13" s="43"/>
      <c r="T13" s="43"/>
      <c r="U13" s="43"/>
    </row>
    <row r="14" spans="1:21" s="11" customFormat="1" ht="15">
      <c r="A14" s="53" t="s">
        <v>403</v>
      </c>
      <c r="B14" s="54">
        <v>13.84</v>
      </c>
      <c r="C14" s="54">
        <v>35.39</v>
      </c>
      <c r="D14" s="54">
        <v>31.27</v>
      </c>
      <c r="E14" s="54">
        <v>2.36</v>
      </c>
      <c r="F14" s="54">
        <v>4.42</v>
      </c>
      <c r="G14" s="54">
        <v>48.43</v>
      </c>
      <c r="H14" s="54">
        <v>23.90</v>
      </c>
      <c r="I14" s="54">
        <v>0.66</v>
      </c>
      <c r="J14" s="54">
        <v>0.21</v>
      </c>
      <c r="K14" s="54">
        <v>39.979999999999997</v>
      </c>
      <c r="L14" s="54">
        <v>26.58</v>
      </c>
      <c r="M14" s="54">
        <v>53.21</v>
      </c>
      <c r="N14" s="54">
        <v>45</v>
      </c>
      <c r="O14" s="54">
        <v>0</v>
      </c>
      <c r="P14" s="54">
        <v>0.90</v>
      </c>
      <c r="Q14" s="54">
        <v>26.65</v>
      </c>
      <c r="R14" s="43"/>
      <c r="S14" s="43"/>
      <c r="T14" s="43"/>
      <c r="U14" s="43"/>
    </row>
    <row r="15" spans="1:21" s="11" customFormat="1" ht="15">
      <c r="A15" s="53" t="s">
        <v>404</v>
      </c>
      <c r="B15" s="54">
        <v>19.920000000000002</v>
      </c>
      <c r="C15" s="54">
        <v>35.96</v>
      </c>
      <c r="D15" s="54">
        <v>35.40</v>
      </c>
      <c r="E15" s="54">
        <v>2.5499999999999998</v>
      </c>
      <c r="F15" s="54">
        <v>4.54</v>
      </c>
      <c r="G15" s="54">
        <v>55.36</v>
      </c>
      <c r="H15" s="54">
        <v>25.74</v>
      </c>
      <c r="I15" s="54">
        <v>0.67</v>
      </c>
      <c r="J15" s="54">
        <v>0.17</v>
      </c>
      <c r="K15" s="54">
        <v>48.04</v>
      </c>
      <c r="L15" s="54">
        <v>28.85</v>
      </c>
      <c r="M15" s="54">
        <v>51.98</v>
      </c>
      <c r="N15" s="54">
        <v>166.40</v>
      </c>
      <c r="O15" s="54">
        <v>0</v>
      </c>
      <c r="P15" s="54">
        <v>0.86</v>
      </c>
      <c r="Q15" s="54">
        <v>25.81</v>
      </c>
      <c r="R15" s="43"/>
      <c r="S15" s="43"/>
      <c r="T15" s="43"/>
      <c r="U15" s="43"/>
    </row>
    <row r="16" spans="1:21" s="11" customFormat="1" ht="15">
      <c r="A16" s="53" t="s">
        <v>405</v>
      </c>
      <c r="B16" s="54">
        <v>17.43</v>
      </c>
      <c r="C16" s="54">
        <v>37.520000000000003</v>
      </c>
      <c r="D16" s="54">
        <v>33.39</v>
      </c>
      <c r="E16" s="54">
        <v>3.35</v>
      </c>
      <c r="F16" s="54">
        <v>6.73</v>
      </c>
      <c r="G16" s="54">
        <v>64.84</v>
      </c>
      <c r="H16" s="54">
        <v>27.28</v>
      </c>
      <c r="I16" s="54">
        <v>0.66</v>
      </c>
      <c r="J16" s="54">
        <v>0.31</v>
      </c>
      <c r="K16" s="54">
        <v>47.91</v>
      </c>
      <c r="L16" s="54">
        <v>32.56</v>
      </c>
      <c r="M16" s="54">
        <v>48.67</v>
      </c>
      <c r="N16" s="54">
        <v>421</v>
      </c>
      <c r="O16" s="54">
        <v>0</v>
      </c>
      <c r="P16" s="54">
        <v>1.01</v>
      </c>
      <c r="Q16" s="54">
        <v>26.48</v>
      </c>
      <c r="R16" s="43"/>
      <c r="S16" s="43"/>
      <c r="T16" s="43"/>
      <c r="U16" s="43"/>
    </row>
    <row r="17" spans="1:21" s="11" customFormat="1" ht="15">
      <c r="A17" s="53" t="s">
        <v>406</v>
      </c>
      <c r="B17" s="54">
        <v>13.09</v>
      </c>
      <c r="C17" s="54">
        <v>39.92</v>
      </c>
      <c r="D17" s="54">
        <v>29.74</v>
      </c>
      <c r="E17" s="54">
        <v>3.51</v>
      </c>
      <c r="F17" s="54">
        <v>4.83</v>
      </c>
      <c r="G17" s="54">
        <v>64.84</v>
      </c>
      <c r="H17" s="54">
        <v>28.87</v>
      </c>
      <c r="I17" s="54">
        <v>0.59</v>
      </c>
      <c r="J17" s="54">
        <v>0.97</v>
      </c>
      <c r="K17" s="54">
        <v>351.96</v>
      </c>
      <c r="L17" s="54">
        <v>34.69</v>
      </c>
      <c r="M17" s="54">
        <v>39.68</v>
      </c>
      <c r="N17" s="54">
        <v>558.90</v>
      </c>
      <c r="O17" s="54">
        <v>0</v>
      </c>
      <c r="P17" s="54">
        <v>1</v>
      </c>
      <c r="Q17" s="54">
        <v>25.05</v>
      </c>
      <c r="R17" s="43"/>
      <c r="S17" s="43"/>
      <c r="T17" s="43"/>
      <c r="U17" s="43"/>
    </row>
    <row r="18" spans="1:21" s="11" customFormat="1" ht="15">
      <c r="A18" s="53" t="s">
        <v>407</v>
      </c>
      <c r="B18" s="54">
        <v>5.03</v>
      </c>
      <c r="C18" s="54">
        <v>39.82</v>
      </c>
      <c r="D18" s="54">
        <v>25.46</v>
      </c>
      <c r="E18" s="54">
        <v>3.25</v>
      </c>
      <c r="F18" s="54">
        <v>7.22</v>
      </c>
      <c r="G18" s="54">
        <v>63.25</v>
      </c>
      <c r="H18" s="54">
        <v>28.87</v>
      </c>
      <c r="I18" s="54">
        <v>0.54</v>
      </c>
      <c r="J18" s="54">
        <v>1.05</v>
      </c>
      <c r="K18" s="54">
        <v>359.77</v>
      </c>
      <c r="L18" s="54">
        <v>36.619999999999997</v>
      </c>
      <c r="M18" s="54">
        <v>34.729999999999997</v>
      </c>
      <c r="N18" s="54">
        <v>695.20</v>
      </c>
      <c r="O18" s="54">
        <v>0</v>
      </c>
      <c r="P18" s="54">
        <v>0.74</v>
      </c>
      <c r="Q18" s="54">
        <v>24.16</v>
      </c>
      <c r="R18" s="43"/>
      <c r="S18" s="43"/>
      <c r="T18" s="43"/>
      <c r="U18" s="43"/>
    </row>
    <row r="19" spans="1:21" s="11" customFormat="1" ht="15">
      <c r="A19" s="53" t="s">
        <v>408</v>
      </c>
      <c r="B19" s="54">
        <v>3.40</v>
      </c>
      <c r="C19" s="54">
        <v>40.98</v>
      </c>
      <c r="D19" s="54">
        <v>25.99</v>
      </c>
      <c r="E19" s="54">
        <v>2.78</v>
      </c>
      <c r="F19" s="54">
        <v>7.62</v>
      </c>
      <c r="G19" s="54">
        <v>57.54</v>
      </c>
      <c r="H19" s="54">
        <v>28.82</v>
      </c>
      <c r="I19" s="54">
        <v>0.61</v>
      </c>
      <c r="J19" s="54">
        <v>0.86</v>
      </c>
      <c r="K19" s="54">
        <v>359.58</v>
      </c>
      <c r="L19" s="54">
        <v>36.78</v>
      </c>
      <c r="M19" s="54">
        <v>33.200000000000003</v>
      </c>
      <c r="N19" s="54">
        <v>734.80</v>
      </c>
      <c r="O19" s="54">
        <v>0</v>
      </c>
      <c r="P19" s="54">
        <v>0.63</v>
      </c>
      <c r="Q19" s="54">
        <v>22.83</v>
      </c>
      <c r="R19" s="43"/>
      <c r="S19" s="43"/>
      <c r="T19" s="43"/>
      <c r="U19" s="43"/>
    </row>
    <row r="20" spans="1:21" s="11" customFormat="1" ht="15">
      <c r="A20" s="53" t="s">
        <v>409</v>
      </c>
      <c r="B20" s="54">
        <v>1.65</v>
      </c>
      <c r="C20" s="54">
        <v>32.409999999999997</v>
      </c>
      <c r="D20" s="54">
        <v>19.850000000000001</v>
      </c>
      <c r="E20" s="54">
        <v>2.69</v>
      </c>
      <c r="F20" s="54">
        <v>9.3699999999999992</v>
      </c>
      <c r="G20" s="54">
        <v>54.15</v>
      </c>
      <c r="H20" s="54">
        <v>27.64</v>
      </c>
      <c r="I20" s="54">
        <v>0.56999999999999995</v>
      </c>
      <c r="J20" s="54">
        <v>0.67</v>
      </c>
      <c r="K20" s="54">
        <v>358.94</v>
      </c>
      <c r="L20" s="54">
        <v>38.5</v>
      </c>
      <c r="M20" s="54">
        <v>31.86</v>
      </c>
      <c r="N20" s="54">
        <v>916.70</v>
      </c>
      <c r="O20" s="54">
        <v>0</v>
      </c>
      <c r="P20" s="54">
        <v>0.53</v>
      </c>
      <c r="Q20" s="54">
        <v>20.78</v>
      </c>
      <c r="R20" s="43"/>
      <c r="S20" s="43"/>
      <c r="T20" s="43"/>
      <c r="U20" s="43"/>
    </row>
    <row r="21" spans="1:21" s="11" customFormat="1" ht="15">
      <c r="A21" s="53" t="s">
        <v>410</v>
      </c>
      <c r="B21" s="54">
        <v>2.5299999999999998</v>
      </c>
      <c r="C21" s="54">
        <v>40.840000000000003</v>
      </c>
      <c r="D21" s="54">
        <v>24.56</v>
      </c>
      <c r="E21" s="54">
        <v>2</v>
      </c>
      <c r="F21" s="54">
        <v>12.12</v>
      </c>
      <c r="G21" s="54">
        <v>51.45</v>
      </c>
      <c r="H21" s="54">
        <v>27.64</v>
      </c>
      <c r="I21" s="54">
        <v>0.56000000000000005</v>
      </c>
      <c r="J21" s="54">
        <v>0.75</v>
      </c>
      <c r="K21" s="54">
        <v>358.42</v>
      </c>
      <c r="L21" s="54">
        <v>39.11</v>
      </c>
      <c r="M21" s="54">
        <v>28.98</v>
      </c>
      <c r="N21" s="54">
        <v>912.40</v>
      </c>
      <c r="O21" s="54">
        <v>0</v>
      </c>
      <c r="P21" s="54">
        <v>0.47</v>
      </c>
      <c r="Q21" s="54">
        <v>24.06</v>
      </c>
      <c r="R21" s="43"/>
      <c r="S21" s="43"/>
      <c r="T21" s="43"/>
      <c r="U21" s="43"/>
    </row>
    <row r="22" spans="1:21" s="11" customFormat="1" ht="15">
      <c r="A22" s="53" t="s">
        <v>411</v>
      </c>
      <c r="B22" s="54">
        <v>4.0199999999999996</v>
      </c>
      <c r="C22" s="54">
        <v>39.93</v>
      </c>
      <c r="D22" s="54">
        <v>25.80</v>
      </c>
      <c r="E22" s="54">
        <v>1.97</v>
      </c>
      <c r="F22" s="54">
        <v>14.21</v>
      </c>
      <c r="G22" s="54">
        <v>51.45</v>
      </c>
      <c r="H22" s="54">
        <v>22.34</v>
      </c>
      <c r="I22" s="54">
        <v>0.54</v>
      </c>
      <c r="J22" s="54">
        <v>0.44</v>
      </c>
      <c r="K22" s="54">
        <v>12.58</v>
      </c>
      <c r="L22" s="54">
        <v>38.979999999999997</v>
      </c>
      <c r="M22" s="54">
        <v>27.54</v>
      </c>
      <c r="N22" s="54">
        <v>813.5</v>
      </c>
      <c r="O22" s="54">
        <v>0</v>
      </c>
      <c r="P22" s="54">
        <v>0.51</v>
      </c>
      <c r="Q22" s="54">
        <v>23.42</v>
      </c>
      <c r="R22" s="43"/>
      <c r="S22" s="43"/>
      <c r="T22" s="43"/>
      <c r="U22" s="43"/>
    </row>
    <row r="23" spans="1:21" s="11" customFormat="1" ht="15">
      <c r="A23" s="53" t="s">
        <v>412</v>
      </c>
      <c r="B23" s="54">
        <v>2.39</v>
      </c>
      <c r="C23" s="54">
        <v>40.369999999999997</v>
      </c>
      <c r="D23" s="54">
        <v>24.84</v>
      </c>
      <c r="E23" s="54">
        <v>1.79</v>
      </c>
      <c r="F23" s="54">
        <v>8.61</v>
      </c>
      <c r="G23" s="54">
        <v>51.25</v>
      </c>
      <c r="H23" s="54">
        <v>16.809999999999999</v>
      </c>
      <c r="I23" s="54">
        <v>0.62</v>
      </c>
      <c r="J23" s="54">
        <v>0.74</v>
      </c>
      <c r="K23" s="54">
        <v>350.43</v>
      </c>
      <c r="L23" s="54">
        <v>38.68</v>
      </c>
      <c r="M23" s="54">
        <v>26.71</v>
      </c>
      <c r="N23" s="54">
        <v>600.10</v>
      </c>
      <c r="O23" s="54">
        <v>0</v>
      </c>
      <c r="P23" s="54">
        <v>0.49</v>
      </c>
      <c r="Q23" s="54">
        <v>21.85</v>
      </c>
      <c r="R23" s="43"/>
      <c r="S23" s="43"/>
      <c r="T23" s="43"/>
      <c r="U23" s="43"/>
    </row>
    <row r="24" spans="1:21" s="11" customFormat="1" ht="15">
      <c r="A24" s="53" t="s">
        <v>413</v>
      </c>
      <c r="B24" s="54">
        <v>4.49</v>
      </c>
      <c r="C24" s="54">
        <v>45.67</v>
      </c>
      <c r="D24" s="54">
        <v>29.45</v>
      </c>
      <c r="E24" s="54">
        <v>1.59</v>
      </c>
      <c r="F24" s="54">
        <v>12.68</v>
      </c>
      <c r="G24" s="54">
        <v>41.94</v>
      </c>
      <c r="H24" s="54">
        <v>20.56</v>
      </c>
      <c r="I24" s="54">
        <v>0.52</v>
      </c>
      <c r="J24" s="54">
        <v>0.78</v>
      </c>
      <c r="K24" s="54">
        <v>355.62</v>
      </c>
      <c r="L24" s="54">
        <v>38.53</v>
      </c>
      <c r="M24" s="54">
        <v>27.13</v>
      </c>
      <c r="N24" s="54">
        <v>267.80</v>
      </c>
      <c r="O24" s="54">
        <v>0</v>
      </c>
      <c r="P24" s="54">
        <v>0.44</v>
      </c>
      <c r="Q24" s="54">
        <v>23.5</v>
      </c>
      <c r="R24" s="43"/>
      <c r="S24" s="43"/>
      <c r="T24" s="43"/>
      <c r="U24" s="43"/>
    </row>
    <row r="25" spans="1:21" s="11" customFormat="1" ht="15">
      <c r="A25" s="53" t="s">
        <v>414</v>
      </c>
      <c r="B25" s="54">
        <v>9.65</v>
      </c>
      <c r="C25" s="54">
        <v>43.07</v>
      </c>
      <c r="D25" s="54">
        <v>30.74</v>
      </c>
      <c r="E25" s="54">
        <v>2.13</v>
      </c>
      <c r="F25" s="54">
        <v>20.12</v>
      </c>
      <c r="G25" s="54">
        <v>44.84</v>
      </c>
      <c r="H25" s="54">
        <v>20.56</v>
      </c>
      <c r="I25" s="54">
        <v>1</v>
      </c>
      <c r="J25" s="54">
        <v>1.31</v>
      </c>
      <c r="K25" s="54">
        <v>354.14</v>
      </c>
      <c r="L25" s="54">
        <v>36.450000000000003</v>
      </c>
      <c r="M25" s="54">
        <v>36.619999999999997</v>
      </c>
      <c r="N25" s="54">
        <v>148.90</v>
      </c>
      <c r="O25" s="54">
        <v>0</v>
      </c>
      <c r="P25" s="54">
        <v>0.47</v>
      </c>
      <c r="Q25" s="54">
        <v>23.42</v>
      </c>
      <c r="R25" s="43"/>
      <c r="S25" s="43"/>
      <c r="T25" s="43"/>
      <c r="U25" s="43"/>
    </row>
    <row r="26" spans="1:21" s="11" customFormat="1" ht="15">
      <c r="A26" s="53" t="s">
        <v>415</v>
      </c>
      <c r="B26" s="54">
        <v>17.72</v>
      </c>
      <c r="C26" s="54">
        <v>47.93</v>
      </c>
      <c r="D26" s="54">
        <v>40.85</v>
      </c>
      <c r="E26" s="54">
        <v>6.55</v>
      </c>
      <c r="F26" s="54">
        <v>14.76</v>
      </c>
      <c r="G26" s="54">
        <v>61.99</v>
      </c>
      <c r="H26" s="54">
        <v>29.33</v>
      </c>
      <c r="I26" s="54">
        <v>0.61</v>
      </c>
      <c r="J26" s="54">
        <v>0.57999999999999996</v>
      </c>
      <c r="K26" s="54">
        <v>46.54</v>
      </c>
      <c r="L26" s="54">
        <v>32.58</v>
      </c>
      <c r="M26" s="54">
        <v>38.770000000000003</v>
      </c>
      <c r="N26" s="54">
        <v>51.80</v>
      </c>
      <c r="O26" s="54">
        <v>0</v>
      </c>
      <c r="P26" s="54">
        <v>0.70</v>
      </c>
      <c r="Q26" s="54">
        <v>22.49</v>
      </c>
      <c r="R26" s="43"/>
      <c r="S26" s="43"/>
      <c r="T26" s="43"/>
      <c r="U26" s="43"/>
    </row>
    <row r="27" spans="1:21" s="11" customFormat="1" ht="15">
      <c r="A27" s="53" t="s">
        <v>416</v>
      </c>
      <c r="B27" s="54">
        <v>31.88</v>
      </c>
      <c r="C27" s="54">
        <v>64.06</v>
      </c>
      <c r="D27" s="54">
        <v>58.28</v>
      </c>
      <c r="E27" s="54">
        <v>15.33</v>
      </c>
      <c r="F27" s="54">
        <v>23.55</v>
      </c>
      <c r="G27" s="54">
        <v>89.55</v>
      </c>
      <c r="H27" s="54">
        <v>40.880000000000003</v>
      </c>
      <c r="I27" s="54">
        <v>0.72</v>
      </c>
      <c r="J27" s="54">
        <v>0.60</v>
      </c>
      <c r="K27" s="54">
        <v>261.92</v>
      </c>
      <c r="L27" s="54">
        <v>32.380000000000003</v>
      </c>
      <c r="M27" s="54">
        <v>39.76</v>
      </c>
      <c r="N27" s="54">
        <v>24.30</v>
      </c>
      <c r="O27" s="54">
        <v>0</v>
      </c>
      <c r="P27" s="54">
        <v>0.96</v>
      </c>
      <c r="Q27" s="54">
        <v>25.61</v>
      </c>
      <c r="R27" s="43"/>
      <c r="S27" s="43"/>
      <c r="T27" s="43"/>
      <c r="U27" s="43"/>
    </row>
    <row r="28" spans="1:21" s="11" customFormat="1" ht="15">
      <c r="A28" s="53" t="s">
        <v>417</v>
      </c>
      <c r="B28" s="54">
        <v>38.020000000000003</v>
      </c>
      <c r="C28" s="54">
        <v>64.03</v>
      </c>
      <c r="D28" s="54">
        <v>66.47</v>
      </c>
      <c r="E28" s="54">
        <v>13.97</v>
      </c>
      <c r="F28" s="54">
        <v>13.93</v>
      </c>
      <c r="G28" s="54">
        <v>104.96</v>
      </c>
      <c r="H28" s="54">
        <v>42.99</v>
      </c>
      <c r="I28" s="54">
        <v>0.85</v>
      </c>
      <c r="J28" s="54">
        <v>0.47</v>
      </c>
      <c r="K28" s="54">
        <v>334.80</v>
      </c>
      <c r="L28" s="54">
        <v>31.90</v>
      </c>
      <c r="M28" s="54">
        <v>40.43</v>
      </c>
      <c r="N28" s="54">
        <v>6.20</v>
      </c>
      <c r="O28" s="54">
        <v>0</v>
      </c>
      <c r="P28" s="54">
        <v>1.18</v>
      </c>
      <c r="Q28" s="54">
        <v>25.94</v>
      </c>
      <c r="R28" s="43"/>
      <c r="S28" s="43"/>
      <c r="T28" s="43"/>
      <c r="U28" s="43"/>
    </row>
    <row r="29" spans="1:21" s="11" customFormat="1" ht="15">
      <c r="A29" s="53" t="s">
        <v>418</v>
      </c>
      <c r="B29" s="54">
        <v>27.18</v>
      </c>
      <c r="C29" s="54">
        <v>58.75</v>
      </c>
      <c r="D29" s="54">
        <v>54.86</v>
      </c>
      <c r="E29" s="54">
        <v>10.45</v>
      </c>
      <c r="F29" s="54">
        <v>5.88</v>
      </c>
      <c r="G29" s="54">
        <v>109.35</v>
      </c>
      <c r="H29" s="54">
        <v>49.03</v>
      </c>
      <c r="I29" s="54">
        <v>0.88</v>
      </c>
      <c r="J29" s="54">
        <v>0.41</v>
      </c>
      <c r="K29" s="54">
        <v>200.13</v>
      </c>
      <c r="L29" s="54">
        <v>31.30</v>
      </c>
      <c r="M29" s="54">
        <v>42.45</v>
      </c>
      <c r="N29" s="54">
        <v>6.10</v>
      </c>
      <c r="O29" s="54">
        <v>0</v>
      </c>
      <c r="P29" s="54">
        <v>1.30</v>
      </c>
      <c r="Q29" s="54">
        <v>25.80</v>
      </c>
      <c r="R29" s="43"/>
      <c r="S29" s="43"/>
      <c r="T29" s="43"/>
      <c r="U29" s="43"/>
    </row>
    <row r="30" spans="1:21" s="11" customFormat="1" ht="15">
      <c r="A30" s="53" t="s">
        <v>419</v>
      </c>
      <c r="B30" s="54">
        <v>69.349999999999994</v>
      </c>
      <c r="C30" s="54">
        <v>61.36</v>
      </c>
      <c r="D30" s="54">
        <v>90.12</v>
      </c>
      <c r="E30" s="54">
        <v>14.14</v>
      </c>
      <c r="F30" s="54">
        <v>5.32</v>
      </c>
      <c r="G30" s="54">
        <v>116.46</v>
      </c>
      <c r="H30" s="54">
        <v>49.03</v>
      </c>
      <c r="I30" s="54">
        <v>0.86</v>
      </c>
      <c r="J30" s="54">
        <v>0.25</v>
      </c>
      <c r="K30" s="54">
        <v>298.64</v>
      </c>
      <c r="L30" s="54">
        <v>30.40</v>
      </c>
      <c r="M30" s="54">
        <v>48.10</v>
      </c>
      <c r="N30" s="54">
        <v>6.30</v>
      </c>
      <c r="O30" s="54">
        <v>0</v>
      </c>
      <c r="P30" s="54">
        <v>1.43</v>
      </c>
      <c r="Q30" s="54">
        <v>25.51</v>
      </c>
      <c r="R30" s="43"/>
      <c r="S30" s="43"/>
      <c r="T30" s="43"/>
      <c r="U30" s="43"/>
    </row>
    <row r="31" spans="1:21" s="11" customFormat="1" ht="15">
      <c r="A31" s="53" t="s">
        <v>420</v>
      </c>
      <c r="B31" s="54">
        <v>63.12</v>
      </c>
      <c r="C31" s="54">
        <v>54.89</v>
      </c>
      <c r="D31" s="54">
        <v>81</v>
      </c>
      <c r="E31" s="54">
        <v>12.71</v>
      </c>
      <c r="F31" s="54">
        <v>6.07</v>
      </c>
      <c r="G31" s="54">
        <v>118.40</v>
      </c>
      <c r="H31" s="54">
        <v>48.27</v>
      </c>
      <c r="I31" s="54">
        <v>0.96</v>
      </c>
      <c r="J31" s="54">
        <v>0.18</v>
      </c>
      <c r="K31" s="54">
        <v>343.58</v>
      </c>
      <c r="L31" s="54">
        <v>29.74</v>
      </c>
      <c r="M31" s="54">
        <v>47.59</v>
      </c>
      <c r="N31" s="54">
        <v>6.20</v>
      </c>
      <c r="O31" s="54">
        <v>0</v>
      </c>
      <c r="P31" s="54">
        <v>1.54</v>
      </c>
      <c r="Q31" s="54">
        <v>29.55</v>
      </c>
      <c r="R31" s="43"/>
      <c r="S31" s="43"/>
      <c r="T31" s="43"/>
      <c r="U31" s="43"/>
    </row>
    <row r="32" spans="1:21" s="11" customFormat="1" ht="15">
      <c r="A32" s="53" t="s">
        <v>421</v>
      </c>
      <c r="B32" s="54">
        <v>48.78</v>
      </c>
      <c r="C32" s="54">
        <v>43.19</v>
      </c>
      <c r="D32" s="54">
        <v>63.60</v>
      </c>
      <c r="E32" s="54">
        <v>8.85</v>
      </c>
      <c r="F32" s="54">
        <v>7.68</v>
      </c>
      <c r="G32" s="54">
        <v>118.40</v>
      </c>
      <c r="H32" s="54">
        <v>47.64</v>
      </c>
      <c r="I32" s="54">
        <v>0.79</v>
      </c>
      <c r="J32" s="54">
        <v>0.14000000000000001</v>
      </c>
      <c r="K32" s="54">
        <v>317.47000000000003</v>
      </c>
      <c r="L32" s="54">
        <v>29.43</v>
      </c>
      <c r="M32" s="54">
        <v>47.91</v>
      </c>
      <c r="N32" s="54">
        <v>6.10</v>
      </c>
      <c r="O32" s="54">
        <v>0</v>
      </c>
      <c r="P32" s="54">
        <v>1.38</v>
      </c>
      <c r="Q32" s="54">
        <v>29.78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1.6499999999999999</v>
      </c>
      <c r="C34" s="28">
        <f t="shared" si="0"/>
        <v>32.409999999999997</v>
      </c>
      <c r="D34" s="28">
        <f t="shared" si="0"/>
        <v>19.850000000000001</v>
      </c>
      <c r="E34" s="28">
        <f t="shared" si="0"/>
        <v>1.5900000000000001</v>
      </c>
      <c r="F34" s="28">
        <f t="shared" si="0"/>
        <v>4.4199999999999999</v>
      </c>
      <c r="G34" s="28">
        <f t="shared" si="0"/>
        <v>41.939999999999998</v>
      </c>
      <c r="H34" s="28">
        <f t="shared" si="0"/>
        <v>16.809999999999999</v>
      </c>
      <c r="I34" s="28">
        <f t="shared" si="0"/>
        <v>0.52000000000000002</v>
      </c>
      <c r="J34" s="28">
        <f t="shared" si="0"/>
        <v>0.13</v>
      </c>
      <c r="K34" s="28">
        <f t="shared" si="0"/>
        <v>12.58</v>
      </c>
      <c r="L34" s="28">
        <f t="shared" si="0"/>
        <v>26.579999999999998</v>
      </c>
      <c r="M34" s="28">
        <f t="shared" si="0"/>
        <v>26.710000000000001</v>
      </c>
      <c r="N34" s="28">
        <f t="shared" si="0"/>
        <v>6</v>
      </c>
      <c r="O34" s="28">
        <f t="shared" si="0"/>
        <v>0</v>
      </c>
      <c r="P34" s="28">
        <f t="shared" si="0"/>
        <v>0.44</v>
      </c>
      <c r="Q34" s="28">
        <f t="shared" si="0"/>
        <v>20.780000000000001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69.349999999999994</v>
      </c>
      <c r="C35" s="29">
        <f t="shared" si="1"/>
        <v>64.060000000000002</v>
      </c>
      <c r="D35" s="29">
        <f t="shared" si="1"/>
        <v>90.120000000000005</v>
      </c>
      <c r="E35" s="29">
        <f t="shared" si="1"/>
        <v>15.33</v>
      </c>
      <c r="F35" s="29">
        <f t="shared" si="1"/>
        <v>23.550000000000001</v>
      </c>
      <c r="G35" s="29">
        <f t="shared" si="1"/>
        <v>118.40000000000001</v>
      </c>
      <c r="H35" s="29">
        <f t="shared" si="1"/>
        <v>49.030000000000001</v>
      </c>
      <c r="I35" s="29">
        <f t="shared" si="1"/>
        <v>1</v>
      </c>
      <c r="J35" s="29">
        <f t="shared" si="1"/>
        <v>1.3100000000000001</v>
      </c>
      <c r="K35" s="29">
        <f t="shared" si="1"/>
        <v>359.76999999999998</v>
      </c>
      <c r="L35" s="29">
        <f t="shared" si="1"/>
        <v>39.109999999999999</v>
      </c>
      <c r="M35" s="29">
        <f t="shared" si="1"/>
        <v>56.119999999999997</v>
      </c>
      <c r="N35" s="29">
        <f t="shared" si="1"/>
        <v>916.70000000000005</v>
      </c>
      <c r="O35" s="29">
        <f t="shared" si="1"/>
        <v>0</v>
      </c>
      <c r="P35" s="29">
        <f t="shared" si="1"/>
        <v>1.97</v>
      </c>
      <c r="Q35" s="29">
        <f t="shared" si="1"/>
        <v>30.449999999999999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19.293749999999999</v>
      </c>
      <c r="C36" s="28">
        <f t="shared" si="2"/>
        <v>43.620416666666671</v>
      </c>
      <c r="D36" s="28">
        <f t="shared" si="2"/>
        <v>39.602083333333333</v>
      </c>
      <c r="E36" s="28">
        <f t="shared" si="2"/>
        <v>5.3416666666666659</v>
      </c>
      <c r="F36" s="28">
        <f t="shared" si="2"/>
        <v>10.203333333333335</v>
      </c>
      <c r="G36" s="28">
        <f t="shared" si="2"/>
        <v>71.035833333333343</v>
      </c>
      <c r="H36" s="28">
        <f t="shared" si="2"/>
        <v>31.682499999999994</v>
      </c>
      <c r="I36" s="28">
        <f t="shared" si="2"/>
        <v>0.69499999999999995</v>
      </c>
      <c r="J36" s="28">
        <f t="shared" si="2"/>
        <v>0.48750000000000004</v>
      </c>
      <c r="K36" s="28">
        <f t="shared" si="2"/>
        <v>253.69958333333338</v>
      </c>
      <c r="L36" s="28">
        <f t="shared" si="2"/>
        <v>32.446666666666665</v>
      </c>
      <c r="M36" s="28">
        <f t="shared" si="2"/>
        <v>42.397916666666667</v>
      </c>
      <c r="N36" s="28">
        <f t="shared" si="2"/>
        <v>267.44583333333338</v>
      </c>
      <c r="O36" s="28">
        <f t="shared" si="2"/>
        <v>0</v>
      </c>
      <c r="P36" s="28">
        <f t="shared" si="2"/>
        <v>0.97583333333333322</v>
      </c>
      <c r="Q36" s="28">
        <f t="shared" si="2"/>
        <v>25.674166666666665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18.748304227663994</v>
      </c>
      <c r="C37" s="28">
        <f t="shared" si="3" ref="C37:Q37">STDEV(C9:C32)</f>
        <v>9.8271148754536419</v>
      </c>
      <c r="D37" s="28">
        <f t="shared" si="3"/>
        <v>19.142973504694854</v>
      </c>
      <c r="E37" s="28">
        <f t="shared" si="3"/>
        <v>4.529290823331932</v>
      </c>
      <c r="F37" s="28">
        <f t="shared" si="3"/>
        <v>5.0040615387960514</v>
      </c>
      <c r="G37" s="28">
        <f t="shared" si="3"/>
        <v>26.991082088698114</v>
      </c>
      <c r="H37" s="28">
        <f t="shared" si="3"/>
        <v>9.8574748728853248</v>
      </c>
      <c r="I37" s="28">
        <f t="shared" si="3"/>
        <v>0.1347138674634373</v>
      </c>
      <c r="J37" s="28">
        <f t="shared" si="3"/>
        <v>0.34010548235868654</v>
      </c>
      <c r="K37" s="28">
        <f t="shared" si="3"/>
        <v>131.2838104353599</v>
      </c>
      <c r="L37" s="28">
        <f t="shared" si="3"/>
        <v>4.5634156416921483</v>
      </c>
      <c r="M37" s="28">
        <f t="shared" si="3"/>
        <v>9.9337798660699352</v>
      </c>
      <c r="N37" s="28">
        <f t="shared" si="3"/>
        <v>337.39176426015462</v>
      </c>
      <c r="O37" s="28">
        <f t="shared" si="3"/>
        <v>0</v>
      </c>
      <c r="P37" s="28">
        <f t="shared" si="3"/>
        <v>0.42420172259112215</v>
      </c>
      <c r="Q37" s="28">
        <f t="shared" si="3"/>
        <v>2.6623443684527532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d3a69fb-fa62-463b-ade3-3228107d18e4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70" sqref="G70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16-06-2023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422</v>
      </c>
      <c r="B9" s="54">
        <v>21.65</v>
      </c>
      <c r="C9" s="54">
        <v>34.65</v>
      </c>
      <c r="D9" s="54">
        <v>36.44</v>
      </c>
      <c r="E9" s="54">
        <v>7.71</v>
      </c>
      <c r="F9" s="54">
        <v>15.62</v>
      </c>
      <c r="G9" s="54">
        <v>102.35</v>
      </c>
      <c r="H9" s="54">
        <v>44.07</v>
      </c>
      <c r="I9" s="54">
        <v>0.72</v>
      </c>
      <c r="J9" s="54">
        <v>0.09</v>
      </c>
      <c r="K9" s="54">
        <v>262.27</v>
      </c>
      <c r="L9" s="54">
        <v>29.33</v>
      </c>
      <c r="M9" s="54">
        <v>46.20</v>
      </c>
      <c r="N9" s="54">
        <v>6</v>
      </c>
      <c r="O9" s="54">
        <v>0</v>
      </c>
      <c r="P9" s="54">
        <v>1.21</v>
      </c>
      <c r="Q9" s="54">
        <v>30.60</v>
      </c>
      <c r="R9" s="43"/>
      <c r="S9" s="43"/>
      <c r="T9" s="43"/>
      <c r="U9" s="43"/>
    </row>
    <row r="10" spans="1:21" s="11" customFormat="1" ht="15">
      <c r="A10" s="53" t="s">
        <v>423</v>
      </c>
      <c r="B10" s="54">
        <v>16.510000000000002</v>
      </c>
      <c r="C10" s="54">
        <v>34.99</v>
      </c>
      <c r="D10" s="54">
        <v>31.08</v>
      </c>
      <c r="E10" s="54">
        <v>6.31</v>
      </c>
      <c r="F10" s="54">
        <v>15.70</v>
      </c>
      <c r="G10" s="54">
        <v>81.19</v>
      </c>
      <c r="H10" s="54">
        <v>36.94</v>
      </c>
      <c r="I10" s="54">
        <v>0.66</v>
      </c>
      <c r="J10" s="54">
        <v>0.09</v>
      </c>
      <c r="K10" s="54">
        <v>313.38</v>
      </c>
      <c r="L10" s="54">
        <v>29.31</v>
      </c>
      <c r="M10" s="54">
        <v>44.61</v>
      </c>
      <c r="N10" s="54">
        <v>6.10</v>
      </c>
      <c r="O10" s="54">
        <v>0</v>
      </c>
      <c r="P10" s="54">
        <v>1.06</v>
      </c>
      <c r="Q10" s="54">
        <v>30.91</v>
      </c>
      <c r="R10" s="43"/>
      <c r="S10" s="43"/>
      <c r="T10" s="43"/>
      <c r="U10" s="43"/>
    </row>
    <row r="11" spans="1:21" s="11" customFormat="1" ht="15">
      <c r="A11" s="53" t="s">
        <v>424</v>
      </c>
      <c r="B11" s="54">
        <v>14.16</v>
      </c>
      <c r="C11" s="54">
        <v>33.229999999999997</v>
      </c>
      <c r="D11" s="54">
        <v>30.07</v>
      </c>
      <c r="E11" s="54">
        <v>4.2699999999999996</v>
      </c>
      <c r="F11" s="54">
        <v>11.40</v>
      </c>
      <c r="G11" s="54">
        <v>71.510000000000005</v>
      </c>
      <c r="H11" s="54">
        <v>36.94</v>
      </c>
      <c r="I11" s="54">
        <v>0.74</v>
      </c>
      <c r="J11" s="54">
        <v>0.09</v>
      </c>
      <c r="K11" s="54">
        <v>342.96</v>
      </c>
      <c r="L11" s="54">
        <v>28.97</v>
      </c>
      <c r="M11" s="54">
        <v>44.53</v>
      </c>
      <c r="N11" s="54">
        <v>6.10</v>
      </c>
      <c r="O11" s="54">
        <v>0</v>
      </c>
      <c r="P11" s="54">
        <v>0.87</v>
      </c>
      <c r="Q11" s="54">
        <v>28.10</v>
      </c>
      <c r="R11" s="43"/>
      <c r="S11" s="43"/>
      <c r="T11" s="43"/>
      <c r="U11" s="43"/>
    </row>
    <row r="12" spans="1:21" s="11" customFormat="1" ht="15">
      <c r="A12" s="53" t="s">
        <v>425</v>
      </c>
      <c r="B12" s="54">
        <v>8.65</v>
      </c>
      <c r="C12" s="54">
        <v>32.590000000000003</v>
      </c>
      <c r="D12" s="54">
        <v>25.56</v>
      </c>
      <c r="E12" s="54">
        <v>3.74</v>
      </c>
      <c r="F12" s="54">
        <v>15.22</v>
      </c>
      <c r="G12" s="54">
        <v>54.35</v>
      </c>
      <c r="H12" s="54">
        <v>36.299999999999997</v>
      </c>
      <c r="I12" s="54">
        <v>0.72</v>
      </c>
      <c r="J12" s="54">
        <v>0.070000000000000007</v>
      </c>
      <c r="K12" s="54">
        <v>343.43</v>
      </c>
      <c r="L12" s="54">
        <v>28.47</v>
      </c>
      <c r="M12" s="54">
        <v>47.11</v>
      </c>
      <c r="N12" s="54">
        <v>6.30</v>
      </c>
      <c r="O12" s="54">
        <v>0</v>
      </c>
      <c r="P12" s="54">
        <v>0.68</v>
      </c>
      <c r="Q12" s="54">
        <v>28.60</v>
      </c>
      <c r="R12" s="43"/>
      <c r="S12" s="43"/>
      <c r="T12" s="43"/>
      <c r="U12" s="43"/>
    </row>
    <row r="13" spans="1:21" s="11" customFormat="1" ht="15">
      <c r="A13" s="53" t="s">
        <v>426</v>
      </c>
      <c r="B13" s="54">
        <v>8.16</v>
      </c>
      <c r="C13" s="54">
        <v>35.39</v>
      </c>
      <c r="D13" s="54">
        <v>26.37</v>
      </c>
      <c r="E13" s="54">
        <v>3.09</v>
      </c>
      <c r="F13" s="54">
        <v>12.30</v>
      </c>
      <c r="G13" s="54">
        <v>55.30</v>
      </c>
      <c r="H13" s="54">
        <v>28.90</v>
      </c>
      <c r="I13" s="54">
        <v>0.62</v>
      </c>
      <c r="J13" s="54">
        <v>0.06</v>
      </c>
      <c r="K13" s="54">
        <v>332.40</v>
      </c>
      <c r="L13" s="54">
        <v>27.98</v>
      </c>
      <c r="M13" s="54">
        <v>48.16</v>
      </c>
      <c r="N13" s="54">
        <v>6</v>
      </c>
      <c r="O13" s="54">
        <v>0</v>
      </c>
      <c r="P13" s="54">
        <v>0.61</v>
      </c>
      <c r="Q13" s="54">
        <v>29.32</v>
      </c>
      <c r="R13" s="43"/>
      <c r="S13" s="43"/>
      <c r="T13" s="43"/>
      <c r="U13" s="43"/>
    </row>
    <row r="14" spans="1:21" s="11" customFormat="1" ht="15">
      <c r="A14" s="53" t="s">
        <v>427</v>
      </c>
      <c r="B14" s="54">
        <v>14.34</v>
      </c>
      <c r="C14" s="54">
        <v>37.90</v>
      </c>
      <c r="D14" s="54">
        <v>32.53</v>
      </c>
      <c r="E14" s="54">
        <v>2.52</v>
      </c>
      <c r="F14" s="54">
        <v>6.32</v>
      </c>
      <c r="G14" s="54">
        <v>59.36</v>
      </c>
      <c r="H14" s="54">
        <v>40.49</v>
      </c>
      <c r="I14" s="54">
        <v>0.70</v>
      </c>
      <c r="J14" s="54">
        <v>0.04</v>
      </c>
      <c r="K14" s="54">
        <v>315.23</v>
      </c>
      <c r="L14" s="54">
        <v>27.71</v>
      </c>
      <c r="M14" s="54">
        <v>49.68</v>
      </c>
      <c r="N14" s="54">
        <v>43.70</v>
      </c>
      <c r="O14" s="54">
        <v>0</v>
      </c>
      <c r="P14" s="54">
        <v>0.59</v>
      </c>
      <c r="Q14" s="54">
        <v>26.30</v>
      </c>
      <c r="R14" s="43"/>
      <c r="S14" s="43"/>
      <c r="T14" s="43"/>
      <c r="U14" s="43"/>
    </row>
    <row r="15" spans="1:21" s="11" customFormat="1" ht="15">
      <c r="A15" s="53" t="s">
        <v>428</v>
      </c>
      <c r="B15" s="54">
        <v>22.28</v>
      </c>
      <c r="C15" s="54">
        <v>40.53</v>
      </c>
      <c r="D15" s="54">
        <v>39.17</v>
      </c>
      <c r="E15" s="54">
        <v>4.46</v>
      </c>
      <c r="F15" s="54">
        <v>10.49</v>
      </c>
      <c r="G15" s="54">
        <v>67.739999999999995</v>
      </c>
      <c r="H15" s="54">
        <v>40.49</v>
      </c>
      <c r="I15" s="54">
        <v>0.72</v>
      </c>
      <c r="J15" s="54">
        <v>0.20</v>
      </c>
      <c r="K15" s="54">
        <v>352.59</v>
      </c>
      <c r="L15" s="54">
        <v>31.21</v>
      </c>
      <c r="M15" s="54">
        <v>47.70</v>
      </c>
      <c r="N15" s="54">
        <v>172.90</v>
      </c>
      <c r="O15" s="54">
        <v>0</v>
      </c>
      <c r="P15" s="54">
        <v>0.64</v>
      </c>
      <c r="Q15" s="54">
        <v>26.62</v>
      </c>
      <c r="R15" s="43"/>
      <c r="S15" s="43"/>
      <c r="T15" s="43"/>
      <c r="U15" s="43"/>
    </row>
    <row r="16" spans="1:21" s="11" customFormat="1" ht="15">
      <c r="A16" s="53" t="s">
        <v>429</v>
      </c>
      <c r="B16" s="54">
        <v>19.32</v>
      </c>
      <c r="C16" s="54">
        <v>40.39</v>
      </c>
      <c r="D16" s="54">
        <v>38.130000000000003</v>
      </c>
      <c r="E16" s="54">
        <v>5.13</v>
      </c>
      <c r="F16" s="54">
        <v>10.45</v>
      </c>
      <c r="G16" s="54">
        <v>80.52</v>
      </c>
      <c r="H16" s="54">
        <v>36.74</v>
      </c>
      <c r="I16" s="54">
        <v>0.62</v>
      </c>
      <c r="J16" s="54">
        <v>0.15</v>
      </c>
      <c r="K16" s="54">
        <v>41.17</v>
      </c>
      <c r="L16" s="54">
        <v>33.26</v>
      </c>
      <c r="M16" s="54">
        <v>39.630000000000003</v>
      </c>
      <c r="N16" s="54">
        <v>400.10</v>
      </c>
      <c r="O16" s="54">
        <v>0</v>
      </c>
      <c r="P16" s="54">
        <v>0.71</v>
      </c>
      <c r="Q16" s="54">
        <v>26.99</v>
      </c>
      <c r="R16" s="43"/>
      <c r="S16" s="43"/>
      <c r="T16" s="43"/>
      <c r="U16" s="43"/>
    </row>
    <row r="17" spans="1:21" s="11" customFormat="1" ht="15">
      <c r="A17" s="53" t="s">
        <v>430</v>
      </c>
      <c r="B17" s="54">
        <v>12.40</v>
      </c>
      <c r="C17" s="54">
        <v>43.53</v>
      </c>
      <c r="D17" s="54">
        <v>32.32</v>
      </c>
      <c r="E17" s="54">
        <v>3.93</v>
      </c>
      <c r="F17" s="54">
        <v>10.029999999999999</v>
      </c>
      <c r="G17" s="54">
        <v>80.52</v>
      </c>
      <c r="H17" s="54">
        <v>30.16</v>
      </c>
      <c r="I17" s="54">
        <v>0.73</v>
      </c>
      <c r="J17" s="54">
        <v>0.80</v>
      </c>
      <c r="K17" s="54">
        <v>350.91</v>
      </c>
      <c r="L17" s="54">
        <v>37.299999999999997</v>
      </c>
      <c r="M17" s="54">
        <v>34.96</v>
      </c>
      <c r="N17" s="54">
        <v>624.5</v>
      </c>
      <c r="O17" s="54">
        <v>0</v>
      </c>
      <c r="P17" s="54">
        <v>0.73</v>
      </c>
      <c r="Q17" s="54">
        <v>25.86</v>
      </c>
      <c r="R17" s="43"/>
      <c r="S17" s="43"/>
      <c r="T17" s="43"/>
      <c r="U17" s="43"/>
    </row>
    <row r="18" spans="1:21" s="11" customFormat="1" ht="15">
      <c r="A18" s="53" t="s">
        <v>431</v>
      </c>
      <c r="B18" s="54">
        <v>5.78</v>
      </c>
      <c r="C18" s="54">
        <v>40.659999999999997</v>
      </c>
      <c r="D18" s="54">
        <v>27.72</v>
      </c>
      <c r="E18" s="54">
        <v>3.68</v>
      </c>
      <c r="F18" s="54">
        <v>11.08</v>
      </c>
      <c r="G18" s="54">
        <v>79.77</v>
      </c>
      <c r="H18" s="54">
        <v>30.80</v>
      </c>
      <c r="I18" s="54">
        <v>0.72</v>
      </c>
      <c r="J18" s="54">
        <v>1.26</v>
      </c>
      <c r="K18" s="54">
        <v>353.42</v>
      </c>
      <c r="L18" s="54">
        <v>39.04</v>
      </c>
      <c r="M18" s="54">
        <v>28.70</v>
      </c>
      <c r="N18" s="54">
        <v>769.80</v>
      </c>
      <c r="O18" s="54">
        <v>0</v>
      </c>
      <c r="P18" s="54">
        <v>0.63</v>
      </c>
      <c r="Q18" s="54">
        <v>25.5</v>
      </c>
      <c r="R18" s="43"/>
      <c r="S18" s="43"/>
      <c r="T18" s="43"/>
      <c r="U18" s="43"/>
    </row>
    <row r="19" spans="1:21" s="11" customFormat="1" ht="15">
      <c r="A19" s="53" t="s">
        <v>432</v>
      </c>
      <c r="B19" s="54">
        <v>5.72</v>
      </c>
      <c r="C19" s="54">
        <v>41.90</v>
      </c>
      <c r="D19" s="54">
        <v>27.26</v>
      </c>
      <c r="E19" s="54">
        <v>2.80</v>
      </c>
      <c r="F19" s="54">
        <v>7.55</v>
      </c>
      <c r="G19" s="54">
        <v>71.48</v>
      </c>
      <c r="H19" s="54">
        <v>30.90</v>
      </c>
      <c r="I19" s="54">
        <v>0.60</v>
      </c>
      <c r="J19" s="54">
        <v>0.86</v>
      </c>
      <c r="K19" s="54">
        <v>354.01</v>
      </c>
      <c r="L19" s="54">
        <v>40.270000000000003</v>
      </c>
      <c r="M19" s="54">
        <v>23.73</v>
      </c>
      <c r="N19" s="54">
        <v>851.70</v>
      </c>
      <c r="O19" s="54">
        <v>0</v>
      </c>
      <c r="P19" s="54">
        <v>0.59</v>
      </c>
      <c r="Q19" s="54">
        <v>23.72</v>
      </c>
      <c r="R19" s="43"/>
      <c r="S19" s="43"/>
      <c r="T19" s="43"/>
      <c r="U19" s="43"/>
    </row>
    <row r="20" spans="1:21" s="11" customFormat="1" ht="15">
      <c r="A20" s="53" t="s">
        <v>433</v>
      </c>
      <c r="B20" s="54">
        <v>3.55</v>
      </c>
      <c r="C20" s="54">
        <v>43.76</v>
      </c>
      <c r="D20" s="54">
        <v>27.63</v>
      </c>
      <c r="E20" s="54">
        <v>2.69</v>
      </c>
      <c r="F20" s="54">
        <v>9.26</v>
      </c>
      <c r="G20" s="54">
        <v>58.10</v>
      </c>
      <c r="H20" s="54">
        <v>30.90</v>
      </c>
      <c r="I20" s="54">
        <v>0.60</v>
      </c>
      <c r="J20" s="54">
        <v>0.63</v>
      </c>
      <c r="K20" s="54">
        <v>351.32</v>
      </c>
      <c r="L20" s="54">
        <v>40.119999999999997</v>
      </c>
      <c r="M20" s="54">
        <v>22.62</v>
      </c>
      <c r="N20" s="54">
        <v>895.80</v>
      </c>
      <c r="O20" s="54">
        <v>0</v>
      </c>
      <c r="P20" s="54">
        <v>0.51</v>
      </c>
      <c r="Q20" s="54">
        <v>21.87</v>
      </c>
      <c r="R20" s="43"/>
      <c r="S20" s="43"/>
      <c r="T20" s="43"/>
      <c r="U20" s="43"/>
    </row>
    <row r="21" spans="1:21" s="11" customFormat="1" ht="15">
      <c r="A21" s="53" t="s">
        <v>434</v>
      </c>
      <c r="B21" s="54">
        <v>3.12</v>
      </c>
      <c r="C21" s="54">
        <v>37.86</v>
      </c>
      <c r="D21" s="54">
        <v>22.61</v>
      </c>
      <c r="E21" s="54">
        <v>1.74</v>
      </c>
      <c r="F21" s="54">
        <v>15.89</v>
      </c>
      <c r="G21" s="54">
        <v>59.01</v>
      </c>
      <c r="H21" s="54">
        <v>36.65</v>
      </c>
      <c r="I21" s="54">
        <v>0.44</v>
      </c>
      <c r="J21" s="54">
        <v>0.79</v>
      </c>
      <c r="K21" s="54">
        <v>344.37</v>
      </c>
      <c r="L21" s="54">
        <v>40.60</v>
      </c>
      <c r="M21" s="54">
        <v>21.81</v>
      </c>
      <c r="N21" s="54">
        <v>928</v>
      </c>
      <c r="O21" s="54">
        <v>0</v>
      </c>
      <c r="P21" s="54">
        <v>0.39</v>
      </c>
      <c r="Q21" s="54">
        <v>23.67</v>
      </c>
      <c r="R21" s="43"/>
      <c r="S21" s="43"/>
      <c r="T21" s="43"/>
      <c r="U21" s="43"/>
    </row>
    <row r="22" spans="1:21" s="11" customFormat="1" ht="15">
      <c r="A22" s="53" t="s">
        <v>435</v>
      </c>
      <c r="B22" s="54">
        <v>2.84</v>
      </c>
      <c r="C22" s="54">
        <v>38.369999999999997</v>
      </c>
      <c r="D22" s="54">
        <v>23.04</v>
      </c>
      <c r="E22" s="54">
        <v>1.82</v>
      </c>
      <c r="F22" s="54">
        <v>13.03</v>
      </c>
      <c r="G22" s="54">
        <v>61.58</v>
      </c>
      <c r="H22" s="54">
        <v>36.65</v>
      </c>
      <c r="I22" s="54">
        <v>0.43</v>
      </c>
      <c r="J22" s="54">
        <v>0.74</v>
      </c>
      <c r="K22" s="54">
        <v>357.64</v>
      </c>
      <c r="L22" s="54">
        <v>41.02</v>
      </c>
      <c r="M22" s="54">
        <v>20.190000000000001</v>
      </c>
      <c r="N22" s="54">
        <v>868.90</v>
      </c>
      <c r="O22" s="54">
        <v>0</v>
      </c>
      <c r="P22" s="54">
        <v>0.38</v>
      </c>
      <c r="Q22" s="54">
        <v>22.76</v>
      </c>
      <c r="R22" s="43"/>
      <c r="S22" s="43"/>
      <c r="T22" s="43"/>
      <c r="U22" s="43"/>
    </row>
    <row r="23" spans="1:21" s="11" customFormat="1" ht="15">
      <c r="A23" s="53" t="s">
        <v>436</v>
      </c>
      <c r="B23" s="54">
        <v>1.84</v>
      </c>
      <c r="C23" s="54">
        <v>40.049999999999997</v>
      </c>
      <c r="D23" s="54">
        <v>24.23</v>
      </c>
      <c r="E23" s="54">
        <v>1.38</v>
      </c>
      <c r="F23" s="54">
        <v>15.76</v>
      </c>
      <c r="G23" s="54">
        <v>61.58</v>
      </c>
      <c r="H23" s="54">
        <v>26.33</v>
      </c>
      <c r="I23" s="54">
        <v>0.41</v>
      </c>
      <c r="J23" s="54">
        <v>0.67</v>
      </c>
      <c r="K23" s="54">
        <v>359.88</v>
      </c>
      <c r="L23" s="54">
        <v>40.090000000000003</v>
      </c>
      <c r="M23" s="54">
        <v>19.89</v>
      </c>
      <c r="N23" s="54">
        <v>654.20000000000005</v>
      </c>
      <c r="O23" s="54">
        <v>0</v>
      </c>
      <c r="P23" s="54">
        <v>0.40</v>
      </c>
      <c r="Q23" s="54">
        <v>22.01</v>
      </c>
      <c r="R23" s="43"/>
      <c r="S23" s="43"/>
      <c r="T23" s="43"/>
      <c r="U23" s="43"/>
    </row>
    <row r="24" spans="1:21" s="11" customFormat="1" ht="15">
      <c r="A24" s="53" t="s">
        <v>437</v>
      </c>
      <c r="B24" s="54">
        <v>3.24</v>
      </c>
      <c r="C24" s="54">
        <v>37.14</v>
      </c>
      <c r="D24" s="54">
        <v>22.85</v>
      </c>
      <c r="E24" s="54">
        <v>1.03</v>
      </c>
      <c r="F24" s="54">
        <v>17.559999999999999</v>
      </c>
      <c r="G24" s="54">
        <v>55.88</v>
      </c>
      <c r="H24" s="54">
        <v>27.49</v>
      </c>
      <c r="I24" s="54">
        <v>0.41</v>
      </c>
      <c r="J24" s="54">
        <v>0.47</v>
      </c>
      <c r="K24" s="54">
        <v>354.24</v>
      </c>
      <c r="L24" s="54">
        <v>39.47</v>
      </c>
      <c r="M24" s="54">
        <v>19.059999999999999</v>
      </c>
      <c r="N24" s="54">
        <v>426.30</v>
      </c>
      <c r="O24" s="54">
        <v>0</v>
      </c>
      <c r="P24" s="54">
        <v>0.41</v>
      </c>
      <c r="Q24" s="54">
        <v>23.08</v>
      </c>
      <c r="R24" s="43"/>
      <c r="S24" s="43"/>
      <c r="T24" s="43"/>
      <c r="U24" s="43"/>
    </row>
    <row r="25" spans="1:21" s="11" customFormat="1" ht="15">
      <c r="A25" s="53" t="s">
        <v>438</v>
      </c>
      <c r="B25" s="54">
        <v>1.42</v>
      </c>
      <c r="C25" s="54">
        <v>38.32</v>
      </c>
      <c r="D25" s="54">
        <v>22.64</v>
      </c>
      <c r="E25" s="54">
        <v>1.1599999999999999</v>
      </c>
      <c r="F25" s="54">
        <v>11.51</v>
      </c>
      <c r="G25" s="54">
        <v>55.88</v>
      </c>
      <c r="H25" s="54">
        <v>28.62</v>
      </c>
      <c r="I25" s="54">
        <v>0.45</v>
      </c>
      <c r="J25" s="54">
        <v>0.47</v>
      </c>
      <c r="K25" s="54">
        <v>358.21</v>
      </c>
      <c r="L25" s="54">
        <v>38.130000000000003</v>
      </c>
      <c r="M25" s="54">
        <v>19.649999999999999</v>
      </c>
      <c r="N25" s="54">
        <v>132.40</v>
      </c>
      <c r="O25" s="54">
        <v>0</v>
      </c>
      <c r="P25" s="54">
        <v>0.42</v>
      </c>
      <c r="Q25" s="54">
        <v>22.03</v>
      </c>
      <c r="R25" s="43"/>
      <c r="S25" s="43"/>
      <c r="T25" s="43"/>
      <c r="U25" s="43"/>
    </row>
    <row r="26" spans="1:21" s="11" customFormat="1" ht="15">
      <c r="A26" s="53" t="s">
        <v>439</v>
      </c>
      <c r="B26" s="54">
        <v>7.54</v>
      </c>
      <c r="C26" s="54">
        <v>43.40</v>
      </c>
      <c r="D26" s="54">
        <v>30.63</v>
      </c>
      <c r="E26" s="54">
        <v>1.1200000000000001</v>
      </c>
      <c r="F26" s="54">
        <v>19.579999999999998</v>
      </c>
      <c r="G26" s="54">
        <v>55.48</v>
      </c>
      <c r="H26" s="54">
        <v>28.62</v>
      </c>
      <c r="I26" s="54">
        <v>0.43</v>
      </c>
      <c r="J26" s="54">
        <v>0.38</v>
      </c>
      <c r="K26" s="54">
        <v>49.68</v>
      </c>
      <c r="L26" s="54">
        <v>37.450000000000003</v>
      </c>
      <c r="M26" s="54">
        <v>19.760000000000002</v>
      </c>
      <c r="N26" s="54">
        <v>88.40</v>
      </c>
      <c r="O26" s="54">
        <v>0</v>
      </c>
      <c r="P26" s="54">
        <v>0.46</v>
      </c>
      <c r="Q26" s="54">
        <v>21.86</v>
      </c>
      <c r="R26" s="43"/>
      <c r="S26" s="43"/>
      <c r="T26" s="43"/>
      <c r="U26" s="43"/>
    </row>
    <row r="27" spans="1:21" s="11" customFormat="1" ht="15">
      <c r="A27" s="53" t="s">
        <v>440</v>
      </c>
      <c r="B27" s="54">
        <v>19.78</v>
      </c>
      <c r="C27" s="54">
        <v>52.72</v>
      </c>
      <c r="D27" s="54">
        <v>45.60</v>
      </c>
      <c r="E27" s="54">
        <v>3.85</v>
      </c>
      <c r="F27" s="54">
        <v>20.39</v>
      </c>
      <c r="G27" s="54">
        <v>53.64</v>
      </c>
      <c r="H27" s="54">
        <v>28.07</v>
      </c>
      <c r="I27" s="54">
        <v>0.41</v>
      </c>
      <c r="J27" s="54">
        <v>0.20</v>
      </c>
      <c r="K27" s="54">
        <v>36.60</v>
      </c>
      <c r="L27" s="54">
        <v>36.5</v>
      </c>
      <c r="M27" s="54">
        <v>22.05</v>
      </c>
      <c r="N27" s="54">
        <v>44.5</v>
      </c>
      <c r="O27" s="54">
        <v>0</v>
      </c>
      <c r="P27" s="54">
        <v>0.56999999999999995</v>
      </c>
      <c r="Q27" s="54">
        <v>22.82</v>
      </c>
      <c r="R27" s="43"/>
      <c r="S27" s="43"/>
      <c r="T27" s="43"/>
      <c r="U27" s="43"/>
    </row>
    <row r="28" spans="1:21" s="11" customFormat="1" ht="15">
      <c r="A28" s="53" t="s">
        <v>441</v>
      </c>
      <c r="B28" s="54">
        <v>16.190000000000001</v>
      </c>
      <c r="C28" s="54">
        <v>52.56</v>
      </c>
      <c r="D28" s="54">
        <v>42.15</v>
      </c>
      <c r="E28" s="54">
        <v>3.17</v>
      </c>
      <c r="F28" s="54">
        <v>11.46</v>
      </c>
      <c r="G28" s="54">
        <v>61.60</v>
      </c>
      <c r="H28" s="54">
        <v>32.78</v>
      </c>
      <c r="I28" s="54">
        <v>0.48</v>
      </c>
      <c r="J28" s="54">
        <v>0.17</v>
      </c>
      <c r="K28" s="54">
        <v>50.33</v>
      </c>
      <c r="L28" s="54">
        <v>35.01</v>
      </c>
      <c r="M28" s="54">
        <v>25.20</v>
      </c>
      <c r="N28" s="54">
        <v>21</v>
      </c>
      <c r="O28" s="54">
        <v>0</v>
      </c>
      <c r="P28" s="54">
        <v>0.86</v>
      </c>
      <c r="Q28" s="54">
        <v>20.94</v>
      </c>
      <c r="R28" s="43"/>
      <c r="S28" s="43"/>
      <c r="T28" s="43"/>
      <c r="U28" s="43"/>
    </row>
    <row r="29" spans="1:21" s="11" customFormat="1" ht="15">
      <c r="A29" s="53" t="s">
        <v>442</v>
      </c>
      <c r="B29" s="54">
        <v>17.72</v>
      </c>
      <c r="C29" s="54">
        <v>50.41</v>
      </c>
      <c r="D29" s="54">
        <v>42.67</v>
      </c>
      <c r="E29" s="54">
        <v>4.74</v>
      </c>
      <c r="F29" s="54">
        <v>12.07</v>
      </c>
      <c r="G29" s="54">
        <v>75.45</v>
      </c>
      <c r="H29" s="54">
        <v>42.77</v>
      </c>
      <c r="I29" s="54">
        <v>0.72</v>
      </c>
      <c r="J29" s="54">
        <v>0.26</v>
      </c>
      <c r="K29" s="54">
        <v>50.05</v>
      </c>
      <c r="L29" s="54">
        <v>33.590000000000003</v>
      </c>
      <c r="M29" s="54">
        <v>27.87</v>
      </c>
      <c r="N29" s="54">
        <v>22.30</v>
      </c>
      <c r="O29" s="54">
        <v>0</v>
      </c>
      <c r="P29" s="54">
        <v>1.03</v>
      </c>
      <c r="Q29" s="54">
        <v>23.18</v>
      </c>
      <c r="R29" s="43"/>
      <c r="S29" s="43"/>
      <c r="T29" s="43"/>
      <c r="U29" s="43"/>
    </row>
    <row r="30" spans="1:21" s="11" customFormat="1" ht="15">
      <c r="A30" s="53" t="s">
        <v>443</v>
      </c>
      <c r="B30" s="54">
        <v>27.19</v>
      </c>
      <c r="C30" s="54">
        <v>45</v>
      </c>
      <c r="D30" s="54">
        <v>46.73</v>
      </c>
      <c r="E30" s="54">
        <v>5.08</v>
      </c>
      <c r="F30" s="54">
        <v>15.07</v>
      </c>
      <c r="G30" s="54">
        <v>75.45</v>
      </c>
      <c r="H30" s="54">
        <v>42.77</v>
      </c>
      <c r="I30" s="54">
        <v>0.71</v>
      </c>
      <c r="J30" s="54">
        <v>0.21</v>
      </c>
      <c r="K30" s="54">
        <v>60.07</v>
      </c>
      <c r="L30" s="54">
        <v>32.96</v>
      </c>
      <c r="M30" s="54">
        <v>30.05</v>
      </c>
      <c r="N30" s="54">
        <v>22.60</v>
      </c>
      <c r="O30" s="54">
        <v>0</v>
      </c>
      <c r="P30" s="54">
        <v>1.02</v>
      </c>
      <c r="Q30" s="54">
        <v>22.96</v>
      </c>
      <c r="R30" s="43"/>
      <c r="S30" s="43"/>
      <c r="T30" s="43"/>
      <c r="U30" s="43"/>
    </row>
    <row r="31" spans="1:21" s="11" customFormat="1" ht="15">
      <c r="A31" s="53" t="s">
        <v>444</v>
      </c>
      <c r="B31" s="54">
        <v>15.01</v>
      </c>
      <c r="C31" s="54">
        <v>45.37</v>
      </c>
      <c r="D31" s="54">
        <v>37.299999999999997</v>
      </c>
      <c r="E31" s="54">
        <v>5.18</v>
      </c>
      <c r="F31" s="54">
        <v>8.9499999999999993</v>
      </c>
      <c r="G31" s="54">
        <v>69.290000000000006</v>
      </c>
      <c r="H31" s="54">
        <v>34.39</v>
      </c>
      <c r="I31" s="54">
        <v>0.78</v>
      </c>
      <c r="J31" s="54">
        <v>0.16</v>
      </c>
      <c r="K31" s="54">
        <v>41.02</v>
      </c>
      <c r="L31" s="54">
        <v>32.01</v>
      </c>
      <c r="M31" s="54">
        <v>32.42</v>
      </c>
      <c r="N31" s="54">
        <v>23.60</v>
      </c>
      <c r="O31" s="54">
        <v>0</v>
      </c>
      <c r="P31" s="54">
        <v>1.06</v>
      </c>
      <c r="Q31" s="54">
        <v>22.02</v>
      </c>
      <c r="R31" s="43"/>
      <c r="S31" s="43"/>
      <c r="T31" s="43"/>
      <c r="U31" s="43"/>
    </row>
    <row r="32" spans="1:21" s="11" customFormat="1" ht="15">
      <c r="A32" s="53" t="s">
        <v>445</v>
      </c>
      <c r="B32" s="54">
        <v>13.38</v>
      </c>
      <c r="C32" s="54">
        <v>38.76</v>
      </c>
      <c r="D32" s="54">
        <v>32.54</v>
      </c>
      <c r="E32" s="54">
        <v>3.40</v>
      </c>
      <c r="F32" s="54">
        <v>11.71</v>
      </c>
      <c r="G32" s="54">
        <v>68.540000000000006</v>
      </c>
      <c r="H32" s="54">
        <v>34.39</v>
      </c>
      <c r="I32" s="54">
        <v>0.72</v>
      </c>
      <c r="J32" s="54">
        <v>0.17</v>
      </c>
      <c r="K32" s="54">
        <v>41.32</v>
      </c>
      <c r="L32" s="54">
        <v>30.87</v>
      </c>
      <c r="M32" s="54">
        <v>32.46</v>
      </c>
      <c r="N32" s="54">
        <v>37.5</v>
      </c>
      <c r="O32" s="54">
        <v>0</v>
      </c>
      <c r="P32" s="54">
        <v>1.05</v>
      </c>
      <c r="Q32" s="54">
        <v>23.41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1.4199999999999999</v>
      </c>
      <c r="C34" s="28">
        <f t="shared" si="0"/>
        <v>32.590000000000003</v>
      </c>
      <c r="D34" s="28">
        <f t="shared" si="0"/>
        <v>22.609999999999999</v>
      </c>
      <c r="E34" s="28">
        <f t="shared" si="0"/>
        <v>1.03</v>
      </c>
      <c r="F34" s="28">
        <f t="shared" si="0"/>
        <v>6.3200000000000003</v>
      </c>
      <c r="G34" s="28">
        <f t="shared" si="0"/>
        <v>53.640000000000001</v>
      </c>
      <c r="H34" s="28">
        <f t="shared" si="0"/>
        <v>26.329999999999998</v>
      </c>
      <c r="I34" s="28">
        <f t="shared" si="0"/>
        <v>0.40999999999999998</v>
      </c>
      <c r="J34" s="28">
        <f t="shared" si="0"/>
        <v>0.040000000000000001</v>
      </c>
      <c r="K34" s="28">
        <f t="shared" si="0"/>
        <v>36.600000000000001</v>
      </c>
      <c r="L34" s="28">
        <f t="shared" si="0"/>
        <v>27.710000000000001</v>
      </c>
      <c r="M34" s="28">
        <f t="shared" si="0"/>
        <v>19.059999999999999</v>
      </c>
      <c r="N34" s="28">
        <f t="shared" si="0"/>
        <v>6</v>
      </c>
      <c r="O34" s="28">
        <f t="shared" si="0"/>
        <v>0</v>
      </c>
      <c r="P34" s="28">
        <f t="shared" si="0"/>
        <v>0.38</v>
      </c>
      <c r="Q34" s="28">
        <f t="shared" si="0"/>
        <v>20.940000000000001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27.190000000000001</v>
      </c>
      <c r="C35" s="29">
        <f t="shared" si="1"/>
        <v>52.719999999999999</v>
      </c>
      <c r="D35" s="29">
        <f t="shared" si="1"/>
        <v>46.729999999999997</v>
      </c>
      <c r="E35" s="29">
        <f t="shared" si="1"/>
        <v>7.71</v>
      </c>
      <c r="F35" s="29">
        <f t="shared" si="1"/>
        <v>20.390000000000001</v>
      </c>
      <c r="G35" s="29">
        <f t="shared" si="1"/>
        <v>102.34999999999999</v>
      </c>
      <c r="H35" s="29">
        <f t="shared" si="1"/>
        <v>44.07</v>
      </c>
      <c r="I35" s="29">
        <f t="shared" si="1"/>
        <v>0.78000000000000003</v>
      </c>
      <c r="J35" s="29">
        <f t="shared" si="1"/>
        <v>1.26</v>
      </c>
      <c r="K35" s="29">
        <f t="shared" si="1"/>
        <v>359.88</v>
      </c>
      <c r="L35" s="29">
        <f t="shared" si="1"/>
        <v>41.020000000000003</v>
      </c>
      <c r="M35" s="29">
        <f t="shared" si="1"/>
        <v>49.68</v>
      </c>
      <c r="N35" s="29">
        <f t="shared" si="1"/>
        <v>928</v>
      </c>
      <c r="O35" s="29">
        <f t="shared" si="1"/>
        <v>0</v>
      </c>
      <c r="P35" s="29">
        <f t="shared" si="1"/>
        <v>1.21</v>
      </c>
      <c r="Q35" s="29">
        <f t="shared" si="1"/>
        <v>30.91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11.741250000000001</v>
      </c>
      <c r="C36" s="28">
        <f t="shared" si="2"/>
        <v>40.811666666666667</v>
      </c>
      <c r="D36" s="28">
        <f t="shared" si="2"/>
        <v>31.969583333333333</v>
      </c>
      <c r="E36" s="28">
        <f t="shared" si="2"/>
        <v>3.5</v>
      </c>
      <c r="F36" s="28">
        <f t="shared" si="2"/>
        <v>12.849999999999996</v>
      </c>
      <c r="G36" s="28">
        <f t="shared" si="2"/>
        <v>67.315416666666678</v>
      </c>
      <c r="H36" s="28">
        <f t="shared" si="2"/>
        <v>34.298333333333332</v>
      </c>
      <c r="I36" s="28">
        <f t="shared" si="2"/>
        <v>0.60583333333333333</v>
      </c>
      <c r="J36" s="28">
        <f t="shared" si="2"/>
        <v>0.37624999999999997</v>
      </c>
      <c r="K36" s="28">
        <f t="shared" si="2"/>
        <v>242.35416666666671</v>
      </c>
      <c r="L36" s="28">
        <f t="shared" si="2"/>
        <v>34.611250000000005</v>
      </c>
      <c r="M36" s="28">
        <f t="shared" si="2"/>
        <v>32.001666666666658</v>
      </c>
      <c r="N36" s="28">
        <f t="shared" si="2"/>
        <v>294.11250000000001</v>
      </c>
      <c r="O36" s="28">
        <f t="shared" si="2"/>
        <v>0</v>
      </c>
      <c r="P36" s="28">
        <f t="shared" si="2"/>
        <v>0.70333333333333348</v>
      </c>
      <c r="Q36" s="28">
        <f t="shared" si="2"/>
        <v>24.79708333333333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7.4715979971111119</v>
      </c>
      <c r="C37" s="28">
        <f t="shared" si="3" ref="C37:Q37">STDEV(C9:C32)</f>
        <v>5.5501160713805699</v>
      </c>
      <c r="D37" s="28">
        <f t="shared" si="3"/>
        <v>7.5062486891960818</v>
      </c>
      <c r="E37" s="28">
        <f t="shared" si="3"/>
        <v>1.7079634452864572</v>
      </c>
      <c r="F37" s="28">
        <f t="shared" si="3"/>
        <v>3.5976804121303188</v>
      </c>
      <c r="G37" s="28">
        <f t="shared" si="3"/>
        <v>12.002494660682276</v>
      </c>
      <c r="H37" s="28">
        <f t="shared" si="3"/>
        <v>5.3068271587412221</v>
      </c>
      <c r="I37" s="28">
        <f t="shared" si="3"/>
        <v>0.13344650993747531</v>
      </c>
      <c r="J37" s="28">
        <f t="shared" si="3"/>
        <v>0.33004364006571335</v>
      </c>
      <c r="K37" s="28">
        <f t="shared" si="3"/>
        <v>143.13679294621465</v>
      </c>
      <c r="L37" s="28">
        <f t="shared" si="3"/>
        <v>4.6578613421406425</v>
      </c>
      <c r="M37" s="28">
        <f t="shared" si="3"/>
        <v>11.085962007114627</v>
      </c>
      <c r="N37" s="28">
        <f t="shared" si="3"/>
        <v>354.04976966829662</v>
      </c>
      <c r="O37" s="28">
        <f t="shared" si="3"/>
        <v>0</v>
      </c>
      <c r="P37" s="28">
        <f t="shared" si="3"/>
        <v>0.25632293942478518</v>
      </c>
      <c r="Q37" s="28">
        <f t="shared" si="3"/>
        <v>2.9887011562632626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9a06909-4d6b-4eff-9281-1bd6710b0928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3" sqref="G6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17-06-2023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446</v>
      </c>
      <c r="B9" s="54">
        <v>7.40</v>
      </c>
      <c r="C9" s="54">
        <v>31.81</v>
      </c>
      <c r="D9" s="54">
        <v>23.19</v>
      </c>
      <c r="E9" s="54">
        <v>5.21</v>
      </c>
      <c r="F9" s="54">
        <v>16.940000000000001</v>
      </c>
      <c r="G9" s="54">
        <v>58.57</v>
      </c>
      <c r="H9" s="54">
        <v>34.49</v>
      </c>
      <c r="I9" s="54">
        <v>0.66</v>
      </c>
      <c r="J9" s="54">
        <v>0.10</v>
      </c>
      <c r="K9" s="54">
        <v>54.44</v>
      </c>
      <c r="L9" s="54">
        <v>30.58</v>
      </c>
      <c r="M9" s="54">
        <v>32.07</v>
      </c>
      <c r="N9" s="54">
        <v>46.90</v>
      </c>
      <c r="O9" s="54">
        <v>0</v>
      </c>
      <c r="P9" s="54">
        <v>1.03</v>
      </c>
      <c r="Q9" s="54">
        <v>24.44</v>
      </c>
      <c r="R9" s="43"/>
      <c r="S9" s="43"/>
      <c r="T9" s="43"/>
      <c r="U9" s="43"/>
    </row>
    <row r="10" spans="1:21" s="11" customFormat="1" ht="15">
      <c r="A10" s="53" t="s">
        <v>447</v>
      </c>
      <c r="B10" s="54">
        <v>7.39</v>
      </c>
      <c r="C10" s="54">
        <v>30.91</v>
      </c>
      <c r="D10" s="54">
        <v>23.14</v>
      </c>
      <c r="E10" s="54">
        <v>3.06</v>
      </c>
      <c r="F10" s="54">
        <v>9.77</v>
      </c>
      <c r="G10" s="54">
        <v>58.43</v>
      </c>
      <c r="H10" s="54">
        <v>34.49</v>
      </c>
      <c r="I10" s="54">
        <v>0.67</v>
      </c>
      <c r="J10" s="54">
        <v>0.13</v>
      </c>
      <c r="K10" s="54">
        <v>266.38</v>
      </c>
      <c r="L10" s="54">
        <v>29.81</v>
      </c>
      <c r="M10" s="54">
        <v>33.90</v>
      </c>
      <c r="N10" s="54">
        <v>50.5</v>
      </c>
      <c r="O10" s="54">
        <v>0</v>
      </c>
      <c r="P10" s="54">
        <v>0.83</v>
      </c>
      <c r="Q10" s="54">
        <v>22.94</v>
      </c>
      <c r="R10" s="43"/>
      <c r="S10" s="43"/>
      <c r="T10" s="43"/>
      <c r="U10" s="43"/>
    </row>
    <row r="11" spans="1:21" s="11" customFormat="1" ht="15">
      <c r="A11" s="53" t="s">
        <v>448</v>
      </c>
      <c r="B11" s="54">
        <v>6.87</v>
      </c>
      <c r="C11" s="54">
        <v>30.73</v>
      </c>
      <c r="D11" s="54">
        <v>23.11</v>
      </c>
      <c r="E11" s="54">
        <v>2.54</v>
      </c>
      <c r="F11" s="54">
        <v>18.5</v>
      </c>
      <c r="G11" s="54">
        <v>56.10</v>
      </c>
      <c r="H11" s="54">
        <v>21.97</v>
      </c>
      <c r="I11" s="54">
        <v>0.65</v>
      </c>
      <c r="J11" s="54">
        <v>0.10</v>
      </c>
      <c r="K11" s="54">
        <v>46.18</v>
      </c>
      <c r="L11" s="54">
        <v>29.24</v>
      </c>
      <c r="M11" s="54">
        <v>35.5</v>
      </c>
      <c r="N11" s="54">
        <v>44.5</v>
      </c>
      <c r="O11" s="54">
        <v>0</v>
      </c>
      <c r="P11" s="54">
        <v>0.66</v>
      </c>
      <c r="Q11" s="54">
        <v>24.32</v>
      </c>
      <c r="R11" s="43"/>
      <c r="S11" s="43"/>
      <c r="T11" s="43"/>
      <c r="U11" s="43"/>
    </row>
    <row r="12" spans="1:21" s="11" customFormat="1" ht="15">
      <c r="A12" s="53" t="s">
        <v>449</v>
      </c>
      <c r="B12" s="54">
        <v>8.32</v>
      </c>
      <c r="C12" s="54">
        <v>28.20</v>
      </c>
      <c r="D12" s="54">
        <v>21.94</v>
      </c>
      <c r="E12" s="54">
        <v>2.94</v>
      </c>
      <c r="F12" s="54">
        <v>17.11</v>
      </c>
      <c r="G12" s="54">
        <v>50.65</v>
      </c>
      <c r="H12" s="54">
        <v>21.97</v>
      </c>
      <c r="I12" s="54">
        <v>0.52</v>
      </c>
      <c r="J12" s="54">
        <v>0.13</v>
      </c>
      <c r="K12" s="54">
        <v>324.08999999999997</v>
      </c>
      <c r="L12" s="54">
        <v>28.13</v>
      </c>
      <c r="M12" s="54">
        <v>39.340000000000003</v>
      </c>
      <c r="N12" s="54">
        <v>71.70</v>
      </c>
      <c r="O12" s="54">
        <v>0</v>
      </c>
      <c r="P12" s="54">
        <v>0.56000000000000005</v>
      </c>
      <c r="Q12" s="54">
        <v>25.12</v>
      </c>
      <c r="R12" s="43"/>
      <c r="S12" s="43"/>
      <c r="T12" s="43"/>
      <c r="U12" s="43"/>
    </row>
    <row r="13" spans="1:21" s="11" customFormat="1" ht="15">
      <c r="A13" s="53" t="s">
        <v>450</v>
      </c>
      <c r="B13" s="54">
        <v>7.97</v>
      </c>
      <c r="C13" s="54">
        <v>33.19</v>
      </c>
      <c r="D13" s="54">
        <v>25.35</v>
      </c>
      <c r="E13" s="54">
        <v>3.35</v>
      </c>
      <c r="F13" s="54">
        <v>7.96</v>
      </c>
      <c r="G13" s="54">
        <v>50.49</v>
      </c>
      <c r="H13" s="54">
        <v>23.59</v>
      </c>
      <c r="I13" s="54">
        <v>0.61</v>
      </c>
      <c r="J13" s="54">
        <v>0.10</v>
      </c>
      <c r="K13" s="54">
        <v>346.88</v>
      </c>
      <c r="L13" s="54">
        <v>28.11</v>
      </c>
      <c r="M13" s="54">
        <v>38.60</v>
      </c>
      <c r="N13" s="54">
        <v>78.20</v>
      </c>
      <c r="O13" s="54">
        <v>0</v>
      </c>
      <c r="P13" s="54">
        <v>0.53</v>
      </c>
      <c r="Q13" s="54">
        <v>24.12</v>
      </c>
      <c r="R13" s="43"/>
      <c r="S13" s="43"/>
      <c r="T13" s="43"/>
      <c r="U13" s="43"/>
    </row>
    <row r="14" spans="1:21" s="11" customFormat="1" ht="15">
      <c r="A14" s="53" t="s">
        <v>451</v>
      </c>
      <c r="B14" s="54">
        <v>9.18</v>
      </c>
      <c r="C14" s="54">
        <v>36.659999999999997</v>
      </c>
      <c r="D14" s="54">
        <v>28.24</v>
      </c>
      <c r="E14" s="54">
        <v>5.63</v>
      </c>
      <c r="F14" s="54">
        <v>6.11</v>
      </c>
      <c r="G14" s="54">
        <v>54.10</v>
      </c>
      <c r="H14" s="54">
        <v>31.60</v>
      </c>
      <c r="I14" s="54">
        <v>0.63</v>
      </c>
      <c r="J14" s="54">
        <v>0.17</v>
      </c>
      <c r="K14" s="54">
        <v>300.39999999999998</v>
      </c>
      <c r="L14" s="54">
        <v>27.77</v>
      </c>
      <c r="M14" s="54">
        <v>43.21</v>
      </c>
      <c r="N14" s="54">
        <v>114.80</v>
      </c>
      <c r="O14" s="54">
        <v>0</v>
      </c>
      <c r="P14" s="54">
        <v>0.52</v>
      </c>
      <c r="Q14" s="54">
        <v>24.67</v>
      </c>
      <c r="R14" s="43"/>
      <c r="S14" s="43"/>
      <c r="T14" s="43"/>
      <c r="U14" s="43"/>
    </row>
    <row r="15" spans="1:21" s="11" customFormat="1" ht="15">
      <c r="A15" s="53" t="s">
        <v>452</v>
      </c>
      <c r="B15" s="54">
        <v>12.57</v>
      </c>
      <c r="C15" s="54">
        <v>35.840000000000003</v>
      </c>
      <c r="D15" s="54">
        <v>29.39</v>
      </c>
      <c r="E15" s="54">
        <v>5.33</v>
      </c>
      <c r="F15" s="54">
        <v>8.4600000000000009</v>
      </c>
      <c r="G15" s="54">
        <v>56.25</v>
      </c>
      <c r="H15" s="54">
        <v>31.60</v>
      </c>
      <c r="I15" s="54">
        <v>0.65</v>
      </c>
      <c r="J15" s="54">
        <v>0.11</v>
      </c>
      <c r="K15" s="54">
        <v>299.87</v>
      </c>
      <c r="L15" s="54">
        <v>29.69</v>
      </c>
      <c r="M15" s="54">
        <v>41.78</v>
      </c>
      <c r="N15" s="54">
        <v>226.10</v>
      </c>
      <c r="O15" s="54">
        <v>0</v>
      </c>
      <c r="P15" s="54">
        <v>0.56000000000000005</v>
      </c>
      <c r="Q15" s="54">
        <v>25.93</v>
      </c>
      <c r="R15" s="43"/>
      <c r="S15" s="43"/>
      <c r="T15" s="43"/>
      <c r="U15" s="43"/>
    </row>
    <row r="16" spans="1:21" s="11" customFormat="1" ht="15">
      <c r="A16" s="53" t="s">
        <v>453</v>
      </c>
      <c r="B16" s="54">
        <v>10.17</v>
      </c>
      <c r="C16" s="54">
        <v>36.35</v>
      </c>
      <c r="D16" s="54">
        <v>26.68</v>
      </c>
      <c r="E16" s="54">
        <v>3.01</v>
      </c>
      <c r="F16" s="54">
        <v>8.60</v>
      </c>
      <c r="G16" s="54">
        <v>58.99</v>
      </c>
      <c r="H16" s="54">
        <v>32.33</v>
      </c>
      <c r="I16" s="54">
        <v>0.75</v>
      </c>
      <c r="J16" s="54">
        <v>0.25</v>
      </c>
      <c r="K16" s="54">
        <v>49.20</v>
      </c>
      <c r="L16" s="54">
        <v>33.46</v>
      </c>
      <c r="M16" s="54">
        <v>34.94</v>
      </c>
      <c r="N16" s="54">
        <v>480.80</v>
      </c>
      <c r="O16" s="54">
        <v>0</v>
      </c>
      <c r="P16" s="54">
        <v>0.61</v>
      </c>
      <c r="Q16" s="54">
        <v>24.68</v>
      </c>
      <c r="R16" s="43"/>
      <c r="S16" s="43"/>
      <c r="T16" s="43"/>
      <c r="U16" s="43"/>
    </row>
    <row r="17" spans="1:21" s="11" customFormat="1" ht="15">
      <c r="A17" s="53" t="s">
        <v>454</v>
      </c>
      <c r="B17" s="54">
        <v>7.44</v>
      </c>
      <c r="C17" s="54">
        <v>40.68</v>
      </c>
      <c r="D17" s="54">
        <v>27.73</v>
      </c>
      <c r="E17" s="54">
        <v>2.97</v>
      </c>
      <c r="F17" s="54">
        <v>12.69</v>
      </c>
      <c r="G17" s="54">
        <v>63.54</v>
      </c>
      <c r="H17" s="54">
        <v>33.57</v>
      </c>
      <c r="I17" s="54">
        <v>0.68</v>
      </c>
      <c r="J17" s="54">
        <v>0.69</v>
      </c>
      <c r="K17" s="54">
        <v>358.58</v>
      </c>
      <c r="L17" s="54">
        <v>37.630000000000003</v>
      </c>
      <c r="M17" s="54">
        <v>28.55</v>
      </c>
      <c r="N17" s="54">
        <v>649.20000000000005</v>
      </c>
      <c r="O17" s="54">
        <v>0</v>
      </c>
      <c r="P17" s="54">
        <v>0.66</v>
      </c>
      <c r="Q17" s="54">
        <v>23.68</v>
      </c>
      <c r="R17" s="43"/>
      <c r="S17" s="43"/>
      <c r="T17" s="43"/>
      <c r="U17" s="43"/>
    </row>
    <row r="18" spans="1:21" s="11" customFormat="1" ht="15">
      <c r="A18" s="53" t="s">
        <v>455</v>
      </c>
      <c r="B18" s="54">
        <v>4.38</v>
      </c>
      <c r="C18" s="54">
        <v>37.93</v>
      </c>
      <c r="D18" s="54">
        <v>25.05</v>
      </c>
      <c r="E18" s="54">
        <v>2.91</v>
      </c>
      <c r="F18" s="54">
        <v>9.33</v>
      </c>
      <c r="G18" s="54">
        <v>64.760000000000005</v>
      </c>
      <c r="H18" s="54">
        <v>33.57</v>
      </c>
      <c r="I18" s="54">
        <v>0.62</v>
      </c>
      <c r="J18" s="54">
        <v>1.36</v>
      </c>
      <c r="K18" s="54">
        <v>353.62</v>
      </c>
      <c r="L18" s="54">
        <v>39.47</v>
      </c>
      <c r="M18" s="54">
        <v>24.53</v>
      </c>
      <c r="N18" s="54">
        <v>808</v>
      </c>
      <c r="O18" s="54">
        <v>0</v>
      </c>
      <c r="P18" s="54">
        <v>0.66</v>
      </c>
      <c r="Q18" s="54">
        <v>23.26</v>
      </c>
      <c r="R18" s="43"/>
      <c r="S18" s="43"/>
      <c r="T18" s="43"/>
      <c r="U18" s="43"/>
    </row>
    <row r="19" spans="1:21" s="11" customFormat="1" ht="15">
      <c r="A19" s="53" t="s">
        <v>456</v>
      </c>
      <c r="B19" s="54">
        <v>2.4300000000000002</v>
      </c>
      <c r="C19" s="54">
        <v>38.46</v>
      </c>
      <c r="D19" s="54">
        <v>23.72</v>
      </c>
      <c r="E19" s="54">
        <v>2.79</v>
      </c>
      <c r="F19" s="54">
        <v>9.73</v>
      </c>
      <c r="G19" s="54">
        <v>64.760000000000005</v>
      </c>
      <c r="H19" s="54">
        <v>33.270000000000003</v>
      </c>
      <c r="I19" s="54">
        <v>0.62</v>
      </c>
      <c r="J19" s="54">
        <v>1.65</v>
      </c>
      <c r="K19" s="54">
        <v>358.48</v>
      </c>
      <c r="L19" s="54">
        <v>40.229999999999997</v>
      </c>
      <c r="M19" s="54">
        <v>22.92</v>
      </c>
      <c r="N19" s="54">
        <v>852</v>
      </c>
      <c r="O19" s="54">
        <v>0</v>
      </c>
      <c r="P19" s="54">
        <v>0.66</v>
      </c>
      <c r="Q19" s="54">
        <v>20.55</v>
      </c>
      <c r="R19" s="43"/>
      <c r="S19" s="43"/>
      <c r="T19" s="43"/>
      <c r="U19" s="43"/>
    </row>
    <row r="20" spans="1:21" s="11" customFormat="1" ht="15">
      <c r="A20" s="53" t="s">
        <v>457</v>
      </c>
      <c r="B20" s="54">
        <v>3.46</v>
      </c>
      <c r="C20" s="54">
        <v>37.340000000000003</v>
      </c>
      <c r="D20" s="54">
        <v>23.44</v>
      </c>
      <c r="E20" s="54">
        <v>2.33</v>
      </c>
      <c r="F20" s="54">
        <v>14.47</v>
      </c>
      <c r="G20" s="54">
        <v>58.69</v>
      </c>
      <c r="H20" s="54">
        <v>33.270000000000003</v>
      </c>
      <c r="I20" s="54">
        <v>0.56999999999999995</v>
      </c>
      <c r="J20" s="54">
        <v>1.06</v>
      </c>
      <c r="K20" s="54">
        <v>10.56</v>
      </c>
      <c r="L20" s="54">
        <v>40.5</v>
      </c>
      <c r="M20" s="54">
        <v>22.71</v>
      </c>
      <c r="N20" s="54">
        <v>906.60</v>
      </c>
      <c r="O20" s="54">
        <v>0</v>
      </c>
      <c r="P20" s="54">
        <v>0.59</v>
      </c>
      <c r="Q20" s="54">
        <v>22.63</v>
      </c>
      <c r="R20" s="43"/>
      <c r="S20" s="43"/>
      <c r="T20" s="43"/>
      <c r="U20" s="43"/>
    </row>
    <row r="21" spans="1:21" s="11" customFormat="1" ht="15">
      <c r="A21" s="53" t="s">
        <v>458</v>
      </c>
      <c r="B21" s="54">
        <v>3.15</v>
      </c>
      <c r="C21" s="54">
        <v>38</v>
      </c>
      <c r="D21" s="54">
        <v>23.5</v>
      </c>
      <c r="E21" s="54">
        <v>2.21</v>
      </c>
      <c r="F21" s="54">
        <v>15.94</v>
      </c>
      <c r="G21" s="54">
        <v>58.69</v>
      </c>
      <c r="H21" s="54">
        <v>27.83</v>
      </c>
      <c r="I21" s="54">
        <v>0.52</v>
      </c>
      <c r="J21" s="54">
        <v>0.98</v>
      </c>
      <c r="K21" s="54">
        <v>359.70</v>
      </c>
      <c r="L21" s="54">
        <v>41.33</v>
      </c>
      <c r="M21" s="54">
        <v>22.19</v>
      </c>
      <c r="N21" s="54">
        <v>923.20</v>
      </c>
      <c r="O21" s="54">
        <v>0</v>
      </c>
      <c r="P21" s="54">
        <v>0.55000000000000004</v>
      </c>
      <c r="Q21" s="54">
        <v>22.45</v>
      </c>
      <c r="R21" s="43"/>
      <c r="S21" s="43"/>
      <c r="T21" s="43"/>
      <c r="U21" s="43"/>
    </row>
    <row r="22" spans="1:21" s="11" customFormat="1" ht="15">
      <c r="A22" s="53" t="s">
        <v>459</v>
      </c>
      <c r="B22" s="54">
        <v>1.94</v>
      </c>
      <c r="C22" s="54">
        <v>34.32</v>
      </c>
      <c r="D22" s="54">
        <v>20.63</v>
      </c>
      <c r="E22" s="54">
        <v>2.52</v>
      </c>
      <c r="F22" s="54">
        <v>17.760000000000002</v>
      </c>
      <c r="G22" s="54">
        <v>55.73</v>
      </c>
      <c r="H22" s="54">
        <v>27.83</v>
      </c>
      <c r="I22" s="54">
        <v>0.56999999999999995</v>
      </c>
      <c r="J22" s="54">
        <v>0.46</v>
      </c>
      <c r="K22" s="54">
        <v>359.27</v>
      </c>
      <c r="L22" s="54">
        <v>41.40</v>
      </c>
      <c r="M22" s="54">
        <v>20.18</v>
      </c>
      <c r="N22" s="54">
        <v>895.60</v>
      </c>
      <c r="O22" s="54">
        <v>0</v>
      </c>
      <c r="P22" s="54">
        <v>0.53</v>
      </c>
      <c r="Q22" s="54">
        <v>21.01</v>
      </c>
      <c r="R22" s="43"/>
      <c r="S22" s="43"/>
      <c r="T22" s="43"/>
      <c r="U22" s="43"/>
    </row>
    <row r="23" spans="1:21" s="11" customFormat="1" ht="15">
      <c r="A23" s="53" t="s">
        <v>460</v>
      </c>
      <c r="B23" s="54">
        <v>2.0499999999999998</v>
      </c>
      <c r="C23" s="54">
        <v>34.04</v>
      </c>
      <c r="D23" s="54">
        <v>20.23</v>
      </c>
      <c r="E23" s="54">
        <v>3.74</v>
      </c>
      <c r="F23" s="54">
        <v>27.53</v>
      </c>
      <c r="G23" s="54">
        <v>53.5</v>
      </c>
      <c r="H23" s="54">
        <v>20.81</v>
      </c>
      <c r="I23" s="54">
        <v>0.49</v>
      </c>
      <c r="J23" s="54">
        <v>0.68</v>
      </c>
      <c r="K23" s="54">
        <v>353.53</v>
      </c>
      <c r="L23" s="54">
        <v>40.06</v>
      </c>
      <c r="M23" s="54">
        <v>20.78</v>
      </c>
      <c r="N23" s="54">
        <v>685.80</v>
      </c>
      <c r="O23" s="54">
        <v>0</v>
      </c>
      <c r="P23" s="54">
        <v>0.52</v>
      </c>
      <c r="Q23" s="54">
        <v>22.81</v>
      </c>
      <c r="R23" s="43"/>
      <c r="S23" s="43"/>
      <c r="T23" s="43"/>
      <c r="U23" s="43"/>
    </row>
    <row r="24" spans="1:21" s="11" customFormat="1" ht="15">
      <c r="A24" s="53" t="s">
        <v>461</v>
      </c>
      <c r="B24" s="54">
        <v>1</v>
      </c>
      <c r="C24" s="54">
        <v>32.630000000000003</v>
      </c>
      <c r="D24" s="54">
        <v>19.46</v>
      </c>
      <c r="E24" s="54">
        <v>3.56</v>
      </c>
      <c r="F24" s="54">
        <v>18.21</v>
      </c>
      <c r="G24" s="54">
        <v>53.5</v>
      </c>
      <c r="H24" s="54">
        <v>25.73</v>
      </c>
      <c r="I24" s="54">
        <v>0.56000000000000005</v>
      </c>
      <c r="J24" s="54">
        <v>0.37</v>
      </c>
      <c r="K24" s="54">
        <v>341.49</v>
      </c>
      <c r="L24" s="54">
        <v>38.43</v>
      </c>
      <c r="M24" s="54">
        <v>23.42</v>
      </c>
      <c r="N24" s="54">
        <v>393.5</v>
      </c>
      <c r="O24" s="54">
        <v>0</v>
      </c>
      <c r="P24" s="54">
        <v>0.56000000000000005</v>
      </c>
      <c r="Q24" s="54">
        <v>22.27</v>
      </c>
      <c r="R24" s="43"/>
      <c r="S24" s="43"/>
      <c r="T24" s="43"/>
      <c r="U24" s="43"/>
    </row>
    <row r="25" spans="1:21" s="11" customFormat="1" ht="15">
      <c r="A25" s="53" t="s">
        <v>462</v>
      </c>
      <c r="B25" s="54">
        <v>1</v>
      </c>
      <c r="C25" s="54">
        <v>37.85</v>
      </c>
      <c r="D25" s="54">
        <v>22.33</v>
      </c>
      <c r="E25" s="54">
        <v>3.03</v>
      </c>
      <c r="F25" s="54">
        <v>13.42</v>
      </c>
      <c r="G25" s="54">
        <v>55.64</v>
      </c>
      <c r="H25" s="54">
        <v>29.16</v>
      </c>
      <c r="I25" s="54">
        <v>0.42</v>
      </c>
      <c r="J25" s="54">
        <v>0.24</v>
      </c>
      <c r="K25" s="54">
        <v>50.95</v>
      </c>
      <c r="L25" s="54">
        <v>37.68</v>
      </c>
      <c r="M25" s="54">
        <v>23.68</v>
      </c>
      <c r="N25" s="54">
        <v>151.80000000000001</v>
      </c>
      <c r="O25" s="54">
        <v>0</v>
      </c>
      <c r="P25" s="54">
        <v>0.65</v>
      </c>
      <c r="Q25" s="54">
        <v>21.27</v>
      </c>
      <c r="R25" s="43"/>
      <c r="S25" s="43"/>
      <c r="T25" s="43"/>
      <c r="U25" s="43"/>
    </row>
    <row r="26" spans="1:21" s="11" customFormat="1" ht="15">
      <c r="A26" s="53" t="s">
        <v>463</v>
      </c>
      <c r="B26" s="54">
        <v>3.41</v>
      </c>
      <c r="C26" s="54">
        <v>40.57</v>
      </c>
      <c r="D26" s="54">
        <v>25.07</v>
      </c>
      <c r="E26" s="54">
        <v>4.1100000000000003</v>
      </c>
      <c r="F26" s="54">
        <v>18.07</v>
      </c>
      <c r="G26" s="54">
        <v>55.64</v>
      </c>
      <c r="H26" s="54">
        <v>29.16</v>
      </c>
      <c r="I26" s="54">
        <v>0.48</v>
      </c>
      <c r="J26" s="54">
        <v>0.28999999999999998</v>
      </c>
      <c r="K26" s="54">
        <v>51.92</v>
      </c>
      <c r="L26" s="54">
        <v>36.76</v>
      </c>
      <c r="M26" s="54">
        <v>23.97</v>
      </c>
      <c r="N26" s="54">
        <v>97</v>
      </c>
      <c r="O26" s="54">
        <v>0</v>
      </c>
      <c r="P26" s="54">
        <v>0.68</v>
      </c>
      <c r="Q26" s="54">
        <v>22.71</v>
      </c>
      <c r="R26" s="43"/>
      <c r="S26" s="43"/>
      <c r="T26" s="43"/>
      <c r="U26" s="43"/>
    </row>
    <row r="27" spans="1:21" s="11" customFormat="1" ht="15">
      <c r="A27" s="53" t="s">
        <v>464</v>
      </c>
      <c r="B27" s="54">
        <v>11.64</v>
      </c>
      <c r="C27" s="54">
        <v>47.98</v>
      </c>
      <c r="D27" s="54">
        <v>34.840000000000003</v>
      </c>
      <c r="E27" s="54">
        <v>5.86</v>
      </c>
      <c r="F27" s="54">
        <v>19.52</v>
      </c>
      <c r="G27" s="54">
        <v>54.31</v>
      </c>
      <c r="H27" s="54">
        <v>27.78</v>
      </c>
      <c r="I27" s="54">
        <v>0.41</v>
      </c>
      <c r="J27" s="54">
        <v>0.19</v>
      </c>
      <c r="K27" s="54">
        <v>56.05</v>
      </c>
      <c r="L27" s="54">
        <v>36.08</v>
      </c>
      <c r="M27" s="54">
        <v>26.91</v>
      </c>
      <c r="N27" s="54">
        <v>43.20</v>
      </c>
      <c r="O27" s="54">
        <v>0</v>
      </c>
      <c r="P27" s="54">
        <v>0.73</v>
      </c>
      <c r="Q27" s="54">
        <v>21.60</v>
      </c>
      <c r="R27" s="43"/>
      <c r="S27" s="43"/>
      <c r="T27" s="43"/>
      <c r="U27" s="43"/>
    </row>
    <row r="28" spans="1:21" s="11" customFormat="1" ht="15">
      <c r="A28" s="53" t="s">
        <v>465</v>
      </c>
      <c r="B28" s="54">
        <v>7.67</v>
      </c>
      <c r="C28" s="54">
        <v>48.59</v>
      </c>
      <c r="D28" s="54">
        <v>31.90</v>
      </c>
      <c r="E28" s="54">
        <v>5.37</v>
      </c>
      <c r="F28" s="54">
        <v>14.07</v>
      </c>
      <c r="G28" s="54">
        <v>56.20</v>
      </c>
      <c r="H28" s="54">
        <v>28.42</v>
      </c>
      <c r="I28" s="54">
        <v>0.43</v>
      </c>
      <c r="J28" s="54">
        <v>0.20</v>
      </c>
      <c r="K28" s="54">
        <v>56.91</v>
      </c>
      <c r="L28" s="54">
        <v>34.86</v>
      </c>
      <c r="M28" s="54">
        <v>28.94</v>
      </c>
      <c r="N28" s="54">
        <v>14.80</v>
      </c>
      <c r="O28" s="54">
        <v>0</v>
      </c>
      <c r="P28" s="54">
        <v>0.89</v>
      </c>
      <c r="Q28" s="54">
        <v>20.51</v>
      </c>
      <c r="R28" s="43"/>
      <c r="S28" s="43"/>
      <c r="T28" s="43"/>
      <c r="U28" s="43"/>
    </row>
    <row r="29" spans="1:21" s="11" customFormat="1" ht="15">
      <c r="A29" s="53" t="s">
        <v>466</v>
      </c>
      <c r="B29" s="54">
        <v>17.32</v>
      </c>
      <c r="C29" s="54">
        <v>44.52</v>
      </c>
      <c r="D29" s="54">
        <v>39.10</v>
      </c>
      <c r="E29" s="54">
        <v>3.94</v>
      </c>
      <c r="F29" s="54">
        <v>16.27</v>
      </c>
      <c r="G29" s="54">
        <v>59.5</v>
      </c>
      <c r="H29" s="54">
        <v>28.42</v>
      </c>
      <c r="I29" s="54">
        <v>0.62</v>
      </c>
      <c r="J29" s="54">
        <v>0.22</v>
      </c>
      <c r="K29" s="54">
        <v>38.93</v>
      </c>
      <c r="L29" s="54">
        <v>33.90</v>
      </c>
      <c r="M29" s="54">
        <v>29.61</v>
      </c>
      <c r="N29" s="54">
        <v>14.90</v>
      </c>
      <c r="O29" s="54">
        <v>0</v>
      </c>
      <c r="P29" s="54">
        <v>1</v>
      </c>
      <c r="Q29" s="54">
        <v>22.10</v>
      </c>
      <c r="R29" s="43"/>
      <c r="S29" s="43"/>
      <c r="T29" s="43"/>
      <c r="U29" s="43"/>
    </row>
    <row r="30" spans="1:21" s="11" customFormat="1" ht="15">
      <c r="A30" s="53" t="s">
        <v>467</v>
      </c>
      <c r="B30" s="54">
        <v>18.03</v>
      </c>
      <c r="C30" s="54">
        <v>44.42</v>
      </c>
      <c r="D30" s="54">
        <v>39.61</v>
      </c>
      <c r="E30" s="54">
        <v>5.37</v>
      </c>
      <c r="F30" s="54">
        <v>11.83</v>
      </c>
      <c r="G30" s="54">
        <v>71.06</v>
      </c>
      <c r="H30" s="54">
        <v>29.40</v>
      </c>
      <c r="I30" s="54">
        <v>0.71</v>
      </c>
      <c r="J30" s="54">
        <v>0.11</v>
      </c>
      <c r="K30" s="54">
        <v>53.11</v>
      </c>
      <c r="L30" s="54">
        <v>32.94</v>
      </c>
      <c r="M30" s="54">
        <v>32.75</v>
      </c>
      <c r="N30" s="54">
        <v>15</v>
      </c>
      <c r="O30" s="54">
        <v>0</v>
      </c>
      <c r="P30" s="54">
        <v>1.17</v>
      </c>
      <c r="Q30" s="54">
        <v>20.74</v>
      </c>
      <c r="R30" s="43"/>
      <c r="S30" s="43"/>
      <c r="T30" s="43"/>
      <c r="U30" s="43"/>
    </row>
    <row r="31" spans="1:21" s="11" customFormat="1" ht="15">
      <c r="A31" s="53" t="s">
        <v>468</v>
      </c>
      <c r="B31" s="54">
        <v>14.26</v>
      </c>
      <c r="C31" s="54">
        <v>43.57</v>
      </c>
      <c r="D31" s="54">
        <v>36.130000000000003</v>
      </c>
      <c r="E31" s="54">
        <v>3.31</v>
      </c>
      <c r="F31" s="54">
        <v>8.7100000000000009</v>
      </c>
      <c r="G31" s="54">
        <v>71.06</v>
      </c>
      <c r="H31" s="54">
        <v>32.24</v>
      </c>
      <c r="I31" s="54">
        <v>0.74</v>
      </c>
      <c r="J31" s="54">
        <v>0.14000000000000001</v>
      </c>
      <c r="K31" s="54">
        <v>54.51</v>
      </c>
      <c r="L31" s="54">
        <v>32.06</v>
      </c>
      <c r="M31" s="54">
        <v>33.79</v>
      </c>
      <c r="N31" s="54">
        <v>16.5</v>
      </c>
      <c r="O31" s="54">
        <v>0</v>
      </c>
      <c r="P31" s="54">
        <v>1.1599999999999999</v>
      </c>
      <c r="Q31" s="54">
        <v>21.66</v>
      </c>
      <c r="R31" s="43"/>
      <c r="S31" s="43"/>
      <c r="T31" s="43"/>
      <c r="U31" s="43"/>
    </row>
    <row r="32" spans="1:21" s="11" customFormat="1" ht="15">
      <c r="A32" s="53" t="s">
        <v>469</v>
      </c>
      <c r="B32" s="54">
        <v>6.62</v>
      </c>
      <c r="C32" s="54">
        <v>36.93</v>
      </c>
      <c r="D32" s="54">
        <v>25.23</v>
      </c>
      <c r="E32" s="54">
        <v>2.65</v>
      </c>
      <c r="F32" s="54">
        <v>18.739999999999998</v>
      </c>
      <c r="G32" s="54">
        <v>69.819999999999993</v>
      </c>
      <c r="H32" s="54">
        <v>32.24</v>
      </c>
      <c r="I32" s="54">
        <v>0.72</v>
      </c>
      <c r="J32" s="54">
        <v>0.13</v>
      </c>
      <c r="K32" s="54">
        <v>57.09</v>
      </c>
      <c r="L32" s="54">
        <v>31.73</v>
      </c>
      <c r="M32" s="54">
        <v>35.659999999999997</v>
      </c>
      <c r="N32" s="54">
        <v>17</v>
      </c>
      <c r="O32" s="54">
        <v>0</v>
      </c>
      <c r="P32" s="54">
        <v>0.98</v>
      </c>
      <c r="Q32" s="54">
        <v>24.06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</v>
      </c>
      <c r="C34" s="28">
        <f t="shared" si="0"/>
        <v>28.199999999999999</v>
      </c>
      <c r="D34" s="28">
        <f t="shared" si="0"/>
        <v>19.460000000000001</v>
      </c>
      <c r="E34" s="28">
        <f t="shared" si="0"/>
        <v>2.21</v>
      </c>
      <c r="F34" s="28">
        <f t="shared" si="0"/>
        <v>6.1100000000000003</v>
      </c>
      <c r="G34" s="28">
        <f t="shared" si="0"/>
        <v>50.490000000000002</v>
      </c>
      <c r="H34" s="28">
        <f t="shared" si="0"/>
        <v>20.809999999999999</v>
      </c>
      <c r="I34" s="28">
        <f t="shared" si="0"/>
        <v>0.40999999999999998</v>
      </c>
      <c r="J34" s="28">
        <f t="shared" si="0"/>
        <v>0.10000000000000001</v>
      </c>
      <c r="K34" s="28">
        <f t="shared" si="0"/>
        <v>10.56</v>
      </c>
      <c r="L34" s="28">
        <f t="shared" si="0"/>
        <v>27.77</v>
      </c>
      <c r="M34" s="28">
        <f t="shared" si="0"/>
        <v>20.18</v>
      </c>
      <c r="N34" s="28">
        <f t="shared" si="0"/>
        <v>14.800000000000001</v>
      </c>
      <c r="O34" s="28">
        <f t="shared" si="0"/>
        <v>0</v>
      </c>
      <c r="P34" s="28">
        <f t="shared" si="0"/>
        <v>0.52000000000000002</v>
      </c>
      <c r="Q34" s="28">
        <f t="shared" si="0"/>
        <v>20.510000000000002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18.030000000000001</v>
      </c>
      <c r="C35" s="29">
        <f t="shared" si="1"/>
        <v>48.590000000000003</v>
      </c>
      <c r="D35" s="29">
        <f t="shared" si="1"/>
        <v>39.609999999999999</v>
      </c>
      <c r="E35" s="29">
        <f t="shared" si="1"/>
        <v>5.8600000000000003</v>
      </c>
      <c r="F35" s="29">
        <f t="shared" si="1"/>
        <v>27.530000000000001</v>
      </c>
      <c r="G35" s="29">
        <f t="shared" si="1"/>
        <v>71.060000000000002</v>
      </c>
      <c r="H35" s="29">
        <f t="shared" si="1"/>
        <v>34.490000000000002</v>
      </c>
      <c r="I35" s="29">
        <f t="shared" si="1"/>
        <v>0.75</v>
      </c>
      <c r="J35" s="29">
        <f t="shared" si="1"/>
        <v>1.6499999999999999</v>
      </c>
      <c r="K35" s="29">
        <f t="shared" si="1"/>
        <v>359.69999999999999</v>
      </c>
      <c r="L35" s="29">
        <f t="shared" si="1"/>
        <v>41.399999999999999</v>
      </c>
      <c r="M35" s="29">
        <f t="shared" si="1"/>
        <v>43.210000000000001</v>
      </c>
      <c r="N35" s="29">
        <f t="shared" si="1"/>
        <v>923.20000000000005</v>
      </c>
      <c r="O35" s="29">
        <f t="shared" si="1"/>
        <v>0</v>
      </c>
      <c r="P35" s="29">
        <f t="shared" si="1"/>
        <v>1.1699999999999999</v>
      </c>
      <c r="Q35" s="29">
        <f t="shared" si="1"/>
        <v>25.93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7.3195833333333331</v>
      </c>
      <c r="C36" s="28">
        <f t="shared" si="2"/>
        <v>37.56333333333334</v>
      </c>
      <c r="D36" s="28">
        <f t="shared" si="2"/>
        <v>26.625416666666666</v>
      </c>
      <c r="E36" s="28">
        <f t="shared" si="2"/>
        <v>3.6558333333333337</v>
      </c>
      <c r="F36" s="28">
        <f t="shared" si="2"/>
        <v>14.155833333333328</v>
      </c>
      <c r="G36" s="28">
        <f t="shared" si="2"/>
        <v>58.749166666666667</v>
      </c>
      <c r="H36" s="28">
        <f t="shared" si="2"/>
        <v>29.364166666666659</v>
      </c>
      <c r="I36" s="28">
        <f t="shared" si="2"/>
        <v>0.59583333333333333</v>
      </c>
      <c r="J36" s="28">
        <f t="shared" si="2"/>
        <v>0.41083333333333333</v>
      </c>
      <c r="K36" s="28">
        <f t="shared" si="2"/>
        <v>191.7558333333333</v>
      </c>
      <c r="L36" s="28">
        <f t="shared" si="2"/>
        <v>34.660416666666663</v>
      </c>
      <c r="M36" s="28">
        <f t="shared" si="2"/>
        <v>29.997083333333332</v>
      </c>
      <c r="N36" s="28">
        <f t="shared" si="2"/>
        <v>316.56666666666666</v>
      </c>
      <c r="O36" s="28">
        <f t="shared" si="2"/>
        <v>0</v>
      </c>
      <c r="P36" s="28">
        <f t="shared" si="2"/>
        <v>0.72041666666666682</v>
      </c>
      <c r="Q36" s="28">
        <f t="shared" si="2"/>
        <v>22.897083333333331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4.8439666454589503</v>
      </c>
      <c r="C37" s="28">
        <f t="shared" si="3" ref="C37:Q37">STDEV(C9:C32)</f>
        <v>5.3786556156611889</v>
      </c>
      <c r="D37" s="28">
        <f t="shared" si="3"/>
        <v>5.7599011005750702</v>
      </c>
      <c r="E37" s="28">
        <f t="shared" si="3"/>
        <v>1.1649740309352903</v>
      </c>
      <c r="F37" s="28">
        <f t="shared" si="3"/>
        <v>5.0338686969339133</v>
      </c>
      <c r="G37" s="28">
        <f t="shared" si="3"/>
        <v>5.8980534126075508</v>
      </c>
      <c r="H37" s="28">
        <f t="shared" si="3"/>
        <v>4.127986051403334</v>
      </c>
      <c r="I37" s="28">
        <f t="shared" si="3"/>
        <v>0.10008329864001635</v>
      </c>
      <c r="J37" s="28">
        <f t="shared" si="3"/>
        <v>0.4361084494826315</v>
      </c>
      <c r="K37" s="28">
        <f t="shared" si="3"/>
        <v>148.33175396407196</v>
      </c>
      <c r="L37" s="28">
        <f t="shared" si="3"/>
        <v>4.6323357608715723</v>
      </c>
      <c r="M37" s="28">
        <f t="shared" si="3"/>
        <v>6.9492974178293254</v>
      </c>
      <c r="N37" s="28">
        <f t="shared" si="3"/>
        <v>351.7390147435363</v>
      </c>
      <c r="O37" s="28">
        <f t="shared" si="3"/>
        <v>0</v>
      </c>
      <c r="P37" s="28">
        <f t="shared" si="3"/>
        <v>0.20716469328755635</v>
      </c>
      <c r="Q37" s="28">
        <f t="shared" si="3"/>
        <v>1.5475829096752414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96770e9-26e3-4812-ab5f-12a736a7d20d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6" sqref="G66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18-06-2023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470</v>
      </c>
      <c r="B9" s="54">
        <v>4.84</v>
      </c>
      <c r="C9" s="54">
        <v>34.46</v>
      </c>
      <c r="D9" s="54">
        <v>23.36</v>
      </c>
      <c r="E9" s="54">
        <v>2.59</v>
      </c>
      <c r="F9" s="54">
        <v>14.88</v>
      </c>
      <c r="G9" s="54">
        <v>60.39</v>
      </c>
      <c r="H9" s="54">
        <v>24.98</v>
      </c>
      <c r="I9" s="54">
        <v>0.60</v>
      </c>
      <c r="J9" s="54">
        <v>0.10</v>
      </c>
      <c r="K9" s="54">
        <v>339.22</v>
      </c>
      <c r="L9" s="54">
        <v>30.79</v>
      </c>
      <c r="M9" s="54">
        <v>38.60</v>
      </c>
      <c r="N9" s="54">
        <v>17.80</v>
      </c>
      <c r="O9" s="54">
        <v>0</v>
      </c>
      <c r="P9" s="54">
        <v>0.89</v>
      </c>
      <c r="Q9" s="54">
        <v>24.48</v>
      </c>
      <c r="R9" s="43"/>
      <c r="S9" s="43"/>
      <c r="T9" s="43"/>
      <c r="U9" s="43"/>
    </row>
    <row r="10" spans="1:21" s="11" customFormat="1" ht="15">
      <c r="A10" s="53" t="s">
        <v>471</v>
      </c>
      <c r="B10" s="54">
        <v>3.17</v>
      </c>
      <c r="C10" s="54">
        <v>31.91</v>
      </c>
      <c r="D10" s="54">
        <v>20.80</v>
      </c>
      <c r="E10" s="54">
        <v>1.99</v>
      </c>
      <c r="F10" s="54">
        <v>15.49</v>
      </c>
      <c r="G10" s="54">
        <v>55.78</v>
      </c>
      <c r="H10" s="54">
        <v>24.98</v>
      </c>
      <c r="I10" s="54">
        <v>0.63</v>
      </c>
      <c r="J10" s="54">
        <v>0.06</v>
      </c>
      <c r="K10" s="54">
        <v>332.65</v>
      </c>
      <c r="L10" s="54">
        <v>30.15</v>
      </c>
      <c r="M10" s="54">
        <v>38.43</v>
      </c>
      <c r="N10" s="54">
        <v>17.70</v>
      </c>
      <c r="O10" s="54">
        <v>0</v>
      </c>
      <c r="P10" s="54">
        <v>0.71</v>
      </c>
      <c r="Q10" s="54">
        <v>23.02</v>
      </c>
      <c r="R10" s="43"/>
      <c r="S10" s="43"/>
      <c r="T10" s="43"/>
      <c r="U10" s="43"/>
    </row>
    <row r="11" spans="1:21" s="11" customFormat="1" ht="15">
      <c r="A11" s="53" t="s">
        <v>472</v>
      </c>
      <c r="B11" s="54">
        <v>2.96</v>
      </c>
      <c r="C11" s="54">
        <v>27.91</v>
      </c>
      <c r="D11" s="54">
        <v>18.420000000000002</v>
      </c>
      <c r="E11" s="54">
        <v>2.04</v>
      </c>
      <c r="F11" s="54">
        <v>17.850000000000001</v>
      </c>
      <c r="G11" s="54">
        <v>54.05</v>
      </c>
      <c r="H11" s="54">
        <v>24.85</v>
      </c>
      <c r="I11" s="54">
        <v>0.56000000000000005</v>
      </c>
      <c r="J11" s="54">
        <v>0.070000000000000007</v>
      </c>
      <c r="K11" s="54">
        <v>348.20</v>
      </c>
      <c r="L11" s="54">
        <v>29.92</v>
      </c>
      <c r="M11" s="54">
        <v>40.11</v>
      </c>
      <c r="N11" s="54">
        <v>18</v>
      </c>
      <c r="O11" s="54">
        <v>0</v>
      </c>
      <c r="P11" s="54">
        <v>0.60</v>
      </c>
      <c r="Q11" s="54">
        <v>24.79</v>
      </c>
      <c r="R11" s="43"/>
      <c r="S11" s="43"/>
      <c r="T11" s="43"/>
      <c r="U11" s="43"/>
    </row>
    <row r="12" spans="1:21" s="11" customFormat="1" ht="15">
      <c r="A12" s="53" t="s">
        <v>473</v>
      </c>
      <c r="B12" s="54">
        <v>2.48</v>
      </c>
      <c r="C12" s="54">
        <v>28.76</v>
      </c>
      <c r="D12" s="54">
        <v>18.46</v>
      </c>
      <c r="E12" s="54">
        <v>2.16</v>
      </c>
      <c r="F12" s="54">
        <v>14.58</v>
      </c>
      <c r="G12" s="54">
        <v>46.84</v>
      </c>
      <c r="H12" s="54">
        <v>24.85</v>
      </c>
      <c r="I12" s="54">
        <v>0.56000000000000005</v>
      </c>
      <c r="J12" s="54">
        <v>0.09</v>
      </c>
      <c r="K12" s="54">
        <v>355.99</v>
      </c>
      <c r="L12" s="54">
        <v>29.01</v>
      </c>
      <c r="M12" s="54">
        <v>44.37</v>
      </c>
      <c r="N12" s="54">
        <v>18.30</v>
      </c>
      <c r="O12" s="54">
        <v>0</v>
      </c>
      <c r="P12" s="54">
        <v>0.54</v>
      </c>
      <c r="Q12" s="54">
        <v>25.03</v>
      </c>
      <c r="R12" s="43"/>
      <c r="S12" s="43"/>
      <c r="T12" s="43"/>
      <c r="U12" s="43"/>
    </row>
    <row r="13" spans="1:21" s="11" customFormat="1" ht="15">
      <c r="A13" s="53" t="s">
        <v>474</v>
      </c>
      <c r="B13" s="54">
        <v>8.31</v>
      </c>
      <c r="C13" s="54">
        <v>28.75</v>
      </c>
      <c r="D13" s="54">
        <v>22.94</v>
      </c>
      <c r="E13" s="54">
        <v>1.58</v>
      </c>
      <c r="F13" s="54">
        <v>10.66</v>
      </c>
      <c r="G13" s="54">
        <v>46.84</v>
      </c>
      <c r="H13" s="54">
        <v>21.79</v>
      </c>
      <c r="I13" s="54">
        <v>0.57999999999999996</v>
      </c>
      <c r="J13" s="54">
        <v>0.13</v>
      </c>
      <c r="K13" s="54">
        <v>356.45</v>
      </c>
      <c r="L13" s="54">
        <v>28.05</v>
      </c>
      <c r="M13" s="54">
        <v>46.16</v>
      </c>
      <c r="N13" s="54">
        <v>18.80</v>
      </c>
      <c r="O13" s="54">
        <v>0</v>
      </c>
      <c r="P13" s="54">
        <v>0.46</v>
      </c>
      <c r="Q13" s="54">
        <v>23.28</v>
      </c>
      <c r="R13" s="43"/>
      <c r="S13" s="43"/>
      <c r="T13" s="43"/>
      <c r="U13" s="43"/>
    </row>
    <row r="14" spans="1:21" s="11" customFormat="1" ht="15">
      <c r="A14" s="53" t="s">
        <v>475</v>
      </c>
      <c r="B14" s="54">
        <v>12.62</v>
      </c>
      <c r="C14" s="54">
        <v>34.409999999999997</v>
      </c>
      <c r="D14" s="54">
        <v>29.76</v>
      </c>
      <c r="E14" s="54">
        <v>2.35</v>
      </c>
      <c r="F14" s="54">
        <v>14.5</v>
      </c>
      <c r="G14" s="54">
        <v>48.57</v>
      </c>
      <c r="H14" s="54">
        <v>22.85</v>
      </c>
      <c r="I14" s="54">
        <v>0.56000000000000005</v>
      </c>
      <c r="J14" s="54">
        <v>0.12</v>
      </c>
      <c r="K14" s="54">
        <v>341.16</v>
      </c>
      <c r="L14" s="54">
        <v>28.25</v>
      </c>
      <c r="M14" s="54">
        <v>46.30</v>
      </c>
      <c r="N14" s="54">
        <v>59.80</v>
      </c>
      <c r="O14" s="54">
        <v>0</v>
      </c>
      <c r="P14" s="54">
        <v>0.44</v>
      </c>
      <c r="Q14" s="54">
        <v>24.87</v>
      </c>
      <c r="R14" s="43"/>
      <c r="S14" s="43"/>
      <c r="T14" s="43"/>
      <c r="U14" s="43"/>
    </row>
    <row r="15" spans="1:21" s="11" customFormat="1" ht="15">
      <c r="A15" s="53" t="s">
        <v>476</v>
      </c>
      <c r="B15" s="54">
        <v>10.84</v>
      </c>
      <c r="C15" s="54">
        <v>32.60</v>
      </c>
      <c r="D15" s="54">
        <v>26.34</v>
      </c>
      <c r="E15" s="54">
        <v>1.80</v>
      </c>
      <c r="F15" s="54">
        <v>8.58</v>
      </c>
      <c r="G15" s="54">
        <v>53.83</v>
      </c>
      <c r="H15" s="54">
        <v>25.78</v>
      </c>
      <c r="I15" s="54">
        <v>0.62</v>
      </c>
      <c r="J15" s="54">
        <v>0.21</v>
      </c>
      <c r="K15" s="54">
        <v>33.18</v>
      </c>
      <c r="L15" s="54">
        <v>30.98</v>
      </c>
      <c r="M15" s="54">
        <v>44.62</v>
      </c>
      <c r="N15" s="54">
        <v>222.90</v>
      </c>
      <c r="O15" s="54">
        <v>0</v>
      </c>
      <c r="P15" s="54">
        <v>0.49</v>
      </c>
      <c r="Q15" s="54">
        <v>24.49</v>
      </c>
      <c r="R15" s="43"/>
      <c r="S15" s="43"/>
      <c r="T15" s="43"/>
      <c r="U15" s="43"/>
    </row>
    <row r="16" spans="1:21" s="11" customFormat="1" ht="15">
      <c r="A16" s="53" t="s">
        <v>477</v>
      </c>
      <c r="B16" s="54">
        <v>7.05</v>
      </c>
      <c r="C16" s="54">
        <v>35.44</v>
      </c>
      <c r="D16" s="54">
        <v>24.69</v>
      </c>
      <c r="E16" s="54">
        <v>1.77</v>
      </c>
      <c r="F16" s="54">
        <v>6.93</v>
      </c>
      <c r="G16" s="54">
        <v>61.23</v>
      </c>
      <c r="H16" s="54">
        <v>27.07</v>
      </c>
      <c r="I16" s="54">
        <v>0.68</v>
      </c>
      <c r="J16" s="54">
        <v>0.96</v>
      </c>
      <c r="K16" s="54">
        <v>353.13</v>
      </c>
      <c r="L16" s="54">
        <v>35.06</v>
      </c>
      <c r="M16" s="54">
        <v>37.82</v>
      </c>
      <c r="N16" s="54">
        <v>456.90</v>
      </c>
      <c r="O16" s="54">
        <v>0</v>
      </c>
      <c r="P16" s="54">
        <v>0.68</v>
      </c>
      <c r="Q16" s="54">
        <v>23.17</v>
      </c>
      <c r="R16" s="43"/>
      <c r="S16" s="43"/>
      <c r="T16" s="43"/>
      <c r="U16" s="43"/>
    </row>
    <row r="17" spans="1:21" s="11" customFormat="1" ht="15">
      <c r="A17" s="53" t="s">
        <v>478</v>
      </c>
      <c r="B17" s="54">
        <v>6.79</v>
      </c>
      <c r="C17" s="54">
        <v>36.58</v>
      </c>
      <c r="D17" s="54">
        <v>25.21</v>
      </c>
      <c r="E17" s="54">
        <v>1.90</v>
      </c>
      <c r="F17" s="54">
        <v>11.89</v>
      </c>
      <c r="G17" s="54">
        <v>62.03</v>
      </c>
      <c r="H17" s="54">
        <v>27.91</v>
      </c>
      <c r="I17" s="54">
        <v>0.56999999999999995</v>
      </c>
      <c r="J17" s="54">
        <v>1.67</v>
      </c>
      <c r="K17" s="54">
        <v>351.56</v>
      </c>
      <c r="L17" s="54">
        <v>37.64</v>
      </c>
      <c r="M17" s="54">
        <v>31.94</v>
      </c>
      <c r="N17" s="54">
        <v>631</v>
      </c>
      <c r="O17" s="54">
        <v>0</v>
      </c>
      <c r="P17" s="54">
        <v>0.66</v>
      </c>
      <c r="Q17" s="54">
        <v>23.79</v>
      </c>
      <c r="R17" s="43"/>
      <c r="S17" s="43"/>
      <c r="T17" s="43"/>
      <c r="U17" s="43"/>
    </row>
    <row r="18" spans="1:21" s="11" customFormat="1" ht="15">
      <c r="A18" s="53" t="s">
        <v>479</v>
      </c>
      <c r="B18" s="54">
        <v>3.69</v>
      </c>
      <c r="C18" s="54">
        <v>36.880000000000003</v>
      </c>
      <c r="D18" s="54">
        <v>23.49</v>
      </c>
      <c r="E18" s="54">
        <v>2.2799999999999998</v>
      </c>
      <c r="F18" s="54">
        <v>11.02</v>
      </c>
      <c r="G18" s="54">
        <v>62.63</v>
      </c>
      <c r="H18" s="54">
        <v>27.91</v>
      </c>
      <c r="I18" s="54">
        <v>0.55000000000000004</v>
      </c>
      <c r="J18" s="54">
        <v>1.68</v>
      </c>
      <c r="K18" s="54">
        <v>358.54</v>
      </c>
      <c r="L18" s="54">
        <v>39.270000000000003</v>
      </c>
      <c r="M18" s="54">
        <v>28.30</v>
      </c>
      <c r="N18" s="54">
        <v>780.80</v>
      </c>
      <c r="O18" s="54">
        <v>0</v>
      </c>
      <c r="P18" s="54">
        <v>0.61</v>
      </c>
      <c r="Q18" s="54">
        <v>21.45</v>
      </c>
      <c r="R18" s="43"/>
      <c r="S18" s="43"/>
      <c r="T18" s="43"/>
      <c r="U18" s="43"/>
    </row>
    <row r="19" spans="1:21" s="11" customFormat="1" ht="15">
      <c r="A19" s="53" t="s">
        <v>480</v>
      </c>
      <c r="B19" s="54">
        <v>3.47</v>
      </c>
      <c r="C19" s="54">
        <v>38.76</v>
      </c>
      <c r="D19" s="54">
        <v>24.29</v>
      </c>
      <c r="E19" s="54">
        <v>2.35</v>
      </c>
      <c r="F19" s="54">
        <v>14.22</v>
      </c>
      <c r="G19" s="54">
        <v>62.63</v>
      </c>
      <c r="H19" s="54">
        <v>30.99</v>
      </c>
      <c r="I19" s="54">
        <v>0.56999999999999995</v>
      </c>
      <c r="J19" s="54">
        <v>1.02</v>
      </c>
      <c r="K19" s="54">
        <v>354.57</v>
      </c>
      <c r="L19" s="54">
        <v>40.159999999999997</v>
      </c>
      <c r="M19" s="54">
        <v>26.71</v>
      </c>
      <c r="N19" s="54">
        <v>897.90</v>
      </c>
      <c r="O19" s="54">
        <v>0</v>
      </c>
      <c r="P19" s="54">
        <v>0.57999999999999996</v>
      </c>
      <c r="Q19" s="54">
        <v>21.59</v>
      </c>
      <c r="R19" s="43"/>
      <c r="S19" s="43"/>
      <c r="T19" s="43"/>
      <c r="U19" s="43"/>
    </row>
    <row r="20" spans="1:21" s="11" customFormat="1" ht="15">
      <c r="A20" s="53" t="s">
        <v>481</v>
      </c>
      <c r="B20" s="54">
        <v>3.19</v>
      </c>
      <c r="C20" s="54">
        <v>38.340000000000003</v>
      </c>
      <c r="D20" s="54">
        <v>24.36</v>
      </c>
      <c r="E20" s="54">
        <v>2.09</v>
      </c>
      <c r="F20" s="54">
        <v>13.71</v>
      </c>
      <c r="G20" s="54">
        <v>57.97</v>
      </c>
      <c r="H20" s="54">
        <v>30.99</v>
      </c>
      <c r="I20" s="54">
        <v>0.53</v>
      </c>
      <c r="J20" s="54">
        <v>1.40</v>
      </c>
      <c r="K20" s="54">
        <v>16.27</v>
      </c>
      <c r="L20" s="54">
        <v>40.49</v>
      </c>
      <c r="M20" s="54">
        <v>26.23</v>
      </c>
      <c r="N20" s="54">
        <v>875.20</v>
      </c>
      <c r="O20" s="54">
        <v>0</v>
      </c>
      <c r="P20" s="54">
        <v>0.55000000000000004</v>
      </c>
      <c r="Q20" s="54">
        <v>22.88</v>
      </c>
      <c r="R20" s="43"/>
      <c r="S20" s="43"/>
      <c r="T20" s="43"/>
      <c r="U20" s="43"/>
    </row>
    <row r="21" spans="1:21" s="11" customFormat="1" ht="15">
      <c r="A21" s="53" t="s">
        <v>482</v>
      </c>
      <c r="B21" s="54">
        <v>5.63</v>
      </c>
      <c r="C21" s="54">
        <v>32.94</v>
      </c>
      <c r="D21" s="54">
        <v>22.21</v>
      </c>
      <c r="E21" s="54">
        <v>1.66</v>
      </c>
      <c r="F21" s="54">
        <v>15.35</v>
      </c>
      <c r="G21" s="54">
        <v>58.15</v>
      </c>
      <c r="H21" s="54">
        <v>29.95</v>
      </c>
      <c r="I21" s="54">
        <v>0.56999999999999995</v>
      </c>
      <c r="J21" s="54">
        <v>0.83</v>
      </c>
      <c r="K21" s="54">
        <v>352.32</v>
      </c>
      <c r="L21" s="54">
        <v>39.450000000000003</v>
      </c>
      <c r="M21" s="54">
        <v>25.45</v>
      </c>
      <c r="N21" s="54">
        <v>886</v>
      </c>
      <c r="O21" s="54">
        <v>0</v>
      </c>
      <c r="P21" s="54">
        <v>0.51</v>
      </c>
      <c r="Q21" s="54">
        <v>20.67</v>
      </c>
      <c r="R21" s="43"/>
      <c r="S21" s="43"/>
      <c r="T21" s="43"/>
      <c r="U21" s="43"/>
    </row>
    <row r="22" spans="1:21" s="11" customFormat="1" ht="15">
      <c r="A22" s="53" t="s">
        <v>483</v>
      </c>
      <c r="B22" s="54">
        <v>2.42</v>
      </c>
      <c r="C22" s="54">
        <v>33.32</v>
      </c>
      <c r="D22" s="54">
        <v>20.149999999999999</v>
      </c>
      <c r="E22" s="54">
        <v>2.42</v>
      </c>
      <c r="F22" s="54">
        <v>32.51</v>
      </c>
      <c r="G22" s="54">
        <v>58.15</v>
      </c>
      <c r="H22" s="54">
        <v>30.74</v>
      </c>
      <c r="I22" s="54">
        <v>0.42</v>
      </c>
      <c r="J22" s="54">
        <v>0.59</v>
      </c>
      <c r="K22" s="54">
        <v>358.46</v>
      </c>
      <c r="L22" s="54">
        <v>39.33</v>
      </c>
      <c r="M22" s="54">
        <v>24.60</v>
      </c>
      <c r="N22" s="54">
        <v>812.80</v>
      </c>
      <c r="O22" s="54">
        <v>0</v>
      </c>
      <c r="P22" s="54">
        <v>0.49</v>
      </c>
      <c r="Q22" s="54">
        <v>22.25</v>
      </c>
      <c r="R22" s="43"/>
      <c r="S22" s="43"/>
      <c r="T22" s="43"/>
      <c r="U22" s="43"/>
    </row>
    <row r="23" spans="1:21" s="11" customFormat="1" ht="15">
      <c r="A23" s="53" t="s">
        <v>484</v>
      </c>
      <c r="B23" s="54">
        <v>3.97</v>
      </c>
      <c r="C23" s="54">
        <v>32.659999999999997</v>
      </c>
      <c r="D23" s="54">
        <v>19.97</v>
      </c>
      <c r="E23" s="54">
        <v>3.34</v>
      </c>
      <c r="F23" s="54">
        <v>37.99</v>
      </c>
      <c r="G23" s="54">
        <v>56.48</v>
      </c>
      <c r="H23" s="54">
        <v>30.74</v>
      </c>
      <c r="I23" s="54">
        <v>0.42</v>
      </c>
      <c r="J23" s="54">
        <v>0.71</v>
      </c>
      <c r="K23" s="54">
        <v>353.45</v>
      </c>
      <c r="L23" s="54">
        <v>39.32</v>
      </c>
      <c r="M23" s="54">
        <v>23.54</v>
      </c>
      <c r="N23" s="54">
        <v>656</v>
      </c>
      <c r="O23" s="54">
        <v>0</v>
      </c>
      <c r="P23" s="54">
        <v>0.48</v>
      </c>
      <c r="Q23" s="54">
        <v>23.54</v>
      </c>
      <c r="R23" s="43"/>
      <c r="S23" s="43"/>
      <c r="T23" s="43"/>
      <c r="U23" s="43"/>
    </row>
    <row r="24" spans="1:21" s="11" customFormat="1" ht="15">
      <c r="A24" s="53" t="s">
        <v>485</v>
      </c>
      <c r="B24" s="54">
        <v>1.94</v>
      </c>
      <c r="C24" s="54">
        <v>35.36</v>
      </c>
      <c r="D24" s="54">
        <v>21.71</v>
      </c>
      <c r="E24" s="54">
        <v>2.39</v>
      </c>
      <c r="F24" s="54">
        <v>15.06</v>
      </c>
      <c r="G24" s="54">
        <v>54.25</v>
      </c>
      <c r="H24" s="54">
        <v>29.87</v>
      </c>
      <c r="I24" s="54">
        <v>0.45</v>
      </c>
      <c r="J24" s="54">
        <v>0.74</v>
      </c>
      <c r="K24" s="54">
        <v>354.22</v>
      </c>
      <c r="L24" s="54">
        <v>38.51</v>
      </c>
      <c r="M24" s="54">
        <v>23.64</v>
      </c>
      <c r="N24" s="54">
        <v>410.40</v>
      </c>
      <c r="O24" s="54">
        <v>0</v>
      </c>
      <c r="P24" s="54">
        <v>0.52</v>
      </c>
      <c r="Q24" s="54">
        <v>22.52</v>
      </c>
      <c r="R24" s="43"/>
      <c r="S24" s="43"/>
      <c r="T24" s="43"/>
      <c r="U24" s="43"/>
    </row>
    <row r="25" spans="1:21" s="11" customFormat="1" ht="15">
      <c r="A25" s="53" t="s">
        <v>486</v>
      </c>
      <c r="B25" s="54">
        <v>1.82</v>
      </c>
      <c r="C25" s="54">
        <v>35.36</v>
      </c>
      <c r="D25" s="54">
        <v>21.62</v>
      </c>
      <c r="E25" s="54">
        <v>3.26</v>
      </c>
      <c r="F25" s="54">
        <v>22.37</v>
      </c>
      <c r="G25" s="54">
        <v>54.25</v>
      </c>
      <c r="H25" s="54">
        <v>28.11</v>
      </c>
      <c r="I25" s="54">
        <v>0.41</v>
      </c>
      <c r="J25" s="54">
        <v>0.38</v>
      </c>
      <c r="K25" s="54">
        <v>359.18</v>
      </c>
      <c r="L25" s="54">
        <v>37.51</v>
      </c>
      <c r="M25" s="54">
        <v>22.81</v>
      </c>
      <c r="N25" s="54">
        <v>143.40</v>
      </c>
      <c r="O25" s="54">
        <v>0</v>
      </c>
      <c r="P25" s="54">
        <v>0.53</v>
      </c>
      <c r="Q25" s="54">
        <v>23.58</v>
      </c>
      <c r="R25" s="43"/>
      <c r="S25" s="43"/>
      <c r="T25" s="43"/>
      <c r="U25" s="43"/>
    </row>
    <row r="26" spans="1:21" s="11" customFormat="1" ht="15">
      <c r="A26" s="53" t="s">
        <v>487</v>
      </c>
      <c r="B26" s="54">
        <v>5.44</v>
      </c>
      <c r="C26" s="54">
        <v>37.26</v>
      </c>
      <c r="D26" s="54">
        <v>23.57</v>
      </c>
      <c r="E26" s="54">
        <v>5.79</v>
      </c>
      <c r="F26" s="54">
        <v>23.11</v>
      </c>
      <c r="G26" s="54">
        <v>54.26</v>
      </c>
      <c r="H26" s="54">
        <v>27.42</v>
      </c>
      <c r="I26" s="54">
        <v>0.42</v>
      </c>
      <c r="J26" s="54">
        <v>0.28000000000000003</v>
      </c>
      <c r="K26" s="54">
        <v>357.44</v>
      </c>
      <c r="L26" s="54">
        <v>36.92</v>
      </c>
      <c r="M26" s="54">
        <v>24.89</v>
      </c>
      <c r="N26" s="54">
        <v>95.70</v>
      </c>
      <c r="O26" s="54">
        <v>0</v>
      </c>
      <c r="P26" s="54">
        <v>0.55000000000000004</v>
      </c>
      <c r="Q26" s="54">
        <v>22.39</v>
      </c>
      <c r="R26" s="43"/>
      <c r="S26" s="43"/>
      <c r="T26" s="43"/>
      <c r="U26" s="43"/>
    </row>
    <row r="27" spans="1:21" s="11" customFormat="1" ht="15">
      <c r="A27" s="53" t="s">
        <v>488</v>
      </c>
      <c r="B27" s="54">
        <v>8.33</v>
      </c>
      <c r="C27" s="54">
        <v>41.75</v>
      </c>
      <c r="D27" s="54">
        <v>30.27</v>
      </c>
      <c r="E27" s="54">
        <v>5.53</v>
      </c>
      <c r="F27" s="54">
        <v>16.03</v>
      </c>
      <c r="G27" s="54">
        <v>57.5</v>
      </c>
      <c r="H27" s="54">
        <v>27.42</v>
      </c>
      <c r="I27" s="54">
        <v>0.41</v>
      </c>
      <c r="J27" s="54">
        <v>0.25</v>
      </c>
      <c r="K27" s="54">
        <v>359.46</v>
      </c>
      <c r="L27" s="54">
        <v>35.68</v>
      </c>
      <c r="M27" s="54">
        <v>27.79</v>
      </c>
      <c r="N27" s="54">
        <v>54.70</v>
      </c>
      <c r="O27" s="54">
        <v>0</v>
      </c>
      <c r="P27" s="54">
        <v>0.68</v>
      </c>
      <c r="Q27" s="54">
        <v>20.53</v>
      </c>
      <c r="R27" s="43"/>
      <c r="S27" s="43"/>
      <c r="T27" s="43"/>
      <c r="U27" s="43"/>
    </row>
    <row r="28" spans="1:21" s="11" customFormat="1" ht="15">
      <c r="A28" s="53" t="s">
        <v>489</v>
      </c>
      <c r="B28" s="54">
        <v>8.14</v>
      </c>
      <c r="C28" s="54">
        <v>42.99</v>
      </c>
      <c r="D28" s="54">
        <v>30.90</v>
      </c>
      <c r="E28" s="54">
        <v>4.3099999999999996</v>
      </c>
      <c r="F28" s="54">
        <v>17.149999999999999</v>
      </c>
      <c r="G28" s="54">
        <v>65.75</v>
      </c>
      <c r="H28" s="54">
        <v>28.04</v>
      </c>
      <c r="I28" s="54">
        <v>0.41</v>
      </c>
      <c r="J28" s="54">
        <v>0.23</v>
      </c>
      <c r="K28" s="54">
        <v>17.670000000000002</v>
      </c>
      <c r="L28" s="54">
        <v>34.409999999999997</v>
      </c>
      <c r="M28" s="54">
        <v>30.08</v>
      </c>
      <c r="N28" s="54">
        <v>29.20</v>
      </c>
      <c r="O28" s="54">
        <v>0</v>
      </c>
      <c r="P28" s="54">
        <v>0.75</v>
      </c>
      <c r="Q28" s="54">
        <v>22.67</v>
      </c>
      <c r="R28" s="43"/>
      <c r="S28" s="43"/>
      <c r="T28" s="43"/>
      <c r="U28" s="43"/>
    </row>
    <row r="29" spans="1:21" s="11" customFormat="1" ht="15">
      <c r="A29" s="53" t="s">
        <v>490</v>
      </c>
      <c r="B29" s="54">
        <v>12</v>
      </c>
      <c r="C29" s="54">
        <v>41.05</v>
      </c>
      <c r="D29" s="54">
        <v>32.92</v>
      </c>
      <c r="E29" s="54">
        <v>2.06</v>
      </c>
      <c r="F29" s="54">
        <v>17.14</v>
      </c>
      <c r="G29" s="54">
        <v>65.75</v>
      </c>
      <c r="H29" s="54">
        <v>29.97</v>
      </c>
      <c r="I29" s="54">
        <v>0.62</v>
      </c>
      <c r="J29" s="54">
        <v>0.25</v>
      </c>
      <c r="K29" s="54">
        <v>358.59</v>
      </c>
      <c r="L29" s="54">
        <v>33.61</v>
      </c>
      <c r="M29" s="54">
        <v>31.48</v>
      </c>
      <c r="N29" s="54">
        <v>30.40</v>
      </c>
      <c r="O29" s="54">
        <v>0</v>
      </c>
      <c r="P29" s="54">
        <v>0.80</v>
      </c>
      <c r="Q29" s="54">
        <v>21.89</v>
      </c>
      <c r="R29" s="43"/>
      <c r="S29" s="43"/>
      <c r="T29" s="43"/>
      <c r="U29" s="43"/>
    </row>
    <row r="30" spans="1:21" s="11" customFormat="1" ht="15">
      <c r="A30" s="53" t="s">
        <v>491</v>
      </c>
      <c r="B30" s="54">
        <v>9.92</v>
      </c>
      <c r="C30" s="54">
        <v>41.18</v>
      </c>
      <c r="D30" s="54">
        <v>29.71</v>
      </c>
      <c r="E30" s="54">
        <v>2.14</v>
      </c>
      <c r="F30" s="54">
        <v>13.05</v>
      </c>
      <c r="G30" s="54">
        <v>62.88</v>
      </c>
      <c r="H30" s="54">
        <v>29.97</v>
      </c>
      <c r="I30" s="54">
        <v>0.64</v>
      </c>
      <c r="J30" s="54">
        <v>0.24</v>
      </c>
      <c r="K30" s="54">
        <v>27</v>
      </c>
      <c r="L30" s="54">
        <v>32.71</v>
      </c>
      <c r="M30" s="54">
        <v>32.86</v>
      </c>
      <c r="N30" s="54">
        <v>30.70</v>
      </c>
      <c r="O30" s="54">
        <v>0</v>
      </c>
      <c r="P30" s="54">
        <v>0.80</v>
      </c>
      <c r="Q30" s="54">
        <v>20.61</v>
      </c>
      <c r="R30" s="43"/>
      <c r="S30" s="43"/>
      <c r="T30" s="43"/>
      <c r="U30" s="43"/>
    </row>
    <row r="31" spans="1:21" s="11" customFormat="1" ht="15">
      <c r="A31" s="53" t="s">
        <v>492</v>
      </c>
      <c r="B31" s="54">
        <v>18.86</v>
      </c>
      <c r="C31" s="54">
        <v>58.61</v>
      </c>
      <c r="D31" s="54">
        <v>48.12</v>
      </c>
      <c r="E31" s="54">
        <v>20.39</v>
      </c>
      <c r="F31" s="54">
        <v>13.88</v>
      </c>
      <c r="G31" s="54">
        <v>65.13</v>
      </c>
      <c r="H31" s="54">
        <v>29.80</v>
      </c>
      <c r="I31" s="54">
        <v>0.65</v>
      </c>
      <c r="J31" s="54">
        <v>0.14000000000000001</v>
      </c>
      <c r="K31" s="54">
        <v>358.90</v>
      </c>
      <c r="L31" s="54">
        <v>31.85</v>
      </c>
      <c r="M31" s="54">
        <v>34.06</v>
      </c>
      <c r="N31" s="54">
        <v>31</v>
      </c>
      <c r="O31" s="54">
        <v>0</v>
      </c>
      <c r="P31" s="54">
        <v>0.79</v>
      </c>
      <c r="Q31" s="54">
        <v>20.55</v>
      </c>
      <c r="R31" s="43"/>
      <c r="S31" s="43"/>
      <c r="T31" s="43"/>
      <c r="U31" s="43"/>
    </row>
    <row r="32" spans="1:21" s="11" customFormat="1" ht="15">
      <c r="A32" s="53" t="s">
        <v>493</v>
      </c>
      <c r="B32" s="54">
        <v>9.85</v>
      </c>
      <c r="C32" s="54">
        <v>43.80</v>
      </c>
      <c r="D32" s="54">
        <v>29.62</v>
      </c>
      <c r="E32" s="54">
        <v>22.54</v>
      </c>
      <c r="F32" s="54">
        <v>20.65</v>
      </c>
      <c r="G32" s="54">
        <v>72.94</v>
      </c>
      <c r="H32" s="54">
        <v>33.26</v>
      </c>
      <c r="I32" s="54">
        <v>0.66</v>
      </c>
      <c r="J32" s="54">
        <v>0.11</v>
      </c>
      <c r="K32" s="54">
        <v>351.80</v>
      </c>
      <c r="L32" s="54">
        <v>31.57</v>
      </c>
      <c r="M32" s="54">
        <v>35.92</v>
      </c>
      <c r="N32" s="54">
        <v>34.60</v>
      </c>
      <c r="O32" s="54">
        <v>0</v>
      </c>
      <c r="P32" s="54">
        <v>0.79</v>
      </c>
      <c r="Q32" s="54">
        <v>22.43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1.8200000000000001</v>
      </c>
      <c r="C34" s="28">
        <f t="shared" si="0"/>
        <v>27.91</v>
      </c>
      <c r="D34" s="28">
        <f t="shared" si="0"/>
        <v>18.420000000000002</v>
      </c>
      <c r="E34" s="28">
        <f t="shared" si="0"/>
        <v>1.5800000000000001</v>
      </c>
      <c r="F34" s="28">
        <f t="shared" si="0"/>
        <v>6.9299999999999997</v>
      </c>
      <c r="G34" s="28">
        <f t="shared" si="0"/>
        <v>46.840000000000003</v>
      </c>
      <c r="H34" s="28">
        <f t="shared" si="0"/>
        <v>21.789999999999999</v>
      </c>
      <c r="I34" s="28">
        <f t="shared" si="0"/>
        <v>0.40999999999999998</v>
      </c>
      <c r="J34" s="28">
        <f t="shared" si="0"/>
        <v>0.059999999999999998</v>
      </c>
      <c r="K34" s="28">
        <f t="shared" si="0"/>
        <v>16.27</v>
      </c>
      <c r="L34" s="28">
        <f t="shared" si="0"/>
        <v>28.050000000000001</v>
      </c>
      <c r="M34" s="28">
        <f t="shared" si="0"/>
        <v>22.809999999999999</v>
      </c>
      <c r="N34" s="28">
        <f t="shared" si="0"/>
        <v>17.699999999999999</v>
      </c>
      <c r="O34" s="28">
        <f t="shared" si="0"/>
        <v>0</v>
      </c>
      <c r="P34" s="28">
        <f t="shared" si="0"/>
        <v>0.44</v>
      </c>
      <c r="Q34" s="28">
        <f t="shared" si="0"/>
        <v>20.530000000000001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18.859999999999999</v>
      </c>
      <c r="C35" s="29">
        <f t="shared" si="1"/>
        <v>58.609999999999999</v>
      </c>
      <c r="D35" s="29">
        <f t="shared" si="1"/>
        <v>48.119999999999997</v>
      </c>
      <c r="E35" s="29">
        <f t="shared" si="1"/>
        <v>22.539999999999999</v>
      </c>
      <c r="F35" s="29">
        <f t="shared" si="1"/>
        <v>37.990000000000002</v>
      </c>
      <c r="G35" s="29">
        <f t="shared" si="1"/>
        <v>72.939999999999998</v>
      </c>
      <c r="H35" s="29">
        <f t="shared" si="1"/>
        <v>33.259999999999998</v>
      </c>
      <c r="I35" s="29">
        <f t="shared" si="1"/>
        <v>0.68000000000000005</v>
      </c>
      <c r="J35" s="29">
        <f t="shared" si="1"/>
        <v>1.6799999999999999</v>
      </c>
      <c r="K35" s="29">
        <f t="shared" si="1"/>
        <v>359.45999999999998</v>
      </c>
      <c r="L35" s="29">
        <f t="shared" si="1"/>
        <v>40.490000000000002</v>
      </c>
      <c r="M35" s="29">
        <f t="shared" si="1"/>
        <v>46.299999999999997</v>
      </c>
      <c r="N35" s="29">
        <f t="shared" si="1"/>
        <v>897.89999999999998</v>
      </c>
      <c r="O35" s="29">
        <f t="shared" si="1"/>
        <v>0</v>
      </c>
      <c r="P35" s="29">
        <f t="shared" si="1"/>
        <v>0.89000000000000001</v>
      </c>
      <c r="Q35" s="29">
        <f t="shared" si="1"/>
        <v>25.030000000000001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6.5720833333333326</v>
      </c>
      <c r="C36" s="28">
        <f t="shared" si="2"/>
        <v>36.711666666666659</v>
      </c>
      <c r="D36" s="28">
        <f t="shared" si="2"/>
        <v>25.537083333333328</v>
      </c>
      <c r="E36" s="28">
        <f t="shared" si="2"/>
        <v>4.1970833333333344</v>
      </c>
      <c r="F36" s="28">
        <f t="shared" si="2"/>
        <v>16.608333333333331</v>
      </c>
      <c r="G36" s="28">
        <f t="shared" si="2"/>
        <v>58.261666666666677</v>
      </c>
      <c r="H36" s="28">
        <f t="shared" si="2"/>
        <v>27.926666666666666</v>
      </c>
      <c r="I36" s="28">
        <f t="shared" si="2"/>
        <v>0.54541666666666677</v>
      </c>
      <c r="J36" s="28">
        <f t="shared" si="2"/>
        <v>0.51083333333333336</v>
      </c>
      <c r="K36" s="28">
        <f t="shared" si="2"/>
        <v>297.89208333333335</v>
      </c>
      <c r="L36" s="28">
        <f t="shared" si="2"/>
        <v>34.609999999999999</v>
      </c>
      <c r="M36" s="28">
        <f t="shared" si="2"/>
        <v>32.779583333333328</v>
      </c>
      <c r="N36" s="28">
        <f t="shared" si="2"/>
        <v>301.24999999999994</v>
      </c>
      <c r="O36" s="28">
        <f t="shared" si="2"/>
        <v>0</v>
      </c>
      <c r="P36" s="28">
        <f t="shared" si="2"/>
        <v>0.62083333333333324</v>
      </c>
      <c r="Q36" s="28">
        <f t="shared" si="2"/>
        <v>22.76958333333333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4.222086831194372</v>
      </c>
      <c r="C37" s="28">
        <f t="shared" si="3" ref="C37:Q37">STDEV(C9:C32)</f>
        <v>6.4010744116272438</v>
      </c>
      <c r="D37" s="28">
        <f t="shared" si="3"/>
        <v>6.3100282361159161</v>
      </c>
      <c r="E37" s="28">
        <f t="shared" si="3"/>
        <v>5.4423032841097605</v>
      </c>
      <c r="F37" s="28">
        <f t="shared" si="3"/>
        <v>6.9228083436073087</v>
      </c>
      <c r="G37" s="28">
        <f t="shared" si="3"/>
        <v>6.2978641422011306</v>
      </c>
      <c r="H37" s="28">
        <f t="shared" si="3"/>
        <v>2.8620723210663921</v>
      </c>
      <c r="I37" s="28">
        <f t="shared" si="3"/>
        <v>0.09031246082191588</v>
      </c>
      <c r="J37" s="28">
        <f t="shared" si="3"/>
        <v>0.50867189960649017</v>
      </c>
      <c r="K37" s="28">
        <f t="shared" si="3"/>
        <v>125.5477358367401</v>
      </c>
      <c r="L37" s="28">
        <f t="shared" si="3"/>
        <v>4.1727605292878636</v>
      </c>
      <c r="M37" s="28">
        <f t="shared" si="3"/>
        <v>7.7413999852665176</v>
      </c>
      <c r="N37" s="28">
        <f t="shared" si="3"/>
        <v>345.63286000182842</v>
      </c>
      <c r="O37" s="28">
        <f t="shared" si="3"/>
        <v>0</v>
      </c>
      <c r="P37" s="28">
        <f t="shared" si="3"/>
        <v>0.13008079986206184</v>
      </c>
      <c r="Q37" s="28">
        <f t="shared" si="3"/>
        <v>1.411109582429154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2656080-05ae-4c7d-83cb-985277e1de7d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72" sqref="H7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19-06-2023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494</v>
      </c>
      <c r="B9" s="54">
        <v>6.42</v>
      </c>
      <c r="C9" s="54">
        <v>42.83</v>
      </c>
      <c r="D9" s="54">
        <v>29.43</v>
      </c>
      <c r="E9" s="54">
        <v>8.65</v>
      </c>
      <c r="F9" s="54">
        <v>13.11</v>
      </c>
      <c r="G9" s="54">
        <v>72.94</v>
      </c>
      <c r="H9" s="54">
        <v>33.26</v>
      </c>
      <c r="I9" s="54">
        <v>0.63</v>
      </c>
      <c r="J9" s="54">
        <v>0.28000000000000003</v>
      </c>
      <c r="K9" s="54">
        <v>337.65</v>
      </c>
      <c r="L9" s="54">
        <v>31.04</v>
      </c>
      <c r="M9" s="54">
        <v>38.64</v>
      </c>
      <c r="N9" s="54">
        <v>34.60</v>
      </c>
      <c r="O9" s="54">
        <v>0</v>
      </c>
      <c r="P9" s="54">
        <v>0.79</v>
      </c>
      <c r="Q9" s="54">
        <v>22.32</v>
      </c>
      <c r="R9" s="43"/>
      <c r="S9" s="43"/>
      <c r="T9" s="43"/>
      <c r="U9" s="43"/>
    </row>
    <row r="10" spans="1:21" s="11" customFormat="1" ht="15">
      <c r="A10" s="53" t="s">
        <v>495</v>
      </c>
      <c r="B10" s="54">
        <v>4.30</v>
      </c>
      <c r="C10" s="54">
        <v>33.049999999999997</v>
      </c>
      <c r="D10" s="54">
        <v>21.37</v>
      </c>
      <c r="E10" s="54">
        <v>5.57</v>
      </c>
      <c r="F10" s="54">
        <v>18.739999999999998</v>
      </c>
      <c r="G10" s="54">
        <v>68.81</v>
      </c>
      <c r="H10" s="54">
        <v>32.880000000000003</v>
      </c>
      <c r="I10" s="54">
        <v>0.56000000000000005</v>
      </c>
      <c r="J10" s="54">
        <v>0.12</v>
      </c>
      <c r="K10" s="54">
        <v>40.29</v>
      </c>
      <c r="L10" s="54">
        <v>30.19</v>
      </c>
      <c r="M10" s="54">
        <v>40.33</v>
      </c>
      <c r="N10" s="54">
        <v>34.40</v>
      </c>
      <c r="O10" s="54">
        <v>0</v>
      </c>
      <c r="P10" s="54">
        <v>0.71</v>
      </c>
      <c r="Q10" s="54">
        <v>24.13</v>
      </c>
      <c r="R10" s="43"/>
      <c r="S10" s="43"/>
      <c r="T10" s="43"/>
      <c r="U10" s="43"/>
    </row>
    <row r="11" spans="1:21" s="11" customFormat="1" ht="15">
      <c r="A11" s="53" t="s">
        <v>496</v>
      </c>
      <c r="B11" s="54">
        <v>3.37</v>
      </c>
      <c r="C11" s="54">
        <v>31.20</v>
      </c>
      <c r="D11" s="54">
        <v>20.57</v>
      </c>
      <c r="E11" s="54">
        <v>5.95</v>
      </c>
      <c r="F11" s="54">
        <v>18.57</v>
      </c>
      <c r="G11" s="54">
        <v>62.51</v>
      </c>
      <c r="H11" s="54">
        <v>31.78</v>
      </c>
      <c r="I11" s="54">
        <v>0.60</v>
      </c>
      <c r="J11" s="54">
        <v>0.09</v>
      </c>
      <c r="K11" s="54">
        <v>339.70</v>
      </c>
      <c r="L11" s="54">
        <v>29.54</v>
      </c>
      <c r="M11" s="54">
        <v>40.72</v>
      </c>
      <c r="N11" s="54">
        <v>35</v>
      </c>
      <c r="O11" s="54">
        <v>0</v>
      </c>
      <c r="P11" s="54">
        <v>0.69</v>
      </c>
      <c r="Q11" s="54">
        <v>24.72</v>
      </c>
      <c r="R11" s="43"/>
      <c r="S11" s="43"/>
      <c r="T11" s="43"/>
      <c r="U11" s="43"/>
    </row>
    <row r="12" spans="1:21" s="11" customFormat="1" ht="15">
      <c r="A12" s="53" t="s">
        <v>497</v>
      </c>
      <c r="B12" s="54">
        <v>3.58</v>
      </c>
      <c r="C12" s="54">
        <v>30.40</v>
      </c>
      <c r="D12" s="54">
        <v>20.21</v>
      </c>
      <c r="E12" s="54">
        <v>4.75</v>
      </c>
      <c r="F12" s="54">
        <v>10.97</v>
      </c>
      <c r="G12" s="54">
        <v>64.41</v>
      </c>
      <c r="H12" s="54">
        <v>31.78</v>
      </c>
      <c r="I12" s="54">
        <v>0.62</v>
      </c>
      <c r="J12" s="54">
        <v>0.12</v>
      </c>
      <c r="K12" s="54">
        <v>350.84</v>
      </c>
      <c r="L12" s="54">
        <v>29.02</v>
      </c>
      <c r="M12" s="54">
        <v>42.79</v>
      </c>
      <c r="N12" s="54">
        <v>35.60</v>
      </c>
      <c r="O12" s="54">
        <v>0</v>
      </c>
      <c r="P12" s="54">
        <v>0.81</v>
      </c>
      <c r="Q12" s="54">
        <v>23.09</v>
      </c>
      <c r="R12" s="43"/>
      <c r="S12" s="43"/>
      <c r="T12" s="43"/>
      <c r="U12" s="43"/>
    </row>
    <row r="13" spans="1:21" s="11" customFormat="1" ht="15">
      <c r="A13" s="53" t="s">
        <v>498</v>
      </c>
      <c r="B13" s="54">
        <v>9.52</v>
      </c>
      <c r="C13" s="54">
        <v>37</v>
      </c>
      <c r="D13" s="54">
        <v>28.70</v>
      </c>
      <c r="E13" s="54">
        <v>10.37</v>
      </c>
      <c r="F13" s="54">
        <v>11.43</v>
      </c>
      <c r="G13" s="54">
        <v>64.41</v>
      </c>
      <c r="H13" s="54">
        <v>33.74</v>
      </c>
      <c r="I13" s="54">
        <v>0.56999999999999995</v>
      </c>
      <c r="J13" s="54">
        <v>0.09</v>
      </c>
      <c r="K13" s="54">
        <v>19.53</v>
      </c>
      <c r="L13" s="54">
        <v>28.73</v>
      </c>
      <c r="M13" s="54">
        <v>43.57</v>
      </c>
      <c r="N13" s="54">
        <v>36.200000000000003</v>
      </c>
      <c r="O13" s="54">
        <v>0</v>
      </c>
      <c r="P13" s="54">
        <v>0.81</v>
      </c>
      <c r="Q13" s="54">
        <v>24.12</v>
      </c>
      <c r="R13" s="43"/>
      <c r="S13" s="43"/>
      <c r="T13" s="43"/>
      <c r="U13" s="43"/>
    </row>
    <row r="14" spans="1:21" s="11" customFormat="1" ht="15">
      <c r="A14" s="53" t="s">
        <v>499</v>
      </c>
      <c r="B14" s="54">
        <v>8.52</v>
      </c>
      <c r="C14" s="54">
        <v>36.94</v>
      </c>
      <c r="D14" s="54">
        <v>26.77</v>
      </c>
      <c r="E14" s="54">
        <v>11.11</v>
      </c>
      <c r="F14" s="54">
        <v>10.67</v>
      </c>
      <c r="G14" s="54">
        <v>69.56</v>
      </c>
      <c r="H14" s="54">
        <v>33.96</v>
      </c>
      <c r="I14" s="54">
        <v>0.60</v>
      </c>
      <c r="J14" s="54">
        <v>0.14000000000000001</v>
      </c>
      <c r="K14" s="54">
        <v>273.74</v>
      </c>
      <c r="L14" s="54">
        <v>28.61</v>
      </c>
      <c r="M14" s="54">
        <v>45.59</v>
      </c>
      <c r="N14" s="54">
        <v>90.5</v>
      </c>
      <c r="O14" s="54">
        <v>0</v>
      </c>
      <c r="P14" s="54">
        <v>0.79</v>
      </c>
      <c r="Q14" s="54">
        <v>24.93</v>
      </c>
      <c r="R14" s="43"/>
      <c r="S14" s="43"/>
      <c r="T14" s="43"/>
      <c r="U14" s="43"/>
    </row>
    <row r="15" spans="1:21" s="11" customFormat="1" ht="15">
      <c r="A15" s="53" t="s">
        <v>500</v>
      </c>
      <c r="B15" s="54">
        <v>10.91</v>
      </c>
      <c r="C15" s="54">
        <v>34.56</v>
      </c>
      <c r="D15" s="54">
        <v>28.43</v>
      </c>
      <c r="E15" s="54">
        <v>5.44</v>
      </c>
      <c r="F15" s="54">
        <v>9.17</v>
      </c>
      <c r="G15" s="54">
        <v>69.56</v>
      </c>
      <c r="H15" s="54">
        <v>33.96</v>
      </c>
      <c r="I15" s="54">
        <v>0.66</v>
      </c>
      <c r="J15" s="54">
        <v>0.40</v>
      </c>
      <c r="K15" s="54">
        <v>188</v>
      </c>
      <c r="L15" s="54">
        <v>30.74</v>
      </c>
      <c r="M15" s="54">
        <v>45.67</v>
      </c>
      <c r="N15" s="54">
        <v>264</v>
      </c>
      <c r="O15" s="54">
        <v>0</v>
      </c>
      <c r="P15" s="54">
        <v>0.73</v>
      </c>
      <c r="Q15" s="54">
        <v>23.74</v>
      </c>
      <c r="R15" s="43"/>
      <c r="S15" s="43"/>
      <c r="T15" s="43"/>
      <c r="U15" s="43"/>
    </row>
    <row r="16" spans="1:21" s="11" customFormat="1" ht="15">
      <c r="A16" s="53" t="s">
        <v>501</v>
      </c>
      <c r="B16" s="54">
        <v>12.67</v>
      </c>
      <c r="C16" s="54">
        <v>41.98</v>
      </c>
      <c r="D16" s="54">
        <v>32.659999999999997</v>
      </c>
      <c r="E16" s="54">
        <v>7.94</v>
      </c>
      <c r="F16" s="54">
        <v>23.56</v>
      </c>
      <c r="G16" s="54">
        <v>79.23</v>
      </c>
      <c r="H16" s="54">
        <v>35.08</v>
      </c>
      <c r="I16" s="54">
        <v>0.71</v>
      </c>
      <c r="J16" s="54">
        <v>0.20</v>
      </c>
      <c r="K16" s="54">
        <v>166.13</v>
      </c>
      <c r="L16" s="54">
        <v>33.04</v>
      </c>
      <c r="M16" s="54">
        <v>38.68</v>
      </c>
      <c r="N16" s="54">
        <v>366.20</v>
      </c>
      <c r="O16" s="54">
        <v>0</v>
      </c>
      <c r="P16" s="54">
        <v>0.75</v>
      </c>
      <c r="Q16" s="54">
        <v>25.41</v>
      </c>
      <c r="R16" s="43"/>
      <c r="S16" s="43"/>
      <c r="T16" s="43"/>
      <c r="U16" s="43"/>
    </row>
    <row r="17" spans="1:21" s="11" customFormat="1" ht="15">
      <c r="A17" s="53" t="s">
        <v>502</v>
      </c>
      <c r="B17" s="54">
        <v>14.18</v>
      </c>
      <c r="C17" s="54">
        <v>40.020000000000003</v>
      </c>
      <c r="D17" s="54">
        <v>34.10</v>
      </c>
      <c r="E17" s="54">
        <v>12.44</v>
      </c>
      <c r="F17" s="54">
        <v>26.17</v>
      </c>
      <c r="G17" s="54">
        <v>79.23</v>
      </c>
      <c r="H17" s="54">
        <v>37.24</v>
      </c>
      <c r="I17" s="54">
        <v>0.69</v>
      </c>
      <c r="J17" s="54">
        <v>1.36</v>
      </c>
      <c r="K17" s="54">
        <v>62.92</v>
      </c>
      <c r="L17" s="54">
        <v>36.83</v>
      </c>
      <c r="M17" s="54">
        <v>33.659999999999997</v>
      </c>
      <c r="N17" s="54">
        <v>617.60</v>
      </c>
      <c r="O17" s="54">
        <v>0</v>
      </c>
      <c r="P17" s="54">
        <v>0.75</v>
      </c>
      <c r="Q17" s="54">
        <v>26.05</v>
      </c>
      <c r="R17" s="43"/>
      <c r="S17" s="43"/>
      <c r="T17" s="43"/>
      <c r="U17" s="43"/>
    </row>
    <row r="18" spans="1:21" s="11" customFormat="1" ht="15">
      <c r="A18" s="53" t="s">
        <v>503</v>
      </c>
      <c r="B18" s="54">
        <v>8.15</v>
      </c>
      <c r="C18" s="54">
        <v>39.840000000000003</v>
      </c>
      <c r="D18" s="54">
        <v>29.17</v>
      </c>
      <c r="E18" s="54">
        <v>9.02</v>
      </c>
      <c r="F18" s="54">
        <v>22.07</v>
      </c>
      <c r="G18" s="54">
        <v>84.09</v>
      </c>
      <c r="H18" s="54">
        <v>38.54</v>
      </c>
      <c r="I18" s="54">
        <v>0.72</v>
      </c>
      <c r="J18" s="54">
        <v>0.84</v>
      </c>
      <c r="K18" s="54">
        <v>28.69</v>
      </c>
      <c r="L18" s="54">
        <v>39.67</v>
      </c>
      <c r="M18" s="54">
        <v>27.34</v>
      </c>
      <c r="N18" s="54">
        <v>776.60</v>
      </c>
      <c r="O18" s="54">
        <v>0</v>
      </c>
      <c r="P18" s="54">
        <v>0.78</v>
      </c>
      <c r="Q18" s="54">
        <v>24.66</v>
      </c>
      <c r="R18" s="43"/>
      <c r="S18" s="43"/>
      <c r="T18" s="43"/>
      <c r="U18" s="43"/>
    </row>
    <row r="19" spans="1:21" s="11" customFormat="1" ht="15">
      <c r="A19" s="53" t="s">
        <v>504</v>
      </c>
      <c r="B19" s="54">
        <v>4.20</v>
      </c>
      <c r="C19" s="54">
        <v>36.75</v>
      </c>
      <c r="D19" s="54">
        <v>24.06</v>
      </c>
      <c r="E19" s="54">
        <v>11.36</v>
      </c>
      <c r="F19" s="54">
        <v>39</v>
      </c>
      <c r="G19" s="54">
        <v>84.09</v>
      </c>
      <c r="H19" s="54">
        <v>38.54</v>
      </c>
      <c r="I19" s="54">
        <v>0.70</v>
      </c>
      <c r="J19" s="54">
        <v>0.70</v>
      </c>
      <c r="K19" s="54">
        <v>100.85</v>
      </c>
      <c r="L19" s="54">
        <v>39.340000000000003</v>
      </c>
      <c r="M19" s="54">
        <v>28.11</v>
      </c>
      <c r="N19" s="54">
        <v>874.5</v>
      </c>
      <c r="O19" s="54">
        <v>0</v>
      </c>
      <c r="P19" s="54">
        <v>0.79</v>
      </c>
      <c r="Q19" s="54">
        <v>26.02</v>
      </c>
      <c r="R19" s="43"/>
      <c r="S19" s="43"/>
      <c r="T19" s="43"/>
      <c r="U19" s="43"/>
    </row>
    <row r="20" spans="1:21" s="11" customFormat="1" ht="15">
      <c r="A20" s="53" t="s">
        <v>505</v>
      </c>
      <c r="B20" s="54">
        <v>2.5299999999999998</v>
      </c>
      <c r="C20" s="54">
        <v>31.04</v>
      </c>
      <c r="D20" s="54">
        <v>18.989999999999998</v>
      </c>
      <c r="E20" s="54">
        <v>8.68</v>
      </c>
      <c r="F20" s="54">
        <v>47.29</v>
      </c>
      <c r="G20" s="54">
        <v>75.02</v>
      </c>
      <c r="H20" s="54">
        <v>35.40</v>
      </c>
      <c r="I20" s="54">
        <v>0.47</v>
      </c>
      <c r="J20" s="54">
        <v>0.54</v>
      </c>
      <c r="K20" s="54">
        <v>157.88999999999999</v>
      </c>
      <c r="L20" s="54">
        <v>37.90</v>
      </c>
      <c r="M20" s="54">
        <v>29.04</v>
      </c>
      <c r="N20" s="54">
        <v>882.80</v>
      </c>
      <c r="O20" s="54">
        <v>0</v>
      </c>
      <c r="P20" s="54">
        <v>0.72</v>
      </c>
      <c r="Q20" s="54">
        <v>25.5</v>
      </c>
      <c r="R20" s="43"/>
      <c r="S20" s="43"/>
      <c r="T20" s="43"/>
      <c r="U20" s="43"/>
    </row>
    <row r="21" spans="1:21" s="11" customFormat="1" ht="15">
      <c r="A21" s="53" t="s">
        <v>506</v>
      </c>
      <c r="B21" s="54">
        <v>5.24</v>
      </c>
      <c r="C21" s="54">
        <v>37.40</v>
      </c>
      <c r="D21" s="54">
        <v>23.37</v>
      </c>
      <c r="E21" s="54">
        <v>3.53</v>
      </c>
      <c r="F21" s="54">
        <v>16.27</v>
      </c>
      <c r="G21" s="54">
        <v>67.81</v>
      </c>
      <c r="H21" s="54">
        <v>34.83</v>
      </c>
      <c r="I21" s="54">
        <v>0.44</v>
      </c>
      <c r="J21" s="54">
        <v>0.63</v>
      </c>
      <c r="K21" s="54">
        <v>355.27</v>
      </c>
      <c r="L21" s="54">
        <v>39.549999999999997</v>
      </c>
      <c r="M21" s="54">
        <v>25.49</v>
      </c>
      <c r="N21" s="54">
        <v>866</v>
      </c>
      <c r="O21" s="54">
        <v>0</v>
      </c>
      <c r="P21" s="54">
        <v>0.65</v>
      </c>
      <c r="Q21" s="54">
        <v>24.80</v>
      </c>
      <c r="R21" s="43"/>
      <c r="S21" s="43"/>
      <c r="T21" s="43"/>
      <c r="U21" s="43"/>
    </row>
    <row r="22" spans="1:21" s="11" customFormat="1" ht="15">
      <c r="A22" s="53" t="s">
        <v>507</v>
      </c>
      <c r="B22" s="54">
        <v>4.6500000000000004</v>
      </c>
      <c r="C22" s="54">
        <v>34.950000000000003</v>
      </c>
      <c r="D22" s="54">
        <v>22.18</v>
      </c>
      <c r="E22" s="54">
        <v>6.63</v>
      </c>
      <c r="F22" s="54">
        <v>39.380000000000003</v>
      </c>
      <c r="G22" s="54">
        <v>73.56</v>
      </c>
      <c r="H22" s="54">
        <v>34.83</v>
      </c>
      <c r="I22" s="54">
        <v>0.51</v>
      </c>
      <c r="J22" s="54">
        <v>0.65</v>
      </c>
      <c r="K22" s="54">
        <v>351.66</v>
      </c>
      <c r="L22" s="54">
        <v>40.25</v>
      </c>
      <c r="M22" s="54">
        <v>24.85</v>
      </c>
      <c r="N22" s="54">
        <v>795.70</v>
      </c>
      <c r="O22" s="54">
        <v>0</v>
      </c>
      <c r="P22" s="54">
        <v>0.71</v>
      </c>
      <c r="Q22" s="54">
        <v>26.31</v>
      </c>
      <c r="R22" s="43"/>
      <c r="S22" s="43"/>
      <c r="T22" s="43"/>
      <c r="U22" s="43"/>
    </row>
    <row r="23" spans="1:21" s="11" customFormat="1" ht="15">
      <c r="A23" s="53" t="s">
        <v>508</v>
      </c>
      <c r="B23" s="54">
        <v>3.96</v>
      </c>
      <c r="C23" s="54">
        <v>32.21</v>
      </c>
      <c r="D23" s="54">
        <v>20.48</v>
      </c>
      <c r="E23" s="54">
        <v>4.41</v>
      </c>
      <c r="F23" s="54">
        <v>17.30</v>
      </c>
      <c r="G23" s="54">
        <v>73.56</v>
      </c>
      <c r="H23" s="54">
        <v>34.18</v>
      </c>
      <c r="I23" s="54">
        <v>0.49</v>
      </c>
      <c r="J23" s="54">
        <v>0.45</v>
      </c>
      <c r="K23" s="54">
        <v>22.56</v>
      </c>
      <c r="L23" s="54">
        <v>39.57</v>
      </c>
      <c r="M23" s="54">
        <v>23.28</v>
      </c>
      <c r="N23" s="54">
        <v>663.70</v>
      </c>
      <c r="O23" s="54">
        <v>0</v>
      </c>
      <c r="P23" s="54">
        <v>0.69</v>
      </c>
      <c r="Q23" s="54">
        <v>23.68</v>
      </c>
      <c r="R23" s="43"/>
      <c r="S23" s="43"/>
      <c r="T23" s="43"/>
      <c r="U23" s="43"/>
    </row>
    <row r="24" spans="1:21" s="11" customFormat="1" ht="15">
      <c r="A24" s="53" t="s">
        <v>509</v>
      </c>
      <c r="B24" s="54">
        <v>1.93</v>
      </c>
      <c r="C24" s="54">
        <v>36.39</v>
      </c>
      <c r="D24" s="54">
        <v>22.28</v>
      </c>
      <c r="E24" s="54">
        <v>3.01</v>
      </c>
      <c r="F24" s="54">
        <v>9.9700000000000006</v>
      </c>
      <c r="G24" s="54">
        <v>65.09</v>
      </c>
      <c r="H24" s="54">
        <v>30.51</v>
      </c>
      <c r="I24" s="54">
        <v>0.41</v>
      </c>
      <c r="J24" s="54">
        <v>0.37</v>
      </c>
      <c r="K24" s="54">
        <v>37.26</v>
      </c>
      <c r="L24" s="54">
        <v>38.15</v>
      </c>
      <c r="M24" s="54">
        <v>24.21</v>
      </c>
      <c r="N24" s="54">
        <v>383.40</v>
      </c>
      <c r="O24" s="54">
        <v>0</v>
      </c>
      <c r="P24" s="54">
        <v>0.69</v>
      </c>
      <c r="Q24" s="54">
        <v>24.25</v>
      </c>
      <c r="R24" s="43"/>
      <c r="S24" s="43"/>
      <c r="T24" s="43"/>
      <c r="U24" s="43"/>
    </row>
    <row r="25" spans="1:21" s="11" customFormat="1" ht="15">
      <c r="A25" s="53" t="s">
        <v>510</v>
      </c>
      <c r="B25" s="54">
        <v>3.63</v>
      </c>
      <c r="C25" s="54">
        <v>40</v>
      </c>
      <c r="D25" s="54">
        <v>25.42</v>
      </c>
      <c r="E25" s="54">
        <v>3.67</v>
      </c>
      <c r="F25" s="54">
        <v>19.239999999999998</v>
      </c>
      <c r="G25" s="54">
        <v>63.49</v>
      </c>
      <c r="H25" s="54">
        <v>30.98</v>
      </c>
      <c r="I25" s="54">
        <v>0.43</v>
      </c>
      <c r="J25" s="54">
        <v>0.54</v>
      </c>
      <c r="K25" s="54">
        <v>358.71</v>
      </c>
      <c r="L25" s="54">
        <v>37.299999999999997</v>
      </c>
      <c r="M25" s="54">
        <v>23.53</v>
      </c>
      <c r="N25" s="54">
        <v>143.5</v>
      </c>
      <c r="O25" s="54">
        <v>0</v>
      </c>
      <c r="P25" s="54">
        <v>0.67</v>
      </c>
      <c r="Q25" s="54">
        <v>24.96</v>
      </c>
      <c r="R25" s="43"/>
      <c r="S25" s="43"/>
      <c r="T25" s="43"/>
      <c r="U25" s="43"/>
    </row>
    <row r="26" spans="1:21" s="11" customFormat="1" ht="15">
      <c r="A26" s="53" t="s">
        <v>511</v>
      </c>
      <c r="B26" s="54">
        <v>3.55</v>
      </c>
      <c r="C26" s="54">
        <v>38.25</v>
      </c>
      <c r="D26" s="54">
        <v>24.60</v>
      </c>
      <c r="E26" s="54">
        <v>4.84</v>
      </c>
      <c r="F26" s="54">
        <v>18.86</v>
      </c>
      <c r="G26" s="54">
        <v>65.44</v>
      </c>
      <c r="H26" s="54">
        <v>30.98</v>
      </c>
      <c r="I26" s="54">
        <v>0.47</v>
      </c>
      <c r="J26" s="54">
        <v>0.34</v>
      </c>
      <c r="K26" s="54">
        <v>50.74</v>
      </c>
      <c r="L26" s="54">
        <v>36.72</v>
      </c>
      <c r="M26" s="54">
        <v>25.58</v>
      </c>
      <c r="N26" s="54">
        <v>94.70</v>
      </c>
      <c r="O26" s="54">
        <v>0</v>
      </c>
      <c r="P26" s="54">
        <v>0.71</v>
      </c>
      <c r="Q26" s="54">
        <v>23.24</v>
      </c>
      <c r="R26" s="43"/>
      <c r="S26" s="43"/>
      <c r="T26" s="43"/>
      <c r="U26" s="43"/>
    </row>
    <row r="27" spans="1:21" s="11" customFormat="1" ht="15">
      <c r="A27" s="53" t="s">
        <v>512</v>
      </c>
      <c r="B27" s="54">
        <v>9.74</v>
      </c>
      <c r="C27" s="54">
        <v>43.62</v>
      </c>
      <c r="D27" s="54">
        <v>31.99</v>
      </c>
      <c r="E27" s="54">
        <v>3.47</v>
      </c>
      <c r="F27" s="54">
        <v>12.14</v>
      </c>
      <c r="G27" s="54">
        <v>65.44</v>
      </c>
      <c r="H27" s="54">
        <v>30.44</v>
      </c>
      <c r="I27" s="54">
        <v>0.40</v>
      </c>
      <c r="J27" s="54">
        <v>0.25</v>
      </c>
      <c r="K27" s="54">
        <v>47.35</v>
      </c>
      <c r="L27" s="54">
        <v>35.68</v>
      </c>
      <c r="M27" s="54">
        <v>27.62</v>
      </c>
      <c r="N27" s="54">
        <v>37.700000000000003</v>
      </c>
      <c r="O27" s="54">
        <v>0</v>
      </c>
      <c r="P27" s="54">
        <v>0.81</v>
      </c>
      <c r="Q27" s="54">
        <v>23.34</v>
      </c>
      <c r="R27" s="43"/>
      <c r="S27" s="43"/>
      <c r="T27" s="43"/>
      <c r="U27" s="43"/>
    </row>
    <row r="28" spans="1:21" s="11" customFormat="1" ht="15">
      <c r="A28" s="53" t="s">
        <v>513</v>
      </c>
      <c r="B28" s="54">
        <v>6.55</v>
      </c>
      <c r="C28" s="54">
        <v>45.53</v>
      </c>
      <c r="D28" s="54">
        <v>30.60</v>
      </c>
      <c r="E28" s="54">
        <v>4</v>
      </c>
      <c r="F28" s="54">
        <v>20.04</v>
      </c>
      <c r="G28" s="54">
        <v>72.59</v>
      </c>
      <c r="H28" s="54">
        <v>32.909999999999997</v>
      </c>
      <c r="I28" s="54">
        <v>0.45</v>
      </c>
      <c r="J28" s="54">
        <v>0.20</v>
      </c>
      <c r="K28" s="54">
        <v>49.71</v>
      </c>
      <c r="L28" s="54">
        <v>34.74</v>
      </c>
      <c r="M28" s="54">
        <v>28.31</v>
      </c>
      <c r="N28" s="54">
        <v>19.70</v>
      </c>
      <c r="O28" s="54">
        <v>0</v>
      </c>
      <c r="P28" s="54">
        <v>0.86</v>
      </c>
      <c r="Q28" s="54">
        <v>24.30</v>
      </c>
      <c r="R28" s="43"/>
      <c r="S28" s="43"/>
      <c r="T28" s="43"/>
      <c r="U28" s="43"/>
    </row>
    <row r="29" spans="1:21" s="11" customFormat="1" ht="15">
      <c r="A29" s="53" t="s">
        <v>514</v>
      </c>
      <c r="B29" s="54">
        <v>14.5</v>
      </c>
      <c r="C29" s="54">
        <v>44.13</v>
      </c>
      <c r="D29" s="54">
        <v>36.119999999999997</v>
      </c>
      <c r="E29" s="54">
        <v>3.25</v>
      </c>
      <c r="F29" s="54">
        <v>11.36</v>
      </c>
      <c r="G29" s="54">
        <v>72.59</v>
      </c>
      <c r="H29" s="54">
        <v>32.909999999999997</v>
      </c>
      <c r="I29" s="54">
        <v>0.59</v>
      </c>
      <c r="J29" s="54">
        <v>0.17</v>
      </c>
      <c r="K29" s="54">
        <v>53.21</v>
      </c>
      <c r="L29" s="54">
        <v>34.01</v>
      </c>
      <c r="M29" s="54">
        <v>31.62</v>
      </c>
      <c r="N29" s="54">
        <v>20.399999999999999</v>
      </c>
      <c r="O29" s="54">
        <v>0</v>
      </c>
      <c r="P29" s="54">
        <v>0.99</v>
      </c>
      <c r="Q29" s="54">
        <v>22.57</v>
      </c>
      <c r="R29" s="43"/>
      <c r="S29" s="43"/>
      <c r="T29" s="43"/>
      <c r="U29" s="43"/>
    </row>
    <row r="30" spans="1:21" s="11" customFormat="1" ht="15">
      <c r="A30" s="53" t="s">
        <v>515</v>
      </c>
      <c r="B30" s="54">
        <v>15.98</v>
      </c>
      <c r="C30" s="54">
        <v>44.28</v>
      </c>
      <c r="D30" s="54">
        <v>36.76</v>
      </c>
      <c r="E30" s="54">
        <v>2.57</v>
      </c>
      <c r="F30" s="54">
        <v>11.19</v>
      </c>
      <c r="G30" s="54">
        <v>77.010000000000005</v>
      </c>
      <c r="H30" s="54">
        <v>34.74</v>
      </c>
      <c r="I30" s="54">
        <v>0.67</v>
      </c>
      <c r="J30" s="54">
        <v>0.13</v>
      </c>
      <c r="K30" s="54">
        <v>33.450000000000003</v>
      </c>
      <c r="L30" s="54">
        <v>32.64</v>
      </c>
      <c r="M30" s="54">
        <v>33.33</v>
      </c>
      <c r="N30" s="54">
        <v>20.30</v>
      </c>
      <c r="O30" s="54">
        <v>0</v>
      </c>
      <c r="P30" s="54">
        <v>1.07</v>
      </c>
      <c r="Q30" s="54">
        <v>23.22</v>
      </c>
      <c r="R30" s="43"/>
      <c r="S30" s="43"/>
      <c r="T30" s="43"/>
      <c r="U30" s="43"/>
    </row>
    <row r="31" spans="1:21" s="11" customFormat="1" ht="15">
      <c r="A31" s="53" t="s">
        <v>516</v>
      </c>
      <c r="B31" s="54">
        <v>16.23</v>
      </c>
      <c r="C31" s="54">
        <v>44.51</v>
      </c>
      <c r="D31" s="54">
        <v>38.22</v>
      </c>
      <c r="E31" s="54">
        <v>2.46</v>
      </c>
      <c r="F31" s="54">
        <v>14.33</v>
      </c>
      <c r="G31" s="54">
        <v>77.010000000000005</v>
      </c>
      <c r="H31" s="54">
        <v>34.74</v>
      </c>
      <c r="I31" s="54">
        <v>0.64</v>
      </c>
      <c r="J31" s="54">
        <v>0.11</v>
      </c>
      <c r="K31" s="54">
        <v>59.33</v>
      </c>
      <c r="L31" s="54">
        <v>32.01</v>
      </c>
      <c r="M31" s="54">
        <v>34.60</v>
      </c>
      <c r="N31" s="54">
        <v>19.70</v>
      </c>
      <c r="O31" s="54">
        <v>0</v>
      </c>
      <c r="P31" s="54">
        <v>1.06</v>
      </c>
      <c r="Q31" s="54">
        <v>25.76</v>
      </c>
      <c r="R31" s="43"/>
      <c r="S31" s="43"/>
      <c r="T31" s="43"/>
      <c r="U31" s="43"/>
    </row>
    <row r="32" spans="1:21" s="11" customFormat="1" ht="15">
      <c r="A32" s="53" t="s">
        <v>517</v>
      </c>
      <c r="B32" s="54">
        <v>11.06</v>
      </c>
      <c r="C32" s="54">
        <v>34.049999999999997</v>
      </c>
      <c r="D32" s="54">
        <v>28.31</v>
      </c>
      <c r="E32" s="54">
        <v>2.25</v>
      </c>
      <c r="F32" s="54">
        <v>10.27</v>
      </c>
      <c r="G32" s="54">
        <v>73.010000000000005</v>
      </c>
      <c r="H32" s="54">
        <v>33.68</v>
      </c>
      <c r="I32" s="54">
        <v>0.73</v>
      </c>
      <c r="J32" s="54">
        <v>0.18</v>
      </c>
      <c r="K32" s="54">
        <v>62.97</v>
      </c>
      <c r="L32" s="54">
        <v>31.52</v>
      </c>
      <c r="M32" s="54">
        <v>34.32</v>
      </c>
      <c r="N32" s="54">
        <v>20</v>
      </c>
      <c r="O32" s="54">
        <v>0</v>
      </c>
      <c r="P32" s="54">
        <v>0.97</v>
      </c>
      <c r="Q32" s="54">
        <v>25.03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1.9299999999999999</v>
      </c>
      <c r="C34" s="28">
        <f t="shared" si="0"/>
        <v>30.399999999999999</v>
      </c>
      <c r="D34" s="28">
        <f t="shared" si="0"/>
        <v>18.989999999999998</v>
      </c>
      <c r="E34" s="28">
        <f t="shared" si="0"/>
        <v>2.25</v>
      </c>
      <c r="F34" s="28">
        <f t="shared" si="0"/>
        <v>9.1699999999999999</v>
      </c>
      <c r="G34" s="28">
        <f t="shared" si="0"/>
        <v>62.509999999999998</v>
      </c>
      <c r="H34" s="28">
        <f t="shared" si="0"/>
        <v>30.440000000000001</v>
      </c>
      <c r="I34" s="28">
        <f t="shared" si="0"/>
        <v>0.40000000000000002</v>
      </c>
      <c r="J34" s="28">
        <f t="shared" si="0"/>
        <v>0.089999999999999997</v>
      </c>
      <c r="K34" s="28">
        <f t="shared" si="0"/>
        <v>19.530000000000001</v>
      </c>
      <c r="L34" s="28">
        <f t="shared" si="0"/>
        <v>28.609999999999999</v>
      </c>
      <c r="M34" s="28">
        <f t="shared" si="0"/>
        <v>23.280000000000001</v>
      </c>
      <c r="N34" s="28">
        <f t="shared" si="0"/>
        <v>19.699999999999999</v>
      </c>
      <c r="O34" s="28">
        <f t="shared" si="0"/>
        <v>0</v>
      </c>
      <c r="P34" s="28">
        <f t="shared" si="0"/>
        <v>0.65000000000000002</v>
      </c>
      <c r="Q34" s="28">
        <f t="shared" si="0"/>
        <v>22.32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16.23</v>
      </c>
      <c r="C35" s="29">
        <f t="shared" si="1"/>
        <v>45.530000000000001</v>
      </c>
      <c r="D35" s="29">
        <f t="shared" si="1"/>
        <v>38.219999999999999</v>
      </c>
      <c r="E35" s="29">
        <f t="shared" si="1"/>
        <v>12.44</v>
      </c>
      <c r="F35" s="29">
        <f t="shared" si="1"/>
        <v>47.289999999999999</v>
      </c>
      <c r="G35" s="29">
        <f t="shared" si="1"/>
        <v>84.090000000000003</v>
      </c>
      <c r="H35" s="29">
        <f t="shared" si="1"/>
        <v>38.539999999999999</v>
      </c>
      <c r="I35" s="29">
        <f t="shared" si="1"/>
        <v>0.72999999999999998</v>
      </c>
      <c r="J35" s="29">
        <f t="shared" si="1"/>
        <v>1.3600000000000001</v>
      </c>
      <c r="K35" s="29">
        <f t="shared" si="1"/>
        <v>358.70999999999998</v>
      </c>
      <c r="L35" s="29">
        <f t="shared" si="1"/>
        <v>40.25</v>
      </c>
      <c r="M35" s="29">
        <f t="shared" si="1"/>
        <v>45.670000000000002</v>
      </c>
      <c r="N35" s="29">
        <f t="shared" si="1"/>
        <v>882.79999999999995</v>
      </c>
      <c r="O35" s="29">
        <f t="shared" si="1"/>
        <v>0</v>
      </c>
      <c r="P35" s="29">
        <f t="shared" si="1"/>
        <v>1.0700000000000001</v>
      </c>
      <c r="Q35" s="29">
        <f t="shared" si="1"/>
        <v>26.309999999999999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7.723749999999999</v>
      </c>
      <c r="C36" s="28">
        <f t="shared" si="2"/>
        <v>37.955416666666657</v>
      </c>
      <c r="D36" s="28">
        <f t="shared" si="2"/>
        <v>27.282916666666669</v>
      </c>
      <c r="E36" s="28">
        <f t="shared" si="2"/>
        <v>6.0570833333333338</v>
      </c>
      <c r="F36" s="28">
        <f t="shared" si="2"/>
        <v>18.795833333333334</v>
      </c>
      <c r="G36" s="28">
        <f t="shared" si="2"/>
        <v>71.685833333333321</v>
      </c>
      <c r="H36" s="28">
        <f t="shared" si="2"/>
        <v>33.828749999999999</v>
      </c>
      <c r="I36" s="28">
        <f t="shared" si="2"/>
        <v>0.57333333333333336</v>
      </c>
      <c r="J36" s="28">
        <f t="shared" si="2"/>
        <v>0.37083333333333329</v>
      </c>
      <c r="K36" s="28">
        <f t="shared" si="2"/>
        <v>147.8520833333333</v>
      </c>
      <c r="L36" s="28">
        <f t="shared" si="2"/>
        <v>34.449583333333329</v>
      </c>
      <c r="M36" s="28">
        <f t="shared" si="2"/>
        <v>32.95333333333334</v>
      </c>
      <c r="N36" s="28">
        <f t="shared" si="2"/>
        <v>297.19999999999993</v>
      </c>
      <c r="O36" s="28">
        <f t="shared" si="2"/>
        <v>0</v>
      </c>
      <c r="P36" s="28">
        <f t="shared" si="2"/>
        <v>0.79166666666666652</v>
      </c>
      <c r="Q36" s="28">
        <f t="shared" si="2"/>
        <v>24.422916666666666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4.5196419755282102</v>
      </c>
      <c r="C37" s="28">
        <f t="shared" si="3" ref="C37:Q37">STDEV(C9:C32)</f>
        <v>4.7189525174893561</v>
      </c>
      <c r="D37" s="28">
        <f t="shared" si="3"/>
        <v>5.677671353006736</v>
      </c>
      <c r="E37" s="28">
        <f t="shared" si="3"/>
        <v>3.131531753501537</v>
      </c>
      <c r="F37" s="28">
        <f t="shared" si="3"/>
        <v>10.165015415915374</v>
      </c>
      <c r="G37" s="28">
        <f t="shared" si="3"/>
        <v>6.2985574032724987</v>
      </c>
      <c r="H37" s="28">
        <f t="shared" si="3"/>
        <v>2.2258507167022321</v>
      </c>
      <c r="I37" s="28">
        <f t="shared" si="3"/>
        <v>0.10744732447218884</v>
      </c>
      <c r="J37" s="28">
        <f t="shared" si="3"/>
        <v>0.30490079165791495</v>
      </c>
      <c r="K37" s="28">
        <f t="shared" si="3"/>
        <v>132.98984335129299</v>
      </c>
      <c r="L37" s="28">
        <f t="shared" si="3"/>
        <v>3.9951454010289633</v>
      </c>
      <c r="M37" s="28">
        <f t="shared" si="3"/>
        <v>7.4383744523083433</v>
      </c>
      <c r="N37" s="28">
        <f t="shared" si="3"/>
        <v>338.18576449097895</v>
      </c>
      <c r="O37" s="28">
        <f t="shared" si="3"/>
        <v>0</v>
      </c>
      <c r="P37" s="28">
        <f t="shared" si="3"/>
        <v>0.11882272753859148</v>
      </c>
      <c r="Q37" s="28">
        <f t="shared" si="3"/>
        <v>1.118506298855652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e4bbd22-9f42-4b53-82ca-50f291498809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9" sqref="G6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20-06-2023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518</v>
      </c>
      <c r="B9" s="54">
        <v>6.51</v>
      </c>
      <c r="C9" s="54">
        <v>30.95</v>
      </c>
      <c r="D9" s="54">
        <v>22.95</v>
      </c>
      <c r="E9" s="54">
        <v>1.49</v>
      </c>
      <c r="F9" s="54">
        <v>16.59</v>
      </c>
      <c r="G9" s="54">
        <v>70.63</v>
      </c>
      <c r="H9" s="54">
        <v>31.44</v>
      </c>
      <c r="I9" s="54">
        <v>0.65</v>
      </c>
      <c r="J9" s="54">
        <v>0.5</v>
      </c>
      <c r="K9" s="54">
        <v>311.52</v>
      </c>
      <c r="L9" s="54">
        <v>30.97</v>
      </c>
      <c r="M9" s="54">
        <v>37.340000000000003</v>
      </c>
      <c r="N9" s="54">
        <v>20.70</v>
      </c>
      <c r="O9" s="54">
        <v>0</v>
      </c>
      <c r="P9" s="54">
        <v>0.75</v>
      </c>
      <c r="Q9" s="54">
        <v>24.33</v>
      </c>
      <c r="R9" s="43"/>
      <c r="S9" s="43"/>
      <c r="T9" s="43"/>
      <c r="U9" s="43"/>
    </row>
    <row r="10" spans="1:21" s="11" customFormat="1" ht="15">
      <c r="A10" s="53" t="s">
        <v>519</v>
      </c>
      <c r="B10" s="54">
        <v>1.78</v>
      </c>
      <c r="C10" s="54">
        <v>22.33</v>
      </c>
      <c r="D10" s="54">
        <v>14.33</v>
      </c>
      <c r="E10" s="54">
        <v>1.92</v>
      </c>
      <c r="F10" s="54">
        <v>22.99</v>
      </c>
      <c r="G10" s="54">
        <v>62.64</v>
      </c>
      <c r="H10" s="54">
        <v>31.44</v>
      </c>
      <c r="I10" s="54">
        <v>0.56999999999999995</v>
      </c>
      <c r="J10" s="54">
        <v>0.5</v>
      </c>
      <c r="K10" s="54">
        <v>358.91</v>
      </c>
      <c r="L10" s="54">
        <v>30.14</v>
      </c>
      <c r="M10" s="54">
        <v>38.39</v>
      </c>
      <c r="N10" s="54">
        <v>19.899999999999999</v>
      </c>
      <c r="O10" s="54">
        <v>0</v>
      </c>
      <c r="P10" s="54">
        <v>0.56000000000000005</v>
      </c>
      <c r="Q10" s="54">
        <v>26.75</v>
      </c>
      <c r="R10" s="43"/>
      <c r="S10" s="43"/>
      <c r="T10" s="43"/>
      <c r="U10" s="43"/>
    </row>
    <row r="11" spans="1:21" s="11" customFormat="1" ht="15">
      <c r="A11" s="53" t="s">
        <v>520</v>
      </c>
      <c r="B11" s="54">
        <v>2.4500000000000002</v>
      </c>
      <c r="C11" s="54">
        <v>24.07</v>
      </c>
      <c r="D11" s="54">
        <v>15.90</v>
      </c>
      <c r="E11" s="54">
        <v>2.2599999999999998</v>
      </c>
      <c r="F11" s="54">
        <v>13.28</v>
      </c>
      <c r="G11" s="54">
        <v>59.01</v>
      </c>
      <c r="H11" s="54">
        <v>27.62</v>
      </c>
      <c r="I11" s="54">
        <v>0.55000000000000004</v>
      </c>
      <c r="J11" s="54">
        <v>0.32</v>
      </c>
      <c r="K11" s="54">
        <v>240.31</v>
      </c>
      <c r="L11" s="54">
        <v>29.17</v>
      </c>
      <c r="M11" s="54">
        <v>40.68</v>
      </c>
      <c r="N11" s="54">
        <v>20.399999999999999</v>
      </c>
      <c r="O11" s="54">
        <v>0</v>
      </c>
      <c r="P11" s="54">
        <v>0.49</v>
      </c>
      <c r="Q11" s="54">
        <v>25.71</v>
      </c>
      <c r="R11" s="43"/>
      <c r="S11" s="43"/>
      <c r="T11" s="43"/>
      <c r="U11" s="43"/>
    </row>
    <row r="12" spans="1:21" s="11" customFormat="1" ht="15">
      <c r="A12" s="53" t="s">
        <v>521</v>
      </c>
      <c r="B12" s="54">
        <v>2.58</v>
      </c>
      <c r="C12" s="54">
        <v>27.49</v>
      </c>
      <c r="D12" s="54">
        <v>17.89</v>
      </c>
      <c r="E12" s="54">
        <v>1.66</v>
      </c>
      <c r="F12" s="54">
        <v>12.29</v>
      </c>
      <c r="G12" s="54">
        <v>50.39</v>
      </c>
      <c r="H12" s="54">
        <v>24.57</v>
      </c>
      <c r="I12" s="54">
        <v>0.61</v>
      </c>
      <c r="J12" s="54">
        <v>0.30</v>
      </c>
      <c r="K12" s="54">
        <v>262.93</v>
      </c>
      <c r="L12" s="54">
        <v>28.44</v>
      </c>
      <c r="M12" s="54">
        <v>42.74</v>
      </c>
      <c r="N12" s="54">
        <v>20.100000000000001</v>
      </c>
      <c r="O12" s="54">
        <v>0</v>
      </c>
      <c r="P12" s="54">
        <v>0.40</v>
      </c>
      <c r="Q12" s="54">
        <v>25.62</v>
      </c>
      <c r="R12" s="43"/>
      <c r="S12" s="43"/>
      <c r="T12" s="43"/>
      <c r="U12" s="43"/>
    </row>
    <row r="13" spans="1:21" s="11" customFormat="1" ht="15">
      <c r="A13" s="53" t="s">
        <v>522</v>
      </c>
      <c r="B13" s="54">
        <v>5.81</v>
      </c>
      <c r="C13" s="54">
        <v>28.12</v>
      </c>
      <c r="D13" s="54">
        <v>20.82</v>
      </c>
      <c r="E13" s="54">
        <v>2.40</v>
      </c>
      <c r="F13" s="54">
        <v>14.77</v>
      </c>
      <c r="G13" s="54">
        <v>51.06</v>
      </c>
      <c r="H13" s="54">
        <v>25.41</v>
      </c>
      <c r="I13" s="54">
        <v>0.62</v>
      </c>
      <c r="J13" s="54">
        <v>0.54</v>
      </c>
      <c r="K13" s="54">
        <v>348.31</v>
      </c>
      <c r="L13" s="54">
        <v>27.92</v>
      </c>
      <c r="M13" s="54">
        <v>47.07</v>
      </c>
      <c r="N13" s="54">
        <v>20.399999999999999</v>
      </c>
      <c r="O13" s="54">
        <v>0</v>
      </c>
      <c r="P13" s="54">
        <v>0.35</v>
      </c>
      <c r="Q13" s="54">
        <v>27.30</v>
      </c>
      <c r="R13" s="43"/>
      <c r="S13" s="43"/>
      <c r="T13" s="43"/>
      <c r="U13" s="43"/>
    </row>
    <row r="14" spans="1:21" s="11" customFormat="1" ht="15">
      <c r="A14" s="53" t="s">
        <v>523</v>
      </c>
      <c r="B14" s="54">
        <v>11.23</v>
      </c>
      <c r="C14" s="54">
        <v>32.69</v>
      </c>
      <c r="D14" s="54">
        <v>27.69</v>
      </c>
      <c r="E14" s="54">
        <v>1.85</v>
      </c>
      <c r="F14" s="54">
        <v>6.55</v>
      </c>
      <c r="G14" s="54">
        <v>53.72</v>
      </c>
      <c r="H14" s="54">
        <v>25.88</v>
      </c>
      <c r="I14" s="54">
        <v>0.60</v>
      </c>
      <c r="J14" s="54">
        <v>0.23</v>
      </c>
      <c r="K14" s="54">
        <v>247.74</v>
      </c>
      <c r="L14" s="54">
        <v>27.37</v>
      </c>
      <c r="M14" s="54">
        <v>48.29</v>
      </c>
      <c r="N14" s="54">
        <v>64.400000000000006</v>
      </c>
      <c r="O14" s="54">
        <v>0</v>
      </c>
      <c r="P14" s="54">
        <v>0.39</v>
      </c>
      <c r="Q14" s="54">
        <v>25.89</v>
      </c>
      <c r="R14" s="43"/>
      <c r="S14" s="43"/>
      <c r="T14" s="43"/>
      <c r="U14" s="43"/>
    </row>
    <row r="15" spans="1:21" s="11" customFormat="1" ht="15">
      <c r="A15" s="53" t="s">
        <v>524</v>
      </c>
      <c r="B15" s="54">
        <v>18.28</v>
      </c>
      <c r="C15" s="54">
        <v>36.14</v>
      </c>
      <c r="D15" s="54">
        <v>35.25</v>
      </c>
      <c r="E15" s="54">
        <v>2.48</v>
      </c>
      <c r="F15" s="54">
        <v>13.51</v>
      </c>
      <c r="G15" s="54">
        <v>56.27</v>
      </c>
      <c r="H15" s="54">
        <v>29.91</v>
      </c>
      <c r="I15" s="54">
        <v>0.57999999999999996</v>
      </c>
      <c r="J15" s="54">
        <v>0.17</v>
      </c>
      <c r="K15" s="54">
        <v>187.59</v>
      </c>
      <c r="L15" s="54">
        <v>31.72</v>
      </c>
      <c r="M15" s="54">
        <v>46.53</v>
      </c>
      <c r="N15" s="54">
        <v>210.5</v>
      </c>
      <c r="O15" s="54">
        <v>0</v>
      </c>
      <c r="P15" s="54">
        <v>0.48</v>
      </c>
      <c r="Q15" s="54">
        <v>26.72</v>
      </c>
      <c r="R15" s="43"/>
      <c r="S15" s="43"/>
      <c r="T15" s="43"/>
      <c r="U15" s="43"/>
    </row>
    <row r="16" spans="1:21" s="11" customFormat="1" ht="15">
      <c r="A16" s="53" t="s">
        <v>525</v>
      </c>
      <c r="B16" s="54">
        <v>23.13</v>
      </c>
      <c r="C16" s="54">
        <v>32.33</v>
      </c>
      <c r="D16" s="54">
        <v>36.97</v>
      </c>
      <c r="E16" s="54">
        <v>6.11</v>
      </c>
      <c r="F16" s="54">
        <v>16.579999999999998</v>
      </c>
      <c r="G16" s="54">
        <v>77.28</v>
      </c>
      <c r="H16" s="54">
        <v>33.65</v>
      </c>
      <c r="I16" s="54">
        <v>0.60</v>
      </c>
      <c r="J16" s="54">
        <v>1.40</v>
      </c>
      <c r="K16" s="54">
        <v>22.26</v>
      </c>
      <c r="L16" s="54">
        <v>35.51</v>
      </c>
      <c r="M16" s="54">
        <v>37.54</v>
      </c>
      <c r="N16" s="54">
        <v>416</v>
      </c>
      <c r="O16" s="54">
        <v>0</v>
      </c>
      <c r="P16" s="54">
        <v>0.56999999999999995</v>
      </c>
      <c r="Q16" s="54">
        <v>27.07</v>
      </c>
      <c r="R16" s="43"/>
      <c r="S16" s="43"/>
      <c r="T16" s="43"/>
      <c r="U16" s="43"/>
    </row>
    <row r="17" spans="1:21" s="11" customFormat="1" ht="15">
      <c r="A17" s="53" t="s">
        <v>526</v>
      </c>
      <c r="B17" s="54">
        <v>12.02</v>
      </c>
      <c r="C17" s="54">
        <v>35.880000000000003</v>
      </c>
      <c r="D17" s="54">
        <v>28.15</v>
      </c>
      <c r="E17" s="54">
        <v>5.03</v>
      </c>
      <c r="F17" s="54">
        <v>9.84</v>
      </c>
      <c r="G17" s="54">
        <v>78.760000000000005</v>
      </c>
      <c r="H17" s="54">
        <v>35.229999999999997</v>
      </c>
      <c r="I17" s="54">
        <v>0.67</v>
      </c>
      <c r="J17" s="54">
        <v>1.44</v>
      </c>
      <c r="K17" s="54">
        <v>21.23</v>
      </c>
      <c r="L17" s="54">
        <v>37.32</v>
      </c>
      <c r="M17" s="54">
        <v>34.369999999999997</v>
      </c>
      <c r="N17" s="54">
        <v>607.70000000000005</v>
      </c>
      <c r="O17" s="54">
        <v>0</v>
      </c>
      <c r="P17" s="54">
        <v>0.60</v>
      </c>
      <c r="Q17" s="54">
        <v>25.71</v>
      </c>
      <c r="R17" s="43"/>
      <c r="S17" s="43"/>
      <c r="T17" s="43"/>
      <c r="U17" s="43"/>
    </row>
    <row r="18" spans="1:21" s="11" customFormat="1" ht="15">
      <c r="A18" s="53" t="s">
        <v>527</v>
      </c>
      <c r="B18" s="54">
        <v>8.49</v>
      </c>
      <c r="C18" s="54">
        <v>36.729999999999997</v>
      </c>
      <c r="D18" s="54">
        <v>27.73</v>
      </c>
      <c r="E18" s="54">
        <v>5.16</v>
      </c>
      <c r="F18" s="54">
        <v>25.70</v>
      </c>
      <c r="G18" s="54">
        <v>78.760000000000005</v>
      </c>
      <c r="H18" s="54">
        <v>35.229999999999997</v>
      </c>
      <c r="I18" s="54">
        <v>0.70</v>
      </c>
      <c r="J18" s="54">
        <v>1.29</v>
      </c>
      <c r="K18" s="54">
        <v>17.64</v>
      </c>
      <c r="L18" s="54">
        <v>39.270000000000003</v>
      </c>
      <c r="M18" s="54">
        <v>30.82</v>
      </c>
      <c r="N18" s="54">
        <v>746.90</v>
      </c>
      <c r="O18" s="54">
        <v>0</v>
      </c>
      <c r="P18" s="54">
        <v>0.66</v>
      </c>
      <c r="Q18" s="54">
        <v>26.54</v>
      </c>
      <c r="R18" s="43"/>
      <c r="S18" s="43"/>
      <c r="T18" s="43"/>
      <c r="U18" s="43"/>
    </row>
    <row r="19" spans="1:21" s="11" customFormat="1" ht="15">
      <c r="A19" s="53" t="s">
        <v>528</v>
      </c>
      <c r="B19" s="54">
        <v>6.66</v>
      </c>
      <c r="C19" s="54">
        <v>34.29</v>
      </c>
      <c r="D19" s="54">
        <v>23.67</v>
      </c>
      <c r="E19" s="54">
        <v>4.97</v>
      </c>
      <c r="F19" s="54">
        <v>26.82</v>
      </c>
      <c r="G19" s="54">
        <v>75.260000000000005</v>
      </c>
      <c r="H19" s="54">
        <v>33.130000000000003</v>
      </c>
      <c r="I19" s="54">
        <v>0.67</v>
      </c>
      <c r="J19" s="54">
        <v>0.5</v>
      </c>
      <c r="K19" s="54">
        <v>32.840000000000003</v>
      </c>
      <c r="L19" s="54">
        <v>39.32</v>
      </c>
      <c r="M19" s="54">
        <v>29.83</v>
      </c>
      <c r="N19" s="54">
        <v>873.60</v>
      </c>
      <c r="O19" s="54">
        <v>0</v>
      </c>
      <c r="P19" s="54">
        <v>0.69</v>
      </c>
      <c r="Q19" s="54">
        <v>26.92</v>
      </c>
      <c r="R19" s="43"/>
      <c r="S19" s="43"/>
      <c r="T19" s="43"/>
      <c r="U19" s="43"/>
    </row>
    <row r="20" spans="1:21" s="11" customFormat="1" ht="15">
      <c r="A20" s="53" t="s">
        <v>529</v>
      </c>
      <c r="B20" s="54">
        <v>3.73</v>
      </c>
      <c r="C20" s="54">
        <v>34.96</v>
      </c>
      <c r="D20" s="54">
        <v>22.93</v>
      </c>
      <c r="E20" s="54">
        <v>3.78</v>
      </c>
      <c r="F20" s="54">
        <v>11.77</v>
      </c>
      <c r="G20" s="54">
        <v>63.47</v>
      </c>
      <c r="H20" s="54">
        <v>29.36</v>
      </c>
      <c r="I20" s="54">
        <v>0.53</v>
      </c>
      <c r="J20" s="54">
        <v>0.46</v>
      </c>
      <c r="K20" s="54">
        <v>23.26</v>
      </c>
      <c r="L20" s="54">
        <v>38.520000000000003</v>
      </c>
      <c r="M20" s="54">
        <v>29.84</v>
      </c>
      <c r="N20" s="54">
        <v>914.5</v>
      </c>
      <c r="O20" s="54">
        <v>0</v>
      </c>
      <c r="P20" s="54">
        <v>0.67</v>
      </c>
      <c r="Q20" s="54">
        <v>25.20</v>
      </c>
      <c r="R20" s="43"/>
      <c r="S20" s="43"/>
      <c r="T20" s="43"/>
      <c r="U20" s="43"/>
    </row>
    <row r="21" spans="1:21" s="11" customFormat="1" ht="15">
      <c r="A21" s="53" t="s">
        <v>530</v>
      </c>
      <c r="B21" s="54">
        <v>3.32</v>
      </c>
      <c r="C21" s="54">
        <v>35.450000000000003</v>
      </c>
      <c r="D21" s="54">
        <v>22.55</v>
      </c>
      <c r="E21" s="54">
        <v>3.20</v>
      </c>
      <c r="F21" s="54">
        <v>26.60</v>
      </c>
      <c r="G21" s="54">
        <v>59.85</v>
      </c>
      <c r="H21" s="54">
        <v>29.53</v>
      </c>
      <c r="I21" s="54">
        <v>0.49</v>
      </c>
      <c r="J21" s="54">
        <v>0.76</v>
      </c>
      <c r="K21" s="54">
        <v>358.96</v>
      </c>
      <c r="L21" s="54">
        <v>39.130000000000003</v>
      </c>
      <c r="M21" s="54">
        <v>27.92</v>
      </c>
      <c r="N21" s="54">
        <v>892.80</v>
      </c>
      <c r="O21" s="54">
        <v>0</v>
      </c>
      <c r="P21" s="54">
        <v>0.56999999999999995</v>
      </c>
      <c r="Q21" s="54">
        <v>26.26</v>
      </c>
      <c r="R21" s="43"/>
      <c r="S21" s="43"/>
      <c r="T21" s="43"/>
      <c r="U21" s="43"/>
    </row>
    <row r="22" spans="1:21" s="11" customFormat="1" ht="15">
      <c r="A22" s="53" t="s">
        <v>531</v>
      </c>
      <c r="B22" s="54">
        <v>4.49</v>
      </c>
      <c r="C22" s="54">
        <v>33.81</v>
      </c>
      <c r="D22" s="54">
        <v>22.84</v>
      </c>
      <c r="E22" s="54">
        <v>2.99</v>
      </c>
      <c r="F22" s="54">
        <v>27.80</v>
      </c>
      <c r="G22" s="54">
        <v>58.07</v>
      </c>
      <c r="H22" s="54">
        <v>29.53</v>
      </c>
      <c r="I22" s="54">
        <v>0.40</v>
      </c>
      <c r="J22" s="54">
        <v>0.95</v>
      </c>
      <c r="K22" s="54">
        <v>38.880000000000003</v>
      </c>
      <c r="L22" s="54">
        <v>40.18</v>
      </c>
      <c r="M22" s="54">
        <v>26.12</v>
      </c>
      <c r="N22" s="54">
        <v>793</v>
      </c>
      <c r="O22" s="54">
        <v>0</v>
      </c>
      <c r="P22" s="54">
        <v>0.56999999999999995</v>
      </c>
      <c r="Q22" s="54">
        <v>26.19</v>
      </c>
      <c r="R22" s="43"/>
      <c r="S22" s="43"/>
      <c r="T22" s="43"/>
      <c r="U22" s="43"/>
    </row>
    <row r="23" spans="1:21" s="11" customFormat="1" ht="15">
      <c r="A23" s="53" t="s">
        <v>532</v>
      </c>
      <c r="B23" s="54">
        <v>1.04</v>
      </c>
      <c r="C23" s="54">
        <v>33.97</v>
      </c>
      <c r="D23" s="54">
        <v>20.22</v>
      </c>
      <c r="E23" s="54">
        <v>3.33</v>
      </c>
      <c r="F23" s="54">
        <v>17.61</v>
      </c>
      <c r="G23" s="54">
        <v>56.71</v>
      </c>
      <c r="H23" s="54">
        <v>29.34</v>
      </c>
      <c r="I23" s="54">
        <v>0.56999999999999995</v>
      </c>
      <c r="J23" s="54">
        <v>0.25</v>
      </c>
      <c r="K23" s="54">
        <v>67.44</v>
      </c>
      <c r="L23" s="54">
        <v>38.36</v>
      </c>
      <c r="M23" s="54">
        <v>26.49</v>
      </c>
      <c r="N23" s="54">
        <v>621.79999999999995</v>
      </c>
      <c r="O23" s="54">
        <v>0</v>
      </c>
      <c r="P23" s="54">
        <v>0.59</v>
      </c>
      <c r="Q23" s="54">
        <v>24.36</v>
      </c>
      <c r="R23" s="43"/>
      <c r="S23" s="43"/>
      <c r="T23" s="43"/>
      <c r="U23" s="43"/>
    </row>
    <row r="24" spans="1:21" s="11" customFormat="1" ht="15">
      <c r="A24" s="53" t="s">
        <v>533</v>
      </c>
      <c r="B24" s="54">
        <v>3.13</v>
      </c>
      <c r="C24" s="54">
        <v>34.90</v>
      </c>
      <c r="D24" s="54">
        <v>21.52</v>
      </c>
      <c r="E24" s="54">
        <v>4.1900000000000004</v>
      </c>
      <c r="F24" s="54">
        <v>32.880000000000003</v>
      </c>
      <c r="G24" s="54">
        <v>54.59</v>
      </c>
      <c r="H24" s="54">
        <v>29.34</v>
      </c>
      <c r="I24" s="54">
        <v>0.44</v>
      </c>
      <c r="J24" s="54">
        <v>0.39</v>
      </c>
      <c r="K24" s="54">
        <v>156.84</v>
      </c>
      <c r="L24" s="54">
        <v>38.46</v>
      </c>
      <c r="M24" s="54">
        <v>26.14</v>
      </c>
      <c r="N24" s="54">
        <v>400.60</v>
      </c>
      <c r="O24" s="54">
        <v>0</v>
      </c>
      <c r="P24" s="54">
        <v>0.56000000000000005</v>
      </c>
      <c r="Q24" s="54">
        <v>25.45</v>
      </c>
      <c r="R24" s="43"/>
      <c r="S24" s="43"/>
      <c r="T24" s="43"/>
      <c r="U24" s="43"/>
    </row>
    <row r="25" spans="1:21" s="11" customFormat="1" ht="15">
      <c r="A25" s="53" t="s">
        <v>534</v>
      </c>
      <c r="B25" s="54">
        <v>3.08</v>
      </c>
      <c r="C25" s="54">
        <v>35.659999999999997</v>
      </c>
      <c r="D25" s="54">
        <v>22.73</v>
      </c>
      <c r="E25" s="54">
        <v>4.93</v>
      </c>
      <c r="F25" s="54">
        <v>21.28</v>
      </c>
      <c r="G25" s="54">
        <v>55.15</v>
      </c>
      <c r="H25" s="54">
        <v>29.87</v>
      </c>
      <c r="I25" s="54">
        <v>0.47</v>
      </c>
      <c r="J25" s="54">
        <v>0.34</v>
      </c>
      <c r="K25" s="54">
        <v>53.92</v>
      </c>
      <c r="L25" s="54">
        <v>37.049999999999997</v>
      </c>
      <c r="M25" s="54">
        <v>25.81</v>
      </c>
      <c r="N25" s="54">
        <v>145.5</v>
      </c>
      <c r="O25" s="54">
        <v>0</v>
      </c>
      <c r="P25" s="54">
        <v>0.57999999999999996</v>
      </c>
      <c r="Q25" s="54">
        <v>25.52</v>
      </c>
      <c r="R25" s="43"/>
      <c r="S25" s="43"/>
      <c r="T25" s="43"/>
      <c r="U25" s="43"/>
    </row>
    <row r="26" spans="1:21" s="11" customFormat="1" ht="15">
      <c r="A26" s="53" t="s">
        <v>535</v>
      </c>
      <c r="B26" s="54">
        <v>4.54</v>
      </c>
      <c r="C26" s="54">
        <v>41.49</v>
      </c>
      <c r="D26" s="54">
        <v>26.17</v>
      </c>
      <c r="E26" s="54">
        <v>4.01</v>
      </c>
      <c r="F26" s="54">
        <v>11.15</v>
      </c>
      <c r="G26" s="54">
        <v>58.19</v>
      </c>
      <c r="H26" s="54">
        <v>29.87</v>
      </c>
      <c r="I26" s="54">
        <v>0.52</v>
      </c>
      <c r="J26" s="54">
        <v>0.30</v>
      </c>
      <c r="K26" s="54">
        <v>355.14</v>
      </c>
      <c r="L26" s="54">
        <v>36.71</v>
      </c>
      <c r="M26" s="54">
        <v>27.54</v>
      </c>
      <c r="N26" s="54">
        <v>94.10</v>
      </c>
      <c r="O26" s="54">
        <v>0</v>
      </c>
      <c r="P26" s="54">
        <v>0.68</v>
      </c>
      <c r="Q26" s="54">
        <v>23.36</v>
      </c>
      <c r="R26" s="43"/>
      <c r="S26" s="43"/>
      <c r="T26" s="43"/>
      <c r="U26" s="43"/>
    </row>
    <row r="27" spans="1:21" s="11" customFormat="1" ht="15">
      <c r="A27" s="53" t="s">
        <v>536</v>
      </c>
      <c r="B27" s="54">
        <v>2.72</v>
      </c>
      <c r="C27" s="54">
        <v>42.89</v>
      </c>
      <c r="D27" s="54">
        <v>26.49</v>
      </c>
      <c r="E27" s="54">
        <v>4.53</v>
      </c>
      <c r="F27" s="54">
        <v>10.82</v>
      </c>
      <c r="G27" s="54">
        <v>64.209999999999994</v>
      </c>
      <c r="H27" s="54">
        <v>36.32</v>
      </c>
      <c r="I27" s="54">
        <v>0.45</v>
      </c>
      <c r="J27" s="54">
        <v>1.91</v>
      </c>
      <c r="K27" s="54">
        <v>189.23</v>
      </c>
      <c r="L27" s="54">
        <v>36.06</v>
      </c>
      <c r="M27" s="54">
        <v>42.43</v>
      </c>
      <c r="N27" s="54">
        <v>71.20</v>
      </c>
      <c r="O27" s="54">
        <v>0</v>
      </c>
      <c r="P27" s="54">
        <v>0.72</v>
      </c>
      <c r="Q27" s="54">
        <v>25.28</v>
      </c>
      <c r="R27" s="43"/>
      <c r="S27" s="43"/>
      <c r="T27" s="43"/>
      <c r="U27" s="43"/>
    </row>
    <row r="28" spans="1:21" s="11" customFormat="1" ht="15">
      <c r="A28" s="53" t="s">
        <v>537</v>
      </c>
      <c r="B28" s="54">
        <v>1.21</v>
      </c>
      <c r="C28" s="54">
        <v>33.11</v>
      </c>
      <c r="D28" s="54">
        <v>19.89</v>
      </c>
      <c r="E28" s="54">
        <v>2.82</v>
      </c>
      <c r="F28" s="54">
        <v>13.92</v>
      </c>
      <c r="G28" s="54">
        <v>64.209999999999994</v>
      </c>
      <c r="H28" s="54">
        <v>36.32</v>
      </c>
      <c r="I28" s="54">
        <v>0.54</v>
      </c>
      <c r="J28" s="54">
        <v>1.47</v>
      </c>
      <c r="K28" s="54">
        <v>195.52</v>
      </c>
      <c r="L28" s="54">
        <v>31.10</v>
      </c>
      <c r="M28" s="54">
        <v>43.40</v>
      </c>
      <c r="N28" s="54">
        <v>23.90</v>
      </c>
      <c r="O28" s="54">
        <v>0</v>
      </c>
      <c r="P28" s="54">
        <v>0.65</v>
      </c>
      <c r="Q28" s="54">
        <v>24.38</v>
      </c>
      <c r="R28" s="43"/>
      <c r="S28" s="43"/>
      <c r="T28" s="43"/>
      <c r="U28" s="43"/>
    </row>
    <row r="29" spans="1:21" s="11" customFormat="1" ht="15">
      <c r="A29" s="53" t="s">
        <v>538</v>
      </c>
      <c r="B29" s="54">
        <v>1.87</v>
      </c>
      <c r="C29" s="54">
        <v>32.47</v>
      </c>
      <c r="D29" s="54">
        <v>20.059999999999999</v>
      </c>
      <c r="E29" s="54">
        <v>2.2000000000000002</v>
      </c>
      <c r="F29" s="54">
        <v>9.65</v>
      </c>
      <c r="G29" s="54">
        <v>53.57</v>
      </c>
      <c r="H29" s="54">
        <v>26.71</v>
      </c>
      <c r="I29" s="54">
        <v>0.68</v>
      </c>
      <c r="J29" s="54">
        <v>0.74</v>
      </c>
      <c r="K29" s="54">
        <v>211.69</v>
      </c>
      <c r="L29" s="54">
        <v>30.80</v>
      </c>
      <c r="M29" s="54">
        <v>46.29</v>
      </c>
      <c r="N29" s="54">
        <v>23.60</v>
      </c>
      <c r="O29" s="54">
        <v>0</v>
      </c>
      <c r="P29" s="54">
        <v>0.59</v>
      </c>
      <c r="Q29" s="54">
        <v>22.41</v>
      </c>
      <c r="R29" s="43"/>
      <c r="S29" s="43"/>
      <c r="T29" s="43"/>
      <c r="U29" s="43"/>
    </row>
    <row r="30" spans="1:21" s="11" customFormat="1" ht="15">
      <c r="A30" s="53" t="s">
        <v>539</v>
      </c>
      <c r="B30" s="54">
        <v>3.29</v>
      </c>
      <c r="C30" s="54">
        <v>29.59</v>
      </c>
      <c r="D30" s="54">
        <v>18.440000000000001</v>
      </c>
      <c r="E30" s="54">
        <v>1.86</v>
      </c>
      <c r="F30" s="54">
        <v>17.48</v>
      </c>
      <c r="G30" s="54">
        <v>50.10</v>
      </c>
      <c r="H30" s="54">
        <v>26.20</v>
      </c>
      <c r="I30" s="54">
        <v>0.75</v>
      </c>
      <c r="J30" s="54">
        <v>1.25</v>
      </c>
      <c r="K30" s="54">
        <v>182.89</v>
      </c>
      <c r="L30" s="54">
        <v>30.43</v>
      </c>
      <c r="M30" s="54">
        <v>45.97</v>
      </c>
      <c r="N30" s="54">
        <v>23.90</v>
      </c>
      <c r="O30" s="54">
        <v>0</v>
      </c>
      <c r="P30" s="54">
        <v>0.54</v>
      </c>
      <c r="Q30" s="54">
        <v>24.36</v>
      </c>
      <c r="R30" s="43"/>
      <c r="S30" s="43"/>
      <c r="T30" s="43"/>
      <c r="U30" s="43"/>
    </row>
    <row r="31" spans="1:21" s="11" customFormat="1" ht="15">
      <c r="A31" s="53" t="s">
        <v>540</v>
      </c>
      <c r="B31" s="54">
        <v>2.14</v>
      </c>
      <c r="C31" s="54">
        <v>28.25</v>
      </c>
      <c r="D31" s="54">
        <v>17.95</v>
      </c>
      <c r="E31" s="54">
        <v>1.84</v>
      </c>
      <c r="F31" s="54">
        <v>10.91</v>
      </c>
      <c r="G31" s="54">
        <v>44.02</v>
      </c>
      <c r="H31" s="54">
        <v>25.48</v>
      </c>
      <c r="I31" s="54">
        <v>0.57999999999999996</v>
      </c>
      <c r="J31" s="54">
        <v>0.86</v>
      </c>
      <c r="K31" s="54">
        <v>190.14</v>
      </c>
      <c r="L31" s="54">
        <v>29.78</v>
      </c>
      <c r="M31" s="54">
        <v>49.33</v>
      </c>
      <c r="N31" s="54">
        <v>24.30</v>
      </c>
      <c r="O31" s="54">
        <v>0</v>
      </c>
      <c r="P31" s="54">
        <v>0.51</v>
      </c>
      <c r="Q31" s="54">
        <v>25.08</v>
      </c>
      <c r="R31" s="43"/>
      <c r="S31" s="43"/>
      <c r="T31" s="43"/>
      <c r="U31" s="43"/>
    </row>
    <row r="32" spans="1:21" s="11" customFormat="1" ht="15">
      <c r="A32" s="53" t="s">
        <v>541</v>
      </c>
      <c r="B32" s="54">
        <v>1.29</v>
      </c>
      <c r="C32" s="54">
        <v>26.36</v>
      </c>
      <c r="D32" s="54">
        <v>16.23</v>
      </c>
      <c r="E32" s="54">
        <v>1.95</v>
      </c>
      <c r="F32" s="54">
        <v>7.57</v>
      </c>
      <c r="G32" s="54">
        <v>36.08</v>
      </c>
      <c r="H32" s="54">
        <v>20.78</v>
      </c>
      <c r="I32" s="54">
        <v>0.66</v>
      </c>
      <c r="J32" s="54">
        <v>1.1599999999999999</v>
      </c>
      <c r="K32" s="54">
        <v>180.05</v>
      </c>
      <c r="L32" s="54">
        <v>29.02</v>
      </c>
      <c r="M32" s="54">
        <v>54.82</v>
      </c>
      <c r="N32" s="54">
        <v>24.5</v>
      </c>
      <c r="O32" s="54">
        <v>0</v>
      </c>
      <c r="P32" s="54">
        <v>0.44</v>
      </c>
      <c r="Q32" s="54">
        <v>23.33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1.04</v>
      </c>
      <c r="C34" s="28">
        <f t="shared" si="0"/>
        <v>22.329999999999998</v>
      </c>
      <c r="D34" s="28">
        <f t="shared" si="0"/>
        <v>14.33</v>
      </c>
      <c r="E34" s="28">
        <f t="shared" si="0"/>
        <v>1.49</v>
      </c>
      <c r="F34" s="28">
        <f t="shared" si="0"/>
        <v>6.5499999999999998</v>
      </c>
      <c r="G34" s="28">
        <f t="shared" si="0"/>
        <v>36.079999999999998</v>
      </c>
      <c r="H34" s="28">
        <f t="shared" si="0"/>
        <v>20.780000000000001</v>
      </c>
      <c r="I34" s="28">
        <f t="shared" si="0"/>
        <v>0.40000000000000002</v>
      </c>
      <c r="J34" s="28">
        <f t="shared" si="0"/>
        <v>0.17000000000000001</v>
      </c>
      <c r="K34" s="28">
        <f t="shared" si="0"/>
        <v>17.640000000000001</v>
      </c>
      <c r="L34" s="28">
        <f t="shared" si="0"/>
        <v>27.370000000000001</v>
      </c>
      <c r="M34" s="28">
        <f t="shared" si="0"/>
        <v>25.809999999999999</v>
      </c>
      <c r="N34" s="28">
        <f t="shared" si="0"/>
        <v>19.899999999999999</v>
      </c>
      <c r="O34" s="28">
        <f t="shared" si="0"/>
        <v>0</v>
      </c>
      <c r="P34" s="28">
        <f t="shared" si="0"/>
        <v>0.34999999999999998</v>
      </c>
      <c r="Q34" s="28">
        <f t="shared" si="0"/>
        <v>22.41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23.129999999999999</v>
      </c>
      <c r="C35" s="29">
        <f t="shared" si="1"/>
        <v>42.890000000000001</v>
      </c>
      <c r="D35" s="29">
        <f t="shared" si="1"/>
        <v>36.969999999999999</v>
      </c>
      <c r="E35" s="29">
        <f t="shared" si="1"/>
        <v>6.1100000000000003</v>
      </c>
      <c r="F35" s="29">
        <f t="shared" si="1"/>
        <v>32.880000000000003</v>
      </c>
      <c r="G35" s="29">
        <f t="shared" si="1"/>
        <v>78.760000000000005</v>
      </c>
      <c r="H35" s="29">
        <f t="shared" si="1"/>
        <v>36.32</v>
      </c>
      <c r="I35" s="29">
        <f t="shared" si="1"/>
        <v>0.75</v>
      </c>
      <c r="J35" s="29">
        <f t="shared" si="1"/>
        <v>1.9099999999999999</v>
      </c>
      <c r="K35" s="29">
        <f t="shared" si="1"/>
        <v>358.95999999999998</v>
      </c>
      <c r="L35" s="29">
        <f t="shared" si="1"/>
        <v>40.18</v>
      </c>
      <c r="M35" s="29">
        <f t="shared" si="1"/>
        <v>54.82</v>
      </c>
      <c r="N35" s="29">
        <f t="shared" si="1"/>
        <v>914.5</v>
      </c>
      <c r="O35" s="29">
        <f t="shared" si="1"/>
        <v>0</v>
      </c>
      <c r="P35" s="29">
        <f t="shared" si="1"/>
        <v>0.75</v>
      </c>
      <c r="Q35" s="29">
        <f t="shared" si="1"/>
        <v>27.300000000000001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5.6162499999999973</v>
      </c>
      <c r="C36" s="28">
        <f t="shared" si="2"/>
        <v>32.66375</v>
      </c>
      <c r="D36" s="28">
        <f t="shared" si="2"/>
        <v>22.89041666666667</v>
      </c>
      <c r="E36" s="28">
        <f t="shared" si="2"/>
        <v>3.206666666666667</v>
      </c>
      <c r="F36" s="28">
        <f t="shared" si="2"/>
        <v>16.598333333333333</v>
      </c>
      <c r="G36" s="28">
        <f t="shared" si="2"/>
        <v>59.666666666666664</v>
      </c>
      <c r="H36" s="28">
        <f t="shared" si="2"/>
        <v>29.673333333333336</v>
      </c>
      <c r="I36" s="28">
        <f t="shared" si="2"/>
        <v>0.57916666666666672</v>
      </c>
      <c r="J36" s="28">
        <f t="shared" si="2"/>
        <v>0.75125000000000008</v>
      </c>
      <c r="K36" s="28">
        <f t="shared" si="2"/>
        <v>177.3016666666667</v>
      </c>
      <c r="L36" s="28">
        <f t="shared" si="2"/>
        <v>33.864583333333321</v>
      </c>
      <c r="M36" s="28">
        <f t="shared" si="2"/>
        <v>37.73749999999999</v>
      </c>
      <c r="N36" s="28">
        <f t="shared" si="2"/>
        <v>294.76249999999999</v>
      </c>
      <c r="O36" s="28">
        <f t="shared" si="2"/>
        <v>0</v>
      </c>
      <c r="P36" s="28">
        <f t="shared" si="2"/>
        <v>0.56708333333333327</v>
      </c>
      <c r="Q36" s="28">
        <f t="shared" si="2"/>
        <v>25.405833333333337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5.5428471827486261</v>
      </c>
      <c r="C37" s="28">
        <f t="shared" si="3" ref="C37:Q37">STDEV(C9:C32)</f>
        <v>4.9084016813233111</v>
      </c>
      <c r="D37" s="28">
        <f t="shared" si="3"/>
        <v>5.5779842698319362</v>
      </c>
      <c r="E37" s="28">
        <f t="shared" si="3"/>
        <v>1.3631251391297627</v>
      </c>
      <c r="F37" s="28">
        <f t="shared" si="3"/>
        <v>7.1848376984886198</v>
      </c>
      <c r="G37" s="28">
        <f t="shared" si="3"/>
        <v>10.762772257493292</v>
      </c>
      <c r="H37" s="28">
        <f t="shared" si="3"/>
        <v>3.98341853040897</v>
      </c>
      <c r="I37" s="28">
        <f t="shared" si="3"/>
        <v>0.088951216071393752</v>
      </c>
      <c r="J37" s="28">
        <f t="shared" si="3"/>
        <v>0.49275898068272506</v>
      </c>
      <c r="K37" s="28">
        <f t="shared" si="3"/>
        <v>119.50154543903955</v>
      </c>
      <c r="L37" s="28">
        <f t="shared" si="3"/>
        <v>4.4336519240980756</v>
      </c>
      <c r="M37" s="28">
        <f t="shared" si="3"/>
        <v>8.9781586424330957</v>
      </c>
      <c r="N37" s="28">
        <f t="shared" si="3"/>
        <v>341.09945357367678</v>
      </c>
      <c r="O37" s="28">
        <f t="shared" si="3"/>
        <v>0</v>
      </c>
      <c r="P37" s="28">
        <f t="shared" si="3"/>
        <v>0.10494218560159964</v>
      </c>
      <c r="Q37" s="28">
        <f t="shared" si="3"/>
        <v>1.2739221075997778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4393951-f2d0-480d-8085-059285c4c684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73" sqref="H7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21-06-2023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542</v>
      </c>
      <c r="B9" s="54">
        <v>1</v>
      </c>
      <c r="C9" s="54">
        <v>25.74</v>
      </c>
      <c r="D9" s="54">
        <v>15.66</v>
      </c>
      <c r="E9" s="54">
        <v>1.56</v>
      </c>
      <c r="F9" s="54">
        <v>8.5399999999999991</v>
      </c>
      <c r="G9" s="54">
        <v>31.31</v>
      </c>
      <c r="H9" s="54">
        <v>19.41</v>
      </c>
      <c r="I9" s="54">
        <v>0.69</v>
      </c>
      <c r="J9" s="54">
        <v>2.25</v>
      </c>
      <c r="K9" s="54">
        <v>188.69</v>
      </c>
      <c r="L9" s="54">
        <v>27.73</v>
      </c>
      <c r="M9" s="54">
        <v>55.32</v>
      </c>
      <c r="N9" s="54">
        <v>23.60</v>
      </c>
      <c r="O9" s="54">
        <v>0</v>
      </c>
      <c r="P9" s="54">
        <v>0.38</v>
      </c>
      <c r="Q9" s="54">
        <v>25.66</v>
      </c>
      <c r="R9" s="43"/>
      <c r="S9" s="43"/>
      <c r="T9" s="43"/>
      <c r="U9" s="43"/>
    </row>
    <row r="10" spans="1:21" s="11" customFormat="1" ht="15">
      <c r="A10" s="53" t="s">
        <v>543</v>
      </c>
      <c r="B10" s="54">
        <v>1</v>
      </c>
      <c r="C10" s="54">
        <v>26.61</v>
      </c>
      <c r="D10" s="54">
        <v>16.13</v>
      </c>
      <c r="E10" s="54">
        <v>1.30</v>
      </c>
      <c r="F10" s="54">
        <v>7.15</v>
      </c>
      <c r="G10" s="54">
        <v>28.73</v>
      </c>
      <c r="H10" s="54">
        <v>17.399999999999999</v>
      </c>
      <c r="I10" s="54">
        <v>0.67</v>
      </c>
      <c r="J10" s="54">
        <v>2.23</v>
      </c>
      <c r="K10" s="54">
        <v>189.19</v>
      </c>
      <c r="L10" s="54">
        <v>27.22</v>
      </c>
      <c r="M10" s="54">
        <v>57.82</v>
      </c>
      <c r="N10" s="54">
        <v>22.90</v>
      </c>
      <c r="O10" s="54">
        <v>0</v>
      </c>
      <c r="P10" s="54">
        <v>0.33</v>
      </c>
      <c r="Q10" s="54">
        <v>24.71</v>
      </c>
      <c r="R10" s="43"/>
      <c r="S10" s="43"/>
      <c r="T10" s="43"/>
      <c r="U10" s="43"/>
    </row>
    <row r="11" spans="1:21" s="11" customFormat="1" ht="15">
      <c r="A11" s="53" t="s">
        <v>544</v>
      </c>
      <c r="B11" s="54">
        <v>1</v>
      </c>
      <c r="C11" s="54">
        <v>21.41</v>
      </c>
      <c r="D11" s="54">
        <v>13.26</v>
      </c>
      <c r="E11" s="54">
        <v>1.56</v>
      </c>
      <c r="F11" s="54">
        <v>8.5</v>
      </c>
      <c r="G11" s="54">
        <v>27.92</v>
      </c>
      <c r="H11" s="54">
        <v>15.53</v>
      </c>
      <c r="I11" s="54">
        <v>0.64</v>
      </c>
      <c r="J11" s="54">
        <v>0.96</v>
      </c>
      <c r="K11" s="54">
        <v>204.86</v>
      </c>
      <c r="L11" s="54">
        <v>27.04</v>
      </c>
      <c r="M11" s="54">
        <v>59.42</v>
      </c>
      <c r="N11" s="54">
        <v>22.70</v>
      </c>
      <c r="O11" s="54">
        <v>0</v>
      </c>
      <c r="P11" s="54">
        <v>0.31</v>
      </c>
      <c r="Q11" s="54">
        <v>22.62</v>
      </c>
      <c r="R11" s="43"/>
      <c r="S11" s="43"/>
      <c r="T11" s="43"/>
      <c r="U11" s="43"/>
    </row>
    <row r="12" spans="1:21" s="11" customFormat="1" ht="15">
      <c r="A12" s="53" t="s">
        <v>545</v>
      </c>
      <c r="B12" s="54">
        <v>1</v>
      </c>
      <c r="C12" s="54">
        <v>22.60</v>
      </c>
      <c r="D12" s="54">
        <v>13.92</v>
      </c>
      <c r="E12" s="54">
        <v>1.84</v>
      </c>
      <c r="F12" s="54">
        <v>13.01</v>
      </c>
      <c r="G12" s="54">
        <v>24.72</v>
      </c>
      <c r="H12" s="54">
        <v>15.89</v>
      </c>
      <c r="I12" s="54">
        <v>0.55000000000000004</v>
      </c>
      <c r="J12" s="54">
        <v>0.68</v>
      </c>
      <c r="K12" s="54">
        <v>219.38</v>
      </c>
      <c r="L12" s="54">
        <v>26.43</v>
      </c>
      <c r="M12" s="54">
        <v>62.81</v>
      </c>
      <c r="N12" s="54">
        <v>22.60</v>
      </c>
      <c r="O12" s="54">
        <v>0</v>
      </c>
      <c r="P12" s="54">
        <v>0.30</v>
      </c>
      <c r="Q12" s="54">
        <v>23.68</v>
      </c>
      <c r="R12" s="43"/>
      <c r="S12" s="43"/>
      <c r="T12" s="43"/>
      <c r="U12" s="43"/>
    </row>
    <row r="13" spans="1:21" s="11" customFormat="1" ht="15">
      <c r="A13" s="53" t="s">
        <v>546</v>
      </c>
      <c r="B13" s="54">
        <v>1.18</v>
      </c>
      <c r="C13" s="54">
        <v>23.77</v>
      </c>
      <c r="D13" s="54">
        <v>14.65</v>
      </c>
      <c r="E13" s="54">
        <v>1.97</v>
      </c>
      <c r="F13" s="54">
        <v>12.33</v>
      </c>
      <c r="G13" s="54">
        <v>24.72</v>
      </c>
      <c r="H13" s="54">
        <v>15.89</v>
      </c>
      <c r="I13" s="54">
        <v>0.57999999999999996</v>
      </c>
      <c r="J13" s="54">
        <v>0.44</v>
      </c>
      <c r="K13" s="54">
        <v>226.91</v>
      </c>
      <c r="L13" s="54">
        <v>25.94</v>
      </c>
      <c r="M13" s="54">
        <v>64.540000000000006</v>
      </c>
      <c r="N13" s="54">
        <v>22.60</v>
      </c>
      <c r="O13" s="54">
        <v>0</v>
      </c>
      <c r="P13" s="54">
        <v>0.28999999999999998</v>
      </c>
      <c r="Q13" s="54">
        <v>23.87</v>
      </c>
      <c r="R13" s="43"/>
      <c r="S13" s="43"/>
      <c r="T13" s="43"/>
      <c r="U13" s="43"/>
    </row>
    <row r="14" spans="1:21" s="11" customFormat="1" ht="15">
      <c r="A14" s="53" t="s">
        <v>547</v>
      </c>
      <c r="B14" s="54">
        <v>1.70</v>
      </c>
      <c r="C14" s="54">
        <v>23.96</v>
      </c>
      <c r="D14" s="54">
        <v>15.23</v>
      </c>
      <c r="E14" s="54">
        <v>1.56</v>
      </c>
      <c r="F14" s="54">
        <v>6.26</v>
      </c>
      <c r="G14" s="54">
        <v>30.26</v>
      </c>
      <c r="H14" s="54">
        <v>12.92</v>
      </c>
      <c r="I14" s="54">
        <v>0.56000000000000005</v>
      </c>
      <c r="J14" s="54">
        <v>0.63</v>
      </c>
      <c r="K14" s="54">
        <v>208.11</v>
      </c>
      <c r="L14" s="54">
        <v>25.83</v>
      </c>
      <c r="M14" s="54">
        <v>65.64</v>
      </c>
      <c r="N14" s="54">
        <v>59.20</v>
      </c>
      <c r="O14" s="54">
        <v>0</v>
      </c>
      <c r="P14" s="54">
        <v>0.30</v>
      </c>
      <c r="Q14" s="54">
        <v>22.05</v>
      </c>
      <c r="R14" s="43"/>
      <c r="S14" s="43"/>
      <c r="T14" s="43"/>
      <c r="U14" s="43"/>
    </row>
    <row r="15" spans="1:21" s="11" customFormat="1" ht="15">
      <c r="A15" s="53" t="s">
        <v>548</v>
      </c>
      <c r="B15" s="54">
        <v>2.36</v>
      </c>
      <c r="C15" s="54">
        <v>25.25</v>
      </c>
      <c r="D15" s="54">
        <v>15.95</v>
      </c>
      <c r="E15" s="54">
        <v>1.78</v>
      </c>
      <c r="F15" s="54">
        <v>14.45</v>
      </c>
      <c r="G15" s="54">
        <v>30.26</v>
      </c>
      <c r="H15" s="54">
        <v>12.91</v>
      </c>
      <c r="I15" s="54">
        <v>0.62</v>
      </c>
      <c r="J15" s="54">
        <v>0.53</v>
      </c>
      <c r="K15" s="54">
        <v>225.45</v>
      </c>
      <c r="L15" s="54">
        <v>27.31</v>
      </c>
      <c r="M15" s="54">
        <v>64.78</v>
      </c>
      <c r="N15" s="54">
        <v>217.70</v>
      </c>
      <c r="O15" s="54">
        <v>0</v>
      </c>
      <c r="P15" s="54">
        <v>0.33</v>
      </c>
      <c r="Q15" s="54">
        <v>24.28</v>
      </c>
      <c r="R15" s="43"/>
      <c r="S15" s="43"/>
      <c r="T15" s="43"/>
      <c r="U15" s="43"/>
    </row>
    <row r="16" spans="1:21" s="11" customFormat="1" ht="15">
      <c r="A16" s="53" t="s">
        <v>549</v>
      </c>
      <c r="B16" s="54">
        <v>5.28</v>
      </c>
      <c r="C16" s="54">
        <v>27.67</v>
      </c>
      <c r="D16" s="54">
        <v>18.829999999999998</v>
      </c>
      <c r="E16" s="54">
        <v>1.73</v>
      </c>
      <c r="F16" s="54">
        <v>12.30</v>
      </c>
      <c r="G16" s="54">
        <v>34.64</v>
      </c>
      <c r="H16" s="54">
        <v>15.78</v>
      </c>
      <c r="I16" s="54">
        <v>0.55000000000000004</v>
      </c>
      <c r="J16" s="54">
        <v>0.28999999999999998</v>
      </c>
      <c r="K16" s="54">
        <v>43.74</v>
      </c>
      <c r="L16" s="54">
        <v>29.82</v>
      </c>
      <c r="M16" s="54">
        <v>57.68</v>
      </c>
      <c r="N16" s="54">
        <v>376.60</v>
      </c>
      <c r="O16" s="54">
        <v>0</v>
      </c>
      <c r="P16" s="54">
        <v>0.41</v>
      </c>
      <c r="Q16" s="54">
        <v>24.19</v>
      </c>
      <c r="R16" s="43"/>
      <c r="S16" s="43"/>
      <c r="T16" s="43"/>
      <c r="U16" s="43"/>
    </row>
    <row r="17" spans="1:21" s="11" customFormat="1" ht="15">
      <c r="A17" s="53" t="s">
        <v>550</v>
      </c>
      <c r="B17" s="54">
        <v>1.55</v>
      </c>
      <c r="C17" s="54">
        <v>31.07</v>
      </c>
      <c r="D17" s="54">
        <v>18.989999999999998</v>
      </c>
      <c r="E17" s="54">
        <v>1.34</v>
      </c>
      <c r="F17" s="54">
        <v>6.19</v>
      </c>
      <c r="G17" s="54">
        <v>38.880000000000003</v>
      </c>
      <c r="H17" s="54">
        <v>19.010000000000002</v>
      </c>
      <c r="I17" s="54">
        <v>0.62</v>
      </c>
      <c r="J17" s="54">
        <v>0.25</v>
      </c>
      <c r="K17" s="54">
        <v>44.17</v>
      </c>
      <c r="L17" s="54">
        <v>31.5</v>
      </c>
      <c r="M17" s="54">
        <v>47.89</v>
      </c>
      <c r="N17" s="54">
        <v>591.79999999999995</v>
      </c>
      <c r="O17" s="54">
        <v>0</v>
      </c>
      <c r="P17" s="54">
        <v>0.61</v>
      </c>
      <c r="Q17" s="54">
        <v>22.03</v>
      </c>
      <c r="R17" s="43"/>
      <c r="S17" s="43"/>
      <c r="T17" s="43"/>
      <c r="U17" s="43"/>
    </row>
    <row r="18" spans="1:21" s="11" customFormat="1" ht="15">
      <c r="A18" s="53" t="s">
        <v>551</v>
      </c>
      <c r="B18" s="54">
        <v>4.0599999999999996</v>
      </c>
      <c r="C18" s="54">
        <v>32.5</v>
      </c>
      <c r="D18" s="54">
        <v>21</v>
      </c>
      <c r="E18" s="54">
        <v>1.5</v>
      </c>
      <c r="F18" s="54">
        <v>12.83</v>
      </c>
      <c r="G18" s="54">
        <v>48.79</v>
      </c>
      <c r="H18" s="54">
        <v>22.19</v>
      </c>
      <c r="I18" s="54">
        <v>0.51</v>
      </c>
      <c r="J18" s="54">
        <v>0.38</v>
      </c>
      <c r="K18" s="54">
        <v>28.20</v>
      </c>
      <c r="L18" s="54">
        <v>35.79</v>
      </c>
      <c r="M18" s="54">
        <v>43.98</v>
      </c>
      <c r="N18" s="54">
        <v>780.80</v>
      </c>
      <c r="O18" s="54">
        <v>0</v>
      </c>
      <c r="P18" s="54">
        <v>0.70</v>
      </c>
      <c r="Q18" s="54">
        <v>23.56</v>
      </c>
      <c r="R18" s="43"/>
      <c r="S18" s="43"/>
      <c r="T18" s="43"/>
      <c r="U18" s="43"/>
    </row>
    <row r="19" spans="1:21" s="11" customFormat="1" ht="15">
      <c r="A19" s="53" t="s">
        <v>552</v>
      </c>
      <c r="B19" s="54">
        <v>3.67</v>
      </c>
      <c r="C19" s="54">
        <v>28.06</v>
      </c>
      <c r="D19" s="54">
        <v>18.30</v>
      </c>
      <c r="E19" s="54">
        <v>1.60</v>
      </c>
      <c r="F19" s="54">
        <v>10.41</v>
      </c>
      <c r="G19" s="54">
        <v>48.79</v>
      </c>
      <c r="H19" s="54">
        <v>23.04</v>
      </c>
      <c r="I19" s="54">
        <v>0.56000000000000005</v>
      </c>
      <c r="J19" s="54">
        <v>1.0900000000000001</v>
      </c>
      <c r="K19" s="54">
        <v>359.77</v>
      </c>
      <c r="L19" s="54">
        <v>38.07</v>
      </c>
      <c r="M19" s="54">
        <v>34.19</v>
      </c>
      <c r="N19" s="54">
        <v>854.70</v>
      </c>
      <c r="O19" s="54">
        <v>0</v>
      </c>
      <c r="P19" s="54">
        <v>0.69</v>
      </c>
      <c r="Q19" s="54">
        <v>21.11</v>
      </c>
      <c r="R19" s="43"/>
      <c r="S19" s="43"/>
      <c r="T19" s="43"/>
      <c r="U19" s="43"/>
    </row>
    <row r="20" spans="1:21" s="11" customFormat="1" ht="15">
      <c r="A20" s="53" t="s">
        <v>553</v>
      </c>
      <c r="B20" s="54">
        <v>4.12</v>
      </c>
      <c r="C20" s="54">
        <v>31.27</v>
      </c>
      <c r="D20" s="54">
        <v>20.64</v>
      </c>
      <c r="E20" s="54">
        <v>1.70</v>
      </c>
      <c r="F20" s="54">
        <v>17.70</v>
      </c>
      <c r="G20" s="54">
        <v>47.46</v>
      </c>
      <c r="H20" s="54">
        <v>23.84</v>
      </c>
      <c r="I20" s="54">
        <v>0.53</v>
      </c>
      <c r="J20" s="54">
        <v>0.78</v>
      </c>
      <c r="K20" s="54">
        <v>33.520000000000003</v>
      </c>
      <c r="L20" s="54">
        <v>38.630000000000003</v>
      </c>
      <c r="M20" s="54">
        <v>32.03</v>
      </c>
      <c r="N20" s="54">
        <v>898.40</v>
      </c>
      <c r="O20" s="54">
        <v>0</v>
      </c>
      <c r="P20" s="54">
        <v>0.68</v>
      </c>
      <c r="Q20" s="54">
        <v>20.30</v>
      </c>
      <c r="R20" s="43"/>
      <c r="S20" s="43"/>
      <c r="T20" s="43"/>
      <c r="U20" s="43"/>
    </row>
    <row r="21" spans="1:21" s="11" customFormat="1" ht="15">
      <c r="A21" s="53" t="s">
        <v>554</v>
      </c>
      <c r="B21" s="54">
        <v>5.45</v>
      </c>
      <c r="C21" s="54">
        <v>27.92</v>
      </c>
      <c r="D21" s="54">
        <v>18.53</v>
      </c>
      <c r="E21" s="54">
        <v>2.4300000000000002</v>
      </c>
      <c r="F21" s="54">
        <v>35.08</v>
      </c>
      <c r="G21" s="54">
        <v>30.85</v>
      </c>
      <c r="H21" s="54">
        <v>23.84</v>
      </c>
      <c r="I21" s="54">
        <v>0.42</v>
      </c>
      <c r="J21" s="54">
        <v>0.82</v>
      </c>
      <c r="K21" s="54">
        <v>359.77</v>
      </c>
      <c r="L21" s="54">
        <v>39.60</v>
      </c>
      <c r="M21" s="54">
        <v>29.98</v>
      </c>
      <c r="N21" s="54">
        <v>883.80</v>
      </c>
      <c r="O21" s="54">
        <v>0</v>
      </c>
      <c r="P21" s="54">
        <v>0.66</v>
      </c>
      <c r="Q21" s="54">
        <v>23.63</v>
      </c>
      <c r="R21" s="43"/>
      <c r="S21" s="43"/>
      <c r="T21" s="43"/>
      <c r="U21" s="43"/>
    </row>
    <row r="22" spans="1:21" s="11" customFormat="1" ht="15">
      <c r="A22" s="53" t="s">
        <v>555</v>
      </c>
      <c r="B22" s="54">
        <v>3.70</v>
      </c>
      <c r="C22" s="54">
        <v>29.13</v>
      </c>
      <c r="D22" s="54">
        <v>19.690000000000001</v>
      </c>
      <c r="E22" s="54">
        <v>2.13</v>
      </c>
      <c r="F22" s="54">
        <v>21.26</v>
      </c>
      <c r="G22" s="54">
        <v>18.510000000000002</v>
      </c>
      <c r="H22" s="54">
        <v>19.39</v>
      </c>
      <c r="I22" s="54">
        <v>0.41</v>
      </c>
      <c r="J22" s="54">
        <v>0.46</v>
      </c>
      <c r="K22" s="54">
        <v>357.70</v>
      </c>
      <c r="L22" s="54">
        <v>39.68</v>
      </c>
      <c r="M22" s="54">
        <v>29.25</v>
      </c>
      <c r="N22" s="54">
        <v>878.80</v>
      </c>
      <c r="O22" s="54">
        <v>0</v>
      </c>
      <c r="P22" s="54">
        <v>0.57999999999999996</v>
      </c>
      <c r="Q22" s="54">
        <v>22.85</v>
      </c>
      <c r="R22" s="43"/>
      <c r="S22" s="43"/>
      <c r="T22" s="43"/>
      <c r="U22" s="43"/>
    </row>
    <row r="23" spans="1:21" s="11" customFormat="1" ht="15">
      <c r="A23" s="53" t="s">
        <v>556</v>
      </c>
      <c r="B23" s="54">
        <v>2.0099999999999998</v>
      </c>
      <c r="C23" s="54">
        <v>29.48</v>
      </c>
      <c r="D23" s="54">
        <v>18.02</v>
      </c>
      <c r="E23" s="54">
        <v>1.87</v>
      </c>
      <c r="F23" s="54">
        <v>11.92</v>
      </c>
      <c r="G23" s="54">
        <v>11.48</v>
      </c>
      <c r="H23" s="54">
        <v>18.600000000000001</v>
      </c>
      <c r="I23" s="54">
        <v>0.41</v>
      </c>
      <c r="J23" s="54">
        <v>2.74</v>
      </c>
      <c r="K23" s="54">
        <v>356.55</v>
      </c>
      <c r="L23" s="54">
        <v>35.869999999999997</v>
      </c>
      <c r="M23" s="54">
        <v>38.76</v>
      </c>
      <c r="N23" s="54">
        <v>201.30</v>
      </c>
      <c r="O23" s="54">
        <v>0</v>
      </c>
      <c r="P23" s="54">
        <v>0.5</v>
      </c>
      <c r="Q23" s="54">
        <v>22.59</v>
      </c>
      <c r="R23" s="43"/>
      <c r="S23" s="43"/>
      <c r="T23" s="43"/>
      <c r="U23" s="43"/>
    </row>
    <row r="24" spans="1:21" s="11" customFormat="1" ht="15">
      <c r="A24" s="53" t="s">
        <v>557</v>
      </c>
      <c r="B24" s="54">
        <v>3.34</v>
      </c>
      <c r="C24" s="54">
        <v>28.95</v>
      </c>
      <c r="D24" s="54">
        <v>18</v>
      </c>
      <c r="E24" s="54">
        <v>1.52</v>
      </c>
      <c r="F24" s="54">
        <v>14.57</v>
      </c>
      <c r="G24" s="54">
        <v>7.34</v>
      </c>
      <c r="H24" s="54">
        <v>17.649999999999999</v>
      </c>
      <c r="I24" s="54">
        <v>0.45</v>
      </c>
      <c r="J24" s="54">
        <v>1.44</v>
      </c>
      <c r="K24" s="54">
        <v>350.42</v>
      </c>
      <c r="L24" s="54">
        <v>35.19</v>
      </c>
      <c r="M24" s="54">
        <v>34.96</v>
      </c>
      <c r="N24" s="54">
        <v>427.20</v>
      </c>
      <c r="O24" s="54">
        <v>0</v>
      </c>
      <c r="P24" s="54">
        <v>0.45</v>
      </c>
      <c r="Q24" s="54">
        <v>22.09</v>
      </c>
      <c r="R24" s="43"/>
      <c r="S24" s="43"/>
      <c r="T24" s="43"/>
      <c r="U24" s="43"/>
    </row>
    <row r="25" spans="1:21" s="11" customFormat="1" ht="15">
      <c r="A25" s="53" t="s">
        <v>558</v>
      </c>
      <c r="B25" s="54">
        <v>2.29</v>
      </c>
      <c r="C25" s="54">
        <v>35.75</v>
      </c>
      <c r="D25" s="54">
        <v>22.21</v>
      </c>
      <c r="E25" s="54">
        <v>1.29</v>
      </c>
      <c r="F25" s="54">
        <v>8.8699999999999992</v>
      </c>
      <c r="G25" s="54">
        <v>131.96</v>
      </c>
      <c r="H25" s="54">
        <v>20.22</v>
      </c>
      <c r="I25" s="54">
        <v>0.5</v>
      </c>
      <c r="J25" s="54">
        <v>0.42</v>
      </c>
      <c r="K25" s="54">
        <v>236.52</v>
      </c>
      <c r="L25" s="54">
        <v>33.479999999999997</v>
      </c>
      <c r="M25" s="54">
        <v>49.79</v>
      </c>
      <c r="N25" s="54">
        <v>104.30</v>
      </c>
      <c r="O25" s="54">
        <v>0</v>
      </c>
      <c r="P25" s="54">
        <v>0.48</v>
      </c>
      <c r="Q25" s="54">
        <v>20.64</v>
      </c>
      <c r="R25" s="43"/>
      <c r="S25" s="43"/>
      <c r="T25" s="43"/>
      <c r="U25" s="43"/>
    </row>
    <row r="26" spans="1:21" s="11" customFormat="1" ht="15">
      <c r="A26" s="53" t="s">
        <v>559</v>
      </c>
      <c r="B26" s="54">
        <v>1.46</v>
      </c>
      <c r="C26" s="54">
        <v>32.729999999999997</v>
      </c>
      <c r="D26" s="54">
        <v>19.52</v>
      </c>
      <c r="E26" s="54">
        <v>1.08</v>
      </c>
      <c r="F26" s="54">
        <v>6.66</v>
      </c>
      <c r="G26" s="54">
        <v>131.96</v>
      </c>
      <c r="H26" s="54">
        <v>20.22</v>
      </c>
      <c r="I26" s="54">
        <v>0.64</v>
      </c>
      <c r="J26" s="54">
        <v>1.70</v>
      </c>
      <c r="K26" s="54">
        <v>191.24</v>
      </c>
      <c r="L26" s="54">
        <v>30.53</v>
      </c>
      <c r="M26" s="54">
        <v>62.27</v>
      </c>
      <c r="N26" s="54">
        <v>57.30</v>
      </c>
      <c r="O26" s="54">
        <v>0</v>
      </c>
      <c r="P26" s="54">
        <v>0.51</v>
      </c>
      <c r="Q26" s="54">
        <v>18.77</v>
      </c>
      <c r="R26" s="43"/>
      <c r="S26" s="43"/>
      <c r="T26" s="43"/>
      <c r="U26" s="43"/>
    </row>
    <row r="27" spans="1:21" s="11" customFormat="1" ht="15">
      <c r="A27" s="53" t="s">
        <v>560</v>
      </c>
      <c r="B27" s="54">
        <v>1.67</v>
      </c>
      <c r="C27" s="54">
        <v>30.66</v>
      </c>
      <c r="D27" s="54">
        <v>18.91</v>
      </c>
      <c r="E27" s="54">
        <v>1.02</v>
      </c>
      <c r="F27" s="54">
        <v>6.94</v>
      </c>
      <c r="G27" s="55" t="s">
        <v>14</v>
      </c>
      <c r="H27" s="55" t="s">
        <v>14</v>
      </c>
      <c r="I27" s="54">
        <v>0.62</v>
      </c>
      <c r="J27" s="54">
        <v>2.2799999999999998</v>
      </c>
      <c r="K27" s="54">
        <v>188.08</v>
      </c>
      <c r="L27" s="54">
        <v>26.62</v>
      </c>
      <c r="M27" s="54">
        <v>70.63</v>
      </c>
      <c r="N27" s="54">
        <v>43</v>
      </c>
      <c r="O27" s="54">
        <v>0</v>
      </c>
      <c r="P27" s="54">
        <v>0.48</v>
      </c>
      <c r="Q27" s="54">
        <v>22.19</v>
      </c>
      <c r="R27" s="43"/>
      <c r="S27" s="43"/>
      <c r="T27" s="43"/>
      <c r="U27" s="43"/>
    </row>
    <row r="28" spans="1:21" s="11" customFormat="1" ht="15">
      <c r="A28" s="53" t="s">
        <v>561</v>
      </c>
      <c r="B28" s="54">
        <v>1.83</v>
      </c>
      <c r="C28" s="54">
        <v>32.33</v>
      </c>
      <c r="D28" s="54">
        <v>19.96</v>
      </c>
      <c r="E28" s="54">
        <v>1.0900000000000001</v>
      </c>
      <c r="F28" s="54">
        <v>5.35</v>
      </c>
      <c r="G28" s="55" t="s">
        <v>14</v>
      </c>
      <c r="H28" s="55" t="s">
        <v>14</v>
      </c>
      <c r="I28" s="54">
        <v>0.61</v>
      </c>
      <c r="J28" s="54">
        <v>2.13</v>
      </c>
      <c r="K28" s="54">
        <v>186.80</v>
      </c>
      <c r="L28" s="54">
        <v>25.63</v>
      </c>
      <c r="M28" s="54">
        <v>69.72</v>
      </c>
      <c r="N28" s="54">
        <v>22.70</v>
      </c>
      <c r="O28" s="54">
        <v>0</v>
      </c>
      <c r="P28" s="54">
        <v>0.48</v>
      </c>
      <c r="Q28" s="54">
        <v>21.43</v>
      </c>
      <c r="R28" s="43"/>
      <c r="S28" s="43"/>
      <c r="T28" s="43"/>
      <c r="U28" s="43"/>
    </row>
    <row r="29" spans="1:21" s="11" customFormat="1" ht="15">
      <c r="A29" s="53" t="s">
        <v>562</v>
      </c>
      <c r="B29" s="54">
        <v>1.64</v>
      </c>
      <c r="C29" s="54">
        <v>28.73</v>
      </c>
      <c r="D29" s="54">
        <v>17.82</v>
      </c>
      <c r="E29" s="54">
        <v>0.88</v>
      </c>
      <c r="F29" s="54">
        <v>5.73</v>
      </c>
      <c r="G29" s="54">
        <v>32.25</v>
      </c>
      <c r="H29" s="54">
        <v>15.66</v>
      </c>
      <c r="I29" s="54">
        <v>0.63</v>
      </c>
      <c r="J29" s="54">
        <v>1.46</v>
      </c>
      <c r="K29" s="54">
        <v>191.63</v>
      </c>
      <c r="L29" s="54">
        <v>25.43</v>
      </c>
      <c r="M29" s="54">
        <v>71.17</v>
      </c>
      <c r="N29" s="54">
        <v>22.20</v>
      </c>
      <c r="O29" s="54">
        <v>0</v>
      </c>
      <c r="P29" s="54">
        <v>0.47</v>
      </c>
      <c r="Q29" s="54">
        <v>23.12</v>
      </c>
      <c r="R29" s="43"/>
      <c r="S29" s="43"/>
      <c r="T29" s="43"/>
      <c r="U29" s="43"/>
    </row>
    <row r="30" spans="1:21" s="11" customFormat="1" ht="15">
      <c r="A30" s="53" t="s">
        <v>563</v>
      </c>
      <c r="B30" s="54">
        <v>2.37</v>
      </c>
      <c r="C30" s="54">
        <v>26.90</v>
      </c>
      <c r="D30" s="54">
        <v>17.37</v>
      </c>
      <c r="E30" s="54">
        <v>0.92</v>
      </c>
      <c r="F30" s="54">
        <v>6.54</v>
      </c>
      <c r="G30" s="54">
        <v>32.25</v>
      </c>
      <c r="H30" s="54">
        <v>13.28</v>
      </c>
      <c r="I30" s="54">
        <v>0.61</v>
      </c>
      <c r="J30" s="54">
        <v>1.89</v>
      </c>
      <c r="K30" s="54">
        <v>190.59</v>
      </c>
      <c r="L30" s="54">
        <v>25.39</v>
      </c>
      <c r="M30" s="54">
        <v>74.5</v>
      </c>
      <c r="N30" s="54">
        <v>22.70</v>
      </c>
      <c r="O30" s="54">
        <v>0</v>
      </c>
      <c r="P30" s="54">
        <v>0.46</v>
      </c>
      <c r="Q30" s="54">
        <v>22.94</v>
      </c>
      <c r="R30" s="43"/>
      <c r="S30" s="43"/>
      <c r="T30" s="43"/>
      <c r="U30" s="43"/>
    </row>
    <row r="31" spans="1:21" s="11" customFormat="1" ht="15">
      <c r="A31" s="53" t="s">
        <v>564</v>
      </c>
      <c r="B31" s="54">
        <v>2.61</v>
      </c>
      <c r="C31" s="54">
        <v>25.60</v>
      </c>
      <c r="D31" s="54">
        <v>16.87</v>
      </c>
      <c r="E31" s="54">
        <v>0.52</v>
      </c>
      <c r="F31" s="54">
        <v>5.03</v>
      </c>
      <c r="G31" s="54">
        <v>17.46</v>
      </c>
      <c r="H31" s="54">
        <v>12.24</v>
      </c>
      <c r="I31" s="54">
        <v>0.62</v>
      </c>
      <c r="J31" s="54">
        <v>0.69</v>
      </c>
      <c r="K31" s="54">
        <v>194.77</v>
      </c>
      <c r="L31" s="54">
        <v>25.52</v>
      </c>
      <c r="M31" s="54">
        <v>80.61</v>
      </c>
      <c r="N31" s="54">
        <v>22.30</v>
      </c>
      <c r="O31" s="54">
        <v>0</v>
      </c>
      <c r="P31" s="54">
        <v>0.42</v>
      </c>
      <c r="Q31" s="54">
        <v>20.83</v>
      </c>
      <c r="R31" s="43"/>
      <c r="S31" s="43"/>
      <c r="T31" s="43"/>
      <c r="U31" s="43"/>
    </row>
    <row r="32" spans="1:21" s="11" customFormat="1" ht="15">
      <c r="A32" s="53" t="s">
        <v>565</v>
      </c>
      <c r="B32" s="54">
        <v>1.73</v>
      </c>
      <c r="C32" s="54">
        <v>24.75</v>
      </c>
      <c r="D32" s="54">
        <v>15.69</v>
      </c>
      <c r="E32" s="54">
        <v>1.33</v>
      </c>
      <c r="F32" s="54">
        <v>11.71</v>
      </c>
      <c r="G32" s="54">
        <v>17.46</v>
      </c>
      <c r="H32" s="54">
        <v>11.22</v>
      </c>
      <c r="I32" s="54">
        <v>0.63</v>
      </c>
      <c r="J32" s="54">
        <v>0.42</v>
      </c>
      <c r="K32" s="54">
        <v>343.94</v>
      </c>
      <c r="L32" s="54">
        <v>23.71</v>
      </c>
      <c r="M32" s="54">
        <v>84.92</v>
      </c>
      <c r="N32" s="54">
        <v>22.80</v>
      </c>
      <c r="O32" s="54">
        <v>0</v>
      </c>
      <c r="P32" s="54">
        <v>0.38</v>
      </c>
      <c r="Q32" s="54">
        <v>19.98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</v>
      </c>
      <c r="C34" s="28">
        <f t="shared" si="0"/>
        <v>21.41</v>
      </c>
      <c r="D34" s="28">
        <f t="shared" si="0"/>
        <v>13.26</v>
      </c>
      <c r="E34" s="28">
        <f t="shared" si="0"/>
        <v>0.52000000000000002</v>
      </c>
      <c r="F34" s="28">
        <f t="shared" si="0"/>
        <v>5.0300000000000002</v>
      </c>
      <c r="G34" s="28">
        <f t="shared" si="0"/>
        <v>7.3399999999999999</v>
      </c>
      <c r="H34" s="28">
        <f t="shared" si="0"/>
        <v>11.220000000000001</v>
      </c>
      <c r="I34" s="28">
        <f t="shared" si="0"/>
        <v>0.40999999999999998</v>
      </c>
      <c r="J34" s="28">
        <f t="shared" si="0"/>
        <v>0.25</v>
      </c>
      <c r="K34" s="28">
        <f t="shared" si="0"/>
        <v>28.199999999999999</v>
      </c>
      <c r="L34" s="28">
        <f t="shared" si="0"/>
        <v>23.710000000000001</v>
      </c>
      <c r="M34" s="28">
        <f t="shared" si="0"/>
        <v>29.25</v>
      </c>
      <c r="N34" s="28">
        <f t="shared" si="0"/>
        <v>22.199999999999999</v>
      </c>
      <c r="O34" s="28">
        <f t="shared" si="0"/>
        <v>0</v>
      </c>
      <c r="P34" s="28">
        <f t="shared" si="0"/>
        <v>0.28999999999999998</v>
      </c>
      <c r="Q34" s="28">
        <f t="shared" si="0"/>
        <v>18.77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5.4500000000000002</v>
      </c>
      <c r="C35" s="29">
        <f t="shared" si="1"/>
        <v>35.75</v>
      </c>
      <c r="D35" s="29">
        <f t="shared" si="1"/>
        <v>22.210000000000001</v>
      </c>
      <c r="E35" s="29">
        <f t="shared" si="1"/>
        <v>2.4300000000000002</v>
      </c>
      <c r="F35" s="29">
        <f t="shared" si="1"/>
        <v>35.079999999999998</v>
      </c>
      <c r="G35" s="29">
        <f t="shared" si="1"/>
        <v>131.96000000000001</v>
      </c>
      <c r="H35" s="29">
        <f t="shared" si="1"/>
        <v>23.84</v>
      </c>
      <c r="I35" s="29">
        <f t="shared" si="1"/>
        <v>0.68999999999999995</v>
      </c>
      <c r="J35" s="29">
        <f t="shared" si="1"/>
        <v>2.7400000000000002</v>
      </c>
      <c r="K35" s="29">
        <f t="shared" si="1"/>
        <v>359.76999999999998</v>
      </c>
      <c r="L35" s="29">
        <f t="shared" si="1"/>
        <v>39.68</v>
      </c>
      <c r="M35" s="29">
        <f t="shared" si="1"/>
        <v>84.920000000000002</v>
      </c>
      <c r="N35" s="29">
        <f t="shared" si="1"/>
        <v>898.39999999999998</v>
      </c>
      <c r="O35" s="29">
        <f t="shared" si="1"/>
        <v>0</v>
      </c>
      <c r="P35" s="29">
        <f t="shared" si="1"/>
        <v>0.69999999999999996</v>
      </c>
      <c r="Q35" s="29">
        <f t="shared" si="1"/>
        <v>25.66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2.4175</v>
      </c>
      <c r="C36" s="28">
        <f t="shared" si="2"/>
        <v>28.035</v>
      </c>
      <c r="D36" s="28">
        <f t="shared" si="2"/>
        <v>17.714583333333334</v>
      </c>
      <c r="E36" s="28">
        <f t="shared" si="2"/>
        <v>1.4800000000000002</v>
      </c>
      <c r="F36" s="28">
        <f t="shared" si="2"/>
        <v>11.22208333333333</v>
      </c>
      <c r="G36" s="28">
        <f t="shared" si="2"/>
        <v>38.545454545454554</v>
      </c>
      <c r="H36" s="28">
        <f t="shared" si="2"/>
        <v>17.551363636363639</v>
      </c>
      <c r="I36" s="28">
        <f t="shared" si="2"/>
        <v>0.56791666666666651</v>
      </c>
      <c r="J36" s="28">
        <f t="shared" si="2"/>
        <v>1.1233333333333335</v>
      </c>
      <c r="K36" s="28">
        <f t="shared" si="2"/>
        <v>213.33333333333337</v>
      </c>
      <c r="L36" s="28">
        <f t="shared" si="2"/>
        <v>30.331666666666663</v>
      </c>
      <c r="M36" s="28">
        <f t="shared" si="2"/>
        <v>55.944166666666668</v>
      </c>
      <c r="N36" s="28">
        <f t="shared" si="2"/>
        <v>275.08333333333331</v>
      </c>
      <c r="O36" s="28">
        <f t="shared" si="2"/>
        <v>0</v>
      </c>
      <c r="P36" s="28">
        <f t="shared" si="2"/>
        <v>0.46666666666666679</v>
      </c>
      <c r="Q36" s="28">
        <f t="shared" si="2"/>
        <v>22.463333333333335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1.3353008128768458</v>
      </c>
      <c r="C37" s="28">
        <f t="shared" si="3" ref="C37:Q37">STDEV(C9:C32)</f>
        <v>3.5664938330059361</v>
      </c>
      <c r="D37" s="28">
        <f t="shared" si="3"/>
        <v>2.3016232063606665</v>
      </c>
      <c r="E37" s="28">
        <f t="shared" si="3"/>
        <v>0.43302776294166251</v>
      </c>
      <c r="F37" s="28">
        <f t="shared" si="3"/>
        <v>6.5734181295424348</v>
      </c>
      <c r="G37" s="28">
        <f t="shared" si="3"/>
        <v>32.126154413539709</v>
      </c>
      <c r="H37" s="28">
        <f t="shared" si="3"/>
        <v>3.7854889543329198</v>
      </c>
      <c r="I37" s="28">
        <f t="shared" si="3"/>
        <v>0.081772705484892252</v>
      </c>
      <c r="J37" s="28">
        <f t="shared" si="3"/>
        <v>0.77224498628387317</v>
      </c>
      <c r="K37" s="28">
        <f t="shared" si="3"/>
        <v>104.13905205214239</v>
      </c>
      <c r="L37" s="28">
        <f t="shared" si="3"/>
        <v>5.2758849796826377</v>
      </c>
      <c r="M37" s="28">
        <f t="shared" si="3"/>
        <v>16.411933335140642</v>
      </c>
      <c r="N37" s="28">
        <f t="shared" si="3"/>
        <v>340.82500758762035</v>
      </c>
      <c r="O37" s="28">
        <f t="shared" si="3"/>
        <v>0</v>
      </c>
      <c r="P37" s="28">
        <f t="shared" si="3"/>
        <v>0.13080575265459918</v>
      </c>
      <c r="Q37" s="28">
        <f t="shared" si="3"/>
        <v>1.6467508633053674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edfe85d-be71-44bf-b765-3fb89654e1b8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67" sqref="H67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22-06-2023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566</v>
      </c>
      <c r="B9" s="54">
        <v>1.95</v>
      </c>
      <c r="C9" s="54">
        <v>22.20</v>
      </c>
      <c r="D9" s="54">
        <v>13.70</v>
      </c>
      <c r="E9" s="54">
        <v>1.38</v>
      </c>
      <c r="F9" s="54">
        <v>20.67</v>
      </c>
      <c r="G9" s="54">
        <v>13.70</v>
      </c>
      <c r="H9" s="54">
        <v>11.24</v>
      </c>
      <c r="I9" s="54">
        <v>0.56999999999999995</v>
      </c>
      <c r="J9" s="54">
        <v>2.11</v>
      </c>
      <c r="K9" s="54">
        <v>184.66</v>
      </c>
      <c r="L9" s="54">
        <v>24.51</v>
      </c>
      <c r="M9" s="54">
        <v>77.27</v>
      </c>
      <c r="N9" s="54">
        <v>22.40</v>
      </c>
      <c r="O9" s="54">
        <v>0</v>
      </c>
      <c r="P9" s="54">
        <v>0.33</v>
      </c>
      <c r="Q9" s="54">
        <v>21.19</v>
      </c>
      <c r="R9" s="43"/>
      <c r="S9" s="43"/>
      <c r="T9" s="43"/>
      <c r="U9" s="43"/>
    </row>
    <row r="10" spans="1:21" s="11" customFormat="1" ht="15">
      <c r="A10" s="53" t="s">
        <v>567</v>
      </c>
      <c r="B10" s="54">
        <v>1.04</v>
      </c>
      <c r="C10" s="54">
        <v>19.73</v>
      </c>
      <c r="D10" s="54">
        <v>12.37</v>
      </c>
      <c r="E10" s="54">
        <v>1.73</v>
      </c>
      <c r="F10" s="54">
        <v>6.43</v>
      </c>
      <c r="G10" s="54">
        <v>16.690000000000001</v>
      </c>
      <c r="H10" s="54">
        <v>11.24</v>
      </c>
      <c r="I10" s="54">
        <v>0.54</v>
      </c>
      <c r="J10" s="54">
        <v>1.08</v>
      </c>
      <c r="K10" s="54">
        <v>123.31</v>
      </c>
      <c r="L10" s="54">
        <v>24.35</v>
      </c>
      <c r="M10" s="54">
        <v>86.08</v>
      </c>
      <c r="N10" s="54">
        <v>23.30</v>
      </c>
      <c r="O10" s="54">
        <v>0.40</v>
      </c>
      <c r="P10" s="54">
        <v>0.34</v>
      </c>
      <c r="Q10" s="54">
        <v>22.16</v>
      </c>
      <c r="R10" s="43"/>
      <c r="S10" s="43"/>
      <c r="T10" s="43"/>
      <c r="U10" s="43"/>
    </row>
    <row r="11" spans="1:21" s="11" customFormat="1" ht="15">
      <c r="A11" s="53" t="s">
        <v>568</v>
      </c>
      <c r="B11" s="54">
        <v>1</v>
      </c>
      <c r="C11" s="54">
        <v>21.20</v>
      </c>
      <c r="D11" s="54">
        <v>13.15</v>
      </c>
      <c r="E11" s="54">
        <v>1.27</v>
      </c>
      <c r="F11" s="54">
        <v>16.510000000000002</v>
      </c>
      <c r="G11" s="54">
        <v>16.690000000000001</v>
      </c>
      <c r="H11" s="54">
        <v>8.23</v>
      </c>
      <c r="I11" s="54">
        <v>0.53</v>
      </c>
      <c r="J11" s="54">
        <v>2.0099999999999998</v>
      </c>
      <c r="K11" s="54">
        <v>126.21</v>
      </c>
      <c r="L11" s="54">
        <v>22.59</v>
      </c>
      <c r="M11" s="54">
        <v>94.53</v>
      </c>
      <c r="N11" s="54">
        <v>22.90</v>
      </c>
      <c r="O11" s="54">
        <v>1</v>
      </c>
      <c r="P11" s="54">
        <v>0.33</v>
      </c>
      <c r="Q11" s="54">
        <v>26.41</v>
      </c>
      <c r="R11" s="43"/>
      <c r="S11" s="43"/>
      <c r="T11" s="43"/>
      <c r="U11" s="43"/>
    </row>
    <row r="12" spans="1:21" s="11" customFormat="1" ht="15">
      <c r="A12" s="53" t="s">
        <v>569</v>
      </c>
      <c r="B12" s="54">
        <v>2.33</v>
      </c>
      <c r="C12" s="54">
        <v>24.23</v>
      </c>
      <c r="D12" s="54">
        <v>15.88</v>
      </c>
      <c r="E12" s="54">
        <v>1.68</v>
      </c>
      <c r="F12" s="54">
        <v>19.48</v>
      </c>
      <c r="G12" s="54">
        <v>20.46</v>
      </c>
      <c r="H12" s="54">
        <v>7.90</v>
      </c>
      <c r="I12" s="54">
        <v>0.54</v>
      </c>
      <c r="J12" s="54">
        <v>0.33</v>
      </c>
      <c r="K12" s="54">
        <v>334.26</v>
      </c>
      <c r="L12" s="54">
        <v>22.94</v>
      </c>
      <c r="M12" s="54">
        <v>97.02</v>
      </c>
      <c r="N12" s="54">
        <v>23.10</v>
      </c>
      <c r="O12" s="54">
        <v>0.40</v>
      </c>
      <c r="P12" s="54">
        <v>0.32</v>
      </c>
      <c r="Q12" s="54">
        <v>27.08</v>
      </c>
      <c r="R12" s="43"/>
      <c r="S12" s="43"/>
      <c r="T12" s="43"/>
      <c r="U12" s="43"/>
    </row>
    <row r="13" spans="1:21" s="11" customFormat="1" ht="15">
      <c r="A13" s="53" t="s">
        <v>570</v>
      </c>
      <c r="B13" s="54">
        <v>2.5099999999999998</v>
      </c>
      <c r="C13" s="54">
        <v>23.03</v>
      </c>
      <c r="D13" s="54">
        <v>15.37</v>
      </c>
      <c r="E13" s="54">
        <v>1.02</v>
      </c>
      <c r="F13" s="54">
        <v>4.03</v>
      </c>
      <c r="G13" s="54">
        <v>20.46</v>
      </c>
      <c r="H13" s="54">
        <v>9.39</v>
      </c>
      <c r="I13" s="54">
        <v>0.54</v>
      </c>
      <c r="J13" s="54">
        <v>0.44</v>
      </c>
      <c r="K13" s="54">
        <v>310.74</v>
      </c>
      <c r="L13" s="54">
        <v>22.88</v>
      </c>
      <c r="M13" s="54">
        <v>97.12</v>
      </c>
      <c r="N13" s="54">
        <v>23.80</v>
      </c>
      <c r="O13" s="54">
        <v>0.20</v>
      </c>
      <c r="P13" s="54">
        <v>0.32</v>
      </c>
      <c r="Q13" s="54">
        <v>24.36</v>
      </c>
      <c r="R13" s="43"/>
      <c r="S13" s="43"/>
      <c r="T13" s="43"/>
      <c r="U13" s="43"/>
    </row>
    <row r="14" spans="1:21" s="11" customFormat="1" ht="15">
      <c r="A14" s="53" t="s">
        <v>571</v>
      </c>
      <c r="B14" s="54">
        <v>3.13</v>
      </c>
      <c r="C14" s="54">
        <v>22.98</v>
      </c>
      <c r="D14" s="54">
        <v>15.30</v>
      </c>
      <c r="E14" s="54">
        <v>1.1200000000000001</v>
      </c>
      <c r="F14" s="54">
        <v>7.82</v>
      </c>
      <c r="G14" s="54">
        <v>10.87</v>
      </c>
      <c r="H14" s="54">
        <v>9.39</v>
      </c>
      <c r="I14" s="54">
        <v>0.53</v>
      </c>
      <c r="J14" s="54">
        <v>0.54</v>
      </c>
      <c r="K14" s="54">
        <v>228.17</v>
      </c>
      <c r="L14" s="54">
        <v>22.85</v>
      </c>
      <c r="M14" s="54">
        <v>97.12</v>
      </c>
      <c r="N14" s="54">
        <v>81.80</v>
      </c>
      <c r="O14" s="54">
        <v>0</v>
      </c>
      <c r="P14" s="54">
        <v>0.33</v>
      </c>
      <c r="Q14" s="54">
        <v>24.73</v>
      </c>
      <c r="R14" s="43"/>
      <c r="S14" s="43"/>
      <c r="T14" s="43"/>
      <c r="U14" s="43"/>
    </row>
    <row r="15" spans="1:21" s="11" customFormat="1" ht="15">
      <c r="A15" s="53" t="s">
        <v>572</v>
      </c>
      <c r="B15" s="54">
        <v>5.38</v>
      </c>
      <c r="C15" s="54">
        <v>24.79</v>
      </c>
      <c r="D15" s="54">
        <v>18.100000000000001</v>
      </c>
      <c r="E15" s="54">
        <v>1.1200000000000001</v>
      </c>
      <c r="F15" s="54">
        <v>7.31</v>
      </c>
      <c r="G15" s="55" t="s">
        <v>14</v>
      </c>
      <c r="H15" s="55" t="s">
        <v>14</v>
      </c>
      <c r="I15" s="54">
        <v>0.53</v>
      </c>
      <c r="J15" s="54">
        <v>1.1399999999999999</v>
      </c>
      <c r="K15" s="54">
        <v>197.14</v>
      </c>
      <c r="L15" s="54">
        <v>24.28</v>
      </c>
      <c r="M15" s="54">
        <v>92.33</v>
      </c>
      <c r="N15" s="54">
        <v>184.5</v>
      </c>
      <c r="O15" s="54">
        <v>0</v>
      </c>
      <c r="P15" s="54">
        <v>0.33</v>
      </c>
      <c r="Q15" s="54">
        <v>25.27</v>
      </c>
      <c r="R15" s="43"/>
      <c r="S15" s="43"/>
      <c r="T15" s="43"/>
      <c r="U15" s="43"/>
    </row>
    <row r="16" spans="1:21" s="11" customFormat="1" ht="15">
      <c r="A16" s="53" t="s">
        <v>573</v>
      </c>
      <c r="B16" s="54">
        <v>5.30</v>
      </c>
      <c r="C16" s="54">
        <v>24.15</v>
      </c>
      <c r="D16" s="54">
        <v>18.22</v>
      </c>
      <c r="E16" s="54">
        <v>1.39</v>
      </c>
      <c r="F16" s="54">
        <v>4.3899999999999997</v>
      </c>
      <c r="G16" s="55" t="s">
        <v>14</v>
      </c>
      <c r="H16" s="55" t="s">
        <v>14</v>
      </c>
      <c r="I16" s="54">
        <v>0.63</v>
      </c>
      <c r="J16" s="54">
        <v>1.03</v>
      </c>
      <c r="K16" s="54">
        <v>188.16</v>
      </c>
      <c r="L16" s="54">
        <v>26.03</v>
      </c>
      <c r="M16" s="54">
        <v>84.92</v>
      </c>
      <c r="N16" s="54">
        <v>449.40</v>
      </c>
      <c r="O16" s="54">
        <v>0</v>
      </c>
      <c r="P16" s="54">
        <v>0.28000000000000003</v>
      </c>
      <c r="Q16" s="54">
        <v>22.54</v>
      </c>
      <c r="R16" s="43"/>
      <c r="S16" s="43"/>
      <c r="T16" s="43"/>
      <c r="U16" s="43"/>
    </row>
    <row r="17" spans="1:21" s="11" customFormat="1" ht="15">
      <c r="A17" s="53" t="s">
        <v>574</v>
      </c>
      <c r="B17" s="54">
        <v>8.26</v>
      </c>
      <c r="C17" s="54">
        <v>26.62</v>
      </c>
      <c r="D17" s="54">
        <v>20.87</v>
      </c>
      <c r="E17" s="54">
        <v>1.84</v>
      </c>
      <c r="F17" s="54">
        <v>13.28</v>
      </c>
      <c r="G17" s="55" t="s">
        <v>14</v>
      </c>
      <c r="H17" s="55" t="s">
        <v>14</v>
      </c>
      <c r="I17" s="54">
        <v>0.61</v>
      </c>
      <c r="J17" s="54">
        <v>0.34</v>
      </c>
      <c r="K17" s="54">
        <v>174.40</v>
      </c>
      <c r="L17" s="54">
        <v>27.53</v>
      </c>
      <c r="M17" s="54">
        <v>74.69</v>
      </c>
      <c r="N17" s="54">
        <v>511.70</v>
      </c>
      <c r="O17" s="54">
        <v>0</v>
      </c>
      <c r="P17" s="54">
        <v>0.32</v>
      </c>
      <c r="Q17" s="54">
        <v>23.81</v>
      </c>
      <c r="R17" s="43"/>
      <c r="S17" s="43"/>
      <c r="T17" s="43"/>
      <c r="U17" s="43"/>
    </row>
    <row r="18" spans="1:21" s="11" customFormat="1" ht="15">
      <c r="A18" s="53" t="s">
        <v>575</v>
      </c>
      <c r="B18" s="54">
        <v>6.55</v>
      </c>
      <c r="C18" s="54">
        <v>28.03</v>
      </c>
      <c r="D18" s="54">
        <v>21.37</v>
      </c>
      <c r="E18" s="54">
        <v>1.99</v>
      </c>
      <c r="F18" s="54">
        <v>12.61</v>
      </c>
      <c r="G18" s="55" t="s">
        <v>14</v>
      </c>
      <c r="H18" s="55" t="s">
        <v>14</v>
      </c>
      <c r="I18" s="54">
        <v>0.63</v>
      </c>
      <c r="J18" s="54">
        <v>0.14000000000000001</v>
      </c>
      <c r="K18" s="54">
        <v>35</v>
      </c>
      <c r="L18" s="54">
        <v>28.34</v>
      </c>
      <c r="M18" s="54">
        <v>69.77</v>
      </c>
      <c r="N18" s="54">
        <v>309.60000000000002</v>
      </c>
      <c r="O18" s="54">
        <v>0</v>
      </c>
      <c r="P18" s="54">
        <v>0.42</v>
      </c>
      <c r="Q18" s="54">
        <v>23.49</v>
      </c>
      <c r="R18" s="43"/>
      <c r="S18" s="43"/>
      <c r="T18" s="43"/>
      <c r="U18" s="43"/>
    </row>
    <row r="19" spans="1:21" s="11" customFormat="1" ht="15">
      <c r="A19" s="53" t="s">
        <v>576</v>
      </c>
      <c r="B19" s="54">
        <v>3.95</v>
      </c>
      <c r="C19" s="54">
        <v>27.43</v>
      </c>
      <c r="D19" s="54">
        <v>18.28</v>
      </c>
      <c r="E19" s="54">
        <v>1.71</v>
      </c>
      <c r="F19" s="54">
        <v>8.5299999999999994</v>
      </c>
      <c r="G19" s="55" t="s">
        <v>14</v>
      </c>
      <c r="H19" s="55" t="s">
        <v>14</v>
      </c>
      <c r="I19" s="54">
        <v>0.66</v>
      </c>
      <c r="J19" s="54">
        <v>0.13</v>
      </c>
      <c r="K19" s="54">
        <v>278.81</v>
      </c>
      <c r="L19" s="54">
        <v>28.59</v>
      </c>
      <c r="M19" s="54">
        <v>63.42</v>
      </c>
      <c r="N19" s="54">
        <v>288.39999999999998</v>
      </c>
      <c r="O19" s="54">
        <v>0</v>
      </c>
      <c r="P19" s="54">
        <v>0.59</v>
      </c>
      <c r="Q19" s="54">
        <v>21.48</v>
      </c>
      <c r="R19" s="43"/>
      <c r="S19" s="43"/>
      <c r="T19" s="43"/>
      <c r="U19" s="43"/>
    </row>
    <row r="20" spans="1:21" s="11" customFormat="1" ht="15">
      <c r="A20" s="53" t="s">
        <v>577</v>
      </c>
      <c r="B20" s="54">
        <v>2.10</v>
      </c>
      <c r="C20" s="54">
        <v>31.51</v>
      </c>
      <c r="D20" s="54">
        <v>19.54</v>
      </c>
      <c r="E20" s="54">
        <v>1.69</v>
      </c>
      <c r="F20" s="54">
        <v>27.94</v>
      </c>
      <c r="G20" s="54">
        <v>33.520000000000003</v>
      </c>
      <c r="H20" s="54">
        <v>17.80</v>
      </c>
      <c r="I20" s="54">
        <v>0.64</v>
      </c>
      <c r="J20" s="54">
        <v>0.89</v>
      </c>
      <c r="K20" s="54">
        <v>192.10</v>
      </c>
      <c r="L20" s="54">
        <v>28.39</v>
      </c>
      <c r="M20" s="54">
        <v>64.52</v>
      </c>
      <c r="N20" s="54">
        <v>258</v>
      </c>
      <c r="O20" s="54">
        <v>0</v>
      </c>
      <c r="P20" s="54">
        <v>0.61</v>
      </c>
      <c r="Q20" s="54">
        <v>21.69</v>
      </c>
      <c r="R20" s="43"/>
      <c r="S20" s="43"/>
      <c r="T20" s="43"/>
      <c r="U20" s="43"/>
    </row>
    <row r="21" spans="1:21" s="11" customFormat="1" ht="15">
      <c r="A21" s="53" t="s">
        <v>578</v>
      </c>
      <c r="B21" s="54">
        <v>3.96</v>
      </c>
      <c r="C21" s="54">
        <v>40.020000000000003</v>
      </c>
      <c r="D21" s="54">
        <v>25.52</v>
      </c>
      <c r="E21" s="54">
        <v>2.12</v>
      </c>
      <c r="F21" s="54">
        <v>28.14</v>
      </c>
      <c r="G21" s="55" t="s">
        <v>14</v>
      </c>
      <c r="H21" s="55" t="s">
        <v>14</v>
      </c>
      <c r="I21" s="54">
        <v>0.63</v>
      </c>
      <c r="J21" s="54">
        <v>0.15</v>
      </c>
      <c r="K21" s="54">
        <v>37.56</v>
      </c>
      <c r="L21" s="54">
        <v>28.63</v>
      </c>
      <c r="M21" s="54">
        <v>65.02</v>
      </c>
      <c r="N21" s="54">
        <v>174.70</v>
      </c>
      <c r="O21" s="54">
        <v>0</v>
      </c>
      <c r="P21" s="54">
        <v>0.64</v>
      </c>
      <c r="Q21" s="54">
        <v>22.64</v>
      </c>
      <c r="R21" s="43"/>
      <c r="S21" s="43"/>
      <c r="T21" s="43"/>
      <c r="U21" s="43"/>
    </row>
    <row r="22" spans="1:21" s="11" customFormat="1" ht="15">
      <c r="A22" s="53" t="s">
        <v>579</v>
      </c>
      <c r="B22" s="54">
        <v>4.66</v>
      </c>
      <c r="C22" s="54">
        <v>34.380000000000003</v>
      </c>
      <c r="D22" s="54">
        <v>22.06</v>
      </c>
      <c r="E22" s="54">
        <v>1.94</v>
      </c>
      <c r="F22" s="54">
        <v>12.97</v>
      </c>
      <c r="G22" s="55" t="s">
        <v>14</v>
      </c>
      <c r="H22" s="55" t="s">
        <v>14</v>
      </c>
      <c r="I22" s="54">
        <v>0.76</v>
      </c>
      <c r="J22" s="54">
        <v>0.27</v>
      </c>
      <c r="K22" s="54">
        <v>352.29</v>
      </c>
      <c r="L22" s="54">
        <v>33.29</v>
      </c>
      <c r="M22" s="54">
        <v>60.80</v>
      </c>
      <c r="N22" s="54">
        <v>759.30</v>
      </c>
      <c r="O22" s="54">
        <v>0</v>
      </c>
      <c r="P22" s="54">
        <v>0.96</v>
      </c>
      <c r="Q22" s="54">
        <v>21.91</v>
      </c>
      <c r="R22" s="43"/>
      <c r="S22" s="43"/>
      <c r="T22" s="43"/>
      <c r="U22" s="43"/>
    </row>
    <row r="23" spans="1:21" s="11" customFormat="1" ht="15">
      <c r="A23" s="53" t="s">
        <v>580</v>
      </c>
      <c r="B23" s="54">
        <v>1.51</v>
      </c>
      <c r="C23" s="54">
        <v>27.90</v>
      </c>
      <c r="D23" s="54">
        <v>17.260000000000002</v>
      </c>
      <c r="E23" s="54">
        <v>2.48</v>
      </c>
      <c r="F23" s="54">
        <v>32.200000000000003</v>
      </c>
      <c r="G23" s="55" t="s">
        <v>14</v>
      </c>
      <c r="H23" s="55" t="s">
        <v>14</v>
      </c>
      <c r="I23" s="54">
        <v>0.77</v>
      </c>
      <c r="J23" s="54">
        <v>1.1299999999999999</v>
      </c>
      <c r="K23" s="54">
        <v>179.48</v>
      </c>
      <c r="L23" s="54">
        <v>32.270000000000003</v>
      </c>
      <c r="M23" s="54">
        <v>54.75</v>
      </c>
      <c r="N23" s="54">
        <v>687.80</v>
      </c>
      <c r="O23" s="54">
        <v>0</v>
      </c>
      <c r="P23" s="54">
        <v>0.89</v>
      </c>
      <c r="Q23" s="54">
        <v>23.12</v>
      </c>
      <c r="R23" s="43"/>
      <c r="S23" s="43"/>
      <c r="T23" s="43"/>
      <c r="U23" s="43"/>
    </row>
    <row r="24" spans="1:21" s="11" customFormat="1" ht="15">
      <c r="A24" s="53" t="s">
        <v>581</v>
      </c>
      <c r="B24" s="54">
        <v>1</v>
      </c>
      <c r="C24" s="54">
        <v>26.30</v>
      </c>
      <c r="D24" s="54">
        <v>15.96</v>
      </c>
      <c r="E24" s="54">
        <v>2.5299999999999998</v>
      </c>
      <c r="F24" s="54">
        <v>29.95</v>
      </c>
      <c r="G24" s="54">
        <v>60.47</v>
      </c>
      <c r="H24" s="54">
        <v>26.97</v>
      </c>
      <c r="I24" s="54">
        <v>0.67</v>
      </c>
      <c r="J24" s="54">
        <v>0.43</v>
      </c>
      <c r="K24" s="54">
        <v>217.14</v>
      </c>
      <c r="L24" s="54">
        <v>31.38</v>
      </c>
      <c r="M24" s="54">
        <v>54.68</v>
      </c>
      <c r="N24" s="54">
        <v>275.20</v>
      </c>
      <c r="O24" s="54">
        <v>0</v>
      </c>
      <c r="P24" s="54">
        <v>0.81</v>
      </c>
      <c r="Q24" s="54">
        <v>23.79</v>
      </c>
      <c r="R24" s="43"/>
      <c r="S24" s="43"/>
      <c r="T24" s="43"/>
      <c r="U24" s="43"/>
    </row>
    <row r="25" spans="1:21" s="11" customFormat="1" ht="15">
      <c r="A25" s="53" t="s">
        <v>582</v>
      </c>
      <c r="B25" s="54">
        <v>1</v>
      </c>
      <c r="C25" s="54">
        <v>25.04</v>
      </c>
      <c r="D25" s="54">
        <v>15.27</v>
      </c>
      <c r="E25" s="54">
        <v>2.62</v>
      </c>
      <c r="F25" s="54">
        <v>23.92</v>
      </c>
      <c r="G25" s="54">
        <v>60.47</v>
      </c>
      <c r="H25" s="54">
        <v>25.84</v>
      </c>
      <c r="I25" s="54">
        <v>0.62</v>
      </c>
      <c r="J25" s="54">
        <v>0.53</v>
      </c>
      <c r="K25" s="54">
        <v>206.13</v>
      </c>
      <c r="L25" s="54">
        <v>31.70</v>
      </c>
      <c r="M25" s="54">
        <v>51.82</v>
      </c>
      <c r="N25" s="54">
        <v>201</v>
      </c>
      <c r="O25" s="54">
        <v>0</v>
      </c>
      <c r="P25" s="54">
        <v>0.84</v>
      </c>
      <c r="Q25" s="54">
        <v>20.49</v>
      </c>
      <c r="R25" s="43"/>
      <c r="S25" s="43"/>
      <c r="T25" s="43"/>
      <c r="U25" s="43"/>
    </row>
    <row r="26" spans="1:21" s="11" customFormat="1" ht="15">
      <c r="A26" s="53" t="s">
        <v>583</v>
      </c>
      <c r="B26" s="54">
        <v>1</v>
      </c>
      <c r="C26" s="54">
        <v>27.22</v>
      </c>
      <c r="D26" s="54">
        <v>16.47</v>
      </c>
      <c r="E26" s="54">
        <v>2.60</v>
      </c>
      <c r="F26" s="54">
        <v>24.76</v>
      </c>
      <c r="G26" s="54">
        <v>56.26</v>
      </c>
      <c r="H26" s="54">
        <v>25.84</v>
      </c>
      <c r="I26" s="54">
        <v>0.61</v>
      </c>
      <c r="J26" s="54">
        <v>1.1399999999999999</v>
      </c>
      <c r="K26" s="54">
        <v>354.85</v>
      </c>
      <c r="L26" s="54">
        <v>31.29</v>
      </c>
      <c r="M26" s="54">
        <v>61.02</v>
      </c>
      <c r="N26" s="54">
        <v>108.10</v>
      </c>
      <c r="O26" s="54">
        <v>0</v>
      </c>
      <c r="P26" s="54">
        <v>0.77</v>
      </c>
      <c r="Q26" s="54">
        <v>22.16</v>
      </c>
      <c r="R26" s="43"/>
      <c r="S26" s="43"/>
      <c r="T26" s="43"/>
      <c r="U26" s="43"/>
    </row>
    <row r="27" spans="1:21" s="11" customFormat="1" ht="15">
      <c r="A27" s="53" t="s">
        <v>584</v>
      </c>
      <c r="B27" s="54">
        <v>1.60</v>
      </c>
      <c r="C27" s="54">
        <v>31.29</v>
      </c>
      <c r="D27" s="54">
        <v>19.07</v>
      </c>
      <c r="E27" s="54">
        <v>2.63</v>
      </c>
      <c r="F27" s="54">
        <v>5.88</v>
      </c>
      <c r="G27" s="54">
        <v>61.92</v>
      </c>
      <c r="H27" s="54">
        <v>24.32</v>
      </c>
      <c r="I27" s="54">
        <v>0.60</v>
      </c>
      <c r="J27" s="54">
        <v>0.64</v>
      </c>
      <c r="K27" s="54">
        <v>41.87</v>
      </c>
      <c r="L27" s="54">
        <v>26.63</v>
      </c>
      <c r="M27" s="54">
        <v>78.44</v>
      </c>
      <c r="N27" s="54">
        <v>52.5</v>
      </c>
      <c r="O27" s="54">
        <v>0</v>
      </c>
      <c r="P27" s="54">
        <v>0.85</v>
      </c>
      <c r="Q27" s="54">
        <v>19.95</v>
      </c>
      <c r="R27" s="43"/>
      <c r="S27" s="43"/>
      <c r="T27" s="43"/>
      <c r="U27" s="43"/>
    </row>
    <row r="28" spans="1:21" s="11" customFormat="1" ht="15">
      <c r="A28" s="53" t="s">
        <v>585</v>
      </c>
      <c r="B28" s="54">
        <v>3.34</v>
      </c>
      <c r="C28" s="54">
        <v>30.33</v>
      </c>
      <c r="D28" s="54">
        <v>19.30</v>
      </c>
      <c r="E28" s="54">
        <v>1.85</v>
      </c>
      <c r="F28" s="54">
        <v>4.46</v>
      </c>
      <c r="G28" s="54">
        <v>61.92</v>
      </c>
      <c r="H28" s="54">
        <v>21.82</v>
      </c>
      <c r="I28" s="54">
        <v>0.56000000000000005</v>
      </c>
      <c r="J28" s="54">
        <v>0.37</v>
      </c>
      <c r="K28" s="54">
        <v>352.71</v>
      </c>
      <c r="L28" s="54">
        <v>24.71</v>
      </c>
      <c r="M28" s="54">
        <v>79.010000000000005</v>
      </c>
      <c r="N28" s="54">
        <v>37.10</v>
      </c>
      <c r="O28" s="54">
        <v>0</v>
      </c>
      <c r="P28" s="54">
        <v>1.0900000000000001</v>
      </c>
      <c r="Q28" s="54">
        <v>18.25</v>
      </c>
      <c r="R28" s="43"/>
      <c r="S28" s="43"/>
      <c r="T28" s="43"/>
      <c r="U28" s="43"/>
    </row>
    <row r="29" spans="1:21" s="11" customFormat="1" ht="15">
      <c r="A29" s="53" t="s">
        <v>586</v>
      </c>
      <c r="B29" s="54">
        <v>7.42</v>
      </c>
      <c r="C29" s="54">
        <v>30.82</v>
      </c>
      <c r="D29" s="54">
        <v>23.27</v>
      </c>
      <c r="E29" s="54">
        <v>2.5</v>
      </c>
      <c r="F29" s="54">
        <v>7.56</v>
      </c>
      <c r="G29" s="55" t="s">
        <v>14</v>
      </c>
      <c r="H29" s="55" t="s">
        <v>14</v>
      </c>
      <c r="I29" s="54">
        <v>0.63</v>
      </c>
      <c r="J29" s="54">
        <v>1.27</v>
      </c>
      <c r="K29" s="54">
        <v>353.81</v>
      </c>
      <c r="L29" s="54">
        <v>24.92</v>
      </c>
      <c r="M29" s="54">
        <v>74.78</v>
      </c>
      <c r="N29" s="54">
        <v>37.299999999999997</v>
      </c>
      <c r="O29" s="54">
        <v>0</v>
      </c>
      <c r="P29" s="54">
        <v>1.1000000000000001</v>
      </c>
      <c r="Q29" s="54">
        <v>19.41</v>
      </c>
      <c r="R29" s="43"/>
      <c r="S29" s="43"/>
      <c r="T29" s="43"/>
      <c r="U29" s="43"/>
    </row>
    <row r="30" spans="1:21" s="11" customFormat="1" ht="15">
      <c r="A30" s="53" t="s">
        <v>587</v>
      </c>
      <c r="B30" s="54">
        <v>10.92</v>
      </c>
      <c r="C30" s="54">
        <v>26.08</v>
      </c>
      <c r="D30" s="54">
        <v>23.70</v>
      </c>
      <c r="E30" s="54">
        <v>2.56</v>
      </c>
      <c r="F30" s="54">
        <v>8.68</v>
      </c>
      <c r="G30" s="55" t="s">
        <v>14</v>
      </c>
      <c r="H30" s="55" t="s">
        <v>14</v>
      </c>
      <c r="I30" s="54">
        <v>0.65</v>
      </c>
      <c r="J30" s="54">
        <v>0.97</v>
      </c>
      <c r="K30" s="54">
        <v>32.03</v>
      </c>
      <c r="L30" s="54">
        <v>24.81</v>
      </c>
      <c r="M30" s="54">
        <v>81.94</v>
      </c>
      <c r="N30" s="54">
        <v>42.40</v>
      </c>
      <c r="O30" s="54">
        <v>0</v>
      </c>
      <c r="P30" s="54">
        <v>1.01</v>
      </c>
      <c r="Q30" s="54">
        <v>19.079999999999998</v>
      </c>
      <c r="R30" s="43"/>
      <c r="S30" s="43"/>
      <c r="T30" s="43"/>
      <c r="U30" s="43"/>
    </row>
    <row r="31" spans="1:21" s="11" customFormat="1" ht="15">
      <c r="A31" s="53" t="s">
        <v>588</v>
      </c>
      <c r="B31" s="54">
        <v>11.69</v>
      </c>
      <c r="C31" s="54">
        <v>24.97</v>
      </c>
      <c r="D31" s="54">
        <v>23.69</v>
      </c>
      <c r="E31" s="54">
        <v>2.60</v>
      </c>
      <c r="F31" s="54">
        <v>5.79</v>
      </c>
      <c r="G31" s="55" t="s">
        <v>14</v>
      </c>
      <c r="H31" s="55" t="s">
        <v>14</v>
      </c>
      <c r="I31" s="54">
        <v>0.60</v>
      </c>
      <c r="J31" s="54">
        <v>0.86</v>
      </c>
      <c r="K31" s="54">
        <v>121.28</v>
      </c>
      <c r="L31" s="54">
        <v>24.04</v>
      </c>
      <c r="M31" s="54">
        <v>85.15</v>
      </c>
      <c r="N31" s="54">
        <v>42.5</v>
      </c>
      <c r="O31" s="54">
        <v>0</v>
      </c>
      <c r="P31" s="54">
        <v>0.99</v>
      </c>
      <c r="Q31" s="54">
        <v>20.100000000000001</v>
      </c>
      <c r="R31" s="43"/>
      <c r="S31" s="43"/>
      <c r="T31" s="43"/>
      <c r="U31" s="43"/>
    </row>
    <row r="32" spans="1:21" s="11" customFormat="1" ht="15">
      <c r="A32" s="53" t="s">
        <v>589</v>
      </c>
      <c r="B32" s="54">
        <v>6.96</v>
      </c>
      <c r="C32" s="54">
        <v>32.409999999999997</v>
      </c>
      <c r="D32" s="54">
        <v>23.5</v>
      </c>
      <c r="E32" s="54">
        <v>2.16</v>
      </c>
      <c r="F32" s="54">
        <v>17.43</v>
      </c>
      <c r="G32" s="55" t="s">
        <v>14</v>
      </c>
      <c r="H32" s="55" t="s">
        <v>14</v>
      </c>
      <c r="I32" s="54">
        <v>0.56000000000000005</v>
      </c>
      <c r="J32" s="54">
        <v>0.90</v>
      </c>
      <c r="K32" s="54">
        <v>120.76</v>
      </c>
      <c r="L32" s="54">
        <v>23.60</v>
      </c>
      <c r="M32" s="54">
        <v>84.09</v>
      </c>
      <c r="N32" s="54">
        <v>42.5</v>
      </c>
      <c r="O32" s="54">
        <v>0</v>
      </c>
      <c r="P32" s="54">
        <v>0.87</v>
      </c>
      <c r="Q32" s="54">
        <v>24.92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</v>
      </c>
      <c r="C34" s="28">
        <f t="shared" si="0"/>
        <v>19.73</v>
      </c>
      <c r="D34" s="28">
        <f t="shared" si="0"/>
        <v>12.369999999999999</v>
      </c>
      <c r="E34" s="28">
        <f t="shared" si="0"/>
        <v>1.02</v>
      </c>
      <c r="F34" s="28">
        <f t="shared" si="0"/>
        <v>4.0300000000000002</v>
      </c>
      <c r="G34" s="28">
        <f t="shared" si="0"/>
        <v>10.869999999999999</v>
      </c>
      <c r="H34" s="28">
        <f t="shared" si="0"/>
        <v>7.9000000000000004</v>
      </c>
      <c r="I34" s="28">
        <f t="shared" si="0"/>
        <v>0.53000000000000003</v>
      </c>
      <c r="J34" s="28">
        <f t="shared" si="0"/>
        <v>0.13</v>
      </c>
      <c r="K34" s="28">
        <f t="shared" si="0"/>
        <v>32.030000000000001</v>
      </c>
      <c r="L34" s="28">
        <f t="shared" si="0"/>
        <v>22.59</v>
      </c>
      <c r="M34" s="28">
        <f t="shared" si="0"/>
        <v>51.82</v>
      </c>
      <c r="N34" s="28">
        <f t="shared" si="0"/>
        <v>22.399999999999999</v>
      </c>
      <c r="O34" s="28">
        <f t="shared" si="0"/>
        <v>0</v>
      </c>
      <c r="P34" s="28">
        <f t="shared" si="0"/>
        <v>0.28000000000000003</v>
      </c>
      <c r="Q34" s="28">
        <f t="shared" si="0"/>
        <v>18.25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11.69</v>
      </c>
      <c r="C35" s="29">
        <f t="shared" si="1"/>
        <v>40.020000000000003</v>
      </c>
      <c r="D35" s="29">
        <f t="shared" si="1"/>
        <v>25.52</v>
      </c>
      <c r="E35" s="29">
        <f t="shared" si="1"/>
        <v>2.6299999999999999</v>
      </c>
      <c r="F35" s="29">
        <f t="shared" si="1"/>
        <v>32.200000000000003</v>
      </c>
      <c r="G35" s="29">
        <f t="shared" si="1"/>
        <v>61.920000000000002</v>
      </c>
      <c r="H35" s="29">
        <f t="shared" si="1"/>
        <v>26.969999999999999</v>
      </c>
      <c r="I35" s="29">
        <f t="shared" si="1"/>
        <v>0.77000000000000002</v>
      </c>
      <c r="J35" s="29">
        <f t="shared" si="1"/>
        <v>2.1099999999999999</v>
      </c>
      <c r="K35" s="29">
        <f t="shared" si="1"/>
        <v>354.85000000000002</v>
      </c>
      <c r="L35" s="29">
        <f t="shared" si="1"/>
        <v>33.289999999999999</v>
      </c>
      <c r="M35" s="29">
        <f t="shared" si="1"/>
        <v>97.120000000000005</v>
      </c>
      <c r="N35" s="29">
        <f t="shared" si="1"/>
        <v>759.29999999999995</v>
      </c>
      <c r="O35" s="29">
        <f t="shared" si="1"/>
        <v>1</v>
      </c>
      <c r="P35" s="29">
        <f t="shared" si="1"/>
        <v>1.1000000000000001</v>
      </c>
      <c r="Q35" s="29">
        <f t="shared" si="1"/>
        <v>27.079999999999998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4.1066666666666665</v>
      </c>
      <c r="C36" s="28">
        <f t="shared" si="2"/>
        <v>27.194166666666671</v>
      </c>
      <c r="D36" s="28">
        <f t="shared" si="2"/>
        <v>18.634166666666662</v>
      </c>
      <c r="E36" s="28">
        <f t="shared" si="2"/>
        <v>1.9387500000000006</v>
      </c>
      <c r="F36" s="28">
        <f t="shared" si="2"/>
        <v>14.614166666666668</v>
      </c>
      <c r="G36" s="28">
        <f t="shared" si="2"/>
        <v>36.119166666666672</v>
      </c>
      <c r="H36" s="28">
        <f t="shared" si="2"/>
        <v>16.664999999999999</v>
      </c>
      <c r="I36" s="28">
        <f t="shared" si="2"/>
        <v>0.60875000000000001</v>
      </c>
      <c r="J36" s="28">
        <f t="shared" si="2"/>
        <v>0.78499999999999981</v>
      </c>
      <c r="K36" s="28">
        <f t="shared" si="2"/>
        <v>197.61958333333334</v>
      </c>
      <c r="L36" s="28">
        <f t="shared" si="2"/>
        <v>26.689583333333331</v>
      </c>
      <c r="M36" s="28">
        <f t="shared" si="2"/>
        <v>76.262083333333337</v>
      </c>
      <c r="N36" s="28">
        <f t="shared" si="2"/>
        <v>194.13750000000002</v>
      </c>
      <c r="O36" s="28">
        <f t="shared" si="2"/>
        <v>0.083333333333333329</v>
      </c>
      <c r="P36" s="28">
        <f t="shared" si="2"/>
        <v>0.63916666666666655</v>
      </c>
      <c r="Q36" s="28">
        <f t="shared" si="2"/>
        <v>22.501250000000002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3.1390065815223416</v>
      </c>
      <c r="C37" s="28">
        <f t="shared" si="3" ref="C37:Q37">STDEV(C9:C32)</f>
        <v>4.617804783064404</v>
      </c>
      <c r="D37" s="28">
        <f t="shared" si="3"/>
        <v>3.7190565852186435</v>
      </c>
      <c r="E37" s="28">
        <f t="shared" si="3"/>
        <v>0.54101605296443356</v>
      </c>
      <c r="F37" s="28">
        <f t="shared" si="3"/>
        <v>9.1774439544042927</v>
      </c>
      <c r="G37" s="28">
        <f t="shared" si="3"/>
        <v>21.981902663258463</v>
      </c>
      <c r="H37" s="28">
        <f t="shared" si="3"/>
        <v>7.8259620378699646</v>
      </c>
      <c r="I37" s="28">
        <f t="shared" si="3"/>
        <v>0.065628234909917593</v>
      </c>
      <c r="J37" s="28">
        <f t="shared" si="3"/>
        <v>0.53387834471583706</v>
      </c>
      <c r="K37" s="28">
        <f t="shared" si="3"/>
        <v>107.09465116668758</v>
      </c>
      <c r="L37" s="28">
        <f t="shared" si="3"/>
        <v>3.3648573574866498</v>
      </c>
      <c r="M37" s="28">
        <f t="shared" si="3"/>
        <v>14.330609374211244</v>
      </c>
      <c r="N37" s="28">
        <f t="shared" si="3"/>
        <v>215.39902267046455</v>
      </c>
      <c r="O37" s="28">
        <f t="shared" si="3"/>
        <v>0.22778072344036165</v>
      </c>
      <c r="P37" s="28">
        <f t="shared" si="3"/>
        <v>0.29371557769330237</v>
      </c>
      <c r="Q37" s="28">
        <f t="shared" si="3"/>
        <v>2.3087137629273866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COUNT(G9:G32)+12</f>
        <v>24</v>
      </c>
      <c r="H38" s="32">
        <f>COUNT(H9:H32)+12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bcdc4a8-da51-4b23-890b-b73db6418f7f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J64" sqref="J6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23-06-2023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590</v>
      </c>
      <c r="B9" s="54">
        <v>7.01</v>
      </c>
      <c r="C9" s="54">
        <v>23.41</v>
      </c>
      <c r="D9" s="54">
        <v>19.190000000000001</v>
      </c>
      <c r="E9" s="54">
        <v>2.2599999999999998</v>
      </c>
      <c r="F9" s="54">
        <v>6.34</v>
      </c>
      <c r="G9" s="55" t="s">
        <v>14</v>
      </c>
      <c r="H9" s="55" t="s">
        <v>14</v>
      </c>
      <c r="I9" s="54">
        <v>0.74</v>
      </c>
      <c r="J9" s="54">
        <v>1.08</v>
      </c>
      <c r="K9" s="54">
        <v>184.39</v>
      </c>
      <c r="L9" s="54">
        <v>23.54</v>
      </c>
      <c r="M9" s="54">
        <v>85.99</v>
      </c>
      <c r="N9" s="54">
        <v>42.90</v>
      </c>
      <c r="O9" s="54">
        <v>0</v>
      </c>
      <c r="P9" s="54">
        <v>0.76</v>
      </c>
      <c r="Q9" s="54">
        <v>25.14</v>
      </c>
      <c r="R9" s="43"/>
      <c r="S9" s="43"/>
      <c r="T9" s="43"/>
      <c r="U9" s="43"/>
    </row>
    <row r="10" spans="1:21" s="11" customFormat="1" ht="15">
      <c r="A10" s="53" t="s">
        <v>591</v>
      </c>
      <c r="B10" s="54">
        <v>3.97</v>
      </c>
      <c r="C10" s="54">
        <v>21.65</v>
      </c>
      <c r="D10" s="54">
        <v>15.77</v>
      </c>
      <c r="E10" s="54">
        <v>2.3199999999999998</v>
      </c>
      <c r="F10" s="54">
        <v>4.4800000000000004</v>
      </c>
      <c r="G10" s="55" t="s">
        <v>14</v>
      </c>
      <c r="H10" s="55" t="s">
        <v>14</v>
      </c>
      <c r="I10" s="54">
        <v>0.62</v>
      </c>
      <c r="J10" s="54">
        <v>1.07</v>
      </c>
      <c r="K10" s="54">
        <v>194.09</v>
      </c>
      <c r="L10" s="54">
        <v>23.19</v>
      </c>
      <c r="M10" s="54">
        <v>88.09</v>
      </c>
      <c r="N10" s="54">
        <v>42.5</v>
      </c>
      <c r="O10" s="54">
        <v>0</v>
      </c>
      <c r="P10" s="54">
        <v>0.61</v>
      </c>
      <c r="Q10" s="54">
        <v>23.53</v>
      </c>
      <c r="R10" s="43"/>
      <c r="S10" s="43"/>
      <c r="T10" s="43"/>
      <c r="U10" s="43"/>
    </row>
    <row r="11" spans="1:21" s="11" customFormat="1" ht="15">
      <c r="A11" s="53" t="s">
        <v>592</v>
      </c>
      <c r="B11" s="54">
        <v>2.96</v>
      </c>
      <c r="C11" s="54">
        <v>21.65</v>
      </c>
      <c r="D11" s="54">
        <v>14.47</v>
      </c>
      <c r="E11" s="54">
        <v>2.33</v>
      </c>
      <c r="F11" s="54">
        <v>10.80</v>
      </c>
      <c r="G11" s="54">
        <v>26.75</v>
      </c>
      <c r="H11" s="54">
        <v>12.17</v>
      </c>
      <c r="I11" s="54">
        <v>0.55000000000000004</v>
      </c>
      <c r="J11" s="54">
        <v>0.5</v>
      </c>
      <c r="K11" s="54">
        <v>266.18</v>
      </c>
      <c r="L11" s="54">
        <v>23.10</v>
      </c>
      <c r="M11" s="54">
        <v>90.14</v>
      </c>
      <c r="N11" s="54">
        <v>42.5</v>
      </c>
      <c r="O11" s="54">
        <v>0</v>
      </c>
      <c r="P11" s="54">
        <v>0.52</v>
      </c>
      <c r="Q11" s="54">
        <v>24.16</v>
      </c>
      <c r="R11" s="43"/>
      <c r="S11" s="43"/>
      <c r="T11" s="43"/>
      <c r="U11" s="43"/>
    </row>
    <row r="12" spans="1:21" s="11" customFormat="1" ht="15">
      <c r="A12" s="53" t="s">
        <v>593</v>
      </c>
      <c r="B12" s="54">
        <v>4.01</v>
      </c>
      <c r="C12" s="54">
        <v>20.05</v>
      </c>
      <c r="D12" s="54">
        <v>14.65</v>
      </c>
      <c r="E12" s="54">
        <v>1.75</v>
      </c>
      <c r="F12" s="54">
        <v>5.08</v>
      </c>
      <c r="G12" s="54">
        <v>29.85</v>
      </c>
      <c r="H12" s="54">
        <v>10.27</v>
      </c>
      <c r="I12" s="54">
        <v>0.55000000000000004</v>
      </c>
      <c r="J12" s="54">
        <v>0.06</v>
      </c>
      <c r="K12" s="54">
        <v>356.23</v>
      </c>
      <c r="L12" s="54">
        <v>23.03</v>
      </c>
      <c r="M12" s="54">
        <v>92.29</v>
      </c>
      <c r="N12" s="54">
        <v>42.5</v>
      </c>
      <c r="O12" s="54">
        <v>0.20</v>
      </c>
      <c r="P12" s="54">
        <v>0.48</v>
      </c>
      <c r="Q12" s="54">
        <v>23.69</v>
      </c>
      <c r="R12" s="43"/>
      <c r="S12" s="43"/>
      <c r="T12" s="43"/>
      <c r="U12" s="43"/>
    </row>
    <row r="13" spans="1:21" s="11" customFormat="1" ht="15">
      <c r="A13" s="53" t="s">
        <v>594</v>
      </c>
      <c r="B13" s="54">
        <v>3.44</v>
      </c>
      <c r="C13" s="54">
        <v>19.09</v>
      </c>
      <c r="D13" s="54">
        <v>13.68</v>
      </c>
      <c r="E13" s="54">
        <v>1.65</v>
      </c>
      <c r="F13" s="54">
        <v>6.08</v>
      </c>
      <c r="G13" s="54">
        <v>29.85</v>
      </c>
      <c r="H13" s="54">
        <v>11.35</v>
      </c>
      <c r="I13" s="54">
        <v>0.59</v>
      </c>
      <c r="J13" s="54">
        <v>0.22</v>
      </c>
      <c r="K13" s="54">
        <v>233.61</v>
      </c>
      <c r="L13" s="54">
        <v>22.38</v>
      </c>
      <c r="M13" s="54">
        <v>95.22</v>
      </c>
      <c r="N13" s="54">
        <v>42.90</v>
      </c>
      <c r="O13" s="54">
        <v>0</v>
      </c>
      <c r="P13" s="54">
        <v>0.41</v>
      </c>
      <c r="Q13" s="54">
        <v>20.190000000000001</v>
      </c>
      <c r="R13" s="43"/>
      <c r="S13" s="43"/>
      <c r="T13" s="43"/>
      <c r="U13" s="43"/>
    </row>
    <row r="14" spans="1:21" s="11" customFormat="1" ht="15">
      <c r="A14" s="53" t="s">
        <v>595</v>
      </c>
      <c r="B14" s="54">
        <v>4.5999999999999996</v>
      </c>
      <c r="C14" s="54">
        <v>20.010000000000002</v>
      </c>
      <c r="D14" s="54">
        <v>15.37</v>
      </c>
      <c r="E14" s="54">
        <v>2.09</v>
      </c>
      <c r="F14" s="54">
        <v>9.40</v>
      </c>
      <c r="G14" s="54">
        <v>20.04</v>
      </c>
      <c r="H14" s="54">
        <v>11.35</v>
      </c>
      <c r="I14" s="54">
        <v>0.56000000000000005</v>
      </c>
      <c r="J14" s="54">
        <v>0.16</v>
      </c>
      <c r="K14" s="54">
        <v>356.79</v>
      </c>
      <c r="L14" s="54">
        <v>22.31</v>
      </c>
      <c r="M14" s="54">
        <v>95.32</v>
      </c>
      <c r="N14" s="54">
        <v>62.60</v>
      </c>
      <c r="O14" s="54">
        <v>0</v>
      </c>
      <c r="P14" s="54">
        <v>0.37</v>
      </c>
      <c r="Q14" s="54">
        <v>23.38</v>
      </c>
      <c r="R14" s="43"/>
      <c r="S14" s="43"/>
      <c r="T14" s="43"/>
      <c r="U14" s="43"/>
    </row>
    <row r="15" spans="1:21" s="11" customFormat="1" ht="15">
      <c r="A15" s="53" t="s">
        <v>596</v>
      </c>
      <c r="B15" s="54">
        <v>5.30</v>
      </c>
      <c r="C15" s="54">
        <v>19.23</v>
      </c>
      <c r="D15" s="54">
        <v>15.14</v>
      </c>
      <c r="E15" s="54">
        <v>1.79</v>
      </c>
      <c r="F15" s="54">
        <v>4.6399999999999997</v>
      </c>
      <c r="G15" s="54">
        <v>22.38</v>
      </c>
      <c r="H15" s="54">
        <v>9.89</v>
      </c>
      <c r="I15" s="54">
        <v>0.62</v>
      </c>
      <c r="J15" s="54">
        <v>0.14000000000000001</v>
      </c>
      <c r="K15" s="54">
        <v>351.64</v>
      </c>
      <c r="L15" s="54">
        <v>22.84</v>
      </c>
      <c r="M15" s="54">
        <v>93.31</v>
      </c>
      <c r="N15" s="54">
        <v>128.19999999999999</v>
      </c>
      <c r="O15" s="54">
        <v>0</v>
      </c>
      <c r="P15" s="54">
        <v>0.36</v>
      </c>
      <c r="Q15" s="54">
        <v>22.26</v>
      </c>
      <c r="R15" s="43"/>
      <c r="S15" s="43"/>
      <c r="T15" s="43"/>
      <c r="U15" s="43"/>
    </row>
    <row r="16" spans="1:21" s="11" customFormat="1" ht="15">
      <c r="A16" s="53" t="s">
        <v>597</v>
      </c>
      <c r="B16" s="54">
        <v>4.97</v>
      </c>
      <c r="C16" s="54">
        <v>22.83</v>
      </c>
      <c r="D16" s="54">
        <v>17.21</v>
      </c>
      <c r="E16" s="54">
        <v>1.80</v>
      </c>
      <c r="F16" s="54">
        <v>4.09</v>
      </c>
      <c r="G16" s="54">
        <v>22.38</v>
      </c>
      <c r="H16" s="54">
        <v>9.89</v>
      </c>
      <c r="I16" s="54">
        <v>0.56999999999999995</v>
      </c>
      <c r="J16" s="54">
        <v>0.27</v>
      </c>
      <c r="K16" s="54">
        <v>42.69</v>
      </c>
      <c r="L16" s="54">
        <v>23.64</v>
      </c>
      <c r="M16" s="54">
        <v>89.97</v>
      </c>
      <c r="N16" s="54">
        <v>181.70</v>
      </c>
      <c r="O16" s="54">
        <v>0</v>
      </c>
      <c r="P16" s="54">
        <v>0.38</v>
      </c>
      <c r="Q16" s="54">
        <v>20.82</v>
      </c>
      <c r="R16" s="43"/>
      <c r="S16" s="43"/>
      <c r="T16" s="43"/>
      <c r="U16" s="43"/>
    </row>
    <row r="17" spans="1:21" s="11" customFormat="1" ht="15">
      <c r="A17" s="53" t="s">
        <v>598</v>
      </c>
      <c r="B17" s="54">
        <v>5.08</v>
      </c>
      <c r="C17" s="54">
        <v>21.98</v>
      </c>
      <c r="D17" s="54">
        <v>16.07</v>
      </c>
      <c r="E17" s="54">
        <v>0.68</v>
      </c>
      <c r="F17" s="54">
        <v>4.67</v>
      </c>
      <c r="G17" s="54">
        <v>19.62</v>
      </c>
      <c r="H17" s="54">
        <v>9.31</v>
      </c>
      <c r="I17" s="54">
        <v>0.57999999999999996</v>
      </c>
      <c r="J17" s="54">
        <v>0.28999999999999998</v>
      </c>
      <c r="K17" s="54">
        <v>43.24</v>
      </c>
      <c r="L17" s="54">
        <v>24.46</v>
      </c>
      <c r="M17" s="54">
        <v>85.06</v>
      </c>
      <c r="N17" s="54">
        <v>255.20</v>
      </c>
      <c r="O17" s="54">
        <v>0</v>
      </c>
      <c r="P17" s="54">
        <v>0.41</v>
      </c>
      <c r="Q17" s="54">
        <v>18.739999999999998</v>
      </c>
      <c r="R17" s="43"/>
      <c r="S17" s="43"/>
      <c r="T17" s="43"/>
      <c r="U17" s="43"/>
    </row>
    <row r="18" spans="1:21" s="11" customFormat="1" ht="15">
      <c r="A18" s="53" t="s">
        <v>599</v>
      </c>
      <c r="B18" s="54">
        <v>3.65</v>
      </c>
      <c r="C18" s="54">
        <v>22.14</v>
      </c>
      <c r="D18" s="54">
        <v>15.80</v>
      </c>
      <c r="E18" s="54">
        <v>0.89</v>
      </c>
      <c r="F18" s="54">
        <v>4.16</v>
      </c>
      <c r="G18" s="54">
        <v>19.86</v>
      </c>
      <c r="H18" s="54">
        <v>10.91</v>
      </c>
      <c r="I18" s="54">
        <v>0.55000000000000004</v>
      </c>
      <c r="J18" s="54">
        <v>0.28000000000000003</v>
      </c>
      <c r="K18" s="54">
        <v>32.43</v>
      </c>
      <c r="L18" s="54">
        <v>26.66</v>
      </c>
      <c r="M18" s="54">
        <v>82.33</v>
      </c>
      <c r="N18" s="54">
        <v>627.90</v>
      </c>
      <c r="O18" s="54">
        <v>0</v>
      </c>
      <c r="P18" s="54">
        <v>0.57999999999999996</v>
      </c>
      <c r="Q18" s="54">
        <v>16.440000000000001</v>
      </c>
      <c r="R18" s="43"/>
      <c r="S18" s="43"/>
      <c r="T18" s="43"/>
      <c r="U18" s="43"/>
    </row>
    <row r="19" spans="1:21" s="11" customFormat="1" ht="15">
      <c r="A19" s="53" t="s">
        <v>600</v>
      </c>
      <c r="B19" s="54">
        <v>1.94</v>
      </c>
      <c r="C19" s="54">
        <v>21.65</v>
      </c>
      <c r="D19" s="54">
        <v>13.87</v>
      </c>
      <c r="E19" s="54">
        <v>0.92</v>
      </c>
      <c r="F19" s="54">
        <v>6.32</v>
      </c>
      <c r="G19" s="54">
        <v>19.86</v>
      </c>
      <c r="H19" s="54">
        <v>10.91</v>
      </c>
      <c r="I19" s="54">
        <v>0.51</v>
      </c>
      <c r="J19" s="54">
        <v>0.21</v>
      </c>
      <c r="K19" s="54">
        <v>354.17</v>
      </c>
      <c r="L19" s="54">
        <v>27.79</v>
      </c>
      <c r="M19" s="54">
        <v>71.05</v>
      </c>
      <c r="N19" s="54">
        <v>615.5</v>
      </c>
      <c r="O19" s="54">
        <v>0</v>
      </c>
      <c r="P19" s="54">
        <v>0.56999999999999995</v>
      </c>
      <c r="Q19" s="54">
        <v>13.86</v>
      </c>
      <c r="R19" s="43"/>
      <c r="S19" s="43"/>
      <c r="T19" s="43"/>
      <c r="U19" s="43"/>
    </row>
    <row r="20" spans="1:21" s="11" customFormat="1" ht="15">
      <c r="A20" s="53" t="s">
        <v>601</v>
      </c>
      <c r="B20" s="54">
        <v>3.08</v>
      </c>
      <c r="C20" s="54">
        <v>35.369999999999997</v>
      </c>
      <c r="D20" s="54">
        <v>21.84</v>
      </c>
      <c r="E20" s="54">
        <v>0.82</v>
      </c>
      <c r="F20" s="54">
        <v>14.36</v>
      </c>
      <c r="G20" s="54">
        <v>20.65</v>
      </c>
      <c r="H20" s="54">
        <v>11.11</v>
      </c>
      <c r="I20" s="54">
        <v>0.53</v>
      </c>
      <c r="J20" s="54">
        <v>0.45</v>
      </c>
      <c r="K20" s="54">
        <v>353.67</v>
      </c>
      <c r="L20" s="54">
        <v>29.73</v>
      </c>
      <c r="M20" s="54">
        <v>65.83</v>
      </c>
      <c r="N20" s="54">
        <v>773.40</v>
      </c>
      <c r="O20" s="54">
        <v>0</v>
      </c>
      <c r="P20" s="54">
        <v>0.68</v>
      </c>
      <c r="Q20" s="54">
        <v>14.23</v>
      </c>
      <c r="R20" s="43"/>
      <c r="S20" s="43"/>
      <c r="T20" s="43"/>
      <c r="U20" s="43"/>
    </row>
    <row r="21" spans="1:21" s="11" customFormat="1" ht="15">
      <c r="A21" s="53" t="s">
        <v>602</v>
      </c>
      <c r="B21" s="54">
        <v>2.0099999999999998</v>
      </c>
      <c r="C21" s="54">
        <v>37.619999999999997</v>
      </c>
      <c r="D21" s="54">
        <v>23.02</v>
      </c>
      <c r="E21" s="54">
        <v>1.33</v>
      </c>
      <c r="F21" s="54">
        <v>7.79</v>
      </c>
      <c r="G21" s="56" t="s">
        <v>12</v>
      </c>
      <c r="H21" s="56" t="s">
        <v>12</v>
      </c>
      <c r="I21" s="54">
        <v>0.52</v>
      </c>
      <c r="J21" s="54">
        <v>0.39</v>
      </c>
      <c r="K21" s="54">
        <v>33.659999999999997</v>
      </c>
      <c r="L21" s="54">
        <v>28.29</v>
      </c>
      <c r="M21" s="54">
        <v>68.239999999999995</v>
      </c>
      <c r="N21" s="54">
        <v>321.20</v>
      </c>
      <c r="O21" s="54">
        <v>0</v>
      </c>
      <c r="P21" s="54">
        <v>1.05</v>
      </c>
      <c r="Q21" s="54">
        <v>16.07</v>
      </c>
      <c r="R21" s="43"/>
      <c r="S21" s="43"/>
      <c r="T21" s="43"/>
      <c r="U21" s="43"/>
    </row>
    <row r="22" spans="1:21" s="11" customFormat="1" ht="15">
      <c r="A22" s="53" t="s">
        <v>603</v>
      </c>
      <c r="B22" s="54">
        <v>1.30</v>
      </c>
      <c r="C22" s="54">
        <v>29.63</v>
      </c>
      <c r="D22" s="54">
        <v>17.989999999999998</v>
      </c>
      <c r="E22" s="54">
        <v>1.08</v>
      </c>
      <c r="F22" s="55" t="s">
        <v>14</v>
      </c>
      <c r="G22" s="56" t="s">
        <v>12</v>
      </c>
      <c r="H22" s="56" t="s">
        <v>12</v>
      </c>
      <c r="I22" s="54">
        <v>0.52</v>
      </c>
      <c r="J22" s="54">
        <v>0.53</v>
      </c>
      <c r="K22" s="54">
        <v>347.75</v>
      </c>
      <c r="L22" s="54">
        <v>28.48</v>
      </c>
      <c r="M22" s="54">
        <v>64.28</v>
      </c>
      <c r="N22" s="54">
        <v>221.90</v>
      </c>
      <c r="O22" s="54">
        <v>0</v>
      </c>
      <c r="P22" s="54">
        <v>1.05</v>
      </c>
      <c r="Q22" s="54">
        <v>13.85</v>
      </c>
      <c r="R22" s="43"/>
      <c r="S22" s="43"/>
      <c r="T22" s="43"/>
      <c r="U22" s="43"/>
    </row>
    <row r="23" spans="1:21" s="11" customFormat="1" ht="15">
      <c r="A23" s="53" t="s">
        <v>604</v>
      </c>
      <c r="B23" s="54">
        <v>2.2799999999999998</v>
      </c>
      <c r="C23" s="54">
        <v>24.03</v>
      </c>
      <c r="D23" s="54">
        <v>15.73</v>
      </c>
      <c r="E23" s="54">
        <v>0.99</v>
      </c>
      <c r="F23" s="54">
        <v>12.77</v>
      </c>
      <c r="G23" s="54">
        <v>50.14</v>
      </c>
      <c r="H23" s="54">
        <v>23.13</v>
      </c>
      <c r="I23" s="54">
        <v>0.54</v>
      </c>
      <c r="J23" s="54">
        <v>0.34</v>
      </c>
      <c r="K23" s="54">
        <v>353.04</v>
      </c>
      <c r="L23" s="54">
        <v>28.53</v>
      </c>
      <c r="M23" s="54">
        <v>64.88</v>
      </c>
      <c r="N23" s="54">
        <v>248.60</v>
      </c>
      <c r="O23" s="54">
        <v>0</v>
      </c>
      <c r="P23" s="54">
        <v>0.99</v>
      </c>
      <c r="Q23" s="54">
        <v>12.56</v>
      </c>
      <c r="R23" s="43"/>
      <c r="S23" s="43"/>
      <c r="T23" s="43"/>
      <c r="U23" s="43"/>
    </row>
    <row r="24" spans="1:21" s="11" customFormat="1" ht="15">
      <c r="A24" s="53" t="s">
        <v>605</v>
      </c>
      <c r="B24" s="54">
        <v>1.39</v>
      </c>
      <c r="C24" s="54">
        <v>23.73</v>
      </c>
      <c r="D24" s="54">
        <v>14.54</v>
      </c>
      <c r="E24" s="54">
        <v>0.98</v>
      </c>
      <c r="F24" s="54">
        <v>10.49</v>
      </c>
      <c r="G24" s="54">
        <v>47.91</v>
      </c>
      <c r="H24" s="54">
        <v>20.90</v>
      </c>
      <c r="I24" s="54">
        <v>0.56999999999999995</v>
      </c>
      <c r="J24" s="54">
        <v>0.66</v>
      </c>
      <c r="K24" s="54">
        <v>359.57</v>
      </c>
      <c r="L24" s="54">
        <v>29.18</v>
      </c>
      <c r="M24" s="54">
        <v>67.20</v>
      </c>
      <c r="N24" s="54">
        <v>270.89999999999998</v>
      </c>
      <c r="O24" s="54">
        <v>0</v>
      </c>
      <c r="P24" s="54">
        <v>0.91</v>
      </c>
      <c r="Q24" s="54">
        <v>11.71</v>
      </c>
      <c r="R24" s="43"/>
      <c r="S24" s="43"/>
      <c r="T24" s="43"/>
      <c r="U24" s="43"/>
    </row>
    <row r="25" spans="1:21" s="11" customFormat="1" ht="15">
      <c r="A25" s="53" t="s">
        <v>606</v>
      </c>
      <c r="B25" s="54">
        <v>1.18</v>
      </c>
      <c r="C25" s="54">
        <v>22.32</v>
      </c>
      <c r="D25" s="54">
        <v>13.77</v>
      </c>
      <c r="E25" s="54">
        <v>1.61</v>
      </c>
      <c r="F25" s="54">
        <v>10.220000000000001</v>
      </c>
      <c r="G25" s="54">
        <v>42.81</v>
      </c>
      <c r="H25" s="54">
        <v>22.55</v>
      </c>
      <c r="I25" s="54">
        <v>0.56000000000000005</v>
      </c>
      <c r="J25" s="54">
        <v>0.54</v>
      </c>
      <c r="K25" s="54">
        <v>358.39</v>
      </c>
      <c r="L25" s="54">
        <v>29.44</v>
      </c>
      <c r="M25" s="54">
        <v>67.83</v>
      </c>
      <c r="N25" s="54">
        <v>202.20</v>
      </c>
      <c r="O25" s="54">
        <v>0</v>
      </c>
      <c r="P25" s="54">
        <v>0.59</v>
      </c>
      <c r="Q25" s="54">
        <v>11.54</v>
      </c>
      <c r="R25" s="43"/>
      <c r="S25" s="43"/>
      <c r="T25" s="43"/>
      <c r="U25" s="43"/>
    </row>
    <row r="26" spans="1:21" s="11" customFormat="1" ht="15">
      <c r="A26" s="53" t="s">
        <v>607</v>
      </c>
      <c r="B26" s="54">
        <v>4.5199999999999996</v>
      </c>
      <c r="C26" s="54">
        <v>26.16</v>
      </c>
      <c r="D26" s="54">
        <v>18.71</v>
      </c>
      <c r="E26" s="54">
        <v>1.66</v>
      </c>
      <c r="F26" s="54">
        <v>18.93</v>
      </c>
      <c r="G26" s="54">
        <v>49.31</v>
      </c>
      <c r="H26" s="54">
        <v>23.14</v>
      </c>
      <c r="I26" s="54">
        <v>0.49</v>
      </c>
      <c r="J26" s="54">
        <v>0.57999999999999996</v>
      </c>
      <c r="K26" s="54">
        <v>357.75</v>
      </c>
      <c r="L26" s="54">
        <v>27.68</v>
      </c>
      <c r="M26" s="54">
        <v>70.540000000000006</v>
      </c>
      <c r="N26" s="54">
        <v>113.40</v>
      </c>
      <c r="O26" s="54">
        <v>0</v>
      </c>
      <c r="P26" s="54">
        <v>0.56999999999999995</v>
      </c>
      <c r="Q26" s="54">
        <v>13.13</v>
      </c>
      <c r="R26" s="43"/>
      <c r="S26" s="43"/>
      <c r="T26" s="43"/>
      <c r="U26" s="43"/>
    </row>
    <row r="27" spans="1:21" s="11" customFormat="1" ht="15">
      <c r="A27" s="53" t="s">
        <v>608</v>
      </c>
      <c r="B27" s="54">
        <v>3.99</v>
      </c>
      <c r="C27" s="54">
        <v>23.10</v>
      </c>
      <c r="D27" s="54">
        <v>16.16</v>
      </c>
      <c r="E27" s="54">
        <v>1.5</v>
      </c>
      <c r="F27" s="54">
        <v>5.60</v>
      </c>
      <c r="G27" s="54">
        <v>51.40</v>
      </c>
      <c r="H27" s="54">
        <v>23.89</v>
      </c>
      <c r="I27" s="54">
        <v>0.53</v>
      </c>
      <c r="J27" s="54">
        <v>0.47</v>
      </c>
      <c r="K27" s="54">
        <v>352.57</v>
      </c>
      <c r="L27" s="54">
        <v>26.88</v>
      </c>
      <c r="M27" s="54">
        <v>73.02</v>
      </c>
      <c r="N27" s="54">
        <v>39.60</v>
      </c>
      <c r="O27" s="54">
        <v>0</v>
      </c>
      <c r="P27" s="54">
        <v>0.65</v>
      </c>
      <c r="Q27" s="54">
        <v>11.34</v>
      </c>
      <c r="R27" s="43"/>
      <c r="S27" s="43"/>
      <c r="T27" s="43"/>
      <c r="U27" s="43"/>
    </row>
    <row r="28" spans="1:21" s="11" customFormat="1" ht="15">
      <c r="A28" s="53" t="s">
        <v>609</v>
      </c>
      <c r="B28" s="54">
        <v>5.23</v>
      </c>
      <c r="C28" s="54">
        <v>26.34</v>
      </c>
      <c r="D28" s="54">
        <v>19.38</v>
      </c>
      <c r="E28" s="54">
        <v>1.46</v>
      </c>
      <c r="F28" s="54">
        <v>10.83</v>
      </c>
      <c r="G28" s="54">
        <v>53.61</v>
      </c>
      <c r="H28" s="54">
        <v>18.95</v>
      </c>
      <c r="I28" s="54">
        <v>0.61</v>
      </c>
      <c r="J28" s="54">
        <v>0.31</v>
      </c>
      <c r="K28" s="54">
        <v>22.48</v>
      </c>
      <c r="L28" s="54">
        <v>26.29</v>
      </c>
      <c r="M28" s="54">
        <v>69.989999999999995</v>
      </c>
      <c r="N28" s="54">
        <v>23.80</v>
      </c>
      <c r="O28" s="54">
        <v>0</v>
      </c>
      <c r="P28" s="54">
        <v>0.71</v>
      </c>
      <c r="Q28" s="54">
        <v>13.28</v>
      </c>
      <c r="R28" s="43"/>
      <c r="S28" s="43"/>
      <c r="T28" s="43"/>
      <c r="U28" s="43"/>
    </row>
    <row r="29" spans="1:21" s="11" customFormat="1" ht="15">
      <c r="A29" s="53" t="s">
        <v>610</v>
      </c>
      <c r="B29" s="54">
        <v>5.56</v>
      </c>
      <c r="C29" s="54">
        <v>29.80</v>
      </c>
      <c r="D29" s="54">
        <v>21.55</v>
      </c>
      <c r="E29" s="54">
        <v>1.57</v>
      </c>
      <c r="F29" s="54">
        <v>10.52</v>
      </c>
      <c r="G29" s="54">
        <v>45.69</v>
      </c>
      <c r="H29" s="54">
        <v>12.58</v>
      </c>
      <c r="I29" s="54">
        <v>0.63</v>
      </c>
      <c r="J29" s="54">
        <v>0.14000000000000001</v>
      </c>
      <c r="K29" s="54">
        <v>41.79</v>
      </c>
      <c r="L29" s="54">
        <v>26.02</v>
      </c>
      <c r="M29" s="54">
        <v>77.760000000000005</v>
      </c>
      <c r="N29" s="54">
        <v>24.10</v>
      </c>
      <c r="O29" s="54">
        <v>0</v>
      </c>
      <c r="P29" s="54">
        <v>0.75</v>
      </c>
      <c r="Q29" s="54">
        <v>14.86</v>
      </c>
      <c r="R29" s="43"/>
      <c r="S29" s="43"/>
      <c r="T29" s="43"/>
      <c r="U29" s="43"/>
    </row>
    <row r="30" spans="1:21" s="11" customFormat="1" ht="15">
      <c r="A30" s="53" t="s">
        <v>611</v>
      </c>
      <c r="B30" s="54">
        <v>3.17</v>
      </c>
      <c r="C30" s="54">
        <v>18.440000000000001</v>
      </c>
      <c r="D30" s="54">
        <v>13.20</v>
      </c>
      <c r="E30" s="54">
        <v>1.1200000000000001</v>
      </c>
      <c r="F30" s="54">
        <v>4.32</v>
      </c>
      <c r="G30" s="54">
        <v>46.99</v>
      </c>
      <c r="H30" s="54">
        <v>14.40</v>
      </c>
      <c r="I30" s="54">
        <v>0.62</v>
      </c>
      <c r="J30" s="54">
        <v>0.09</v>
      </c>
      <c r="K30" s="54">
        <v>350.43</v>
      </c>
      <c r="L30" s="54">
        <v>24.80</v>
      </c>
      <c r="M30" s="54">
        <v>79.63</v>
      </c>
      <c r="N30" s="54">
        <v>23.80</v>
      </c>
      <c r="O30" s="54">
        <v>0</v>
      </c>
      <c r="P30" s="54">
        <v>0.71</v>
      </c>
      <c r="Q30" s="54">
        <v>11.61</v>
      </c>
      <c r="R30" s="43"/>
      <c r="S30" s="43"/>
      <c r="T30" s="43"/>
      <c r="U30" s="43"/>
    </row>
    <row r="31" spans="1:21" s="11" customFormat="1" ht="15">
      <c r="A31" s="53" t="s">
        <v>612</v>
      </c>
      <c r="B31" s="54">
        <v>2.2200000000000002</v>
      </c>
      <c r="C31" s="54">
        <v>20.89</v>
      </c>
      <c r="D31" s="54">
        <v>13.95</v>
      </c>
      <c r="E31" s="54">
        <v>1.1299999999999999</v>
      </c>
      <c r="F31" s="54">
        <v>6.25</v>
      </c>
      <c r="G31" s="54">
        <v>37.79</v>
      </c>
      <c r="H31" s="54">
        <v>11.17</v>
      </c>
      <c r="I31" s="54">
        <v>0.55000000000000004</v>
      </c>
      <c r="J31" s="54">
        <v>0.31</v>
      </c>
      <c r="K31" s="54">
        <v>51.94</v>
      </c>
      <c r="L31" s="54">
        <v>24.36</v>
      </c>
      <c r="M31" s="54">
        <v>81.39</v>
      </c>
      <c r="N31" s="54">
        <v>23.80</v>
      </c>
      <c r="O31" s="54">
        <v>0</v>
      </c>
      <c r="P31" s="54">
        <v>0.62</v>
      </c>
      <c r="Q31" s="54">
        <v>13</v>
      </c>
      <c r="R31" s="43"/>
      <c r="S31" s="43"/>
      <c r="T31" s="43"/>
      <c r="U31" s="43"/>
    </row>
    <row r="32" spans="1:21" s="11" customFormat="1" ht="15">
      <c r="A32" s="53" t="s">
        <v>613</v>
      </c>
      <c r="B32" s="54">
        <v>2.5099999999999998</v>
      </c>
      <c r="C32" s="54">
        <v>19.59</v>
      </c>
      <c r="D32" s="54">
        <v>13.47</v>
      </c>
      <c r="E32" s="54">
        <v>1</v>
      </c>
      <c r="F32" s="54">
        <v>5.0999999999999996</v>
      </c>
      <c r="G32" s="54">
        <v>35.04</v>
      </c>
      <c r="H32" s="54">
        <v>11.35</v>
      </c>
      <c r="I32" s="54">
        <v>0.61</v>
      </c>
      <c r="J32" s="54">
        <v>0.33</v>
      </c>
      <c r="K32" s="54">
        <v>46.46</v>
      </c>
      <c r="L32" s="54">
        <v>24.09</v>
      </c>
      <c r="M32" s="54">
        <v>85.94</v>
      </c>
      <c r="N32" s="54">
        <v>24</v>
      </c>
      <c r="O32" s="54">
        <v>0</v>
      </c>
      <c r="P32" s="54">
        <v>0.56999999999999995</v>
      </c>
      <c r="Q32" s="54">
        <v>13.53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1.1799999999999999</v>
      </c>
      <c r="C34" s="28">
        <f t="shared" si="0"/>
        <v>18.440000000000001</v>
      </c>
      <c r="D34" s="28">
        <f t="shared" si="0"/>
        <v>13.199999999999999</v>
      </c>
      <c r="E34" s="28">
        <f t="shared" si="0"/>
        <v>0.68000000000000005</v>
      </c>
      <c r="F34" s="28">
        <f t="shared" si="0"/>
        <v>4.0899999999999999</v>
      </c>
      <c r="G34" s="28">
        <f t="shared" si="0"/>
        <v>19.620000000000001</v>
      </c>
      <c r="H34" s="28">
        <f t="shared" si="0"/>
        <v>9.3100000000000005</v>
      </c>
      <c r="I34" s="28">
        <f t="shared" si="0"/>
        <v>0.48999999999999999</v>
      </c>
      <c r="J34" s="28">
        <f t="shared" si="0"/>
        <v>0.059999999999999998</v>
      </c>
      <c r="K34" s="28">
        <f t="shared" si="0"/>
        <v>22.48</v>
      </c>
      <c r="L34" s="28">
        <f t="shared" si="0"/>
        <v>22.309999999999999</v>
      </c>
      <c r="M34" s="28">
        <f t="shared" si="0"/>
        <v>64.280000000000001</v>
      </c>
      <c r="N34" s="28">
        <f t="shared" si="0"/>
        <v>23.800000000000001</v>
      </c>
      <c r="O34" s="28">
        <f t="shared" si="0"/>
        <v>0</v>
      </c>
      <c r="P34" s="28">
        <f t="shared" si="0"/>
        <v>0.35999999999999999</v>
      </c>
      <c r="Q34" s="28">
        <f t="shared" si="0"/>
        <v>11.34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7.0099999999999998</v>
      </c>
      <c r="C35" s="29">
        <f t="shared" si="1"/>
        <v>37.619999999999997</v>
      </c>
      <c r="D35" s="29">
        <f t="shared" si="1"/>
        <v>23.02</v>
      </c>
      <c r="E35" s="29">
        <f t="shared" si="1"/>
        <v>2.3300000000000001</v>
      </c>
      <c r="F35" s="29">
        <f t="shared" si="1"/>
        <v>18.93</v>
      </c>
      <c r="G35" s="29">
        <f t="shared" si="1"/>
        <v>53.609999999999999</v>
      </c>
      <c r="H35" s="29">
        <f t="shared" si="1"/>
        <v>23.890000000000001</v>
      </c>
      <c r="I35" s="29">
        <f t="shared" si="1"/>
        <v>0.73999999999999999</v>
      </c>
      <c r="J35" s="29">
        <f t="shared" si="1"/>
        <v>1.0800000000000001</v>
      </c>
      <c r="K35" s="29">
        <f t="shared" si="1"/>
        <v>359.56999999999999</v>
      </c>
      <c r="L35" s="29">
        <f t="shared" si="1"/>
        <v>29.73</v>
      </c>
      <c r="M35" s="29">
        <f t="shared" si="1"/>
        <v>95.319999999999993</v>
      </c>
      <c r="N35" s="29">
        <f t="shared" si="1"/>
        <v>773.39999999999998</v>
      </c>
      <c r="O35" s="29">
        <f t="shared" si="1"/>
        <v>0.20000000000000001</v>
      </c>
      <c r="P35" s="29">
        <f t="shared" si="1"/>
        <v>1.05</v>
      </c>
      <c r="Q35" s="29">
        <f t="shared" si="1"/>
        <v>25.140000000000001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3.5570833333333334</v>
      </c>
      <c r="C36" s="28">
        <f t="shared" si="2"/>
        <v>23.779583333333338</v>
      </c>
      <c r="D36" s="28">
        <f t="shared" si="2"/>
        <v>16.438750000000002</v>
      </c>
      <c r="E36" s="28">
        <f t="shared" si="2"/>
        <v>1.4470833333333335</v>
      </c>
      <c r="F36" s="28">
        <f t="shared" si="2"/>
        <v>7.9669565217391307</v>
      </c>
      <c r="G36" s="28">
        <f t="shared" si="2"/>
        <v>34.596500000000006</v>
      </c>
      <c r="H36" s="28">
        <f t="shared" si="2"/>
        <v>14.461000000000002</v>
      </c>
      <c r="I36" s="28">
        <f t="shared" si="2"/>
        <v>0.57166666666666666</v>
      </c>
      <c r="J36" s="28">
        <f t="shared" si="2"/>
        <v>0.39250000000000013</v>
      </c>
      <c r="K36" s="28">
        <f t="shared" si="2"/>
        <v>226.87333333333331</v>
      </c>
      <c r="L36" s="28">
        <f t="shared" si="2"/>
        <v>25.696250000000006</v>
      </c>
      <c r="M36" s="28">
        <f t="shared" si="2"/>
        <v>79.387500000000003</v>
      </c>
      <c r="N36" s="28">
        <f t="shared" si="2"/>
        <v>183.12916666666672</v>
      </c>
      <c r="O36" s="28">
        <f t="shared" si="2"/>
        <v>0.0083333333333333332</v>
      </c>
      <c r="P36" s="28">
        <f t="shared" si="2"/>
        <v>0.63750000000000007</v>
      </c>
      <c r="Q36" s="28">
        <f t="shared" si="2"/>
        <v>16.78833333333333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1.5377184656854905</v>
      </c>
      <c r="C37" s="28">
        <f t="shared" si="3" ref="C37:Q37">STDEV(C9:C32)</f>
        <v>4.9213001809495678</v>
      </c>
      <c r="D37" s="28">
        <f t="shared" si="3"/>
        <v>2.8353411151271311</v>
      </c>
      <c r="E37" s="28">
        <f t="shared" si="3"/>
        <v>0.49490867990900644</v>
      </c>
      <c r="F37" s="28">
        <f t="shared" si="3"/>
        <v>3.8808532740091244</v>
      </c>
      <c r="G37" s="28">
        <f t="shared" si="3"/>
        <v>12.781280833188884</v>
      </c>
      <c r="H37" s="28">
        <f t="shared" si="3"/>
        <v>5.3183712386010562</v>
      </c>
      <c r="I37" s="28">
        <f t="shared" si="3"/>
        <v>0.052969775357738447</v>
      </c>
      <c r="J37" s="28">
        <f t="shared" si="3"/>
        <v>0.26416809536485575</v>
      </c>
      <c r="K37" s="28">
        <f t="shared" si="3"/>
        <v>144.69251976298685</v>
      </c>
      <c r="L37" s="28">
        <f t="shared" si="3"/>
        <v>2.4879235492587788</v>
      </c>
      <c r="M37" s="28">
        <f t="shared" si="3"/>
        <v>10.648089132511567</v>
      </c>
      <c r="N37" s="28">
        <f t="shared" si="3"/>
        <v>212.61694782783229</v>
      </c>
      <c r="O37" s="28">
        <f t="shared" si="3"/>
        <v>0.040824829046386311</v>
      </c>
      <c r="P37" s="28">
        <f t="shared" si="3"/>
        <v>0.20390215044604473</v>
      </c>
      <c r="Q37" s="28">
        <f t="shared" si="3"/>
        <v>4.7943868145505588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COUNT(F9:F32)+1</f>
        <v>24</v>
      </c>
      <c r="G38" s="32">
        <f>COUNT(G9:G32)+4</f>
        <v>24</v>
      </c>
      <c r="H38" s="32">
        <f>COUNT(H9:H32)+4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8b5fa23-a9c6-461f-99a8-fe07a9495683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L61" sqref="L61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24-06-2023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614</v>
      </c>
      <c r="B9" s="54">
        <v>2.36</v>
      </c>
      <c r="C9" s="54">
        <v>17.22</v>
      </c>
      <c r="D9" s="54">
        <v>11.97</v>
      </c>
      <c r="E9" s="54">
        <v>1.28</v>
      </c>
      <c r="F9" s="54">
        <v>3.55</v>
      </c>
      <c r="G9" s="54">
        <v>37.10</v>
      </c>
      <c r="H9" s="54">
        <v>11.56</v>
      </c>
      <c r="I9" s="54">
        <v>0.53</v>
      </c>
      <c r="J9" s="54">
        <v>0.26</v>
      </c>
      <c r="K9" s="54">
        <v>45.59</v>
      </c>
      <c r="L9" s="54">
        <v>23.80</v>
      </c>
      <c r="M9" s="54">
        <v>88.66</v>
      </c>
      <c r="N9" s="54">
        <v>24</v>
      </c>
      <c r="O9" s="54">
        <v>0</v>
      </c>
      <c r="P9" s="54">
        <v>0.53</v>
      </c>
      <c r="Q9" s="54">
        <v>10.94</v>
      </c>
      <c r="R9" s="43"/>
      <c r="S9" s="43"/>
      <c r="T9" s="43"/>
      <c r="U9" s="43"/>
    </row>
    <row r="10" spans="1:21" s="11" customFormat="1" ht="15">
      <c r="A10" s="53" t="s">
        <v>615</v>
      </c>
      <c r="B10" s="54">
        <v>2.57</v>
      </c>
      <c r="C10" s="54">
        <v>19.28</v>
      </c>
      <c r="D10" s="54">
        <v>13.35</v>
      </c>
      <c r="E10" s="54">
        <v>1.60</v>
      </c>
      <c r="F10" s="54">
        <v>7.48</v>
      </c>
      <c r="G10" s="54">
        <v>40.68</v>
      </c>
      <c r="H10" s="54">
        <v>11.45</v>
      </c>
      <c r="I10" s="54">
        <v>0.53</v>
      </c>
      <c r="J10" s="54">
        <v>0.12</v>
      </c>
      <c r="K10" s="54">
        <v>33.840000000000003</v>
      </c>
      <c r="L10" s="54">
        <v>23.71</v>
      </c>
      <c r="M10" s="54">
        <v>88.30</v>
      </c>
      <c r="N10" s="54">
        <v>24</v>
      </c>
      <c r="O10" s="54">
        <v>0</v>
      </c>
      <c r="P10" s="54">
        <v>0.56000000000000005</v>
      </c>
      <c r="Q10" s="54">
        <v>12.98</v>
      </c>
      <c r="R10" s="43"/>
      <c r="S10" s="43"/>
      <c r="T10" s="43"/>
      <c r="U10" s="43"/>
    </row>
    <row r="11" spans="1:21" s="11" customFormat="1" ht="15">
      <c r="A11" s="53" t="s">
        <v>616</v>
      </c>
      <c r="B11" s="54">
        <v>3.45</v>
      </c>
      <c r="C11" s="54">
        <v>17.84</v>
      </c>
      <c r="D11" s="54">
        <v>13.02</v>
      </c>
      <c r="E11" s="54">
        <v>1.22</v>
      </c>
      <c r="F11" s="54">
        <v>6.28</v>
      </c>
      <c r="G11" s="54">
        <v>38.06</v>
      </c>
      <c r="H11" s="54">
        <v>11.44</v>
      </c>
      <c r="I11" s="54">
        <v>0.52</v>
      </c>
      <c r="J11" s="54">
        <v>0.18</v>
      </c>
      <c r="K11" s="54">
        <v>41.47</v>
      </c>
      <c r="L11" s="54">
        <v>23.60</v>
      </c>
      <c r="M11" s="54">
        <v>88.93</v>
      </c>
      <c r="N11" s="54">
        <v>24.10</v>
      </c>
      <c r="O11" s="54">
        <v>0</v>
      </c>
      <c r="P11" s="54">
        <v>0.56999999999999995</v>
      </c>
      <c r="Q11" s="54">
        <v>14.61</v>
      </c>
      <c r="R11" s="43"/>
      <c r="S11" s="43"/>
      <c r="T11" s="43"/>
      <c r="U11" s="43"/>
    </row>
    <row r="12" spans="1:21" s="11" customFormat="1" ht="15">
      <c r="A12" s="53" t="s">
        <v>617</v>
      </c>
      <c r="B12" s="54">
        <v>2.78</v>
      </c>
      <c r="C12" s="54">
        <v>16.02</v>
      </c>
      <c r="D12" s="54">
        <v>11.72</v>
      </c>
      <c r="E12" s="54">
        <v>1.66</v>
      </c>
      <c r="F12" s="54">
        <v>3.43</v>
      </c>
      <c r="G12" s="54">
        <v>37.10</v>
      </c>
      <c r="H12" s="54">
        <v>14.08</v>
      </c>
      <c r="I12" s="54">
        <v>0.55000000000000004</v>
      </c>
      <c r="J12" s="54">
        <v>0.15</v>
      </c>
      <c r="K12" s="54">
        <v>255.62</v>
      </c>
      <c r="L12" s="54">
        <v>23.37</v>
      </c>
      <c r="M12" s="54">
        <v>89.42</v>
      </c>
      <c r="N12" s="54">
        <v>24.20</v>
      </c>
      <c r="O12" s="54">
        <v>0</v>
      </c>
      <c r="P12" s="54">
        <v>0.49</v>
      </c>
      <c r="Q12" s="54">
        <v>12.15</v>
      </c>
      <c r="R12" s="43"/>
      <c r="S12" s="43"/>
      <c r="T12" s="43"/>
      <c r="U12" s="43"/>
    </row>
    <row r="13" spans="1:21" s="11" customFormat="1" ht="15">
      <c r="A13" s="53" t="s">
        <v>618</v>
      </c>
      <c r="B13" s="54">
        <v>6.57</v>
      </c>
      <c r="C13" s="54">
        <v>16.97</v>
      </c>
      <c r="D13" s="54">
        <v>15.28</v>
      </c>
      <c r="E13" s="54">
        <v>1.78</v>
      </c>
      <c r="F13" s="54">
        <v>7.09</v>
      </c>
      <c r="G13" s="54">
        <v>34.10</v>
      </c>
      <c r="H13" s="54">
        <v>10.88</v>
      </c>
      <c r="I13" s="54">
        <v>0.51</v>
      </c>
      <c r="J13" s="54">
        <v>0.14000000000000001</v>
      </c>
      <c r="K13" s="54">
        <v>37.409999999999997</v>
      </c>
      <c r="L13" s="54">
        <v>23.17</v>
      </c>
      <c r="M13" s="54">
        <v>90.02</v>
      </c>
      <c r="N13" s="54">
        <v>24.40</v>
      </c>
      <c r="O13" s="54">
        <v>0</v>
      </c>
      <c r="P13" s="54">
        <v>0.40</v>
      </c>
      <c r="Q13" s="54">
        <v>13.46</v>
      </c>
      <c r="R13" s="43"/>
      <c r="S13" s="43"/>
      <c r="T13" s="43"/>
      <c r="U13" s="43"/>
    </row>
    <row r="14" spans="1:21" s="11" customFormat="1" ht="15">
      <c r="A14" s="53" t="s">
        <v>619</v>
      </c>
      <c r="B14" s="54">
        <v>4.82</v>
      </c>
      <c r="C14" s="54">
        <v>16.899999999999999</v>
      </c>
      <c r="D14" s="54">
        <v>13.84</v>
      </c>
      <c r="E14" s="54">
        <v>2</v>
      </c>
      <c r="F14" s="54">
        <v>6.80</v>
      </c>
      <c r="G14" s="54">
        <v>38.35</v>
      </c>
      <c r="H14" s="54">
        <v>12.70</v>
      </c>
      <c r="I14" s="54">
        <v>0.56000000000000005</v>
      </c>
      <c r="J14" s="54">
        <v>0.19</v>
      </c>
      <c r="K14" s="54">
        <v>48.08</v>
      </c>
      <c r="L14" s="54">
        <v>23.05</v>
      </c>
      <c r="M14" s="54">
        <v>90.56</v>
      </c>
      <c r="N14" s="54">
        <v>41.70</v>
      </c>
      <c r="O14" s="54">
        <v>0</v>
      </c>
      <c r="P14" s="54">
        <v>0.39</v>
      </c>
      <c r="Q14" s="54">
        <v>15.16</v>
      </c>
      <c r="R14" s="43"/>
      <c r="S14" s="43"/>
      <c r="T14" s="43"/>
      <c r="U14" s="43"/>
    </row>
    <row r="15" spans="1:21" s="11" customFormat="1" ht="15">
      <c r="A15" s="53" t="s">
        <v>620</v>
      </c>
      <c r="B15" s="54">
        <v>4.78</v>
      </c>
      <c r="C15" s="54">
        <v>15.5</v>
      </c>
      <c r="D15" s="54">
        <v>13.03</v>
      </c>
      <c r="E15" s="54">
        <v>1.47</v>
      </c>
      <c r="F15" s="54">
        <v>3.70</v>
      </c>
      <c r="G15" s="54">
        <v>35.020000000000003</v>
      </c>
      <c r="H15" s="54">
        <v>15.13</v>
      </c>
      <c r="I15" s="54">
        <v>0.56999999999999995</v>
      </c>
      <c r="J15" s="54">
        <v>0.19</v>
      </c>
      <c r="K15" s="54">
        <v>45.39</v>
      </c>
      <c r="L15" s="54">
        <v>23.61</v>
      </c>
      <c r="M15" s="54">
        <v>89.49</v>
      </c>
      <c r="N15" s="54">
        <v>108.20</v>
      </c>
      <c r="O15" s="54">
        <v>0</v>
      </c>
      <c r="P15" s="54">
        <v>0.39</v>
      </c>
      <c r="Q15" s="54">
        <v>12.70</v>
      </c>
      <c r="R15" s="43"/>
      <c r="S15" s="43"/>
      <c r="T15" s="43"/>
      <c r="U15" s="43"/>
    </row>
    <row r="16" spans="1:21" s="11" customFormat="1" ht="15">
      <c r="A16" s="53" t="s">
        <v>621</v>
      </c>
      <c r="B16" s="54">
        <v>6.38</v>
      </c>
      <c r="C16" s="54">
        <v>16.899999999999999</v>
      </c>
      <c r="D16" s="54">
        <v>15.08</v>
      </c>
      <c r="E16" s="54">
        <v>1.71</v>
      </c>
      <c r="F16" s="54">
        <v>5.20</v>
      </c>
      <c r="G16" s="54">
        <v>30.44</v>
      </c>
      <c r="H16" s="54">
        <v>16.46</v>
      </c>
      <c r="I16" s="54">
        <v>0.55000000000000004</v>
      </c>
      <c r="J16" s="54">
        <v>0.20</v>
      </c>
      <c r="K16" s="54">
        <v>36.340000000000003</v>
      </c>
      <c r="L16" s="54">
        <v>24.47</v>
      </c>
      <c r="M16" s="54">
        <v>84.99</v>
      </c>
      <c r="N16" s="54">
        <v>160.5</v>
      </c>
      <c r="O16" s="54">
        <v>0</v>
      </c>
      <c r="P16" s="54">
        <v>0.56999999999999995</v>
      </c>
      <c r="Q16" s="54">
        <v>14.56</v>
      </c>
      <c r="R16" s="43"/>
      <c r="S16" s="43"/>
      <c r="T16" s="43"/>
      <c r="U16" s="43"/>
    </row>
    <row r="17" spans="1:21" s="11" customFormat="1" ht="15">
      <c r="A17" s="53" t="s">
        <v>622</v>
      </c>
      <c r="B17" s="54">
        <v>6.68</v>
      </c>
      <c r="C17" s="54">
        <v>20.72</v>
      </c>
      <c r="D17" s="54">
        <v>16.54</v>
      </c>
      <c r="E17" s="54">
        <v>2.5099999999999998</v>
      </c>
      <c r="F17" s="54">
        <v>4.13</v>
      </c>
      <c r="G17" s="54">
        <v>32.54</v>
      </c>
      <c r="H17" s="54">
        <v>17.739999999999998</v>
      </c>
      <c r="I17" s="54">
        <v>0.53</v>
      </c>
      <c r="J17" s="54">
        <v>0.31</v>
      </c>
      <c r="K17" s="54">
        <v>29.88</v>
      </c>
      <c r="L17" s="54">
        <v>25.26</v>
      </c>
      <c r="M17" s="54">
        <v>78.400000000000006</v>
      </c>
      <c r="N17" s="54">
        <v>186</v>
      </c>
      <c r="O17" s="54">
        <v>0</v>
      </c>
      <c r="P17" s="54">
        <v>0.71</v>
      </c>
      <c r="Q17" s="54">
        <v>15.40</v>
      </c>
      <c r="R17" s="43"/>
      <c r="S17" s="43"/>
      <c r="T17" s="43"/>
      <c r="U17" s="43"/>
    </row>
    <row r="18" spans="1:21" s="11" customFormat="1" ht="15">
      <c r="A18" s="53" t="s">
        <v>623</v>
      </c>
      <c r="B18" s="54">
        <v>5.03</v>
      </c>
      <c r="C18" s="54">
        <v>20.91</v>
      </c>
      <c r="D18" s="54">
        <v>16.22</v>
      </c>
      <c r="E18" s="54">
        <v>2</v>
      </c>
      <c r="F18" s="54">
        <v>4.3899999999999997</v>
      </c>
      <c r="G18" s="54">
        <v>34.33</v>
      </c>
      <c r="H18" s="54">
        <v>17.23</v>
      </c>
      <c r="I18" s="54">
        <v>0.60</v>
      </c>
      <c r="J18" s="54">
        <v>0.28999999999999998</v>
      </c>
      <c r="K18" s="54">
        <v>15.86</v>
      </c>
      <c r="L18" s="54">
        <v>27.68</v>
      </c>
      <c r="M18" s="54">
        <v>71.930000000000007</v>
      </c>
      <c r="N18" s="54">
        <v>413.60</v>
      </c>
      <c r="O18" s="54">
        <v>0</v>
      </c>
      <c r="P18" s="54">
        <v>0.68</v>
      </c>
      <c r="Q18" s="54">
        <v>12.88</v>
      </c>
      <c r="R18" s="43"/>
      <c r="S18" s="43"/>
      <c r="T18" s="43"/>
      <c r="U18" s="43"/>
    </row>
    <row r="19" spans="1:21" s="11" customFormat="1" ht="15">
      <c r="A19" s="53" t="s">
        <v>624</v>
      </c>
      <c r="B19" s="54">
        <v>5.93</v>
      </c>
      <c r="C19" s="54">
        <v>22.98</v>
      </c>
      <c r="D19" s="54">
        <v>18.079999999999998</v>
      </c>
      <c r="E19" s="54">
        <v>2.31</v>
      </c>
      <c r="F19" s="54">
        <v>11.64</v>
      </c>
      <c r="G19" s="54">
        <v>26.90</v>
      </c>
      <c r="H19" s="54">
        <v>16.57</v>
      </c>
      <c r="I19" s="54">
        <v>0.56999999999999995</v>
      </c>
      <c r="J19" s="54">
        <v>0.28000000000000003</v>
      </c>
      <c r="K19" s="54">
        <v>21.84</v>
      </c>
      <c r="L19" s="54">
        <v>27.16</v>
      </c>
      <c r="M19" s="54">
        <v>66.180000000000007</v>
      </c>
      <c r="N19" s="54">
        <v>245.80</v>
      </c>
      <c r="O19" s="54">
        <v>0</v>
      </c>
      <c r="P19" s="54">
        <v>0.66</v>
      </c>
      <c r="Q19" s="54">
        <v>12.64</v>
      </c>
      <c r="R19" s="43"/>
      <c r="S19" s="43"/>
      <c r="T19" s="43"/>
      <c r="U19" s="43"/>
    </row>
    <row r="20" spans="1:21" s="11" customFormat="1" ht="15">
      <c r="A20" s="53" t="s">
        <v>625</v>
      </c>
      <c r="B20" s="54">
        <v>5.22</v>
      </c>
      <c r="C20" s="54">
        <v>20.66</v>
      </c>
      <c r="D20" s="54">
        <v>16.239999999999998</v>
      </c>
      <c r="E20" s="54">
        <v>2.21</v>
      </c>
      <c r="F20" s="54">
        <v>9.81</v>
      </c>
      <c r="G20" s="54">
        <v>38.479999999999997</v>
      </c>
      <c r="H20" s="54">
        <v>16.98</v>
      </c>
      <c r="I20" s="54">
        <v>0.55000000000000004</v>
      </c>
      <c r="J20" s="54">
        <v>0.40</v>
      </c>
      <c r="K20" s="54">
        <v>359.81</v>
      </c>
      <c r="L20" s="54">
        <v>28.08</v>
      </c>
      <c r="M20" s="54">
        <v>64.38</v>
      </c>
      <c r="N20" s="54">
        <v>284.30</v>
      </c>
      <c r="O20" s="54">
        <v>0</v>
      </c>
      <c r="P20" s="54">
        <v>0.66</v>
      </c>
      <c r="Q20" s="54">
        <v>13.02</v>
      </c>
      <c r="R20" s="43"/>
      <c r="S20" s="43"/>
      <c r="T20" s="43"/>
      <c r="U20" s="43"/>
    </row>
    <row r="21" spans="1:21" s="11" customFormat="1" ht="15">
      <c r="A21" s="53" t="s">
        <v>626</v>
      </c>
      <c r="B21" s="54">
        <v>2.76</v>
      </c>
      <c r="C21" s="54">
        <v>22.73</v>
      </c>
      <c r="D21" s="54">
        <v>15.29</v>
      </c>
      <c r="E21" s="54">
        <v>1.17</v>
      </c>
      <c r="F21" s="54">
        <v>5.0599999999999996</v>
      </c>
      <c r="G21" s="54">
        <v>44.51</v>
      </c>
      <c r="H21" s="54">
        <v>19.88</v>
      </c>
      <c r="I21" s="54">
        <v>0.54</v>
      </c>
      <c r="J21" s="54">
        <v>0.16</v>
      </c>
      <c r="K21" s="54">
        <v>33.46</v>
      </c>
      <c r="L21" s="54">
        <v>27.01</v>
      </c>
      <c r="M21" s="54">
        <v>67.22</v>
      </c>
      <c r="N21" s="54">
        <v>194.5</v>
      </c>
      <c r="O21" s="54">
        <v>0</v>
      </c>
      <c r="P21" s="54">
        <v>0.73</v>
      </c>
      <c r="Q21" s="54">
        <v>10.67</v>
      </c>
      <c r="R21" s="43"/>
      <c r="S21" s="43"/>
      <c r="T21" s="43"/>
      <c r="U21" s="43"/>
    </row>
    <row r="22" spans="1:21" s="11" customFormat="1" ht="15">
      <c r="A22" s="53" t="s">
        <v>627</v>
      </c>
      <c r="B22" s="54">
        <v>4.41</v>
      </c>
      <c r="C22" s="54">
        <v>27.99</v>
      </c>
      <c r="D22" s="54">
        <v>18.96</v>
      </c>
      <c r="E22" s="54">
        <v>1.29</v>
      </c>
      <c r="F22" s="54">
        <v>13.28</v>
      </c>
      <c r="G22" s="54">
        <v>51.28</v>
      </c>
      <c r="H22" s="54">
        <v>23.04</v>
      </c>
      <c r="I22" s="54">
        <v>0.60</v>
      </c>
      <c r="J22" s="54">
        <v>0.25</v>
      </c>
      <c r="K22" s="54">
        <v>44.18</v>
      </c>
      <c r="L22" s="54">
        <v>27.20</v>
      </c>
      <c r="M22" s="54">
        <v>67.70</v>
      </c>
      <c r="N22" s="54">
        <v>234.40</v>
      </c>
      <c r="O22" s="54">
        <v>0</v>
      </c>
      <c r="P22" s="54">
        <v>0.76</v>
      </c>
      <c r="Q22" s="54">
        <v>13.82</v>
      </c>
      <c r="R22" s="43"/>
      <c r="S22" s="43"/>
      <c r="T22" s="43"/>
      <c r="U22" s="43"/>
    </row>
    <row r="23" spans="1:21" s="11" customFormat="1" ht="15">
      <c r="A23" s="53" t="s">
        <v>628</v>
      </c>
      <c r="B23" s="54">
        <v>2.85</v>
      </c>
      <c r="C23" s="54">
        <v>23.52</v>
      </c>
      <c r="D23" s="54">
        <v>15.92</v>
      </c>
      <c r="E23" s="54">
        <v>1.52</v>
      </c>
      <c r="F23" s="54">
        <v>10.62</v>
      </c>
      <c r="G23" s="54">
        <v>49.77</v>
      </c>
      <c r="H23" s="54">
        <v>24.35</v>
      </c>
      <c r="I23" s="54">
        <v>0.59</v>
      </c>
      <c r="J23" s="54">
        <v>0.23</v>
      </c>
      <c r="K23" s="54">
        <v>41.63</v>
      </c>
      <c r="L23" s="54">
        <v>27.51</v>
      </c>
      <c r="M23" s="54">
        <v>64.84</v>
      </c>
      <c r="N23" s="54">
        <v>210.90</v>
      </c>
      <c r="O23" s="54">
        <v>0</v>
      </c>
      <c r="P23" s="54">
        <v>0.78</v>
      </c>
      <c r="Q23" s="54">
        <v>13.25</v>
      </c>
      <c r="R23" s="43"/>
      <c r="S23" s="43"/>
      <c r="T23" s="43"/>
      <c r="U23" s="43"/>
    </row>
    <row r="24" spans="1:21" s="11" customFormat="1" ht="15">
      <c r="A24" s="53" t="s">
        <v>629</v>
      </c>
      <c r="B24" s="54">
        <v>1.60</v>
      </c>
      <c r="C24" s="54">
        <v>21.41</v>
      </c>
      <c r="D24" s="54">
        <v>13.47</v>
      </c>
      <c r="E24" s="54">
        <v>1.68</v>
      </c>
      <c r="F24" s="54">
        <v>7.70</v>
      </c>
      <c r="G24" s="54">
        <v>55.44</v>
      </c>
      <c r="H24" s="54">
        <v>24.09</v>
      </c>
      <c r="I24" s="54">
        <v>0.56000000000000005</v>
      </c>
      <c r="J24" s="54">
        <v>0.18</v>
      </c>
      <c r="K24" s="54">
        <v>34.119999999999997</v>
      </c>
      <c r="L24" s="54">
        <v>27.75</v>
      </c>
      <c r="M24" s="54">
        <v>65.11</v>
      </c>
      <c r="N24" s="54">
        <v>215.10</v>
      </c>
      <c r="O24" s="54">
        <v>0</v>
      </c>
      <c r="P24" s="54">
        <v>0.74</v>
      </c>
      <c r="Q24" s="54">
        <v>9.90</v>
      </c>
      <c r="R24" s="43"/>
      <c r="S24" s="43"/>
      <c r="T24" s="43"/>
      <c r="U24" s="43"/>
    </row>
    <row r="25" spans="1:21" s="11" customFormat="1" ht="15">
      <c r="A25" s="53" t="s">
        <v>630</v>
      </c>
      <c r="B25" s="54">
        <v>2.4500000000000002</v>
      </c>
      <c r="C25" s="54">
        <v>42.77</v>
      </c>
      <c r="D25" s="54">
        <v>25.39</v>
      </c>
      <c r="E25" s="54">
        <v>3.30</v>
      </c>
      <c r="F25" s="54">
        <v>43.27</v>
      </c>
      <c r="G25" s="54">
        <v>50.74</v>
      </c>
      <c r="H25" s="54">
        <v>22.98</v>
      </c>
      <c r="I25" s="54">
        <v>0.64</v>
      </c>
      <c r="J25" s="54">
        <v>0.18</v>
      </c>
      <c r="K25" s="54">
        <v>37.78</v>
      </c>
      <c r="L25" s="54">
        <v>27.58</v>
      </c>
      <c r="M25" s="54">
        <v>65.03</v>
      </c>
      <c r="N25" s="54">
        <v>169.40</v>
      </c>
      <c r="O25" s="54">
        <v>0</v>
      </c>
      <c r="P25" s="54">
        <v>0.72</v>
      </c>
      <c r="Q25" s="54">
        <v>16.39</v>
      </c>
      <c r="R25" s="43"/>
      <c r="S25" s="43"/>
      <c r="T25" s="43"/>
      <c r="U25" s="43"/>
    </row>
    <row r="26" spans="1:21" s="11" customFormat="1" ht="15">
      <c r="A26" s="53" t="s">
        <v>631</v>
      </c>
      <c r="B26" s="54">
        <v>1.91</v>
      </c>
      <c r="C26" s="54">
        <v>46.40</v>
      </c>
      <c r="D26" s="54">
        <v>27.78</v>
      </c>
      <c r="E26" s="54">
        <v>4.42</v>
      </c>
      <c r="F26" s="54">
        <v>48.12</v>
      </c>
      <c r="G26" s="54">
        <v>49.20</v>
      </c>
      <c r="H26" s="54">
        <v>22.11</v>
      </c>
      <c r="I26" s="54">
        <v>0.67</v>
      </c>
      <c r="J26" s="54">
        <v>0.20</v>
      </c>
      <c r="K26" s="54">
        <v>230.90</v>
      </c>
      <c r="L26" s="54">
        <v>27.33</v>
      </c>
      <c r="M26" s="54">
        <v>67.41</v>
      </c>
      <c r="N26" s="54">
        <v>93.70</v>
      </c>
      <c r="O26" s="54">
        <v>0</v>
      </c>
      <c r="P26" s="54">
        <v>0.91</v>
      </c>
      <c r="Q26" s="54">
        <v>17.37</v>
      </c>
      <c r="R26" s="43"/>
      <c r="S26" s="43"/>
      <c r="T26" s="43"/>
      <c r="U26" s="43"/>
    </row>
    <row r="27" spans="1:21" s="11" customFormat="1" ht="15">
      <c r="A27" s="53" t="s">
        <v>632</v>
      </c>
      <c r="B27" s="54">
        <v>1.1200000000000001</v>
      </c>
      <c r="C27" s="54">
        <v>21.54</v>
      </c>
      <c r="D27" s="54">
        <v>13.33</v>
      </c>
      <c r="E27" s="54">
        <v>2.29</v>
      </c>
      <c r="F27" s="54">
        <v>17.75</v>
      </c>
      <c r="G27" s="54">
        <v>50.06</v>
      </c>
      <c r="H27" s="54">
        <v>21.31</v>
      </c>
      <c r="I27" s="54">
        <v>0.59</v>
      </c>
      <c r="J27" s="54">
        <v>0.08</v>
      </c>
      <c r="K27" s="54">
        <v>263.20</v>
      </c>
      <c r="L27" s="54">
        <v>26.90</v>
      </c>
      <c r="M27" s="54">
        <v>68.95</v>
      </c>
      <c r="N27" s="54">
        <v>42.90</v>
      </c>
      <c r="O27" s="54">
        <v>0</v>
      </c>
      <c r="P27" s="54">
        <v>0.49</v>
      </c>
      <c r="Q27" s="54">
        <v>5.53</v>
      </c>
      <c r="R27" s="43"/>
      <c r="S27" s="43"/>
      <c r="T27" s="43"/>
      <c r="U27" s="43"/>
    </row>
    <row r="28" spans="1:21" s="11" customFormat="1" ht="15">
      <c r="A28" s="53" t="s">
        <v>633</v>
      </c>
      <c r="B28" s="54">
        <v>2.61</v>
      </c>
      <c r="C28" s="54">
        <v>27.77</v>
      </c>
      <c r="D28" s="54">
        <v>18.059999999999999</v>
      </c>
      <c r="E28" s="54">
        <v>2.09</v>
      </c>
      <c r="F28" s="54">
        <v>24.15</v>
      </c>
      <c r="G28" s="54">
        <v>58.87</v>
      </c>
      <c r="H28" s="54">
        <v>22.73</v>
      </c>
      <c r="I28" s="54">
        <v>0.60</v>
      </c>
      <c r="J28" s="54">
        <v>0.20</v>
      </c>
      <c r="K28" s="54">
        <v>321.82</v>
      </c>
      <c r="L28" s="54">
        <v>26.63</v>
      </c>
      <c r="M28" s="54">
        <v>73.290000000000006</v>
      </c>
      <c r="N28" s="54">
        <v>25.5</v>
      </c>
      <c r="O28" s="54">
        <v>0</v>
      </c>
      <c r="P28" s="54">
        <v>0.51</v>
      </c>
      <c r="Q28" s="54">
        <v>9.9600000000000009</v>
      </c>
      <c r="R28" s="43"/>
      <c r="S28" s="43"/>
      <c r="T28" s="43"/>
      <c r="U28" s="43"/>
    </row>
    <row r="29" spans="1:21" s="11" customFormat="1" ht="15">
      <c r="A29" s="53" t="s">
        <v>634</v>
      </c>
      <c r="B29" s="54">
        <v>2.79</v>
      </c>
      <c r="C29" s="54">
        <v>21.38</v>
      </c>
      <c r="D29" s="54">
        <v>13.97</v>
      </c>
      <c r="E29" s="54">
        <v>1.26</v>
      </c>
      <c r="F29" s="54">
        <v>8.2100000000000009</v>
      </c>
      <c r="G29" s="54">
        <v>57.20</v>
      </c>
      <c r="H29" s="54">
        <v>20.45</v>
      </c>
      <c r="I29" s="54">
        <v>0.64</v>
      </c>
      <c r="J29" s="54">
        <v>0.10</v>
      </c>
      <c r="K29" s="54">
        <v>323.82</v>
      </c>
      <c r="L29" s="54">
        <v>26.09</v>
      </c>
      <c r="M29" s="54">
        <v>75.31</v>
      </c>
      <c r="N29" s="54">
        <v>25.20</v>
      </c>
      <c r="O29" s="54">
        <v>0</v>
      </c>
      <c r="P29" s="54">
        <v>0.55000000000000004</v>
      </c>
      <c r="Q29" s="54">
        <v>9.58</v>
      </c>
      <c r="R29" s="43"/>
      <c r="S29" s="43"/>
      <c r="T29" s="43"/>
      <c r="U29" s="43"/>
    </row>
    <row r="30" spans="1:21" s="11" customFormat="1" ht="15">
      <c r="A30" s="53" t="s">
        <v>635</v>
      </c>
      <c r="B30" s="54">
        <v>3.02</v>
      </c>
      <c r="C30" s="54">
        <v>18.86</v>
      </c>
      <c r="D30" s="54">
        <v>13.48</v>
      </c>
      <c r="E30" s="54">
        <v>1.1299999999999999</v>
      </c>
      <c r="F30" s="54">
        <v>9.91</v>
      </c>
      <c r="G30" s="54">
        <v>52.63</v>
      </c>
      <c r="H30" s="54">
        <v>20.34</v>
      </c>
      <c r="I30" s="54">
        <v>0.62</v>
      </c>
      <c r="J30" s="54">
        <v>0.13</v>
      </c>
      <c r="K30" s="54">
        <v>340.70</v>
      </c>
      <c r="L30" s="54">
        <v>25.70</v>
      </c>
      <c r="M30" s="54">
        <v>77.20</v>
      </c>
      <c r="N30" s="54">
        <v>25.20</v>
      </c>
      <c r="O30" s="54">
        <v>0</v>
      </c>
      <c r="P30" s="54">
        <v>0.61</v>
      </c>
      <c r="Q30" s="54">
        <v>9.2799999999999994</v>
      </c>
      <c r="R30" s="43"/>
      <c r="S30" s="43"/>
      <c r="T30" s="43"/>
      <c r="U30" s="43"/>
    </row>
    <row r="31" spans="1:21" s="11" customFormat="1" ht="15">
      <c r="A31" s="53" t="s">
        <v>636</v>
      </c>
      <c r="B31" s="54">
        <v>4.3099999999999996</v>
      </c>
      <c r="C31" s="54">
        <v>22.08</v>
      </c>
      <c r="D31" s="54">
        <v>16.04</v>
      </c>
      <c r="E31" s="54">
        <v>1.36</v>
      </c>
      <c r="F31" s="54">
        <v>13.10</v>
      </c>
      <c r="G31" s="54">
        <v>54.28</v>
      </c>
      <c r="H31" s="54">
        <v>17.70</v>
      </c>
      <c r="I31" s="54">
        <v>0.61</v>
      </c>
      <c r="J31" s="54">
        <v>0.09</v>
      </c>
      <c r="K31" s="54">
        <v>45.02</v>
      </c>
      <c r="L31" s="54">
        <v>25.21</v>
      </c>
      <c r="M31" s="54">
        <v>78.81</v>
      </c>
      <c r="N31" s="54">
        <v>25.20</v>
      </c>
      <c r="O31" s="54">
        <v>0</v>
      </c>
      <c r="P31" s="54">
        <v>0.60</v>
      </c>
      <c r="Q31" s="54">
        <v>11.71</v>
      </c>
      <c r="R31" s="43"/>
      <c r="S31" s="43"/>
      <c r="T31" s="43"/>
      <c r="U31" s="43"/>
    </row>
    <row r="32" spans="1:21" s="11" customFormat="1" ht="15">
      <c r="A32" s="53" t="s">
        <v>637</v>
      </c>
      <c r="B32" s="54">
        <v>3.88</v>
      </c>
      <c r="C32" s="54">
        <v>15.18</v>
      </c>
      <c r="D32" s="54">
        <v>12.13</v>
      </c>
      <c r="E32" s="54">
        <v>1.19</v>
      </c>
      <c r="F32" s="54">
        <v>4.2300000000000004</v>
      </c>
      <c r="G32" s="54">
        <v>52.47</v>
      </c>
      <c r="H32" s="54">
        <v>16.38</v>
      </c>
      <c r="I32" s="54">
        <v>0.64</v>
      </c>
      <c r="J32" s="54">
        <v>0.16</v>
      </c>
      <c r="K32" s="54">
        <v>26.64</v>
      </c>
      <c r="L32" s="54">
        <v>24.87</v>
      </c>
      <c r="M32" s="54">
        <v>80.81</v>
      </c>
      <c r="N32" s="54">
        <v>25.20</v>
      </c>
      <c r="O32" s="54">
        <v>0</v>
      </c>
      <c r="P32" s="54">
        <v>0.57999999999999996</v>
      </c>
      <c r="Q32" s="54">
        <v>11.49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1.1200000000000001</v>
      </c>
      <c r="C34" s="28">
        <f t="shared" si="0"/>
        <v>15.18</v>
      </c>
      <c r="D34" s="28">
        <f t="shared" si="0"/>
        <v>11.720000000000001</v>
      </c>
      <c r="E34" s="28">
        <f t="shared" si="0"/>
        <v>1.1299999999999999</v>
      </c>
      <c r="F34" s="28">
        <f t="shared" si="0"/>
        <v>3.4300000000000002</v>
      </c>
      <c r="G34" s="28">
        <f t="shared" si="0"/>
        <v>26.899999999999999</v>
      </c>
      <c r="H34" s="28">
        <f t="shared" si="0"/>
        <v>10.880000000000001</v>
      </c>
      <c r="I34" s="28">
        <f t="shared" si="0"/>
        <v>0.51000000000000001</v>
      </c>
      <c r="J34" s="28">
        <f t="shared" si="0"/>
        <v>0.080000000000000002</v>
      </c>
      <c r="K34" s="28">
        <f t="shared" si="0"/>
        <v>15.859999999999999</v>
      </c>
      <c r="L34" s="28">
        <f t="shared" si="0"/>
        <v>23.050000000000001</v>
      </c>
      <c r="M34" s="28">
        <f t="shared" si="0"/>
        <v>64.379999999999995</v>
      </c>
      <c r="N34" s="28">
        <f t="shared" si="0"/>
        <v>24</v>
      </c>
      <c r="O34" s="28">
        <f t="shared" si="0"/>
        <v>0</v>
      </c>
      <c r="P34" s="28">
        <f t="shared" si="0"/>
        <v>0.39000000000000001</v>
      </c>
      <c r="Q34" s="28">
        <f t="shared" si="0"/>
        <v>5.5300000000000002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6.6799999999999997</v>
      </c>
      <c r="C35" s="29">
        <f t="shared" si="1"/>
        <v>46.399999999999999</v>
      </c>
      <c r="D35" s="29">
        <f t="shared" si="1"/>
        <v>27.780000000000001</v>
      </c>
      <c r="E35" s="29">
        <f t="shared" si="1"/>
        <v>4.4199999999999999</v>
      </c>
      <c r="F35" s="29">
        <f t="shared" si="1"/>
        <v>48.119999999999997</v>
      </c>
      <c r="G35" s="29">
        <f t="shared" si="1"/>
        <v>58.869999999999997</v>
      </c>
      <c r="H35" s="29">
        <f t="shared" si="1"/>
        <v>24.350000000000001</v>
      </c>
      <c r="I35" s="29">
        <f t="shared" si="1"/>
        <v>0.67000000000000004</v>
      </c>
      <c r="J35" s="29">
        <f t="shared" si="1"/>
        <v>0.40000000000000002</v>
      </c>
      <c r="K35" s="29">
        <f t="shared" si="1"/>
        <v>359.81</v>
      </c>
      <c r="L35" s="29">
        <f t="shared" si="1"/>
        <v>28.079999999999998</v>
      </c>
      <c r="M35" s="29">
        <f t="shared" si="1"/>
        <v>90.560000000000002</v>
      </c>
      <c r="N35" s="29">
        <f t="shared" si="1"/>
        <v>413.60000000000002</v>
      </c>
      <c r="O35" s="29">
        <f t="shared" si="1"/>
        <v>0</v>
      </c>
      <c r="P35" s="29">
        <f t="shared" si="1"/>
        <v>0.91000000000000003</v>
      </c>
      <c r="Q35" s="29">
        <f t="shared" si="1"/>
        <v>17.370000000000001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3.7616666666666663</v>
      </c>
      <c r="C36" s="28">
        <f t="shared" si="2"/>
        <v>22.23041666666666</v>
      </c>
      <c r="D36" s="28">
        <f t="shared" si="2"/>
        <v>15.757916666666667</v>
      </c>
      <c r="E36" s="28">
        <f t="shared" si="2"/>
        <v>1.8520833333333329</v>
      </c>
      <c r="F36" s="28">
        <f t="shared" si="2"/>
        <v>11.620833333333337</v>
      </c>
      <c r="G36" s="28">
        <f t="shared" si="2"/>
        <v>43.731249999999996</v>
      </c>
      <c r="H36" s="28">
        <f t="shared" si="2"/>
        <v>17.81583333333333</v>
      </c>
      <c r="I36" s="28">
        <f t="shared" si="2"/>
        <v>0.57791666666666663</v>
      </c>
      <c r="J36" s="28">
        <f t="shared" si="2"/>
        <v>0.19458333333333333</v>
      </c>
      <c r="K36" s="28">
        <f t="shared" si="2"/>
        <v>113.09999999999998</v>
      </c>
      <c r="L36" s="28">
        <f t="shared" si="2"/>
        <v>25.697500000000002</v>
      </c>
      <c r="M36" s="28">
        <f t="shared" si="2"/>
        <v>76.789166666666659</v>
      </c>
      <c r="N36" s="28">
        <f t="shared" si="2"/>
        <v>118.66666666666663</v>
      </c>
      <c r="O36" s="28">
        <f t="shared" si="2"/>
        <v>0</v>
      </c>
      <c r="P36" s="28">
        <f t="shared" si="2"/>
        <v>0.60791666666666666</v>
      </c>
      <c r="Q36" s="28">
        <f t="shared" si="2"/>
        <v>12.477083333333333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1.6217158563819321</v>
      </c>
      <c r="C37" s="28">
        <f t="shared" si="3" ref="C37:Q37">STDEV(C9:C32)</f>
        <v>7.6989092842211697</v>
      </c>
      <c r="D37" s="28">
        <f t="shared" si="3"/>
        <v>3.8901592447193369</v>
      </c>
      <c r="E37" s="28">
        <f t="shared" si="3"/>
        <v>0.75830462598951787</v>
      </c>
      <c r="F37" s="28">
        <f t="shared" si="3"/>
        <v>11.608209957000129</v>
      </c>
      <c r="G37" s="28">
        <f t="shared" si="3"/>
        <v>9.4543048913318319</v>
      </c>
      <c r="H37" s="28">
        <f t="shared" si="3"/>
        <v>4.3271708969041889</v>
      </c>
      <c r="I37" s="28">
        <f t="shared" si="3"/>
        <v>0.043736281493064709</v>
      </c>
      <c r="J37" s="28">
        <f t="shared" si="3"/>
        <v>0.075583479139561885</v>
      </c>
      <c r="K37" s="28">
        <f t="shared" si="3"/>
        <v>124.88054386005295</v>
      </c>
      <c r="L37" s="28">
        <f t="shared" si="3"/>
        <v>1.7401305548222721</v>
      </c>
      <c r="M37" s="28">
        <f t="shared" si="3"/>
        <v>9.8737156200150142</v>
      </c>
      <c r="N37" s="28">
        <f t="shared" si="3"/>
        <v>109.76059190908138</v>
      </c>
      <c r="O37" s="28">
        <f t="shared" si="3"/>
        <v>0</v>
      </c>
      <c r="P37" s="28">
        <f t="shared" si="3"/>
        <v>0.13204015089841148</v>
      </c>
      <c r="Q37" s="28">
        <f t="shared" si="3"/>
        <v>2.5975364234240321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2f762d6-dc08-4736-85f5-ecc521c4160d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8" sqref="H3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25-06-2023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638</v>
      </c>
      <c r="B9" s="54">
        <v>2.5299999999999998</v>
      </c>
      <c r="C9" s="54">
        <v>16.37</v>
      </c>
      <c r="D9" s="54">
        <v>11.39</v>
      </c>
      <c r="E9" s="54">
        <v>1.36</v>
      </c>
      <c r="F9" s="54">
        <v>10.18</v>
      </c>
      <c r="G9" s="54">
        <v>51.51</v>
      </c>
      <c r="H9" s="54">
        <v>17.79</v>
      </c>
      <c r="I9" s="54">
        <v>0.64</v>
      </c>
      <c r="J9" s="54">
        <v>0.17</v>
      </c>
      <c r="K9" s="54">
        <v>47.88</v>
      </c>
      <c r="L9" s="54">
        <v>24.65</v>
      </c>
      <c r="M9" s="54">
        <v>83.38</v>
      </c>
      <c r="N9" s="54">
        <v>25.30</v>
      </c>
      <c r="O9" s="54">
        <v>0</v>
      </c>
      <c r="P9" s="54">
        <v>0.52</v>
      </c>
      <c r="Q9" s="54">
        <v>10.31</v>
      </c>
      <c r="R9" s="43"/>
      <c r="S9" s="43"/>
      <c r="T9" s="43"/>
      <c r="U9" s="43"/>
    </row>
    <row r="10" spans="1:21" s="11" customFormat="1" ht="15">
      <c r="A10" s="53" t="s">
        <v>639</v>
      </c>
      <c r="B10" s="54">
        <v>2.27</v>
      </c>
      <c r="C10" s="54">
        <v>15.07</v>
      </c>
      <c r="D10" s="54">
        <v>10.63</v>
      </c>
      <c r="E10" s="54">
        <v>1.39</v>
      </c>
      <c r="F10" s="54">
        <v>13.08</v>
      </c>
      <c r="G10" s="54">
        <v>69.73</v>
      </c>
      <c r="H10" s="54">
        <v>26.33</v>
      </c>
      <c r="I10" s="54">
        <v>0.56999999999999995</v>
      </c>
      <c r="J10" s="54">
        <v>0.23</v>
      </c>
      <c r="K10" s="54">
        <v>40.43</v>
      </c>
      <c r="L10" s="54">
        <v>24.53</v>
      </c>
      <c r="M10" s="54">
        <v>87.15</v>
      </c>
      <c r="N10" s="54">
        <v>25.70</v>
      </c>
      <c r="O10" s="54">
        <v>0</v>
      </c>
      <c r="P10" s="54">
        <v>0.49</v>
      </c>
      <c r="Q10" s="54">
        <v>10.94</v>
      </c>
      <c r="R10" s="43"/>
      <c r="S10" s="43"/>
      <c r="T10" s="43"/>
      <c r="U10" s="43"/>
    </row>
    <row r="11" spans="1:21" s="11" customFormat="1" ht="15">
      <c r="A11" s="53" t="s">
        <v>640</v>
      </c>
      <c r="B11" s="54">
        <v>2.1800000000000002</v>
      </c>
      <c r="C11" s="54">
        <v>13.31</v>
      </c>
      <c r="D11" s="54">
        <v>9.74</v>
      </c>
      <c r="E11" s="54">
        <v>1.35</v>
      </c>
      <c r="F11" s="54">
        <v>4.8099999999999996</v>
      </c>
      <c r="G11" s="54">
        <v>66.11</v>
      </c>
      <c r="H11" s="54">
        <v>21.46</v>
      </c>
      <c r="I11" s="54">
        <v>0.62</v>
      </c>
      <c r="J11" s="54">
        <v>0.20</v>
      </c>
      <c r="K11" s="54">
        <v>49.36</v>
      </c>
      <c r="L11" s="54">
        <v>24.15</v>
      </c>
      <c r="M11" s="54">
        <v>89.81</v>
      </c>
      <c r="N11" s="54">
        <v>26.10</v>
      </c>
      <c r="O11" s="54">
        <v>0.20</v>
      </c>
      <c r="P11" s="54">
        <v>0.46</v>
      </c>
      <c r="Q11" s="54">
        <v>9.4700000000000006</v>
      </c>
      <c r="R11" s="43"/>
      <c r="S11" s="43"/>
      <c r="T11" s="43"/>
      <c r="U11" s="43"/>
    </row>
    <row r="12" spans="1:21" s="11" customFormat="1" ht="15">
      <c r="A12" s="53" t="s">
        <v>641</v>
      </c>
      <c r="B12" s="54">
        <v>1.1599999999999999</v>
      </c>
      <c r="C12" s="54">
        <v>12.68</v>
      </c>
      <c r="D12" s="54">
        <v>8.5399999999999991</v>
      </c>
      <c r="E12" s="54">
        <v>1.06</v>
      </c>
      <c r="F12" s="54">
        <v>7.47</v>
      </c>
      <c r="G12" s="54">
        <v>50.34</v>
      </c>
      <c r="H12" s="54">
        <v>16.690000000000001</v>
      </c>
      <c r="I12" s="54">
        <v>0.60</v>
      </c>
      <c r="J12" s="54">
        <v>0.21</v>
      </c>
      <c r="K12" s="54">
        <v>38.68</v>
      </c>
      <c r="L12" s="54">
        <v>23.16</v>
      </c>
      <c r="M12" s="54">
        <v>92.55</v>
      </c>
      <c r="N12" s="54">
        <v>26.30</v>
      </c>
      <c r="O12" s="54">
        <v>0.40</v>
      </c>
      <c r="P12" s="54">
        <v>0.40</v>
      </c>
      <c r="Q12" s="54">
        <v>7.61</v>
      </c>
      <c r="R12" s="43"/>
      <c r="S12" s="43"/>
      <c r="T12" s="43"/>
      <c r="U12" s="43"/>
    </row>
    <row r="13" spans="1:21" s="11" customFormat="1" ht="15">
      <c r="A13" s="53" t="s">
        <v>642</v>
      </c>
      <c r="B13" s="54">
        <v>2.56</v>
      </c>
      <c r="C13" s="54">
        <v>13.52</v>
      </c>
      <c r="D13" s="54">
        <v>10.16</v>
      </c>
      <c r="E13" s="54">
        <v>1.35</v>
      </c>
      <c r="F13" s="54">
        <v>8.06</v>
      </c>
      <c r="G13" s="54">
        <v>40.020000000000003</v>
      </c>
      <c r="H13" s="54">
        <v>13.17</v>
      </c>
      <c r="I13" s="54">
        <v>0.56000000000000005</v>
      </c>
      <c r="J13" s="54">
        <v>0.53</v>
      </c>
      <c r="K13" s="54">
        <v>344.57</v>
      </c>
      <c r="L13" s="54">
        <v>22.66</v>
      </c>
      <c r="M13" s="54">
        <v>96.85</v>
      </c>
      <c r="N13" s="54">
        <v>26.20</v>
      </c>
      <c r="O13" s="54">
        <v>0.80</v>
      </c>
      <c r="P13" s="54">
        <v>0.39</v>
      </c>
      <c r="Q13" s="54">
        <v>9.1999999999999993</v>
      </c>
      <c r="R13" s="43"/>
      <c r="S13" s="43"/>
      <c r="T13" s="43"/>
      <c r="U13" s="43"/>
    </row>
    <row r="14" spans="1:21" s="11" customFormat="1" ht="15">
      <c r="A14" s="53" t="s">
        <v>643</v>
      </c>
      <c r="B14" s="54">
        <v>2.60</v>
      </c>
      <c r="C14" s="54">
        <v>14.20</v>
      </c>
      <c r="D14" s="54">
        <v>10.56</v>
      </c>
      <c r="E14" s="54">
        <v>1.19</v>
      </c>
      <c r="F14" s="54">
        <v>4.58</v>
      </c>
      <c r="G14" s="54">
        <v>45.87</v>
      </c>
      <c r="H14" s="54">
        <v>13.56</v>
      </c>
      <c r="I14" s="54">
        <v>0.56999999999999995</v>
      </c>
      <c r="J14" s="54">
        <v>0.72</v>
      </c>
      <c r="K14" s="54">
        <v>355.57</v>
      </c>
      <c r="L14" s="54">
        <v>22.11</v>
      </c>
      <c r="M14" s="54">
        <v>97.15</v>
      </c>
      <c r="N14" s="54">
        <v>26.40</v>
      </c>
      <c r="O14" s="54">
        <v>8</v>
      </c>
      <c r="P14" s="54">
        <v>0.38</v>
      </c>
      <c r="Q14" s="54">
        <v>8.7899999999999991</v>
      </c>
      <c r="R14" s="43"/>
      <c r="S14" s="43"/>
      <c r="T14" s="43"/>
      <c r="U14" s="43"/>
    </row>
    <row r="15" spans="1:21" s="11" customFormat="1" ht="15">
      <c r="A15" s="53" t="s">
        <v>644</v>
      </c>
      <c r="B15" s="54">
        <v>4.97</v>
      </c>
      <c r="C15" s="54">
        <v>16.97</v>
      </c>
      <c r="D15" s="54">
        <v>14</v>
      </c>
      <c r="E15" s="54">
        <v>1.24</v>
      </c>
      <c r="F15" s="54">
        <v>10.27</v>
      </c>
      <c r="G15" s="54">
        <v>29.94</v>
      </c>
      <c r="H15" s="54">
        <v>12.58</v>
      </c>
      <c r="I15" s="54">
        <v>0.56999999999999995</v>
      </c>
      <c r="J15" s="54">
        <v>0.41</v>
      </c>
      <c r="K15" s="54">
        <v>194.29</v>
      </c>
      <c r="L15" s="54">
        <v>21.77</v>
      </c>
      <c r="M15" s="54">
        <v>97.16</v>
      </c>
      <c r="N15" s="54">
        <v>27.60</v>
      </c>
      <c r="O15" s="54">
        <v>1.40</v>
      </c>
      <c r="P15" s="54">
        <v>0.43</v>
      </c>
      <c r="Q15" s="54">
        <v>9.43</v>
      </c>
      <c r="R15" s="43"/>
      <c r="S15" s="43"/>
      <c r="T15" s="43"/>
      <c r="U15" s="43"/>
    </row>
    <row r="16" spans="1:21" s="11" customFormat="1" ht="15">
      <c r="A16" s="53" t="s">
        <v>645</v>
      </c>
      <c r="B16" s="54">
        <v>6.23</v>
      </c>
      <c r="C16" s="54">
        <v>18.59</v>
      </c>
      <c r="D16" s="54">
        <v>15.68</v>
      </c>
      <c r="E16" s="54">
        <v>1.36</v>
      </c>
      <c r="F16" s="54">
        <v>9.1199999999999992</v>
      </c>
      <c r="G16" s="54">
        <v>18.05</v>
      </c>
      <c r="H16" s="54">
        <v>12.86</v>
      </c>
      <c r="I16" s="54">
        <v>0.56000000000000005</v>
      </c>
      <c r="J16" s="54">
        <v>0.04</v>
      </c>
      <c r="K16" s="54">
        <v>316.39</v>
      </c>
      <c r="L16" s="54">
        <v>21.69</v>
      </c>
      <c r="M16" s="54">
        <v>97.16</v>
      </c>
      <c r="N16" s="54">
        <v>30.20</v>
      </c>
      <c r="O16" s="54">
        <v>6.60</v>
      </c>
      <c r="P16" s="54">
        <v>0.45</v>
      </c>
      <c r="Q16" s="54">
        <v>12.53</v>
      </c>
      <c r="R16" s="43"/>
      <c r="S16" s="43"/>
      <c r="T16" s="43"/>
      <c r="U16" s="43"/>
    </row>
    <row r="17" spans="1:21" s="11" customFormat="1" ht="15">
      <c r="A17" s="53" t="s">
        <v>646</v>
      </c>
      <c r="B17" s="54">
        <v>5.99</v>
      </c>
      <c r="C17" s="54">
        <v>14.29</v>
      </c>
      <c r="D17" s="54">
        <v>13.34</v>
      </c>
      <c r="E17" s="54">
        <v>0.55000000000000004</v>
      </c>
      <c r="F17" s="54">
        <v>4.12</v>
      </c>
      <c r="G17" s="54">
        <v>11.01</v>
      </c>
      <c r="H17" s="54">
        <v>9.09</v>
      </c>
      <c r="I17" s="54">
        <v>0.56000000000000005</v>
      </c>
      <c r="J17" s="54">
        <v>0.43</v>
      </c>
      <c r="K17" s="54">
        <v>176.93</v>
      </c>
      <c r="L17" s="54">
        <v>21.69</v>
      </c>
      <c r="M17" s="54">
        <v>97.15</v>
      </c>
      <c r="N17" s="54">
        <v>34.200000000000003</v>
      </c>
      <c r="O17" s="54">
        <v>1.40</v>
      </c>
      <c r="P17" s="54">
        <v>0.45</v>
      </c>
      <c r="Q17" s="54">
        <v>11.95</v>
      </c>
      <c r="R17" s="43"/>
      <c r="S17" s="43"/>
      <c r="T17" s="43"/>
      <c r="U17" s="43"/>
    </row>
    <row r="18" spans="1:21" s="11" customFormat="1" ht="15">
      <c r="A18" s="53" t="s">
        <v>647</v>
      </c>
      <c r="B18" s="54">
        <v>5.61</v>
      </c>
      <c r="C18" s="54">
        <v>15.14</v>
      </c>
      <c r="D18" s="54">
        <v>13.35</v>
      </c>
      <c r="E18" s="54">
        <v>0.28000000000000003</v>
      </c>
      <c r="F18" s="54">
        <v>8.77</v>
      </c>
      <c r="G18" s="55" t="s">
        <v>14</v>
      </c>
      <c r="H18" s="55" t="s">
        <v>14</v>
      </c>
      <c r="I18" s="54">
        <v>0.57999999999999996</v>
      </c>
      <c r="J18" s="54">
        <v>0.39</v>
      </c>
      <c r="K18" s="54">
        <v>349.58</v>
      </c>
      <c r="L18" s="54">
        <v>21.69</v>
      </c>
      <c r="M18" s="54">
        <v>97.17</v>
      </c>
      <c r="N18" s="54">
        <v>57.90</v>
      </c>
      <c r="O18" s="54">
        <v>1.60</v>
      </c>
      <c r="P18" s="54">
        <v>0.43</v>
      </c>
      <c r="Q18" s="54">
        <v>12.36</v>
      </c>
      <c r="R18" s="43"/>
      <c r="S18" s="43"/>
      <c r="T18" s="43"/>
      <c r="U18" s="43"/>
    </row>
    <row r="19" spans="1:21" s="11" customFormat="1" ht="15">
      <c r="A19" s="53" t="s">
        <v>648</v>
      </c>
      <c r="B19" s="54">
        <v>9.2100000000000009</v>
      </c>
      <c r="C19" s="54">
        <v>16.47</v>
      </c>
      <c r="D19" s="54">
        <v>17.12</v>
      </c>
      <c r="E19" s="54">
        <v>0.38</v>
      </c>
      <c r="F19" s="54">
        <v>9.1199999999999992</v>
      </c>
      <c r="G19" s="55" t="s">
        <v>14</v>
      </c>
      <c r="H19" s="55" t="s">
        <v>14</v>
      </c>
      <c r="I19" s="54">
        <v>0.54</v>
      </c>
      <c r="J19" s="54">
        <v>0.09</v>
      </c>
      <c r="K19" s="54">
        <v>219.07</v>
      </c>
      <c r="L19" s="54">
        <v>22.07</v>
      </c>
      <c r="M19" s="54">
        <v>97.16</v>
      </c>
      <c r="N19" s="54">
        <v>77.20</v>
      </c>
      <c r="O19" s="54">
        <v>0.60</v>
      </c>
      <c r="P19" s="54">
        <v>0.47</v>
      </c>
      <c r="Q19" s="54">
        <v>14.75</v>
      </c>
      <c r="R19" s="43"/>
      <c r="S19" s="43"/>
      <c r="T19" s="43"/>
      <c r="U19" s="43"/>
    </row>
    <row r="20" spans="1:21" s="11" customFormat="1" ht="15">
      <c r="A20" s="53" t="s">
        <v>649</v>
      </c>
      <c r="B20" s="54">
        <v>11.57</v>
      </c>
      <c r="C20" s="54">
        <v>15.39</v>
      </c>
      <c r="D20" s="54">
        <v>18.16</v>
      </c>
      <c r="E20" s="54">
        <v>1.03</v>
      </c>
      <c r="F20" s="54">
        <v>3.62</v>
      </c>
      <c r="G20" s="55" t="s">
        <v>14</v>
      </c>
      <c r="H20" s="55" t="s">
        <v>14</v>
      </c>
      <c r="I20" s="54">
        <v>0.57999999999999996</v>
      </c>
      <c r="J20" s="54">
        <v>0.34</v>
      </c>
      <c r="K20" s="54">
        <v>340.70</v>
      </c>
      <c r="L20" s="54">
        <v>22.26</v>
      </c>
      <c r="M20" s="54">
        <v>97.15</v>
      </c>
      <c r="N20" s="54">
        <v>98.20</v>
      </c>
      <c r="O20" s="54">
        <v>0.60</v>
      </c>
      <c r="P20" s="54">
        <v>0.56999999999999995</v>
      </c>
      <c r="Q20" s="54">
        <v>14.96</v>
      </c>
      <c r="R20" s="43"/>
      <c r="S20" s="43"/>
      <c r="T20" s="43"/>
      <c r="U20" s="43"/>
    </row>
    <row r="21" spans="1:21" s="11" customFormat="1" ht="15">
      <c r="A21" s="53" t="s">
        <v>650</v>
      </c>
      <c r="B21" s="54">
        <v>11.06</v>
      </c>
      <c r="C21" s="54">
        <v>16.510000000000002</v>
      </c>
      <c r="D21" s="54">
        <v>18.63</v>
      </c>
      <c r="E21" s="54">
        <v>1.43</v>
      </c>
      <c r="F21" s="54">
        <v>3.93</v>
      </c>
      <c r="G21" s="55" t="s">
        <v>14</v>
      </c>
      <c r="H21" s="55" t="s">
        <v>14</v>
      </c>
      <c r="I21" s="54">
        <v>0.60</v>
      </c>
      <c r="J21" s="54">
        <v>0.48</v>
      </c>
      <c r="K21" s="54">
        <v>358.14</v>
      </c>
      <c r="L21" s="54">
        <v>22.62</v>
      </c>
      <c r="M21" s="54">
        <v>97.15</v>
      </c>
      <c r="N21" s="54">
        <v>134.90</v>
      </c>
      <c r="O21" s="54">
        <v>0.20</v>
      </c>
      <c r="P21" s="54">
        <v>0.63</v>
      </c>
      <c r="Q21" s="54">
        <v>14.11</v>
      </c>
      <c r="R21" s="43"/>
      <c r="S21" s="43"/>
      <c r="T21" s="43"/>
      <c r="U21" s="43"/>
    </row>
    <row r="22" spans="1:21" s="11" customFormat="1" ht="15">
      <c r="A22" s="53" t="s">
        <v>651</v>
      </c>
      <c r="B22" s="54">
        <v>12.55</v>
      </c>
      <c r="C22" s="54">
        <v>18.07</v>
      </c>
      <c r="D22" s="54">
        <v>20.39</v>
      </c>
      <c r="E22" s="54">
        <v>1.70</v>
      </c>
      <c r="F22" s="54">
        <v>5.47</v>
      </c>
      <c r="G22" s="55" t="s">
        <v>14</v>
      </c>
      <c r="H22" s="55" t="s">
        <v>14</v>
      </c>
      <c r="I22" s="54">
        <v>0.54</v>
      </c>
      <c r="J22" s="54">
        <v>0.28999999999999998</v>
      </c>
      <c r="K22" s="54">
        <v>358.35</v>
      </c>
      <c r="L22" s="54">
        <v>23.01</v>
      </c>
      <c r="M22" s="54">
        <v>97.15</v>
      </c>
      <c r="N22" s="54">
        <v>163.90</v>
      </c>
      <c r="O22" s="54">
        <v>0.20</v>
      </c>
      <c r="P22" s="54">
        <v>0.66</v>
      </c>
      <c r="Q22" s="54">
        <v>13.95</v>
      </c>
      <c r="R22" s="43"/>
      <c r="S22" s="43"/>
      <c r="T22" s="43"/>
      <c r="U22" s="43"/>
    </row>
    <row r="23" spans="1:21" s="11" customFormat="1" ht="15">
      <c r="A23" s="53" t="s">
        <v>652</v>
      </c>
      <c r="B23" s="54">
        <v>11.14</v>
      </c>
      <c r="C23" s="54">
        <v>17.920000000000002</v>
      </c>
      <c r="D23" s="54">
        <v>19.329999999999998</v>
      </c>
      <c r="E23" s="54">
        <v>1.60</v>
      </c>
      <c r="F23" s="54">
        <v>3.48</v>
      </c>
      <c r="G23" s="55" t="s">
        <v>14</v>
      </c>
      <c r="H23" s="55" t="s">
        <v>14</v>
      </c>
      <c r="I23" s="54">
        <v>0.56999999999999995</v>
      </c>
      <c r="J23" s="54">
        <v>0.18</v>
      </c>
      <c r="K23" s="54">
        <v>39.08</v>
      </c>
      <c r="L23" s="54">
        <v>23.08</v>
      </c>
      <c r="M23" s="54">
        <v>97.15</v>
      </c>
      <c r="N23" s="54">
        <v>168.30</v>
      </c>
      <c r="O23" s="54">
        <v>0.20</v>
      </c>
      <c r="P23" s="54">
        <v>0.73</v>
      </c>
      <c r="Q23" s="54">
        <v>12.43</v>
      </c>
      <c r="R23" s="43"/>
      <c r="S23" s="43"/>
      <c r="T23" s="43"/>
      <c r="U23" s="43"/>
    </row>
    <row r="24" spans="1:21" s="11" customFormat="1" ht="15">
      <c r="A24" s="53" t="s">
        <v>653</v>
      </c>
      <c r="B24" s="54">
        <v>13.06</v>
      </c>
      <c r="C24" s="54">
        <v>22.54</v>
      </c>
      <c r="D24" s="54">
        <v>23.56</v>
      </c>
      <c r="E24" s="54">
        <v>1.32</v>
      </c>
      <c r="F24" s="54">
        <v>4.78</v>
      </c>
      <c r="G24" s="55" t="s">
        <v>14</v>
      </c>
      <c r="H24" s="55" t="s">
        <v>14</v>
      </c>
      <c r="I24" s="54">
        <v>0.61</v>
      </c>
      <c r="J24" s="54">
        <v>0.18</v>
      </c>
      <c r="K24" s="54">
        <v>36.22</v>
      </c>
      <c r="L24" s="54">
        <v>23.24</v>
      </c>
      <c r="M24" s="54">
        <v>97.14</v>
      </c>
      <c r="N24" s="54">
        <v>165.10</v>
      </c>
      <c r="O24" s="54">
        <v>0</v>
      </c>
      <c r="P24" s="54">
        <v>1.03</v>
      </c>
      <c r="Q24" s="54">
        <v>13.22</v>
      </c>
      <c r="R24" s="43"/>
      <c r="S24" s="43"/>
      <c r="T24" s="43"/>
      <c r="U24" s="43"/>
    </row>
    <row r="25" spans="1:21" s="11" customFormat="1" ht="15">
      <c r="A25" s="53" t="s">
        <v>654</v>
      </c>
      <c r="B25" s="54">
        <v>10.67</v>
      </c>
      <c r="C25" s="54">
        <v>19.649999999999999</v>
      </c>
      <c r="D25" s="54">
        <v>19.829999999999998</v>
      </c>
      <c r="E25" s="54">
        <v>1.22</v>
      </c>
      <c r="F25" s="54">
        <v>6.54</v>
      </c>
      <c r="G25" s="55" t="s">
        <v>14</v>
      </c>
      <c r="H25" s="55" t="s">
        <v>14</v>
      </c>
      <c r="I25" s="54">
        <v>0.57999999999999996</v>
      </c>
      <c r="J25" s="54">
        <v>0.16</v>
      </c>
      <c r="K25" s="54">
        <v>37.96</v>
      </c>
      <c r="L25" s="54">
        <v>23.23</v>
      </c>
      <c r="M25" s="54">
        <v>97.13</v>
      </c>
      <c r="N25" s="54">
        <v>111.5</v>
      </c>
      <c r="O25" s="54">
        <v>0.20</v>
      </c>
      <c r="P25" s="54">
        <v>1.06</v>
      </c>
      <c r="Q25" s="54">
        <v>13.45</v>
      </c>
      <c r="R25" s="43"/>
      <c r="S25" s="43"/>
      <c r="T25" s="43"/>
      <c r="U25" s="43"/>
    </row>
    <row r="26" spans="1:21" s="11" customFormat="1" ht="15">
      <c r="A26" s="53" t="s">
        <v>655</v>
      </c>
      <c r="B26" s="54">
        <v>9.0399999999999991</v>
      </c>
      <c r="C26" s="54">
        <v>17.41</v>
      </c>
      <c r="D26" s="54">
        <v>17.489999999999998</v>
      </c>
      <c r="E26" s="54">
        <v>0.96</v>
      </c>
      <c r="F26" s="54">
        <v>3.69</v>
      </c>
      <c r="G26" s="55" t="s">
        <v>14</v>
      </c>
      <c r="H26" s="55" t="s">
        <v>14</v>
      </c>
      <c r="I26" s="54">
        <v>0.56999999999999995</v>
      </c>
      <c r="J26" s="54">
        <v>0.16</v>
      </c>
      <c r="K26" s="54">
        <v>347.95</v>
      </c>
      <c r="L26" s="54">
        <v>23.15</v>
      </c>
      <c r="M26" s="54">
        <v>97.15</v>
      </c>
      <c r="N26" s="54">
        <v>65.80</v>
      </c>
      <c r="O26" s="54">
        <v>0.20</v>
      </c>
      <c r="P26" s="54">
        <v>0.98</v>
      </c>
      <c r="Q26" s="54">
        <v>11.58</v>
      </c>
      <c r="R26" s="43"/>
      <c r="S26" s="43"/>
      <c r="T26" s="43"/>
      <c r="U26" s="43"/>
    </row>
    <row r="27" spans="1:21" s="11" customFormat="1" ht="15">
      <c r="A27" s="53" t="s">
        <v>656</v>
      </c>
      <c r="B27" s="54">
        <v>9.68</v>
      </c>
      <c r="C27" s="54">
        <v>23.96</v>
      </c>
      <c r="D27" s="54">
        <v>21.60</v>
      </c>
      <c r="E27" s="54">
        <v>1.17</v>
      </c>
      <c r="F27" s="54">
        <v>9.49</v>
      </c>
      <c r="G27" s="55" t="s">
        <v>14</v>
      </c>
      <c r="H27" s="55" t="s">
        <v>14</v>
      </c>
      <c r="I27" s="54">
        <v>0.60</v>
      </c>
      <c r="J27" s="54">
        <v>0.10</v>
      </c>
      <c r="K27" s="54">
        <v>337.55</v>
      </c>
      <c r="L27" s="54">
        <v>23.12</v>
      </c>
      <c r="M27" s="54">
        <v>97.15</v>
      </c>
      <c r="N27" s="54">
        <v>35.299999999999997</v>
      </c>
      <c r="O27" s="54">
        <v>0</v>
      </c>
      <c r="P27" s="54">
        <v>0.98</v>
      </c>
      <c r="Q27" s="54">
        <v>12.28</v>
      </c>
      <c r="R27" s="43"/>
      <c r="S27" s="43"/>
      <c r="T27" s="43"/>
      <c r="U27" s="43"/>
    </row>
    <row r="28" spans="1:21" s="11" customFormat="1" ht="15">
      <c r="A28" s="53" t="s">
        <v>657</v>
      </c>
      <c r="B28" s="54">
        <v>7.73</v>
      </c>
      <c r="C28" s="54">
        <v>21.59</v>
      </c>
      <c r="D28" s="54">
        <v>18.760000000000002</v>
      </c>
      <c r="E28" s="54">
        <v>0.88</v>
      </c>
      <c r="F28" s="54">
        <v>6.60</v>
      </c>
      <c r="G28" s="55" t="s">
        <v>14</v>
      </c>
      <c r="H28" s="55" t="s">
        <v>14</v>
      </c>
      <c r="I28" s="54">
        <v>0.65</v>
      </c>
      <c r="J28" s="54">
        <v>0.24</v>
      </c>
      <c r="K28" s="54">
        <v>44.65</v>
      </c>
      <c r="L28" s="54">
        <v>23.11</v>
      </c>
      <c r="M28" s="54">
        <v>97.15</v>
      </c>
      <c r="N28" s="54">
        <v>27.20</v>
      </c>
      <c r="O28" s="54">
        <v>0</v>
      </c>
      <c r="P28" s="54">
        <v>0.98</v>
      </c>
      <c r="Q28" s="54">
        <v>13.71</v>
      </c>
      <c r="R28" s="43"/>
      <c r="S28" s="43"/>
      <c r="T28" s="43"/>
      <c r="U28" s="43"/>
    </row>
    <row r="29" spans="1:21" s="11" customFormat="1" ht="15">
      <c r="A29" s="53" t="s">
        <v>658</v>
      </c>
      <c r="B29" s="54">
        <v>5.96</v>
      </c>
      <c r="C29" s="54">
        <v>15.55</v>
      </c>
      <c r="D29" s="54">
        <v>13.76</v>
      </c>
      <c r="E29" s="54">
        <v>1.07</v>
      </c>
      <c r="F29" s="54">
        <v>3.49</v>
      </c>
      <c r="G29" s="55" t="s">
        <v>14</v>
      </c>
      <c r="H29" s="55" t="s">
        <v>14</v>
      </c>
      <c r="I29" s="54">
        <v>0.60</v>
      </c>
      <c r="J29" s="54">
        <v>0.17</v>
      </c>
      <c r="K29" s="54">
        <v>38.56</v>
      </c>
      <c r="L29" s="54">
        <v>23.17</v>
      </c>
      <c r="M29" s="54">
        <v>97.14</v>
      </c>
      <c r="N29" s="54">
        <v>27.10</v>
      </c>
      <c r="O29" s="54">
        <v>0</v>
      </c>
      <c r="P29" s="54">
        <v>0.93</v>
      </c>
      <c r="Q29" s="54">
        <v>10.119999999999999</v>
      </c>
      <c r="R29" s="43"/>
      <c r="S29" s="43"/>
      <c r="T29" s="43"/>
      <c r="U29" s="43"/>
    </row>
    <row r="30" spans="1:21" s="11" customFormat="1" ht="15">
      <c r="A30" s="53" t="s">
        <v>659</v>
      </c>
      <c r="B30" s="54">
        <v>6.03</v>
      </c>
      <c r="C30" s="54">
        <v>17.80</v>
      </c>
      <c r="D30" s="54">
        <v>14.73</v>
      </c>
      <c r="E30" s="54">
        <v>0.87</v>
      </c>
      <c r="F30" s="54">
        <v>8.66</v>
      </c>
      <c r="G30" s="55" t="s">
        <v>14</v>
      </c>
      <c r="H30" s="55" t="s">
        <v>14</v>
      </c>
      <c r="I30" s="54">
        <v>0.57999999999999996</v>
      </c>
      <c r="J30" s="54">
        <v>0.17</v>
      </c>
      <c r="K30" s="54">
        <v>37</v>
      </c>
      <c r="L30" s="54">
        <v>23.36</v>
      </c>
      <c r="M30" s="54">
        <v>97.13</v>
      </c>
      <c r="N30" s="54">
        <v>27.20</v>
      </c>
      <c r="O30" s="54">
        <v>0</v>
      </c>
      <c r="P30" s="54">
        <v>0.88</v>
      </c>
      <c r="Q30" s="54">
        <v>11.47</v>
      </c>
      <c r="R30" s="43"/>
      <c r="S30" s="43"/>
      <c r="T30" s="43"/>
      <c r="U30" s="43"/>
    </row>
    <row r="31" spans="1:21" s="11" customFormat="1" ht="15">
      <c r="A31" s="53" t="s">
        <v>660</v>
      </c>
      <c r="B31" s="54">
        <v>7.48</v>
      </c>
      <c r="C31" s="54">
        <v>19.21</v>
      </c>
      <c r="D31" s="54">
        <v>17.239999999999998</v>
      </c>
      <c r="E31" s="54">
        <v>1.23</v>
      </c>
      <c r="F31" s="54">
        <v>9.60</v>
      </c>
      <c r="G31" s="55" t="s">
        <v>14</v>
      </c>
      <c r="H31" s="55" t="s">
        <v>14</v>
      </c>
      <c r="I31" s="54">
        <v>0.56999999999999995</v>
      </c>
      <c r="J31" s="54">
        <v>0.12</v>
      </c>
      <c r="K31" s="54">
        <v>346.80</v>
      </c>
      <c r="L31" s="54">
        <v>23.38</v>
      </c>
      <c r="M31" s="54">
        <v>97.13</v>
      </c>
      <c r="N31" s="54">
        <v>27.30</v>
      </c>
      <c r="O31" s="54">
        <v>0.20</v>
      </c>
      <c r="P31" s="54">
        <v>0.84</v>
      </c>
      <c r="Q31" s="54">
        <v>12.19</v>
      </c>
      <c r="R31" s="43"/>
      <c r="S31" s="43"/>
      <c r="T31" s="43"/>
      <c r="U31" s="43"/>
    </row>
    <row r="32" spans="1:21" s="11" customFormat="1" ht="15">
      <c r="A32" s="53" t="s">
        <v>661</v>
      </c>
      <c r="B32" s="54">
        <v>5.83</v>
      </c>
      <c r="C32" s="54">
        <v>14.95</v>
      </c>
      <c r="D32" s="54">
        <v>13.55</v>
      </c>
      <c r="E32" s="54">
        <v>0.88</v>
      </c>
      <c r="F32" s="54">
        <v>4.1100000000000003</v>
      </c>
      <c r="G32" s="55" t="s">
        <v>14</v>
      </c>
      <c r="H32" s="55" t="s">
        <v>14</v>
      </c>
      <c r="I32" s="54">
        <v>0.64</v>
      </c>
      <c r="J32" s="54">
        <v>0.16</v>
      </c>
      <c r="K32" s="54">
        <v>51.51</v>
      </c>
      <c r="L32" s="54">
        <v>23.24</v>
      </c>
      <c r="M32" s="54">
        <v>97.13</v>
      </c>
      <c r="N32" s="54">
        <v>26.90</v>
      </c>
      <c r="O32" s="54">
        <v>0</v>
      </c>
      <c r="P32" s="54">
        <v>0.75</v>
      </c>
      <c r="Q32" s="54">
        <v>10.43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1.1599999999999999</v>
      </c>
      <c r="C34" s="28">
        <f t="shared" si="0"/>
        <v>12.68</v>
      </c>
      <c r="D34" s="28">
        <f t="shared" si="0"/>
        <v>8.5399999999999991</v>
      </c>
      <c r="E34" s="28">
        <f t="shared" si="0"/>
        <v>0.28000000000000003</v>
      </c>
      <c r="F34" s="28">
        <f t="shared" si="0"/>
        <v>3.48</v>
      </c>
      <c r="G34" s="28">
        <f t="shared" si="0"/>
        <v>11.01</v>
      </c>
      <c r="H34" s="28">
        <f t="shared" si="0"/>
        <v>9.0899999999999999</v>
      </c>
      <c r="I34" s="28">
        <f t="shared" si="0"/>
        <v>0.54000000000000004</v>
      </c>
      <c r="J34" s="28">
        <f t="shared" si="0"/>
        <v>0.040000000000000001</v>
      </c>
      <c r="K34" s="28">
        <f t="shared" si="0"/>
        <v>36.219999999999999</v>
      </c>
      <c r="L34" s="28">
        <f t="shared" si="0"/>
        <v>21.690000000000001</v>
      </c>
      <c r="M34" s="28">
        <f t="shared" si="0"/>
        <v>83.379999999999995</v>
      </c>
      <c r="N34" s="28">
        <f t="shared" si="0"/>
        <v>25.300000000000001</v>
      </c>
      <c r="O34" s="28">
        <f t="shared" si="0"/>
        <v>0</v>
      </c>
      <c r="P34" s="28">
        <f t="shared" si="0"/>
        <v>0.38</v>
      </c>
      <c r="Q34" s="28">
        <f t="shared" si="0"/>
        <v>7.6100000000000003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13.06</v>
      </c>
      <c r="C35" s="29">
        <f t="shared" si="1"/>
        <v>23.960000000000001</v>
      </c>
      <c r="D35" s="29">
        <f t="shared" si="1"/>
        <v>23.559999999999999</v>
      </c>
      <c r="E35" s="29">
        <f t="shared" si="1"/>
        <v>1.7</v>
      </c>
      <c r="F35" s="29">
        <f t="shared" si="1"/>
        <v>13.08</v>
      </c>
      <c r="G35" s="29">
        <f t="shared" si="1"/>
        <v>69.730000000000004</v>
      </c>
      <c r="H35" s="29">
        <f t="shared" si="1"/>
        <v>26.329999999999998</v>
      </c>
      <c r="I35" s="29">
        <f t="shared" si="1"/>
        <v>0.65000000000000002</v>
      </c>
      <c r="J35" s="29">
        <f t="shared" si="1"/>
        <v>0.71999999999999997</v>
      </c>
      <c r="K35" s="29">
        <f t="shared" si="1"/>
        <v>358.35000000000002</v>
      </c>
      <c r="L35" s="29">
        <f t="shared" si="1"/>
        <v>24.649999999999999</v>
      </c>
      <c r="M35" s="29">
        <f t="shared" si="1"/>
        <v>97.170000000000002</v>
      </c>
      <c r="N35" s="29">
        <f t="shared" si="1"/>
        <v>168.30000000000001</v>
      </c>
      <c r="O35" s="29">
        <f t="shared" si="1"/>
        <v>8</v>
      </c>
      <c r="P35" s="29">
        <f t="shared" si="1"/>
        <v>1.0600000000000001</v>
      </c>
      <c r="Q35" s="29">
        <f t="shared" si="1"/>
        <v>14.960000000000001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6.9629166666666675</v>
      </c>
      <c r="C36" s="28">
        <f t="shared" si="2"/>
        <v>16.965</v>
      </c>
      <c r="D36" s="28">
        <f t="shared" si="2"/>
        <v>15.480833333333335</v>
      </c>
      <c r="E36" s="28">
        <f t="shared" si="2"/>
        <v>1.1195833333333332</v>
      </c>
      <c r="F36" s="28">
        <f t="shared" si="2"/>
        <v>6.7933333333333357</v>
      </c>
      <c r="G36" s="28">
        <f t="shared" si="2"/>
        <v>42.50888888888889</v>
      </c>
      <c r="H36" s="28">
        <f t="shared" si="2"/>
        <v>15.947777777777778</v>
      </c>
      <c r="I36" s="28">
        <f t="shared" si="2"/>
        <v>0.58583333333333332</v>
      </c>
      <c r="J36" s="28">
        <f t="shared" si="2"/>
        <v>0.25708333333333333</v>
      </c>
      <c r="K36" s="28">
        <f t="shared" si="2"/>
        <v>187.80083333333334</v>
      </c>
      <c r="L36" s="28">
        <f t="shared" si="2"/>
        <v>22.922500000000003</v>
      </c>
      <c r="M36" s="28">
        <f t="shared" si="2"/>
        <v>95.647500000000036</v>
      </c>
      <c r="N36" s="28">
        <f t="shared" si="2"/>
        <v>60.908333333333324</v>
      </c>
      <c r="O36" s="28">
        <f t="shared" si="2"/>
        <v>0.94999999999999984</v>
      </c>
      <c r="P36" s="28">
        <f t="shared" si="2"/>
        <v>0.66208333333333347</v>
      </c>
      <c r="Q36" s="28">
        <f t="shared" si="2"/>
        <v>11.718333333333335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3.6252993629512145</v>
      </c>
      <c r="C37" s="28">
        <f t="shared" si="3" ref="C37:Q37">STDEV(C9:C32)</f>
        <v>2.9041155205194205</v>
      </c>
      <c r="D37" s="28">
        <f t="shared" si="3"/>
        <v>4.1217755952951842</v>
      </c>
      <c r="E37" s="28">
        <f t="shared" si="3"/>
        <v>0.35116550249836292</v>
      </c>
      <c r="F37" s="28">
        <f t="shared" si="3"/>
        <v>2.7771140269784662</v>
      </c>
      <c r="G37" s="28">
        <f t="shared" si="3"/>
        <v>20.019470175584342</v>
      </c>
      <c r="H37" s="28">
        <f t="shared" si="3"/>
        <v>5.2849166922899053</v>
      </c>
      <c r="I37" s="28">
        <f t="shared" si="3"/>
        <v>0.029769647026089596</v>
      </c>
      <c r="J37" s="28">
        <f t="shared" si="3"/>
        <v>0.16222579987451916</v>
      </c>
      <c r="K37" s="28">
        <f t="shared" si="3"/>
        <v>145.32266365983114</v>
      </c>
      <c r="L37" s="28">
        <f t="shared" si="3"/>
        <v>0.83196075367291689</v>
      </c>
      <c r="M37" s="28">
        <f t="shared" si="3"/>
        <v>3.6745946241951883</v>
      </c>
      <c r="N37" s="28">
        <f t="shared" si="3"/>
        <v>50.714502828100862</v>
      </c>
      <c r="O37" s="28">
        <f t="shared" si="3"/>
        <v>2.0235569200533137</v>
      </c>
      <c r="P37" s="28">
        <f t="shared" si="3"/>
        <v>0.23931022556082077</v>
      </c>
      <c r="Q37" s="28">
        <f t="shared" si="3"/>
        <v>1.9864796624368737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COUNT(G9:G32)+15</f>
        <v>24</v>
      </c>
      <c r="H38" s="32">
        <f>COUNT(H9:H32)+15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b2e3e09-d0a3-4dd6-8954-01da62accfd5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51" sqref="I51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26-06-2023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51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61"/>
      <c r="B8" s="62" t="s">
        <v>22</v>
      </c>
      <c r="C8" s="62" t="s">
        <v>22</v>
      </c>
      <c r="D8" s="29" t="s">
        <v>61</v>
      </c>
      <c r="E8" s="62" t="s">
        <v>22</v>
      </c>
      <c r="F8" s="62" t="s">
        <v>22</v>
      </c>
      <c r="G8" s="62" t="s">
        <v>23</v>
      </c>
      <c r="H8" s="62" t="s">
        <v>22</v>
      </c>
      <c r="I8" s="62" t="s">
        <v>22</v>
      </c>
      <c r="J8" s="62" t="s">
        <v>24</v>
      </c>
      <c r="K8" s="62" t="s">
        <v>25</v>
      </c>
      <c r="L8" s="61" t="s">
        <v>27</v>
      </c>
      <c r="M8" s="62" t="s">
        <v>26</v>
      </c>
      <c r="N8" s="62" t="s">
        <v>28</v>
      </c>
      <c r="O8" s="61" t="s">
        <v>29</v>
      </c>
      <c r="P8" s="62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662</v>
      </c>
      <c r="B9" s="54">
        <v>5.19</v>
      </c>
      <c r="C9" s="54">
        <v>15.71</v>
      </c>
      <c r="D9" s="54">
        <v>13.48</v>
      </c>
      <c r="E9" s="54">
        <v>1.58</v>
      </c>
      <c r="F9" s="54">
        <v>9.1199999999999992</v>
      </c>
      <c r="G9" s="60" t="s">
        <v>14</v>
      </c>
      <c r="H9" s="60" t="s">
        <v>14</v>
      </c>
      <c r="I9" s="54">
        <v>0.55000000000000004</v>
      </c>
      <c r="J9" s="54">
        <v>0.22</v>
      </c>
      <c r="K9" s="54">
        <v>42.30</v>
      </c>
      <c r="L9" s="54">
        <v>23.30</v>
      </c>
      <c r="M9" s="54">
        <v>97.13</v>
      </c>
      <c r="N9" s="54">
        <v>26.90</v>
      </c>
      <c r="O9" s="54">
        <v>0</v>
      </c>
      <c r="P9" s="54">
        <v>0.65</v>
      </c>
      <c r="Q9" s="54">
        <v>10.95</v>
      </c>
      <c r="R9" s="43"/>
      <c r="S9" s="43"/>
      <c r="T9" s="43"/>
      <c r="U9" s="43"/>
    </row>
    <row r="10" spans="1:21" s="11" customFormat="1" ht="15">
      <c r="A10" s="53" t="s">
        <v>663</v>
      </c>
      <c r="B10" s="54">
        <v>4.5599999999999996</v>
      </c>
      <c r="C10" s="54">
        <v>13.55</v>
      </c>
      <c r="D10" s="54">
        <v>11.78</v>
      </c>
      <c r="E10" s="54">
        <v>1.21</v>
      </c>
      <c r="F10" s="54">
        <v>8.16</v>
      </c>
      <c r="G10" s="60" t="s">
        <v>14</v>
      </c>
      <c r="H10" s="60" t="s">
        <v>14</v>
      </c>
      <c r="I10" s="54">
        <v>0.57999999999999996</v>
      </c>
      <c r="J10" s="54">
        <v>0.21</v>
      </c>
      <c r="K10" s="54">
        <v>47.87</v>
      </c>
      <c r="L10" s="54">
        <v>23.33</v>
      </c>
      <c r="M10" s="54">
        <v>97.13</v>
      </c>
      <c r="N10" s="54">
        <v>27.10</v>
      </c>
      <c r="O10" s="54">
        <v>0</v>
      </c>
      <c r="P10" s="54">
        <v>0.56999999999999995</v>
      </c>
      <c r="Q10" s="54">
        <v>10.98</v>
      </c>
      <c r="R10" s="43"/>
      <c r="S10" s="43"/>
      <c r="T10" s="43"/>
      <c r="U10" s="43"/>
    </row>
    <row r="11" spans="1:21" s="11" customFormat="1" ht="15">
      <c r="A11" s="53" t="s">
        <v>664</v>
      </c>
      <c r="B11" s="54">
        <v>3.11</v>
      </c>
      <c r="C11" s="54">
        <v>13.40</v>
      </c>
      <c r="D11" s="54">
        <v>10.43</v>
      </c>
      <c r="E11" s="54">
        <v>0.82</v>
      </c>
      <c r="F11" s="54">
        <v>3.60</v>
      </c>
      <c r="G11" s="60" t="s">
        <v>14</v>
      </c>
      <c r="H11" s="60" t="s">
        <v>14</v>
      </c>
      <c r="I11" s="54">
        <v>0.59</v>
      </c>
      <c r="J11" s="54">
        <v>0.22</v>
      </c>
      <c r="K11" s="54">
        <v>306.06</v>
      </c>
      <c r="L11" s="54">
        <v>23.31</v>
      </c>
      <c r="M11" s="54">
        <v>97.13</v>
      </c>
      <c r="N11" s="54">
        <v>26.90</v>
      </c>
      <c r="O11" s="54">
        <v>0.60</v>
      </c>
      <c r="P11" s="54">
        <v>0.51</v>
      </c>
      <c r="Q11" s="54">
        <v>7.84</v>
      </c>
      <c r="R11" s="43"/>
      <c r="S11" s="43"/>
      <c r="T11" s="43"/>
      <c r="U11" s="43"/>
    </row>
    <row r="12" spans="1:21" s="11" customFormat="1" ht="15">
      <c r="A12" s="53" t="s">
        <v>665</v>
      </c>
      <c r="B12" s="54">
        <v>2.4500000000000002</v>
      </c>
      <c r="C12" s="54">
        <v>13.29</v>
      </c>
      <c r="D12" s="54">
        <v>9.69</v>
      </c>
      <c r="E12" s="54">
        <v>1.54</v>
      </c>
      <c r="F12" s="54">
        <v>7.57</v>
      </c>
      <c r="G12" s="60" t="s">
        <v>14</v>
      </c>
      <c r="H12" s="60" t="s">
        <v>14</v>
      </c>
      <c r="I12" s="54">
        <v>0.51</v>
      </c>
      <c r="J12" s="54">
        <v>1.80</v>
      </c>
      <c r="K12" s="54">
        <v>359.53</v>
      </c>
      <c r="L12" s="54">
        <v>22.56</v>
      </c>
      <c r="M12" s="54">
        <v>97.17</v>
      </c>
      <c r="N12" s="54">
        <v>28.10</v>
      </c>
      <c r="O12" s="54">
        <v>8.60</v>
      </c>
      <c r="P12" s="54">
        <v>0.5</v>
      </c>
      <c r="Q12" s="54">
        <v>8.3699999999999992</v>
      </c>
      <c r="R12" s="43"/>
      <c r="S12" s="43"/>
      <c r="T12" s="43"/>
      <c r="U12" s="43"/>
    </row>
    <row r="13" spans="1:21" s="11" customFormat="1" ht="15">
      <c r="A13" s="53" t="s">
        <v>666</v>
      </c>
      <c r="B13" s="54">
        <v>2.4700000000000002</v>
      </c>
      <c r="C13" s="54">
        <v>15.18</v>
      </c>
      <c r="D13" s="54">
        <v>10.61</v>
      </c>
      <c r="E13" s="54">
        <v>1.90</v>
      </c>
      <c r="F13" s="54">
        <v>5.07</v>
      </c>
      <c r="G13" s="60" t="s">
        <v>14</v>
      </c>
      <c r="H13" s="60" t="s">
        <v>14</v>
      </c>
      <c r="I13" s="54">
        <v>0.52</v>
      </c>
      <c r="J13" s="54">
        <v>0.90</v>
      </c>
      <c r="K13" s="54">
        <v>345.60</v>
      </c>
      <c r="L13" s="54">
        <v>21.15</v>
      </c>
      <c r="M13" s="54">
        <v>97.17</v>
      </c>
      <c r="N13" s="54">
        <v>27.30</v>
      </c>
      <c r="O13" s="54">
        <v>5.80</v>
      </c>
      <c r="P13" s="54">
        <v>0.46</v>
      </c>
      <c r="Q13" s="54">
        <v>8.56</v>
      </c>
      <c r="R13" s="43"/>
      <c r="S13" s="43"/>
      <c r="T13" s="43"/>
      <c r="U13" s="43"/>
    </row>
    <row r="14" spans="1:21" s="11" customFormat="1" ht="15">
      <c r="A14" s="53" t="s">
        <v>667</v>
      </c>
      <c r="B14" s="54">
        <v>1.06</v>
      </c>
      <c r="C14" s="54">
        <v>13.70</v>
      </c>
      <c r="D14" s="54">
        <v>9.06</v>
      </c>
      <c r="E14" s="54">
        <v>2.0499999999999998</v>
      </c>
      <c r="F14" s="54">
        <v>6.36</v>
      </c>
      <c r="G14" s="60" t="s">
        <v>14</v>
      </c>
      <c r="H14" s="60" t="s">
        <v>14</v>
      </c>
      <c r="I14" s="54">
        <v>0.53</v>
      </c>
      <c r="J14" s="54">
        <v>0.87</v>
      </c>
      <c r="K14" s="54">
        <v>351.74</v>
      </c>
      <c r="L14" s="54">
        <v>21.10</v>
      </c>
      <c r="M14" s="54">
        <v>97.17</v>
      </c>
      <c r="N14" s="54">
        <v>32.5</v>
      </c>
      <c r="O14" s="54">
        <v>1</v>
      </c>
      <c r="P14" s="54">
        <v>0.39</v>
      </c>
      <c r="Q14" s="54">
        <v>5.85</v>
      </c>
      <c r="R14" s="43"/>
      <c r="S14" s="43"/>
      <c r="T14" s="43"/>
      <c r="U14" s="43"/>
    </row>
    <row r="15" spans="1:21" s="11" customFormat="1" ht="15">
      <c r="A15" s="53" t="s">
        <v>668</v>
      </c>
      <c r="B15" s="54">
        <v>1.73</v>
      </c>
      <c r="C15" s="54">
        <v>12.69</v>
      </c>
      <c r="D15" s="54">
        <v>9.0399999999999991</v>
      </c>
      <c r="E15" s="54">
        <v>2.0699999999999998</v>
      </c>
      <c r="F15" s="54">
        <v>7.05</v>
      </c>
      <c r="G15" s="60" t="s">
        <v>14</v>
      </c>
      <c r="H15" s="60" t="s">
        <v>14</v>
      </c>
      <c r="I15" s="54">
        <v>0.54</v>
      </c>
      <c r="J15" s="54">
        <v>0.43</v>
      </c>
      <c r="K15" s="54">
        <v>353.35</v>
      </c>
      <c r="L15" s="54">
        <v>21.07</v>
      </c>
      <c r="M15" s="54">
        <v>97.17</v>
      </c>
      <c r="N15" s="54">
        <v>52.80</v>
      </c>
      <c r="O15" s="54">
        <v>0.20</v>
      </c>
      <c r="P15" s="54">
        <v>0.34</v>
      </c>
      <c r="Q15" s="54">
        <v>6.21</v>
      </c>
      <c r="R15" s="43"/>
      <c r="S15" s="43"/>
      <c r="T15" s="43"/>
      <c r="U15" s="43"/>
    </row>
    <row r="16" spans="1:21" s="11" customFormat="1" ht="15">
      <c r="A16" s="53" t="s">
        <v>669</v>
      </c>
      <c r="B16" s="54">
        <v>2.2400000000000002</v>
      </c>
      <c r="C16" s="54">
        <v>15.45</v>
      </c>
      <c r="D16" s="54">
        <v>10.66</v>
      </c>
      <c r="E16" s="54">
        <v>1.83</v>
      </c>
      <c r="F16" s="54">
        <v>6.05</v>
      </c>
      <c r="G16" s="60" t="s">
        <v>14</v>
      </c>
      <c r="H16" s="60" t="s">
        <v>14</v>
      </c>
      <c r="I16" s="54">
        <v>0.55000000000000004</v>
      </c>
      <c r="J16" s="54">
        <v>0.25</v>
      </c>
      <c r="K16" s="54">
        <v>352.22</v>
      </c>
      <c r="L16" s="54">
        <v>21.09</v>
      </c>
      <c r="M16" s="54">
        <v>97.17</v>
      </c>
      <c r="N16" s="54">
        <v>73</v>
      </c>
      <c r="O16" s="54">
        <v>1.60</v>
      </c>
      <c r="P16" s="54">
        <v>0.36</v>
      </c>
      <c r="Q16" s="54">
        <v>6.66</v>
      </c>
      <c r="R16" s="43"/>
      <c r="S16" s="43"/>
      <c r="T16" s="43"/>
      <c r="U16" s="43"/>
    </row>
    <row r="17" spans="1:21" s="11" customFormat="1" ht="15">
      <c r="A17" s="53" t="s">
        <v>670</v>
      </c>
      <c r="B17" s="54">
        <v>1.91</v>
      </c>
      <c r="C17" s="54">
        <v>15.89</v>
      </c>
      <c r="D17" s="54">
        <v>10.95</v>
      </c>
      <c r="E17" s="54">
        <v>0.80</v>
      </c>
      <c r="F17" s="54">
        <v>5.34</v>
      </c>
      <c r="G17" s="60" t="s">
        <v>14</v>
      </c>
      <c r="H17" s="60" t="s">
        <v>14</v>
      </c>
      <c r="I17" s="54">
        <v>0.51</v>
      </c>
      <c r="J17" s="54">
        <v>0.33</v>
      </c>
      <c r="K17" s="54">
        <v>359.77</v>
      </c>
      <c r="L17" s="54">
        <v>21.73</v>
      </c>
      <c r="M17" s="54">
        <v>97.15</v>
      </c>
      <c r="N17" s="54">
        <v>137.90</v>
      </c>
      <c r="O17" s="54">
        <v>0.20</v>
      </c>
      <c r="P17" s="54">
        <v>0.39</v>
      </c>
      <c r="Q17" s="54">
        <v>5.34</v>
      </c>
      <c r="R17" s="43"/>
      <c r="S17" s="43"/>
      <c r="T17" s="43"/>
      <c r="U17" s="43"/>
    </row>
    <row r="18" spans="1:21" s="11" customFormat="1" ht="15">
      <c r="A18" s="53" t="s">
        <v>671</v>
      </c>
      <c r="B18" s="54">
        <v>2.38</v>
      </c>
      <c r="C18" s="54">
        <v>15.79</v>
      </c>
      <c r="D18" s="54">
        <v>11.27</v>
      </c>
      <c r="E18" s="54">
        <v>0.66</v>
      </c>
      <c r="F18" s="54">
        <v>4.99</v>
      </c>
      <c r="G18" s="60" t="s">
        <v>14</v>
      </c>
      <c r="H18" s="60" t="s">
        <v>14</v>
      </c>
      <c r="I18" s="54">
        <v>0.56000000000000005</v>
      </c>
      <c r="J18" s="54">
        <v>0.42</v>
      </c>
      <c r="K18" s="54">
        <v>356.48</v>
      </c>
      <c r="L18" s="54">
        <v>21.73</v>
      </c>
      <c r="M18" s="54">
        <v>97.17</v>
      </c>
      <c r="N18" s="54">
        <v>94.30</v>
      </c>
      <c r="O18" s="54">
        <v>0.20</v>
      </c>
      <c r="P18" s="54">
        <v>0.42</v>
      </c>
      <c r="Q18" s="54">
        <v>6.42</v>
      </c>
      <c r="R18" s="43"/>
      <c r="S18" s="43"/>
      <c r="T18" s="43"/>
      <c r="U18" s="43"/>
    </row>
    <row r="19" spans="1:21" s="11" customFormat="1" ht="15">
      <c r="A19" s="53" t="s">
        <v>672</v>
      </c>
      <c r="B19" s="54">
        <v>3.37</v>
      </c>
      <c r="C19" s="54">
        <v>44.30</v>
      </c>
      <c r="D19" s="54">
        <v>26.84</v>
      </c>
      <c r="E19" s="54">
        <v>0.87</v>
      </c>
      <c r="F19" s="54">
        <v>19.75</v>
      </c>
      <c r="G19" s="60" t="s">
        <v>14</v>
      </c>
      <c r="H19" s="60" t="s">
        <v>14</v>
      </c>
      <c r="I19" s="54">
        <v>0.52</v>
      </c>
      <c r="J19" s="54">
        <v>0.28999999999999998</v>
      </c>
      <c r="K19" s="54">
        <v>38.450000000000003</v>
      </c>
      <c r="L19" s="54">
        <v>21.66</v>
      </c>
      <c r="M19" s="54">
        <v>97.16</v>
      </c>
      <c r="N19" s="54">
        <v>124.80</v>
      </c>
      <c r="O19" s="54">
        <v>2.40</v>
      </c>
      <c r="P19" s="54">
        <v>1.28</v>
      </c>
      <c r="Q19" s="54">
        <v>11.30</v>
      </c>
      <c r="R19" s="43"/>
      <c r="S19" s="43"/>
      <c r="T19" s="43"/>
      <c r="U19" s="43"/>
    </row>
    <row r="20" spans="1:21" s="11" customFormat="1" ht="15">
      <c r="A20" s="53" t="s">
        <v>673</v>
      </c>
      <c r="B20" s="54">
        <v>2.27</v>
      </c>
      <c r="C20" s="54">
        <v>36.43</v>
      </c>
      <c r="D20" s="54">
        <v>22.57</v>
      </c>
      <c r="E20" s="54">
        <v>1.20</v>
      </c>
      <c r="F20" s="54">
        <v>6.60</v>
      </c>
      <c r="G20" s="60" t="s">
        <v>14</v>
      </c>
      <c r="H20" s="60" t="s">
        <v>14</v>
      </c>
      <c r="I20" s="54">
        <v>0.5</v>
      </c>
      <c r="J20" s="54">
        <v>0.33</v>
      </c>
      <c r="K20" s="54">
        <v>34.82</v>
      </c>
      <c r="L20" s="54">
        <v>21.47</v>
      </c>
      <c r="M20" s="54">
        <v>97.15</v>
      </c>
      <c r="N20" s="54">
        <v>140.60</v>
      </c>
      <c r="O20" s="54">
        <v>0.60</v>
      </c>
      <c r="P20" s="54">
        <v>1.34</v>
      </c>
      <c r="Q20" s="54">
        <v>9.15</v>
      </c>
      <c r="R20" s="43"/>
      <c r="S20" s="43"/>
      <c r="T20" s="43"/>
      <c r="U20" s="43"/>
    </row>
    <row r="21" spans="1:21" s="11" customFormat="1" ht="15">
      <c r="A21" s="53" t="s">
        <v>674</v>
      </c>
      <c r="B21" s="54">
        <v>6.07</v>
      </c>
      <c r="C21" s="54">
        <v>32.71</v>
      </c>
      <c r="D21" s="54">
        <v>21.13</v>
      </c>
      <c r="E21" s="54">
        <v>0.97</v>
      </c>
      <c r="F21" s="54">
        <v>10.88</v>
      </c>
      <c r="G21" s="60" t="s">
        <v>14</v>
      </c>
      <c r="H21" s="60" t="s">
        <v>14</v>
      </c>
      <c r="I21" s="54">
        <v>0.49</v>
      </c>
      <c r="J21" s="54">
        <v>0.25</v>
      </c>
      <c r="K21" s="54">
        <v>41.07</v>
      </c>
      <c r="L21" s="54">
        <v>21.84</v>
      </c>
      <c r="M21" s="54">
        <v>97.15</v>
      </c>
      <c r="N21" s="54">
        <v>117.30</v>
      </c>
      <c r="O21" s="54">
        <v>0.20</v>
      </c>
      <c r="P21" s="54">
        <v>1.08</v>
      </c>
      <c r="Q21" s="54">
        <v>11.07</v>
      </c>
      <c r="R21" s="43"/>
      <c r="S21" s="43"/>
      <c r="T21" s="43"/>
      <c r="U21" s="43"/>
    </row>
    <row r="22" spans="1:21" s="11" customFormat="1" ht="15">
      <c r="A22" s="53" t="s">
        <v>675</v>
      </c>
      <c r="B22" s="54">
        <v>2.95</v>
      </c>
      <c r="C22" s="54">
        <v>25.71</v>
      </c>
      <c r="D22" s="54">
        <v>16.77</v>
      </c>
      <c r="E22" s="54">
        <v>1.48</v>
      </c>
      <c r="F22" s="54">
        <v>7.86</v>
      </c>
      <c r="G22" s="60" t="s">
        <v>14</v>
      </c>
      <c r="H22" s="60" t="s">
        <v>14</v>
      </c>
      <c r="I22" s="54">
        <v>0.49</v>
      </c>
      <c r="J22" s="54">
        <v>0.28999999999999998</v>
      </c>
      <c r="K22" s="54">
        <v>30.73</v>
      </c>
      <c r="L22" s="54">
        <v>21.81</v>
      </c>
      <c r="M22" s="54">
        <v>97.15</v>
      </c>
      <c r="N22" s="54">
        <v>170.80</v>
      </c>
      <c r="O22" s="54">
        <v>0.40</v>
      </c>
      <c r="P22" s="54">
        <v>1.1499999999999999</v>
      </c>
      <c r="Q22" s="54">
        <v>8.94</v>
      </c>
      <c r="R22" s="43"/>
      <c r="S22" s="43"/>
      <c r="T22" s="43"/>
      <c r="U22" s="43"/>
    </row>
    <row r="23" spans="1:21" s="11" customFormat="1" ht="15">
      <c r="A23" s="53" t="s">
        <v>676</v>
      </c>
      <c r="B23" s="54">
        <v>1.76</v>
      </c>
      <c r="C23" s="54">
        <v>27.20</v>
      </c>
      <c r="D23" s="54">
        <v>16.78</v>
      </c>
      <c r="E23" s="54">
        <v>0.97</v>
      </c>
      <c r="F23" s="54">
        <v>12.78</v>
      </c>
      <c r="G23" s="60" t="s">
        <v>14</v>
      </c>
      <c r="H23" s="60" t="s">
        <v>14</v>
      </c>
      <c r="I23" s="54">
        <v>0.56000000000000005</v>
      </c>
      <c r="J23" s="54">
        <v>0.15</v>
      </c>
      <c r="K23" s="54">
        <v>355.28</v>
      </c>
      <c r="L23" s="54">
        <v>22.14</v>
      </c>
      <c r="M23" s="54">
        <v>97.15</v>
      </c>
      <c r="N23" s="54">
        <v>162.80000000000001</v>
      </c>
      <c r="O23" s="54">
        <v>0.20</v>
      </c>
      <c r="P23" s="54">
        <v>1.07</v>
      </c>
      <c r="Q23" s="54">
        <v>8.43</v>
      </c>
      <c r="R23" s="43"/>
      <c r="S23" s="43"/>
      <c r="T23" s="43"/>
      <c r="U23" s="43"/>
    </row>
    <row r="24" spans="1:21" s="11" customFormat="1" ht="15">
      <c r="A24" s="53" t="s">
        <v>677</v>
      </c>
      <c r="B24" s="54">
        <v>3.09</v>
      </c>
      <c r="C24" s="54">
        <v>24.70</v>
      </c>
      <c r="D24" s="54">
        <v>15.98</v>
      </c>
      <c r="E24" s="54">
        <v>0.83</v>
      </c>
      <c r="F24" s="54">
        <v>27.18</v>
      </c>
      <c r="G24" s="60" t="s">
        <v>14</v>
      </c>
      <c r="H24" s="60" t="s">
        <v>14</v>
      </c>
      <c r="I24" s="54">
        <v>0.60</v>
      </c>
      <c r="J24" s="54">
        <v>0.18</v>
      </c>
      <c r="K24" s="54">
        <v>30.93</v>
      </c>
      <c r="L24" s="54">
        <v>22.30</v>
      </c>
      <c r="M24" s="54">
        <v>97.14</v>
      </c>
      <c r="N24" s="54">
        <v>128.40</v>
      </c>
      <c r="O24" s="54">
        <v>0</v>
      </c>
      <c r="P24" s="54">
        <v>0.76</v>
      </c>
      <c r="Q24" s="54">
        <v>12.75</v>
      </c>
      <c r="R24" s="43"/>
      <c r="S24" s="43"/>
      <c r="T24" s="43"/>
      <c r="U24" s="43"/>
    </row>
    <row r="25" spans="1:21" s="11" customFormat="1" ht="15">
      <c r="A25" s="53" t="s">
        <v>678</v>
      </c>
      <c r="B25" s="54">
        <v>2.06</v>
      </c>
      <c r="C25" s="54">
        <v>30.21</v>
      </c>
      <c r="D25" s="54">
        <v>18.97</v>
      </c>
      <c r="E25" s="54">
        <v>1.49</v>
      </c>
      <c r="F25" s="54">
        <v>35.17</v>
      </c>
      <c r="G25" s="60" t="s">
        <v>14</v>
      </c>
      <c r="H25" s="60" t="s">
        <v>14</v>
      </c>
      <c r="I25" s="54">
        <v>0.57999999999999996</v>
      </c>
      <c r="J25" s="54">
        <v>0.26</v>
      </c>
      <c r="K25" s="54">
        <v>45.33</v>
      </c>
      <c r="L25" s="54">
        <v>22.39</v>
      </c>
      <c r="M25" s="54">
        <v>97.14</v>
      </c>
      <c r="N25" s="54">
        <v>81</v>
      </c>
      <c r="O25" s="54">
        <v>0.80</v>
      </c>
      <c r="P25" s="54">
        <v>0.51</v>
      </c>
      <c r="Q25" s="54">
        <v>10.83</v>
      </c>
      <c r="R25" s="43"/>
      <c r="S25" s="43"/>
      <c r="T25" s="43"/>
      <c r="U25" s="43"/>
    </row>
    <row r="26" spans="1:21" s="11" customFormat="1" ht="15">
      <c r="A26" s="53" t="s">
        <v>679</v>
      </c>
      <c r="B26" s="54">
        <v>1.68</v>
      </c>
      <c r="C26" s="54">
        <v>30.14</v>
      </c>
      <c r="D26" s="54">
        <v>18.600000000000001</v>
      </c>
      <c r="E26" s="54">
        <v>1.99</v>
      </c>
      <c r="F26" s="54">
        <v>31.65</v>
      </c>
      <c r="G26" s="60" t="s">
        <v>14</v>
      </c>
      <c r="H26" s="60" t="s">
        <v>14</v>
      </c>
      <c r="I26" s="54">
        <v>0.56999999999999995</v>
      </c>
      <c r="J26" s="54">
        <v>0.27</v>
      </c>
      <c r="K26" s="54">
        <v>270.88</v>
      </c>
      <c r="L26" s="54">
        <v>21.84</v>
      </c>
      <c r="M26" s="54">
        <v>97.15</v>
      </c>
      <c r="N26" s="54">
        <v>44</v>
      </c>
      <c r="O26" s="54">
        <v>1</v>
      </c>
      <c r="P26" s="54">
        <v>0.39</v>
      </c>
      <c r="Q26" s="54">
        <v>8.01</v>
      </c>
      <c r="R26" s="43"/>
      <c r="S26" s="43"/>
      <c r="T26" s="43"/>
      <c r="U26" s="43"/>
    </row>
    <row r="27" spans="1:21" s="11" customFormat="1" ht="15">
      <c r="A27" s="53" t="s">
        <v>680</v>
      </c>
      <c r="B27" s="54">
        <v>2.0099999999999998</v>
      </c>
      <c r="C27" s="54">
        <v>28.06</v>
      </c>
      <c r="D27" s="54">
        <v>17.739999999999998</v>
      </c>
      <c r="E27" s="54">
        <v>2.12</v>
      </c>
      <c r="F27" s="54">
        <v>35.36</v>
      </c>
      <c r="G27" s="60" t="s">
        <v>14</v>
      </c>
      <c r="H27" s="60" t="s">
        <v>14</v>
      </c>
      <c r="I27" s="54">
        <v>0.52</v>
      </c>
      <c r="J27" s="54">
        <v>0.32</v>
      </c>
      <c r="K27" s="54">
        <v>270.91000000000003</v>
      </c>
      <c r="L27" s="54">
        <v>21.49</v>
      </c>
      <c r="M27" s="54">
        <v>97.15</v>
      </c>
      <c r="N27" s="54">
        <v>30.20</v>
      </c>
      <c r="O27" s="54">
        <v>0.60</v>
      </c>
      <c r="P27" s="54">
        <v>0.51</v>
      </c>
      <c r="Q27" s="54">
        <v>8.6300000000000008</v>
      </c>
      <c r="R27" s="43"/>
      <c r="S27" s="43"/>
      <c r="T27" s="43"/>
      <c r="U27" s="43"/>
    </row>
    <row r="28" spans="1:21" s="11" customFormat="1" ht="15">
      <c r="A28" s="53" t="s">
        <v>681</v>
      </c>
      <c r="B28" s="54">
        <v>1.43</v>
      </c>
      <c r="C28" s="54">
        <v>23.90</v>
      </c>
      <c r="D28" s="54">
        <v>14.76</v>
      </c>
      <c r="E28" s="54">
        <v>1.95</v>
      </c>
      <c r="F28" s="54">
        <v>26.18</v>
      </c>
      <c r="G28" s="60" t="s">
        <v>14</v>
      </c>
      <c r="H28" s="60" t="s">
        <v>14</v>
      </c>
      <c r="I28" s="54">
        <v>0.52</v>
      </c>
      <c r="J28" s="54">
        <v>0.23</v>
      </c>
      <c r="K28" s="54">
        <v>29.79</v>
      </c>
      <c r="L28" s="54">
        <v>21.21</v>
      </c>
      <c r="M28" s="54">
        <v>97.15</v>
      </c>
      <c r="N28" s="54">
        <v>27</v>
      </c>
      <c r="O28" s="54">
        <v>0</v>
      </c>
      <c r="P28" s="54">
        <v>0.63</v>
      </c>
      <c r="Q28" s="54">
        <v>8.39</v>
      </c>
      <c r="R28" s="43"/>
      <c r="S28" s="43"/>
      <c r="T28" s="43"/>
      <c r="U28" s="43"/>
    </row>
    <row r="29" spans="1:21" s="11" customFormat="1" ht="15">
      <c r="A29" s="53" t="s">
        <v>682</v>
      </c>
      <c r="B29" s="54">
        <v>1.66</v>
      </c>
      <c r="C29" s="54">
        <v>14.66</v>
      </c>
      <c r="D29" s="54">
        <v>9.99</v>
      </c>
      <c r="E29" s="54">
        <v>0.90</v>
      </c>
      <c r="F29" s="54">
        <v>6.65</v>
      </c>
      <c r="G29" s="60" t="s">
        <v>14</v>
      </c>
      <c r="H29" s="60" t="s">
        <v>14</v>
      </c>
      <c r="I29" s="54">
        <v>0.52</v>
      </c>
      <c r="J29" s="54">
        <v>0.19</v>
      </c>
      <c r="K29" s="54">
        <v>30.88</v>
      </c>
      <c r="L29" s="54">
        <v>21.21</v>
      </c>
      <c r="M29" s="54">
        <v>97.15</v>
      </c>
      <c r="N29" s="54">
        <v>27</v>
      </c>
      <c r="O29" s="54">
        <v>0.40</v>
      </c>
      <c r="P29" s="54">
        <v>0.63</v>
      </c>
      <c r="Q29" s="54">
        <v>8.06</v>
      </c>
      <c r="R29" s="43"/>
      <c r="S29" s="43"/>
      <c r="T29" s="43"/>
      <c r="U29" s="43"/>
    </row>
    <row r="30" spans="1:21" s="11" customFormat="1" ht="15">
      <c r="A30" s="53" t="s">
        <v>683</v>
      </c>
      <c r="B30" s="54">
        <v>2.61</v>
      </c>
      <c r="C30" s="54">
        <v>12.73</v>
      </c>
      <c r="D30" s="54">
        <v>9.52</v>
      </c>
      <c r="E30" s="54">
        <v>1.04</v>
      </c>
      <c r="F30" s="54">
        <v>6.26</v>
      </c>
      <c r="G30" s="60" t="s">
        <v>14</v>
      </c>
      <c r="H30" s="60" t="s">
        <v>14</v>
      </c>
      <c r="I30" s="54">
        <v>0.54</v>
      </c>
      <c r="J30" s="54">
        <v>0.17</v>
      </c>
      <c r="K30" s="54">
        <v>245.16</v>
      </c>
      <c r="L30" s="54">
        <v>20.96</v>
      </c>
      <c r="M30" s="54">
        <v>97.15</v>
      </c>
      <c r="N30" s="54">
        <v>26.80</v>
      </c>
      <c r="O30" s="54">
        <v>1.20</v>
      </c>
      <c r="P30" s="54">
        <v>0.56999999999999995</v>
      </c>
      <c r="Q30" s="54">
        <v>7.53</v>
      </c>
      <c r="R30" s="43"/>
      <c r="S30" s="43"/>
      <c r="T30" s="43"/>
      <c r="U30" s="43"/>
    </row>
    <row r="31" spans="1:21" s="11" customFormat="1" ht="15">
      <c r="A31" s="53" t="s">
        <v>684</v>
      </c>
      <c r="B31" s="54">
        <v>2.27</v>
      </c>
      <c r="C31" s="54">
        <v>11.92</v>
      </c>
      <c r="D31" s="54">
        <v>8.59</v>
      </c>
      <c r="E31" s="54">
        <v>1.1200000000000001</v>
      </c>
      <c r="F31" s="54">
        <v>5.49</v>
      </c>
      <c r="G31" s="60" t="s">
        <v>14</v>
      </c>
      <c r="H31" s="60" t="s">
        <v>14</v>
      </c>
      <c r="I31" s="54">
        <v>0.56000000000000005</v>
      </c>
      <c r="J31" s="54">
        <v>0.16</v>
      </c>
      <c r="K31" s="54">
        <v>300.82</v>
      </c>
      <c r="L31" s="54">
        <v>21.15</v>
      </c>
      <c r="M31" s="54">
        <v>97.15</v>
      </c>
      <c r="N31" s="54">
        <v>26.70</v>
      </c>
      <c r="O31" s="54">
        <v>0.40</v>
      </c>
      <c r="P31" s="54">
        <v>0.5</v>
      </c>
      <c r="Q31" s="54">
        <v>8.27</v>
      </c>
      <c r="R31" s="43"/>
      <c r="S31" s="43"/>
      <c r="T31" s="43"/>
      <c r="U31" s="43"/>
    </row>
    <row r="32" spans="1:21" s="11" customFormat="1" ht="15">
      <c r="A32" s="53" t="s">
        <v>685</v>
      </c>
      <c r="B32" s="54">
        <v>1.75</v>
      </c>
      <c r="C32" s="54">
        <v>11.88</v>
      </c>
      <c r="D32" s="54">
        <v>8.43</v>
      </c>
      <c r="E32" s="54">
        <v>1.1299999999999999</v>
      </c>
      <c r="F32" s="54">
        <v>7.56</v>
      </c>
      <c r="G32" s="60" t="s">
        <v>14</v>
      </c>
      <c r="H32" s="60" t="s">
        <v>14</v>
      </c>
      <c r="I32" s="54">
        <v>0.51</v>
      </c>
      <c r="J32" s="54">
        <v>0.17</v>
      </c>
      <c r="K32" s="54">
        <v>40.69</v>
      </c>
      <c r="L32" s="54">
        <v>21.17</v>
      </c>
      <c r="M32" s="54">
        <v>97.15</v>
      </c>
      <c r="N32" s="54">
        <v>27</v>
      </c>
      <c r="O32" s="54">
        <v>0.80</v>
      </c>
      <c r="P32" s="54">
        <v>0.43</v>
      </c>
      <c r="Q32" s="54">
        <v>8.36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1.0600000000000001</v>
      </c>
      <c r="C34" s="28">
        <f t="shared" si="0"/>
        <v>11.880000000000001</v>
      </c>
      <c r="D34" s="28">
        <f t="shared" si="0"/>
        <v>8.4299999999999997</v>
      </c>
      <c r="E34" s="28">
        <f t="shared" si="0"/>
        <v>0.66000000000000003</v>
      </c>
      <c r="F34" s="28">
        <f t="shared" si="0"/>
        <v>3.6000000000000001</v>
      </c>
      <c r="G34" s="28">
        <f t="shared" si="0"/>
        <v>0</v>
      </c>
      <c r="H34" s="28">
        <f t="shared" si="0"/>
        <v>0</v>
      </c>
      <c r="I34" s="28">
        <f t="shared" si="0"/>
        <v>0.48999999999999999</v>
      </c>
      <c r="J34" s="28">
        <f t="shared" si="0"/>
        <v>0.14999999999999999</v>
      </c>
      <c r="K34" s="28">
        <f t="shared" si="0"/>
        <v>29.789999999999999</v>
      </c>
      <c r="L34" s="28">
        <f t="shared" si="0"/>
        <v>20.960000000000001</v>
      </c>
      <c r="M34" s="28">
        <f t="shared" si="0"/>
        <v>97.129999999999995</v>
      </c>
      <c r="N34" s="28">
        <f t="shared" si="0"/>
        <v>26.699999999999999</v>
      </c>
      <c r="O34" s="28">
        <f t="shared" si="0"/>
        <v>0</v>
      </c>
      <c r="P34" s="28">
        <f t="shared" si="0"/>
        <v>0.34000000000000002</v>
      </c>
      <c r="Q34" s="28">
        <f t="shared" si="0"/>
        <v>5.3399999999999999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6.0700000000000003</v>
      </c>
      <c r="C35" s="29">
        <f t="shared" si="1"/>
        <v>44.299999999999997</v>
      </c>
      <c r="D35" s="29">
        <f t="shared" si="1"/>
        <v>26.84</v>
      </c>
      <c r="E35" s="29">
        <f t="shared" si="1"/>
        <v>2.1200000000000001</v>
      </c>
      <c r="F35" s="29">
        <f t="shared" si="1"/>
        <v>35.359999999999999</v>
      </c>
      <c r="G35" s="29">
        <f t="shared" si="1"/>
        <v>0</v>
      </c>
      <c r="H35" s="29">
        <f t="shared" si="1"/>
        <v>0</v>
      </c>
      <c r="I35" s="29">
        <f t="shared" si="1"/>
        <v>0.59999999999999998</v>
      </c>
      <c r="J35" s="29">
        <f t="shared" si="1"/>
        <v>1.8</v>
      </c>
      <c r="K35" s="29">
        <f t="shared" si="1"/>
        <v>359.76999999999998</v>
      </c>
      <c r="L35" s="29">
        <f t="shared" si="1"/>
        <v>23.329999999999998</v>
      </c>
      <c r="M35" s="29">
        <f t="shared" si="1"/>
        <v>97.170000000000002</v>
      </c>
      <c r="N35" s="29">
        <f t="shared" si="1"/>
        <v>170.80000000000001</v>
      </c>
      <c r="O35" s="29">
        <f t="shared" si="1"/>
        <v>8.5999999999999996</v>
      </c>
      <c r="P35" s="29">
        <f t="shared" si="1"/>
        <v>1.3400000000000001</v>
      </c>
      <c r="Q35" s="29">
        <f t="shared" si="1"/>
        <v>12.75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2.5866666666666664</v>
      </c>
      <c r="C36" s="28">
        <f t="shared" si="2"/>
        <v>20.799999999999997</v>
      </c>
      <c r="D36" s="28">
        <f t="shared" si="2"/>
        <v>13.901666666666666</v>
      </c>
      <c r="E36" s="28">
        <f t="shared" si="2"/>
        <v>1.3549999999999998</v>
      </c>
      <c r="F36" s="28">
        <f t="shared" si="2"/>
        <v>12.611666666666665</v>
      </c>
      <c r="G36" s="28" t="e">
        <f t="shared" si="2"/>
        <v>#DIV/0!</v>
      </c>
      <c r="H36" s="28" t="e">
        <f t="shared" si="2"/>
        <v>#DIV/0!</v>
      </c>
      <c r="I36" s="28">
        <f t="shared" si="2"/>
        <v>0.53833333333333322</v>
      </c>
      <c r="J36" s="28">
        <f t="shared" si="2"/>
        <v>0.37125000000000002</v>
      </c>
      <c r="K36" s="28">
        <f t="shared" si="2"/>
        <v>193.36083333333332</v>
      </c>
      <c r="L36" s="28">
        <f t="shared" si="2"/>
        <v>21.792083333333327</v>
      </c>
      <c r="M36" s="28">
        <f t="shared" si="2"/>
        <v>97.15208333333338</v>
      </c>
      <c r="N36" s="28">
        <f t="shared" si="2"/>
        <v>69.216666666666669</v>
      </c>
      <c r="O36" s="28">
        <f t="shared" si="2"/>
        <v>1.1333333333333331</v>
      </c>
      <c r="P36" s="28">
        <f t="shared" si="2"/>
        <v>0.64333333333333342</v>
      </c>
      <c r="Q36" s="28">
        <f t="shared" si="2"/>
        <v>8.6208333333333353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1.1979789744350293</v>
      </c>
      <c r="C37" s="28">
        <f t="shared" si="3" ref="C37:Q37">STDEV(C9:C32)</f>
        <v>9.1681101366781732</v>
      </c>
      <c r="D37" s="28">
        <f t="shared" si="3"/>
        <v>5.0649465997156415</v>
      </c>
      <c r="E37" s="28">
        <f t="shared" si="3"/>
        <v>0.48093206606953687</v>
      </c>
      <c r="F37" s="28">
        <f t="shared" si="3"/>
        <v>10.362002772112897</v>
      </c>
      <c r="G37" s="28" t="e">
        <f t="shared" si="3"/>
        <v>#DIV/0!</v>
      </c>
      <c r="H37" s="28" t="e">
        <f t="shared" si="3"/>
        <v>#DIV/0!</v>
      </c>
      <c r="I37" s="28">
        <f t="shared" si="3"/>
        <v>0.031576913232225896</v>
      </c>
      <c r="J37" s="28">
        <f t="shared" si="3"/>
        <v>0.36010037851784565</v>
      </c>
      <c r="K37" s="28">
        <f t="shared" si="3"/>
        <v>149.44822113118431</v>
      </c>
      <c r="L37" s="28">
        <f t="shared" si="3"/>
        <v>0.73924743852288655</v>
      </c>
      <c r="M37" s="28">
        <f t="shared" si="3"/>
        <v>0.012846642825426581</v>
      </c>
      <c r="N37" s="28">
        <f t="shared" si="3"/>
        <v>51.12163386742801</v>
      </c>
      <c r="O37" s="28">
        <f t="shared" si="3"/>
        <v>1.9953569293142317</v>
      </c>
      <c r="P37" s="28">
        <f t="shared" si="3"/>
        <v>0.30454051871012483</v>
      </c>
      <c r="Q37" s="28">
        <f t="shared" si="3"/>
        <v>1.8911255371078444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COUNT(G9:G32)+24</f>
        <v>24</v>
      </c>
      <c r="H38" s="32">
        <f>COUNT(H9:H32)+24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55073ae-fa1d-4d24-abce-1dc812329f7b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68" sqref="I6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27-06-2023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686</v>
      </c>
      <c r="B9" s="54">
        <v>2.48</v>
      </c>
      <c r="C9" s="54">
        <v>11.11</v>
      </c>
      <c r="D9" s="54">
        <v>8.56</v>
      </c>
      <c r="E9" s="54">
        <v>1.03</v>
      </c>
      <c r="F9" s="54">
        <v>6.64</v>
      </c>
      <c r="G9" s="63" t="s">
        <v>8</v>
      </c>
      <c r="H9" s="63" t="s">
        <v>8</v>
      </c>
      <c r="I9" s="54">
        <v>0.5</v>
      </c>
      <c r="J9" s="54">
        <v>0.18</v>
      </c>
      <c r="K9" s="54">
        <v>46.01</v>
      </c>
      <c r="L9" s="54">
        <v>21.24</v>
      </c>
      <c r="M9" s="54">
        <v>97.15</v>
      </c>
      <c r="N9" s="54">
        <v>27.10</v>
      </c>
      <c r="O9" s="54">
        <v>1.60</v>
      </c>
      <c r="P9" s="54">
        <v>0.38</v>
      </c>
      <c r="Q9" s="54">
        <v>8.9600000000000009</v>
      </c>
      <c r="R9" s="43"/>
      <c r="S9" s="43"/>
      <c r="T9" s="43"/>
      <c r="U9" s="43"/>
    </row>
    <row r="10" spans="1:21" s="11" customFormat="1" ht="15">
      <c r="A10" s="53" t="s">
        <v>687</v>
      </c>
      <c r="B10" s="54">
        <v>2.1800000000000002</v>
      </c>
      <c r="C10" s="54">
        <v>11.14</v>
      </c>
      <c r="D10" s="54">
        <v>8.35</v>
      </c>
      <c r="E10" s="54">
        <v>1.1599999999999999</v>
      </c>
      <c r="F10" s="54">
        <v>5.57</v>
      </c>
      <c r="G10" s="63" t="s">
        <v>8</v>
      </c>
      <c r="H10" s="63" t="s">
        <v>8</v>
      </c>
      <c r="I10" s="54">
        <v>0.53</v>
      </c>
      <c r="J10" s="54">
        <v>0.28999999999999998</v>
      </c>
      <c r="K10" s="54">
        <v>49.42</v>
      </c>
      <c r="L10" s="54">
        <v>20.98</v>
      </c>
      <c r="M10" s="54">
        <v>97.15</v>
      </c>
      <c r="N10" s="54">
        <v>110.70</v>
      </c>
      <c r="O10" s="54">
        <v>4.20</v>
      </c>
      <c r="P10" s="54">
        <v>0.33</v>
      </c>
      <c r="Q10" s="54">
        <v>8.98</v>
      </c>
      <c r="R10" s="43"/>
      <c r="S10" s="43"/>
      <c r="T10" s="43"/>
      <c r="U10" s="43"/>
    </row>
    <row r="11" spans="1:21" s="11" customFormat="1" ht="15">
      <c r="A11" s="53" t="s">
        <v>688</v>
      </c>
      <c r="B11" s="54">
        <v>2.70</v>
      </c>
      <c r="C11" s="54">
        <v>11.93</v>
      </c>
      <c r="D11" s="54">
        <v>9.10</v>
      </c>
      <c r="E11" s="54">
        <v>1.1299999999999999</v>
      </c>
      <c r="F11" s="54">
        <v>6.34</v>
      </c>
      <c r="G11" s="63" t="s">
        <v>8</v>
      </c>
      <c r="H11" s="63" t="s">
        <v>8</v>
      </c>
      <c r="I11" s="54">
        <v>0.51</v>
      </c>
      <c r="J11" s="54">
        <v>0.23</v>
      </c>
      <c r="K11" s="54">
        <v>47.44</v>
      </c>
      <c r="L11" s="54">
        <v>20.83</v>
      </c>
      <c r="M11" s="54">
        <v>97.15</v>
      </c>
      <c r="N11" s="54">
        <v>115.90</v>
      </c>
      <c r="O11" s="54">
        <v>0.80</v>
      </c>
      <c r="P11" s="54">
        <v>0.28000000000000003</v>
      </c>
      <c r="Q11" s="54">
        <v>9.07</v>
      </c>
      <c r="R11" s="43"/>
      <c r="S11" s="43"/>
      <c r="T11" s="43"/>
      <c r="U11" s="43"/>
    </row>
    <row r="12" spans="1:21" s="11" customFormat="1" ht="15">
      <c r="A12" s="53" t="s">
        <v>689</v>
      </c>
      <c r="B12" s="54">
        <v>3.04</v>
      </c>
      <c r="C12" s="54">
        <v>10.32</v>
      </c>
      <c r="D12" s="54">
        <v>8.68</v>
      </c>
      <c r="E12" s="54">
        <v>1.23</v>
      </c>
      <c r="F12" s="54">
        <v>5.82</v>
      </c>
      <c r="G12" s="63" t="s">
        <v>8</v>
      </c>
      <c r="H12" s="63" t="s">
        <v>8</v>
      </c>
      <c r="I12" s="54">
        <v>0.51</v>
      </c>
      <c r="J12" s="54">
        <v>0.20</v>
      </c>
      <c r="K12" s="54">
        <v>31.70</v>
      </c>
      <c r="L12" s="54">
        <v>20.79</v>
      </c>
      <c r="M12" s="54">
        <v>97.16</v>
      </c>
      <c r="N12" s="54">
        <v>131</v>
      </c>
      <c r="O12" s="54">
        <v>0</v>
      </c>
      <c r="P12" s="54">
        <v>0.26</v>
      </c>
      <c r="Q12" s="54">
        <v>8.67</v>
      </c>
      <c r="R12" s="43"/>
      <c r="S12" s="43"/>
      <c r="T12" s="43"/>
      <c r="U12" s="43"/>
    </row>
    <row r="13" spans="1:21" s="11" customFormat="1" ht="15">
      <c r="A13" s="53" t="s">
        <v>690</v>
      </c>
      <c r="B13" s="54">
        <v>2.79</v>
      </c>
      <c r="C13" s="54">
        <v>12.35</v>
      </c>
      <c r="D13" s="54">
        <v>9.67</v>
      </c>
      <c r="E13" s="54">
        <v>1.18</v>
      </c>
      <c r="F13" s="54">
        <v>5.62</v>
      </c>
      <c r="G13" s="63" t="s">
        <v>8</v>
      </c>
      <c r="H13" s="63" t="s">
        <v>8</v>
      </c>
      <c r="I13" s="54">
        <v>0.5</v>
      </c>
      <c r="J13" s="54">
        <v>0.31</v>
      </c>
      <c r="K13" s="54">
        <v>34.28</v>
      </c>
      <c r="L13" s="54">
        <v>20.81</v>
      </c>
      <c r="M13" s="54">
        <v>97.15</v>
      </c>
      <c r="N13" s="54">
        <v>79.5</v>
      </c>
      <c r="O13" s="54">
        <v>0</v>
      </c>
      <c r="P13" s="54">
        <v>0.25</v>
      </c>
      <c r="Q13" s="54">
        <v>9.1300000000000008</v>
      </c>
      <c r="R13" s="43"/>
      <c r="S13" s="43"/>
      <c r="T13" s="43"/>
      <c r="U13" s="43"/>
    </row>
    <row r="14" spans="1:21" s="11" customFormat="1" ht="15">
      <c r="A14" s="53" t="s">
        <v>691</v>
      </c>
      <c r="B14" s="54">
        <v>3.91</v>
      </c>
      <c r="C14" s="54">
        <v>12.61</v>
      </c>
      <c r="D14" s="54">
        <v>10.27</v>
      </c>
      <c r="E14" s="54">
        <v>1.08</v>
      </c>
      <c r="F14" s="54">
        <v>5.39</v>
      </c>
      <c r="G14" s="63" t="s">
        <v>8</v>
      </c>
      <c r="H14" s="63" t="s">
        <v>8</v>
      </c>
      <c r="I14" s="54">
        <v>0.5</v>
      </c>
      <c r="J14" s="54">
        <v>0.27</v>
      </c>
      <c r="K14" s="54">
        <v>37.56</v>
      </c>
      <c r="L14" s="54">
        <v>20.63</v>
      </c>
      <c r="M14" s="54">
        <v>97.17</v>
      </c>
      <c r="N14" s="54">
        <v>96.20</v>
      </c>
      <c r="O14" s="54">
        <v>1.20</v>
      </c>
      <c r="P14" s="54">
        <v>0.24</v>
      </c>
      <c r="Q14" s="54">
        <v>9.24</v>
      </c>
      <c r="R14" s="43"/>
      <c r="S14" s="43"/>
      <c r="T14" s="43"/>
      <c r="U14" s="43"/>
    </row>
    <row r="15" spans="1:21" s="11" customFormat="1" ht="15">
      <c r="A15" s="53" t="s">
        <v>692</v>
      </c>
      <c r="B15" s="54">
        <v>5.0999999999999996</v>
      </c>
      <c r="C15" s="54">
        <v>12.71</v>
      </c>
      <c r="D15" s="54">
        <v>11.06</v>
      </c>
      <c r="E15" s="54">
        <v>1.35</v>
      </c>
      <c r="F15" s="54">
        <v>5.27</v>
      </c>
      <c r="G15" s="63" t="s">
        <v>8</v>
      </c>
      <c r="H15" s="63" t="s">
        <v>8</v>
      </c>
      <c r="I15" s="54">
        <v>0.47</v>
      </c>
      <c r="J15" s="54">
        <v>0.18</v>
      </c>
      <c r="K15" s="54">
        <v>343.41</v>
      </c>
      <c r="L15" s="54">
        <v>20.37</v>
      </c>
      <c r="M15" s="54">
        <v>97.17</v>
      </c>
      <c r="N15" s="54">
        <v>119.5</v>
      </c>
      <c r="O15" s="54">
        <v>2.2000000000000002</v>
      </c>
      <c r="P15" s="54">
        <v>0.26</v>
      </c>
      <c r="Q15" s="54">
        <v>9.58</v>
      </c>
      <c r="R15" s="43"/>
      <c r="S15" s="43"/>
      <c r="T15" s="43"/>
      <c r="U15" s="43"/>
    </row>
    <row r="16" spans="1:21" s="11" customFormat="1" ht="15">
      <c r="A16" s="53" t="s">
        <v>693</v>
      </c>
      <c r="B16" s="54">
        <v>5.17</v>
      </c>
      <c r="C16" s="54">
        <v>12.75</v>
      </c>
      <c r="D16" s="54">
        <v>11.78</v>
      </c>
      <c r="E16" s="54">
        <v>1.07</v>
      </c>
      <c r="F16" s="54">
        <v>4.75</v>
      </c>
      <c r="G16" s="63" t="s">
        <v>8</v>
      </c>
      <c r="H16" s="63" t="s">
        <v>8</v>
      </c>
      <c r="I16" s="54">
        <v>0.52</v>
      </c>
      <c r="J16" s="54">
        <v>0.42</v>
      </c>
      <c r="K16" s="54">
        <v>38.369999999999997</v>
      </c>
      <c r="L16" s="54">
        <v>20.239999999999998</v>
      </c>
      <c r="M16" s="54">
        <v>97.17</v>
      </c>
      <c r="N16" s="54">
        <v>160.19999999999999</v>
      </c>
      <c r="O16" s="54">
        <v>0.80</v>
      </c>
      <c r="P16" s="54">
        <v>0.28999999999999998</v>
      </c>
      <c r="Q16" s="54">
        <v>10.23</v>
      </c>
      <c r="R16" s="43"/>
      <c r="S16" s="43"/>
      <c r="T16" s="43"/>
      <c r="U16" s="43"/>
    </row>
    <row r="17" spans="1:21" s="11" customFormat="1" ht="15">
      <c r="A17" s="53" t="s">
        <v>694</v>
      </c>
      <c r="B17" s="54">
        <v>5.25</v>
      </c>
      <c r="C17" s="54">
        <v>16.77</v>
      </c>
      <c r="D17" s="54">
        <v>14.07</v>
      </c>
      <c r="E17" s="54">
        <v>0.97</v>
      </c>
      <c r="F17" s="54">
        <v>5.27</v>
      </c>
      <c r="G17" s="63" t="s">
        <v>8</v>
      </c>
      <c r="H17" s="63" t="s">
        <v>8</v>
      </c>
      <c r="I17" s="54">
        <v>0.5</v>
      </c>
      <c r="J17" s="54">
        <v>0.36</v>
      </c>
      <c r="K17" s="54">
        <v>45.57</v>
      </c>
      <c r="L17" s="54">
        <v>20.27</v>
      </c>
      <c r="M17" s="54">
        <v>97.17</v>
      </c>
      <c r="N17" s="54">
        <v>166.90</v>
      </c>
      <c r="O17" s="54">
        <v>0.60</v>
      </c>
      <c r="P17" s="54">
        <v>0.33</v>
      </c>
      <c r="Q17" s="54">
        <v>10.43</v>
      </c>
      <c r="R17" s="43"/>
      <c r="S17" s="43"/>
      <c r="T17" s="43"/>
      <c r="U17" s="43"/>
    </row>
    <row r="18" spans="1:21" s="11" customFormat="1" ht="15">
      <c r="A18" s="53" t="s">
        <v>695</v>
      </c>
      <c r="B18" s="54">
        <v>5.58</v>
      </c>
      <c r="C18" s="54">
        <v>17.78</v>
      </c>
      <c r="D18" s="54">
        <v>14.82</v>
      </c>
      <c r="E18" s="54">
        <v>1.0900000000000001</v>
      </c>
      <c r="F18" s="54">
        <v>5.58</v>
      </c>
      <c r="G18" s="63" t="s">
        <v>8</v>
      </c>
      <c r="H18" s="63" t="s">
        <v>8</v>
      </c>
      <c r="I18" s="54">
        <v>0.49</v>
      </c>
      <c r="J18" s="54">
        <v>0.40</v>
      </c>
      <c r="K18" s="54">
        <v>40.19</v>
      </c>
      <c r="L18" s="54">
        <v>20.58</v>
      </c>
      <c r="M18" s="54">
        <v>97.17</v>
      </c>
      <c r="N18" s="54">
        <v>205.80</v>
      </c>
      <c r="O18" s="54">
        <v>0.40</v>
      </c>
      <c r="P18" s="54">
        <v>0.37</v>
      </c>
      <c r="Q18" s="54">
        <v>9.35</v>
      </c>
      <c r="R18" s="43"/>
      <c r="S18" s="43"/>
      <c r="T18" s="43"/>
      <c r="U18" s="43"/>
    </row>
    <row r="19" spans="1:21" s="11" customFormat="1" ht="15">
      <c r="A19" s="53" t="s">
        <v>696</v>
      </c>
      <c r="B19" s="54">
        <v>5.89</v>
      </c>
      <c r="C19" s="54">
        <v>20.93</v>
      </c>
      <c r="D19" s="54">
        <v>16.23</v>
      </c>
      <c r="E19" s="54">
        <v>0.83</v>
      </c>
      <c r="F19" s="54">
        <v>9.3000000000000007</v>
      </c>
      <c r="G19" s="63" t="s">
        <v>8</v>
      </c>
      <c r="H19" s="63" t="s">
        <v>8</v>
      </c>
      <c r="I19" s="54">
        <v>0.48</v>
      </c>
      <c r="J19" s="54">
        <v>0.45</v>
      </c>
      <c r="K19" s="54">
        <v>40.270000000000003</v>
      </c>
      <c r="L19" s="54">
        <v>20.74</v>
      </c>
      <c r="M19" s="54">
        <v>97.17</v>
      </c>
      <c r="N19" s="54">
        <v>230.20</v>
      </c>
      <c r="O19" s="54">
        <v>0.80</v>
      </c>
      <c r="P19" s="54">
        <v>0.42</v>
      </c>
      <c r="Q19" s="54">
        <v>10.39</v>
      </c>
      <c r="R19" s="43"/>
      <c r="S19" s="43"/>
      <c r="T19" s="43"/>
      <c r="U19" s="43"/>
    </row>
    <row r="20" spans="1:21" s="11" customFormat="1" ht="15">
      <c r="A20" s="53" t="s">
        <v>697</v>
      </c>
      <c r="B20" s="54">
        <v>6.11</v>
      </c>
      <c r="C20" s="54">
        <v>21.05</v>
      </c>
      <c r="D20" s="54">
        <v>16.47</v>
      </c>
      <c r="E20" s="54">
        <v>0.35</v>
      </c>
      <c r="F20" s="54">
        <v>9.52</v>
      </c>
      <c r="G20" s="63" t="s">
        <v>8</v>
      </c>
      <c r="H20" s="63" t="s">
        <v>8</v>
      </c>
      <c r="I20" s="54">
        <v>0.48</v>
      </c>
      <c r="J20" s="54">
        <v>0.45</v>
      </c>
      <c r="K20" s="54">
        <v>35</v>
      </c>
      <c r="L20" s="54">
        <v>21.21</v>
      </c>
      <c r="M20" s="54">
        <v>97.16</v>
      </c>
      <c r="N20" s="54">
        <v>225.90</v>
      </c>
      <c r="O20" s="54">
        <v>0.40</v>
      </c>
      <c r="P20" s="54">
        <v>0.42</v>
      </c>
      <c r="Q20" s="54">
        <v>10.06</v>
      </c>
      <c r="R20" s="43"/>
      <c r="S20" s="43"/>
      <c r="T20" s="43"/>
      <c r="U20" s="43"/>
    </row>
    <row r="21" spans="1:21" s="11" customFormat="1" ht="15">
      <c r="A21" s="53" t="s">
        <v>698</v>
      </c>
      <c r="B21" s="54">
        <v>6.28</v>
      </c>
      <c r="C21" s="54">
        <v>16.87</v>
      </c>
      <c r="D21" s="54">
        <v>14.72</v>
      </c>
      <c r="E21" s="54">
        <v>0.85</v>
      </c>
      <c r="F21" s="54">
        <v>6.90</v>
      </c>
      <c r="G21" s="63" t="s">
        <v>8</v>
      </c>
      <c r="H21" s="63" t="s">
        <v>8</v>
      </c>
      <c r="I21" s="54">
        <v>0.48</v>
      </c>
      <c r="J21" s="54">
        <v>0.41</v>
      </c>
      <c r="K21" s="54">
        <v>38.33</v>
      </c>
      <c r="L21" s="54">
        <v>21.80</v>
      </c>
      <c r="M21" s="54">
        <v>97.12</v>
      </c>
      <c r="N21" s="54">
        <v>249.80</v>
      </c>
      <c r="O21" s="54">
        <v>0</v>
      </c>
      <c r="P21" s="54">
        <v>0.41</v>
      </c>
      <c r="Q21" s="54">
        <v>6.89</v>
      </c>
      <c r="R21" s="43"/>
      <c r="S21" s="43"/>
      <c r="T21" s="43"/>
      <c r="U21" s="43"/>
    </row>
    <row r="22" spans="1:21" s="11" customFormat="1" ht="15">
      <c r="A22" s="53" t="s">
        <v>699</v>
      </c>
      <c r="B22" s="54">
        <v>6.88</v>
      </c>
      <c r="C22" s="54">
        <v>16.73</v>
      </c>
      <c r="D22" s="54">
        <v>15.02</v>
      </c>
      <c r="E22" s="54">
        <v>0.88</v>
      </c>
      <c r="F22" s="54">
        <v>5.34</v>
      </c>
      <c r="G22" s="63" t="s">
        <v>8</v>
      </c>
      <c r="H22" s="63" t="s">
        <v>8</v>
      </c>
      <c r="I22" s="54">
        <v>0.48</v>
      </c>
      <c r="J22" s="54">
        <v>0.39</v>
      </c>
      <c r="K22" s="54">
        <v>40.57</v>
      </c>
      <c r="L22" s="54">
        <v>21.84</v>
      </c>
      <c r="M22" s="54">
        <v>97.11</v>
      </c>
      <c r="N22" s="54">
        <v>218.5</v>
      </c>
      <c r="O22" s="54">
        <v>0.20</v>
      </c>
      <c r="P22" s="54">
        <v>0.42</v>
      </c>
      <c r="Q22" s="54">
        <v>7.55</v>
      </c>
      <c r="R22" s="43"/>
      <c r="S22" s="43"/>
      <c r="T22" s="43"/>
      <c r="U22" s="43"/>
    </row>
    <row r="23" spans="1:21" s="11" customFormat="1" ht="15">
      <c r="A23" s="53" t="s">
        <v>700</v>
      </c>
      <c r="B23" s="54">
        <v>6.73</v>
      </c>
      <c r="C23" s="54">
        <v>17.14</v>
      </c>
      <c r="D23" s="54">
        <v>15.14</v>
      </c>
      <c r="E23" s="54">
        <v>0.79</v>
      </c>
      <c r="F23" s="54">
        <v>4.92</v>
      </c>
      <c r="G23" s="63" t="s">
        <v>8</v>
      </c>
      <c r="H23" s="63" t="s">
        <v>8</v>
      </c>
      <c r="I23" s="54">
        <v>0.51</v>
      </c>
      <c r="J23" s="54">
        <v>0.33</v>
      </c>
      <c r="K23" s="54">
        <v>39.69</v>
      </c>
      <c r="L23" s="54">
        <v>22.03</v>
      </c>
      <c r="M23" s="54">
        <v>96.74</v>
      </c>
      <c r="N23" s="54">
        <v>191.20</v>
      </c>
      <c r="O23" s="54">
        <v>0</v>
      </c>
      <c r="P23" s="54">
        <v>0.42</v>
      </c>
      <c r="Q23" s="54">
        <v>8.27</v>
      </c>
      <c r="R23" s="43"/>
      <c r="S23" s="43"/>
      <c r="T23" s="43"/>
      <c r="U23" s="43"/>
    </row>
    <row r="24" spans="1:21" s="11" customFormat="1" ht="15">
      <c r="A24" s="53" t="s">
        <v>701</v>
      </c>
      <c r="B24" s="54">
        <v>7.22</v>
      </c>
      <c r="C24" s="54">
        <v>19.34</v>
      </c>
      <c r="D24" s="54">
        <v>17.03</v>
      </c>
      <c r="E24" s="54">
        <v>0.83</v>
      </c>
      <c r="F24" s="54">
        <v>6.44</v>
      </c>
      <c r="G24" s="63" t="s">
        <v>8</v>
      </c>
      <c r="H24" s="63" t="s">
        <v>8</v>
      </c>
      <c r="I24" s="54">
        <v>0.54</v>
      </c>
      <c r="J24" s="54">
        <v>0.39</v>
      </c>
      <c r="K24" s="54">
        <v>39.590000000000003</v>
      </c>
      <c r="L24" s="54">
        <v>22.21</v>
      </c>
      <c r="M24" s="54">
        <v>97.05</v>
      </c>
      <c r="N24" s="54">
        <v>243.5</v>
      </c>
      <c r="O24" s="54">
        <v>0.20</v>
      </c>
      <c r="P24" s="54">
        <v>0.43</v>
      </c>
      <c r="Q24" s="54">
        <v>7.85</v>
      </c>
      <c r="R24" s="43"/>
      <c r="S24" s="43"/>
      <c r="T24" s="43"/>
      <c r="U24" s="43"/>
    </row>
    <row r="25" spans="1:21" s="11" customFormat="1" ht="15">
      <c r="A25" s="53" t="s">
        <v>702</v>
      </c>
      <c r="B25" s="54">
        <v>5.84</v>
      </c>
      <c r="C25" s="54">
        <v>18.559999999999999</v>
      </c>
      <c r="D25" s="54">
        <v>15.41</v>
      </c>
      <c r="E25" s="54">
        <v>1.17</v>
      </c>
      <c r="F25" s="54">
        <v>6.36</v>
      </c>
      <c r="G25" s="63" t="s">
        <v>8</v>
      </c>
      <c r="H25" s="63" t="s">
        <v>8</v>
      </c>
      <c r="I25" s="54">
        <v>0.55000000000000004</v>
      </c>
      <c r="J25" s="54">
        <v>0.27</v>
      </c>
      <c r="K25" s="54">
        <v>36.56</v>
      </c>
      <c r="L25" s="54">
        <v>22.23</v>
      </c>
      <c r="M25" s="54">
        <v>97.12</v>
      </c>
      <c r="N25" s="54">
        <v>184.40</v>
      </c>
      <c r="O25" s="54">
        <v>0</v>
      </c>
      <c r="P25" s="54">
        <v>0.44</v>
      </c>
      <c r="Q25" s="54">
        <v>5.48</v>
      </c>
      <c r="R25" s="43"/>
      <c r="S25" s="43"/>
      <c r="T25" s="43"/>
      <c r="U25" s="43"/>
    </row>
    <row r="26" spans="1:21" s="11" customFormat="1" ht="15">
      <c r="A26" s="53" t="s">
        <v>703</v>
      </c>
      <c r="B26" s="54">
        <v>6.34</v>
      </c>
      <c r="C26" s="54">
        <v>20.83</v>
      </c>
      <c r="D26" s="54">
        <v>16.70</v>
      </c>
      <c r="E26" s="54">
        <v>1.51</v>
      </c>
      <c r="F26" s="54">
        <v>12.31</v>
      </c>
      <c r="G26" s="63" t="s">
        <v>8</v>
      </c>
      <c r="H26" s="63" t="s">
        <v>8</v>
      </c>
      <c r="I26" s="54">
        <v>0.5</v>
      </c>
      <c r="J26" s="54">
        <v>0.32</v>
      </c>
      <c r="K26" s="54">
        <v>50.28</v>
      </c>
      <c r="L26" s="54">
        <v>22.36</v>
      </c>
      <c r="M26" s="54">
        <v>96.66</v>
      </c>
      <c r="N26" s="54">
        <v>164.5</v>
      </c>
      <c r="O26" s="54">
        <v>0</v>
      </c>
      <c r="P26" s="54">
        <v>0.51</v>
      </c>
      <c r="Q26" s="54">
        <v>7.85</v>
      </c>
      <c r="R26" s="43"/>
      <c r="S26" s="43"/>
      <c r="T26" s="43"/>
      <c r="U26" s="43"/>
    </row>
    <row r="27" spans="1:21" s="11" customFormat="1" ht="15">
      <c r="A27" s="53" t="s">
        <v>704</v>
      </c>
      <c r="B27" s="54">
        <v>7.66</v>
      </c>
      <c r="C27" s="54">
        <v>19.739999999999998</v>
      </c>
      <c r="D27" s="54">
        <v>17.670000000000002</v>
      </c>
      <c r="E27" s="54">
        <v>1.46</v>
      </c>
      <c r="F27" s="54">
        <v>8.9700000000000006</v>
      </c>
      <c r="G27" s="63" t="s">
        <v>8</v>
      </c>
      <c r="H27" s="63" t="s">
        <v>8</v>
      </c>
      <c r="I27" s="54">
        <v>0.55000000000000004</v>
      </c>
      <c r="J27" s="54">
        <v>0.25</v>
      </c>
      <c r="K27" s="54">
        <v>44.91</v>
      </c>
      <c r="L27" s="54">
        <v>22.27</v>
      </c>
      <c r="M27" s="54">
        <v>97.08</v>
      </c>
      <c r="N27" s="54">
        <v>141.40</v>
      </c>
      <c r="O27" s="54">
        <v>0</v>
      </c>
      <c r="P27" s="54">
        <v>0.57999999999999996</v>
      </c>
      <c r="Q27" s="54">
        <v>8.02</v>
      </c>
      <c r="R27" s="43"/>
      <c r="S27" s="43"/>
      <c r="T27" s="43"/>
      <c r="U27" s="43"/>
    </row>
    <row r="28" spans="1:21" s="11" customFormat="1" ht="15">
      <c r="A28" s="53" t="s">
        <v>705</v>
      </c>
      <c r="B28" s="54">
        <v>6.22</v>
      </c>
      <c r="C28" s="54">
        <v>15.28</v>
      </c>
      <c r="D28" s="54">
        <v>14.01</v>
      </c>
      <c r="E28" s="54">
        <v>1.73</v>
      </c>
      <c r="F28" s="54">
        <v>5.19</v>
      </c>
      <c r="G28" s="63" t="s">
        <v>8</v>
      </c>
      <c r="H28" s="63" t="s">
        <v>8</v>
      </c>
      <c r="I28" s="54">
        <v>0.52</v>
      </c>
      <c r="J28" s="54">
        <v>0.23</v>
      </c>
      <c r="K28" s="54">
        <v>38.43</v>
      </c>
      <c r="L28" s="54">
        <v>22.30</v>
      </c>
      <c r="M28" s="54">
        <v>97.12</v>
      </c>
      <c r="N28" s="54">
        <v>159.5</v>
      </c>
      <c r="O28" s="54">
        <v>0.60</v>
      </c>
      <c r="P28" s="54">
        <v>0.62</v>
      </c>
      <c r="Q28" s="54">
        <v>6.70</v>
      </c>
      <c r="R28" s="43"/>
      <c r="S28" s="43"/>
      <c r="T28" s="43"/>
      <c r="U28" s="43"/>
    </row>
    <row r="29" spans="1:21" s="11" customFormat="1" ht="15">
      <c r="A29" s="53" t="s">
        <v>706</v>
      </c>
      <c r="B29" s="54">
        <v>11.31</v>
      </c>
      <c r="C29" s="54">
        <v>16.579999999999998</v>
      </c>
      <c r="D29" s="54">
        <v>18.59</v>
      </c>
      <c r="E29" s="54">
        <v>2.37</v>
      </c>
      <c r="F29" s="54">
        <v>6.10</v>
      </c>
      <c r="G29" s="63" t="s">
        <v>8</v>
      </c>
      <c r="H29" s="63" t="s">
        <v>8</v>
      </c>
      <c r="I29" s="54">
        <v>0.57999999999999996</v>
      </c>
      <c r="J29" s="54">
        <v>0.17</v>
      </c>
      <c r="K29" s="54">
        <v>34.200000000000003</v>
      </c>
      <c r="L29" s="54">
        <v>21.94</v>
      </c>
      <c r="M29" s="54">
        <v>97.15</v>
      </c>
      <c r="N29" s="54">
        <v>70</v>
      </c>
      <c r="O29" s="54">
        <v>0</v>
      </c>
      <c r="P29" s="54">
        <v>0.63</v>
      </c>
      <c r="Q29" s="54">
        <v>8.76</v>
      </c>
      <c r="R29" s="43"/>
      <c r="S29" s="43"/>
      <c r="T29" s="43"/>
      <c r="U29" s="43"/>
    </row>
    <row r="30" spans="1:21" s="11" customFormat="1" ht="15">
      <c r="A30" s="53" t="s">
        <v>707</v>
      </c>
      <c r="B30" s="54">
        <v>8.9499999999999993</v>
      </c>
      <c r="C30" s="54">
        <v>15.34</v>
      </c>
      <c r="D30" s="54">
        <v>16.29</v>
      </c>
      <c r="E30" s="54">
        <v>2.2000000000000002</v>
      </c>
      <c r="F30" s="54">
        <v>4.1399999999999997</v>
      </c>
      <c r="G30" s="63" t="s">
        <v>8</v>
      </c>
      <c r="H30" s="63" t="s">
        <v>8</v>
      </c>
      <c r="I30" s="54">
        <v>0.59</v>
      </c>
      <c r="J30" s="54">
        <v>0.26</v>
      </c>
      <c r="K30" s="54">
        <v>47.42</v>
      </c>
      <c r="L30" s="54">
        <v>22.12</v>
      </c>
      <c r="M30" s="54">
        <v>97.13</v>
      </c>
      <c r="N30" s="54">
        <v>69.599999999999994</v>
      </c>
      <c r="O30" s="54">
        <v>0</v>
      </c>
      <c r="P30" s="54">
        <v>0.62</v>
      </c>
      <c r="Q30" s="54">
        <v>9.56</v>
      </c>
      <c r="R30" s="43"/>
      <c r="S30" s="43"/>
      <c r="T30" s="43"/>
      <c r="U30" s="43"/>
    </row>
    <row r="31" spans="1:21" s="11" customFormat="1" ht="15">
      <c r="A31" s="53" t="s">
        <v>708</v>
      </c>
      <c r="B31" s="54">
        <v>6.77</v>
      </c>
      <c r="C31" s="54">
        <v>14.62</v>
      </c>
      <c r="D31" s="54">
        <v>13.93</v>
      </c>
      <c r="E31" s="54">
        <v>2.10</v>
      </c>
      <c r="F31" s="54">
        <v>4.74</v>
      </c>
      <c r="G31" s="63" t="s">
        <v>8</v>
      </c>
      <c r="H31" s="63" t="s">
        <v>8</v>
      </c>
      <c r="I31" s="54">
        <v>0.56999999999999995</v>
      </c>
      <c r="J31" s="54">
        <v>0.23</v>
      </c>
      <c r="K31" s="54">
        <v>46.54</v>
      </c>
      <c r="L31" s="54">
        <v>22.13</v>
      </c>
      <c r="M31" s="54">
        <v>97.15</v>
      </c>
      <c r="N31" s="54">
        <v>56.5</v>
      </c>
      <c r="O31" s="54">
        <v>0.40</v>
      </c>
      <c r="P31" s="54">
        <v>0.56999999999999995</v>
      </c>
      <c r="Q31" s="54">
        <v>7.97</v>
      </c>
      <c r="R31" s="43"/>
      <c r="S31" s="43"/>
      <c r="T31" s="43"/>
      <c r="U31" s="43"/>
    </row>
    <row r="32" spans="1:21" s="11" customFormat="1" ht="15">
      <c r="A32" s="53" t="s">
        <v>709</v>
      </c>
      <c r="B32" s="54">
        <v>6.14</v>
      </c>
      <c r="C32" s="54">
        <v>12.56</v>
      </c>
      <c r="D32" s="54">
        <v>12.06</v>
      </c>
      <c r="E32" s="54">
        <v>2.41</v>
      </c>
      <c r="F32" s="54">
        <v>5.83</v>
      </c>
      <c r="G32" s="63" t="s">
        <v>8</v>
      </c>
      <c r="H32" s="63" t="s">
        <v>8</v>
      </c>
      <c r="I32" s="54">
        <v>0.60</v>
      </c>
      <c r="J32" s="54">
        <v>0.22</v>
      </c>
      <c r="K32" s="54">
        <v>34.39</v>
      </c>
      <c r="L32" s="54">
        <v>21.96</v>
      </c>
      <c r="M32" s="54">
        <v>97.13</v>
      </c>
      <c r="N32" s="54">
        <v>56.5</v>
      </c>
      <c r="O32" s="54">
        <v>0.20</v>
      </c>
      <c r="P32" s="54">
        <v>0.47</v>
      </c>
      <c r="Q32" s="54">
        <v>7.40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2.1800000000000002</v>
      </c>
      <c r="C34" s="28">
        <f t="shared" si="0"/>
        <v>10.32</v>
      </c>
      <c r="D34" s="28">
        <f t="shared" si="0"/>
        <v>8.3499999999999996</v>
      </c>
      <c r="E34" s="28">
        <f t="shared" si="0"/>
        <v>0.34999999999999998</v>
      </c>
      <c r="F34" s="28">
        <f t="shared" si="0"/>
        <v>4.1399999999999997</v>
      </c>
      <c r="G34" s="28">
        <f t="shared" si="0"/>
        <v>0</v>
      </c>
      <c r="H34" s="28">
        <f t="shared" si="0"/>
        <v>0</v>
      </c>
      <c r="I34" s="28">
        <f t="shared" si="0"/>
        <v>0.46999999999999997</v>
      </c>
      <c r="J34" s="28">
        <f t="shared" si="0"/>
        <v>0.17000000000000001</v>
      </c>
      <c r="K34" s="28">
        <f t="shared" si="0"/>
        <v>31.699999999999999</v>
      </c>
      <c r="L34" s="28">
        <f t="shared" si="0"/>
        <v>20.239999999999998</v>
      </c>
      <c r="M34" s="28">
        <f t="shared" si="0"/>
        <v>96.659999999999997</v>
      </c>
      <c r="N34" s="28">
        <f t="shared" si="0"/>
        <v>27.100000000000001</v>
      </c>
      <c r="O34" s="28">
        <f t="shared" si="0"/>
        <v>0</v>
      </c>
      <c r="P34" s="28">
        <f t="shared" si="0"/>
        <v>0.23999999999999999</v>
      </c>
      <c r="Q34" s="28">
        <f t="shared" si="0"/>
        <v>5.4800000000000004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11.31</v>
      </c>
      <c r="C35" s="29">
        <f t="shared" si="1"/>
        <v>21.050000000000001</v>
      </c>
      <c r="D35" s="29">
        <f t="shared" si="1"/>
        <v>18.59</v>
      </c>
      <c r="E35" s="29">
        <f t="shared" si="1"/>
        <v>2.4100000000000001</v>
      </c>
      <c r="F35" s="29">
        <f t="shared" si="1"/>
        <v>12.31</v>
      </c>
      <c r="G35" s="29">
        <f t="shared" si="1"/>
        <v>0</v>
      </c>
      <c r="H35" s="29">
        <f t="shared" si="1"/>
        <v>0</v>
      </c>
      <c r="I35" s="29">
        <f t="shared" si="1"/>
        <v>0.59999999999999998</v>
      </c>
      <c r="J35" s="29">
        <f t="shared" si="1"/>
        <v>0.45000000000000001</v>
      </c>
      <c r="K35" s="29">
        <f t="shared" si="1"/>
        <v>343.41000000000003</v>
      </c>
      <c r="L35" s="29">
        <f t="shared" si="1"/>
        <v>22.359999999999999</v>
      </c>
      <c r="M35" s="29">
        <f t="shared" si="1"/>
        <v>97.170000000000002</v>
      </c>
      <c r="N35" s="29">
        <f t="shared" si="1"/>
        <v>249.80000000000001</v>
      </c>
      <c r="O35" s="29">
        <f t="shared" si="1"/>
        <v>4.2000000000000002</v>
      </c>
      <c r="P35" s="29">
        <f t="shared" si="1"/>
        <v>0.63</v>
      </c>
      <c r="Q35" s="29">
        <f t="shared" si="1"/>
        <v>10.43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5.689166666666666</v>
      </c>
      <c r="C36" s="28">
        <f t="shared" si="2"/>
        <v>15.626666666666665</v>
      </c>
      <c r="D36" s="28">
        <f t="shared" si="2"/>
        <v>13.567916666666667</v>
      </c>
      <c r="E36" s="28">
        <f t="shared" si="2"/>
        <v>1.2820833333333337</v>
      </c>
      <c r="F36" s="28">
        <f t="shared" si="2"/>
        <v>6.3462500000000004</v>
      </c>
      <c r="G36" s="28" t="e">
        <f t="shared" si="2"/>
        <v>#DIV/0!</v>
      </c>
      <c r="H36" s="28" t="e">
        <f t="shared" si="2"/>
        <v>#DIV/0!</v>
      </c>
      <c r="I36" s="28">
        <f t="shared" si="2"/>
        <v>0.51916666666666667</v>
      </c>
      <c r="J36" s="28">
        <f t="shared" si="2"/>
        <v>0.30041666666666667</v>
      </c>
      <c r="K36" s="28">
        <f t="shared" si="2"/>
        <v>53.338750000000026</v>
      </c>
      <c r="L36" s="28">
        <f t="shared" si="2"/>
        <v>21.411666666666665</v>
      </c>
      <c r="M36" s="28">
        <f t="shared" si="2"/>
        <v>97.104166666666686</v>
      </c>
      <c r="N36" s="28">
        <f t="shared" si="2"/>
        <v>144.76250000000002</v>
      </c>
      <c r="O36" s="28">
        <f t="shared" si="2"/>
        <v>0.60833333333333328</v>
      </c>
      <c r="P36" s="28">
        <f t="shared" si="2"/>
        <v>0.41458333333333336</v>
      </c>
      <c r="Q36" s="28">
        <f t="shared" si="2"/>
        <v>8.5995833333333334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2.1323612481832503</v>
      </c>
      <c r="C37" s="28">
        <f t="shared" si="3" ref="C37:Q37">STDEV(C9:C32)</f>
        <v>3.3971044789025457</v>
      </c>
      <c r="D37" s="28">
        <f t="shared" si="3"/>
        <v>3.1773642059262581</v>
      </c>
      <c r="E37" s="28">
        <f t="shared" si="3"/>
        <v>0.53044672860152287</v>
      </c>
      <c r="F37" s="28">
        <f t="shared" si="3"/>
        <v>1.8833499582439244</v>
      </c>
      <c r="G37" s="28" t="e">
        <f t="shared" si="3"/>
        <v>#DIV/0!</v>
      </c>
      <c r="H37" s="28" t="e">
        <f t="shared" si="3"/>
        <v>#DIV/0!</v>
      </c>
      <c r="I37" s="28">
        <f t="shared" si="3"/>
        <v>0.037173701160511476</v>
      </c>
      <c r="J37" s="28">
        <f t="shared" si="3"/>
        <v>0.089805546776822648</v>
      </c>
      <c r="K37" s="28">
        <f t="shared" si="3"/>
        <v>62.01138046411495</v>
      </c>
      <c r="L37" s="28">
        <f t="shared" si="3"/>
        <v>0.74904963942244729</v>
      </c>
      <c r="M37" s="28">
        <f t="shared" si="3"/>
        <v>0.12860173325854485</v>
      </c>
      <c r="N37" s="28">
        <f t="shared" si="3"/>
        <v>65.608819744458614</v>
      </c>
      <c r="O37" s="28">
        <f t="shared" si="3"/>
        <v>0.95184793573008475</v>
      </c>
      <c r="P37" s="28">
        <f t="shared" si="3"/>
        <v>0.12371001037372277</v>
      </c>
      <c r="Q37" s="28">
        <f t="shared" si="3"/>
        <v>1.2472595321663151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COUNT(G9:G32)+24</f>
        <v>24</v>
      </c>
      <c r="H38" s="32">
        <f>COUNT(H9:H32)+24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669291338582677" right="2.63779527559055" top="0.196850393700787" bottom="2.08661417322835" header="0.31496062992126" footer="0.15748031496063"/>
  <pageSetup orientation="landscape" paperSize="9" scale="90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581450-3e65-43c9-a458-c39c11074dd8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8" sqref="H3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28-06-2023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710</v>
      </c>
      <c r="B9" s="54">
        <v>5.54</v>
      </c>
      <c r="C9" s="54">
        <v>12.81</v>
      </c>
      <c r="D9" s="54">
        <v>12.02</v>
      </c>
      <c r="E9" s="54">
        <v>2.35</v>
      </c>
      <c r="F9" s="54">
        <v>5.38</v>
      </c>
      <c r="G9" s="63" t="s">
        <v>8</v>
      </c>
      <c r="H9" s="63" t="s">
        <v>8</v>
      </c>
      <c r="I9" s="54">
        <v>0.54</v>
      </c>
      <c r="J9" s="54">
        <v>0.22</v>
      </c>
      <c r="K9" s="54">
        <v>44.72</v>
      </c>
      <c r="L9" s="54">
        <v>22.11</v>
      </c>
      <c r="M9" s="54">
        <v>97.13</v>
      </c>
      <c r="N9" s="54">
        <v>61.70</v>
      </c>
      <c r="O9" s="54">
        <v>0</v>
      </c>
      <c r="P9" s="54">
        <v>0.40</v>
      </c>
      <c r="Q9" s="54">
        <v>7.40</v>
      </c>
      <c r="R9" s="43"/>
      <c r="S9" s="43"/>
      <c r="T9" s="43"/>
      <c r="U9" s="43"/>
    </row>
    <row r="10" spans="1:21" s="11" customFormat="1" ht="15">
      <c r="A10" s="53" t="s">
        <v>711</v>
      </c>
      <c r="B10" s="54">
        <v>4.41</v>
      </c>
      <c r="C10" s="54">
        <v>12.76</v>
      </c>
      <c r="D10" s="54">
        <v>11.23</v>
      </c>
      <c r="E10" s="54">
        <v>2.21</v>
      </c>
      <c r="F10" s="54">
        <v>5.27</v>
      </c>
      <c r="G10" s="63" t="s">
        <v>8</v>
      </c>
      <c r="H10" s="63" t="s">
        <v>8</v>
      </c>
      <c r="I10" s="54">
        <v>0.53</v>
      </c>
      <c r="J10" s="54">
        <v>0.16</v>
      </c>
      <c r="K10" s="54">
        <v>30.82</v>
      </c>
      <c r="L10" s="54">
        <v>22.07</v>
      </c>
      <c r="M10" s="54">
        <v>97.12</v>
      </c>
      <c r="N10" s="54">
        <v>63.5</v>
      </c>
      <c r="O10" s="54">
        <v>0</v>
      </c>
      <c r="P10" s="54">
        <v>0.32</v>
      </c>
      <c r="Q10" s="54">
        <v>7.57</v>
      </c>
      <c r="R10" s="43"/>
      <c r="S10" s="43"/>
      <c r="T10" s="43"/>
      <c r="U10" s="43"/>
    </row>
    <row r="11" spans="1:21" s="11" customFormat="1" ht="15">
      <c r="A11" s="53" t="s">
        <v>712</v>
      </c>
      <c r="B11" s="54">
        <v>4.5599999999999996</v>
      </c>
      <c r="C11" s="54">
        <v>11.55</v>
      </c>
      <c r="D11" s="54">
        <v>10.63</v>
      </c>
      <c r="E11" s="54">
        <v>2.14</v>
      </c>
      <c r="F11" s="54">
        <v>6.69</v>
      </c>
      <c r="G11" s="63" t="s">
        <v>8</v>
      </c>
      <c r="H11" s="63" t="s">
        <v>8</v>
      </c>
      <c r="I11" s="54">
        <v>0.51</v>
      </c>
      <c r="J11" s="54">
        <v>0.16</v>
      </c>
      <c r="K11" s="54">
        <v>36.31</v>
      </c>
      <c r="L11" s="54">
        <v>21.98</v>
      </c>
      <c r="M11" s="54">
        <v>97.12</v>
      </c>
      <c r="N11" s="54">
        <v>145.10</v>
      </c>
      <c r="O11" s="54">
        <v>0</v>
      </c>
      <c r="P11" s="54">
        <v>0.28999999999999998</v>
      </c>
      <c r="Q11" s="54">
        <v>7.05</v>
      </c>
      <c r="R11" s="43"/>
      <c r="S11" s="43"/>
      <c r="T11" s="43"/>
      <c r="U11" s="43"/>
    </row>
    <row r="12" spans="1:21" s="11" customFormat="1" ht="15">
      <c r="A12" s="53" t="s">
        <v>713</v>
      </c>
      <c r="B12" s="54">
        <v>4.66</v>
      </c>
      <c r="C12" s="54">
        <v>11.68</v>
      </c>
      <c r="D12" s="54">
        <v>10.75</v>
      </c>
      <c r="E12" s="54">
        <v>1.99</v>
      </c>
      <c r="F12" s="54">
        <v>5.35</v>
      </c>
      <c r="G12" s="63" t="s">
        <v>8</v>
      </c>
      <c r="H12" s="63" t="s">
        <v>8</v>
      </c>
      <c r="I12" s="54">
        <v>0.5</v>
      </c>
      <c r="J12" s="54">
        <v>0.14000000000000001</v>
      </c>
      <c r="K12" s="54">
        <v>338.5</v>
      </c>
      <c r="L12" s="54">
        <v>21.92</v>
      </c>
      <c r="M12" s="54">
        <v>97.10</v>
      </c>
      <c r="N12" s="54">
        <v>148</v>
      </c>
      <c r="O12" s="54">
        <v>0</v>
      </c>
      <c r="P12" s="54">
        <v>0.28000000000000003</v>
      </c>
      <c r="Q12" s="54">
        <v>6.80</v>
      </c>
      <c r="R12" s="43"/>
      <c r="S12" s="43"/>
      <c r="T12" s="43"/>
      <c r="U12" s="43"/>
    </row>
    <row r="13" spans="1:21" s="11" customFormat="1" ht="15">
      <c r="A13" s="53" t="s">
        <v>714</v>
      </c>
      <c r="B13" s="54">
        <v>4.3099999999999996</v>
      </c>
      <c r="C13" s="54">
        <v>11.40</v>
      </c>
      <c r="D13" s="54">
        <v>10.39</v>
      </c>
      <c r="E13" s="54">
        <v>2.16</v>
      </c>
      <c r="F13" s="54">
        <v>5.12</v>
      </c>
      <c r="G13" s="63" t="s">
        <v>8</v>
      </c>
      <c r="H13" s="63" t="s">
        <v>8</v>
      </c>
      <c r="I13" s="54">
        <v>0.51</v>
      </c>
      <c r="J13" s="54">
        <v>0.21</v>
      </c>
      <c r="K13" s="54">
        <v>31.04</v>
      </c>
      <c r="L13" s="54">
        <v>21.80</v>
      </c>
      <c r="M13" s="54">
        <v>97.13</v>
      </c>
      <c r="N13" s="54">
        <v>144.10</v>
      </c>
      <c r="O13" s="54">
        <v>0</v>
      </c>
      <c r="P13" s="54">
        <v>0.26</v>
      </c>
      <c r="Q13" s="54">
        <v>7.07</v>
      </c>
      <c r="R13" s="43"/>
      <c r="S13" s="43"/>
      <c r="T13" s="43"/>
      <c r="U13" s="43"/>
    </row>
    <row r="14" spans="1:21" s="11" customFormat="1" ht="15">
      <c r="A14" s="53" t="s">
        <v>715</v>
      </c>
      <c r="B14" s="54">
        <v>5.26</v>
      </c>
      <c r="C14" s="54">
        <v>11.80</v>
      </c>
      <c r="D14" s="54">
        <v>11.37</v>
      </c>
      <c r="E14" s="54">
        <v>2.15</v>
      </c>
      <c r="F14" s="54">
        <v>5.90</v>
      </c>
      <c r="G14" s="63" t="s">
        <v>8</v>
      </c>
      <c r="H14" s="63" t="s">
        <v>8</v>
      </c>
      <c r="I14" s="54">
        <v>0.51</v>
      </c>
      <c r="J14" s="54">
        <v>0.24</v>
      </c>
      <c r="K14" s="54">
        <v>38.659999999999997</v>
      </c>
      <c r="L14" s="54">
        <v>21.79</v>
      </c>
      <c r="M14" s="54">
        <v>97.13</v>
      </c>
      <c r="N14" s="54">
        <v>148.10</v>
      </c>
      <c r="O14" s="54">
        <v>0</v>
      </c>
      <c r="P14" s="54">
        <v>0.25</v>
      </c>
      <c r="Q14" s="54">
        <v>6.87</v>
      </c>
      <c r="R14" s="43"/>
      <c r="S14" s="43"/>
      <c r="T14" s="43"/>
      <c r="U14" s="43"/>
    </row>
    <row r="15" spans="1:21" s="11" customFormat="1" ht="15">
      <c r="A15" s="53" t="s">
        <v>716</v>
      </c>
      <c r="B15" s="54">
        <v>5.27</v>
      </c>
      <c r="C15" s="54">
        <v>12.98</v>
      </c>
      <c r="D15" s="54">
        <v>11.78</v>
      </c>
      <c r="E15" s="54">
        <v>1.86</v>
      </c>
      <c r="F15" s="54">
        <v>5.45</v>
      </c>
      <c r="G15" s="63" t="s">
        <v>8</v>
      </c>
      <c r="H15" s="63" t="s">
        <v>8</v>
      </c>
      <c r="I15" s="54">
        <v>0.48</v>
      </c>
      <c r="J15" s="54">
        <v>0.22</v>
      </c>
      <c r="K15" s="54">
        <v>357</v>
      </c>
      <c r="L15" s="54">
        <v>21.81</v>
      </c>
      <c r="M15" s="54">
        <v>97.13</v>
      </c>
      <c r="N15" s="54">
        <v>179.5</v>
      </c>
      <c r="O15" s="54">
        <v>0.20</v>
      </c>
      <c r="P15" s="54">
        <v>0.27</v>
      </c>
      <c r="Q15" s="54">
        <v>6.46</v>
      </c>
      <c r="R15" s="43"/>
      <c r="S15" s="43"/>
      <c r="T15" s="43"/>
      <c r="U15" s="43"/>
    </row>
    <row r="16" spans="1:21" s="11" customFormat="1" ht="15">
      <c r="A16" s="53" t="s">
        <v>717</v>
      </c>
      <c r="B16" s="54">
        <v>5.63</v>
      </c>
      <c r="C16" s="54">
        <v>12.47</v>
      </c>
      <c r="D16" s="54">
        <v>11.94</v>
      </c>
      <c r="E16" s="54">
        <v>2.0099999999999998</v>
      </c>
      <c r="F16" s="54">
        <v>4.79</v>
      </c>
      <c r="G16" s="63" t="s">
        <v>8</v>
      </c>
      <c r="H16" s="63" t="s">
        <v>8</v>
      </c>
      <c r="I16" s="54">
        <v>0.51</v>
      </c>
      <c r="J16" s="54">
        <v>0.24</v>
      </c>
      <c r="K16" s="54">
        <v>33.869999999999997</v>
      </c>
      <c r="L16" s="54">
        <v>21.53</v>
      </c>
      <c r="M16" s="54">
        <v>97.14</v>
      </c>
      <c r="N16" s="54">
        <v>202.80</v>
      </c>
      <c r="O16" s="54">
        <v>0.20</v>
      </c>
      <c r="P16" s="54">
        <v>0.30</v>
      </c>
      <c r="Q16" s="54">
        <v>6.47</v>
      </c>
      <c r="R16" s="43"/>
      <c r="S16" s="43"/>
      <c r="T16" s="43"/>
      <c r="U16" s="43"/>
    </row>
    <row r="17" spans="1:21" s="11" customFormat="1" ht="15">
      <c r="A17" s="53" t="s">
        <v>718</v>
      </c>
      <c r="B17" s="54">
        <v>6.34</v>
      </c>
      <c r="C17" s="54">
        <v>12.51</v>
      </c>
      <c r="D17" s="54">
        <v>12.59</v>
      </c>
      <c r="E17" s="54">
        <v>2.0699999999999998</v>
      </c>
      <c r="F17" s="54">
        <v>5.24</v>
      </c>
      <c r="G17" s="63" t="s">
        <v>8</v>
      </c>
      <c r="H17" s="63" t="s">
        <v>8</v>
      </c>
      <c r="I17" s="54">
        <v>0.5</v>
      </c>
      <c r="J17" s="54">
        <v>0.09</v>
      </c>
      <c r="K17" s="54">
        <v>358.14</v>
      </c>
      <c r="L17" s="54">
        <v>22.22</v>
      </c>
      <c r="M17" s="54">
        <v>97.13</v>
      </c>
      <c r="N17" s="54">
        <v>299.30</v>
      </c>
      <c r="O17" s="54">
        <v>0</v>
      </c>
      <c r="P17" s="54">
        <v>0.32</v>
      </c>
      <c r="Q17" s="54">
        <v>7.59</v>
      </c>
      <c r="R17" s="43"/>
      <c r="S17" s="43"/>
      <c r="T17" s="43"/>
      <c r="U17" s="43"/>
    </row>
    <row r="18" spans="1:21" s="11" customFormat="1" ht="15">
      <c r="A18" s="53" t="s">
        <v>719</v>
      </c>
      <c r="B18" s="54">
        <v>6.07</v>
      </c>
      <c r="C18" s="54">
        <v>13.74</v>
      </c>
      <c r="D18" s="54">
        <v>13.01</v>
      </c>
      <c r="E18" s="54">
        <v>2.12</v>
      </c>
      <c r="F18" s="54">
        <v>4.9400000000000004</v>
      </c>
      <c r="G18" s="63" t="s">
        <v>8</v>
      </c>
      <c r="H18" s="63" t="s">
        <v>8</v>
      </c>
      <c r="I18" s="54">
        <v>0.53</v>
      </c>
      <c r="J18" s="54">
        <v>0.14000000000000001</v>
      </c>
      <c r="K18" s="54">
        <v>347.49</v>
      </c>
      <c r="L18" s="54">
        <v>22.85</v>
      </c>
      <c r="M18" s="54">
        <v>96.95</v>
      </c>
      <c r="N18" s="54">
        <v>269.80</v>
      </c>
      <c r="O18" s="54">
        <v>0</v>
      </c>
      <c r="P18" s="54">
        <v>0.35</v>
      </c>
      <c r="Q18" s="54">
        <v>8.19</v>
      </c>
      <c r="R18" s="43"/>
      <c r="S18" s="43"/>
      <c r="T18" s="43"/>
      <c r="U18" s="43"/>
    </row>
    <row r="19" spans="1:21" s="11" customFormat="1" ht="15">
      <c r="A19" s="53" t="s">
        <v>720</v>
      </c>
      <c r="B19" s="54">
        <v>6.02</v>
      </c>
      <c r="C19" s="54">
        <v>17.34</v>
      </c>
      <c r="D19" s="54">
        <v>15.04</v>
      </c>
      <c r="E19" s="54">
        <v>1.90</v>
      </c>
      <c r="F19" s="54">
        <v>5.85</v>
      </c>
      <c r="G19" s="63" t="s">
        <v>8</v>
      </c>
      <c r="H19" s="63" t="s">
        <v>8</v>
      </c>
      <c r="I19" s="54">
        <v>0.52</v>
      </c>
      <c r="J19" s="54">
        <v>0.19</v>
      </c>
      <c r="K19" s="54">
        <v>356.71</v>
      </c>
      <c r="L19" s="54">
        <v>23.54</v>
      </c>
      <c r="M19" s="54">
        <v>94.54</v>
      </c>
      <c r="N19" s="54">
        <v>328.90</v>
      </c>
      <c r="O19" s="54">
        <v>0</v>
      </c>
      <c r="P19" s="54">
        <v>0.46</v>
      </c>
      <c r="Q19" s="54">
        <v>9.2200000000000006</v>
      </c>
      <c r="R19" s="43"/>
      <c r="S19" s="43"/>
      <c r="T19" s="43"/>
      <c r="U19" s="43"/>
    </row>
    <row r="20" spans="1:21" s="11" customFormat="1" ht="15">
      <c r="A20" s="53" t="s">
        <v>721</v>
      </c>
      <c r="B20" s="54">
        <v>6.69</v>
      </c>
      <c r="C20" s="54">
        <v>15.81</v>
      </c>
      <c r="D20" s="54">
        <v>14.60</v>
      </c>
      <c r="E20" s="54">
        <v>1.73</v>
      </c>
      <c r="F20" s="54">
        <v>5.53</v>
      </c>
      <c r="G20" s="63" t="s">
        <v>8</v>
      </c>
      <c r="H20" s="63" t="s">
        <v>8</v>
      </c>
      <c r="I20" s="54">
        <v>0.52</v>
      </c>
      <c r="J20" s="54">
        <v>0.26</v>
      </c>
      <c r="K20" s="54">
        <v>22.67</v>
      </c>
      <c r="L20" s="54">
        <v>23.91</v>
      </c>
      <c r="M20" s="54">
        <v>90.55</v>
      </c>
      <c r="N20" s="54">
        <v>397.40</v>
      </c>
      <c r="O20" s="54">
        <v>0</v>
      </c>
      <c r="P20" s="54">
        <v>0.45</v>
      </c>
      <c r="Q20" s="54">
        <v>8.3800000000000008</v>
      </c>
      <c r="R20" s="43"/>
      <c r="S20" s="43"/>
      <c r="T20" s="43"/>
      <c r="U20" s="43"/>
    </row>
    <row r="21" spans="1:21" s="11" customFormat="1" ht="15">
      <c r="A21" s="53" t="s">
        <v>722</v>
      </c>
      <c r="B21" s="54">
        <v>5.84</v>
      </c>
      <c r="C21" s="54">
        <v>17.82</v>
      </c>
      <c r="D21" s="54">
        <v>14.54</v>
      </c>
      <c r="E21" s="54">
        <v>2.1800000000000002</v>
      </c>
      <c r="F21" s="54">
        <v>7.87</v>
      </c>
      <c r="G21" s="63" t="s">
        <v>8</v>
      </c>
      <c r="H21" s="63" t="s">
        <v>8</v>
      </c>
      <c r="I21" s="54">
        <v>0.56999999999999995</v>
      </c>
      <c r="J21" s="54">
        <v>0.30</v>
      </c>
      <c r="K21" s="54">
        <v>40.36</v>
      </c>
      <c r="L21" s="54">
        <v>24.26</v>
      </c>
      <c r="M21" s="54">
        <v>87.51</v>
      </c>
      <c r="N21" s="54">
        <v>363.90</v>
      </c>
      <c r="O21" s="54">
        <v>0</v>
      </c>
      <c r="P21" s="54">
        <v>0.45</v>
      </c>
      <c r="Q21" s="54">
        <v>7.62</v>
      </c>
      <c r="R21" s="43"/>
      <c r="S21" s="43"/>
      <c r="T21" s="43"/>
      <c r="U21" s="43"/>
    </row>
    <row r="22" spans="1:21" s="11" customFormat="1" ht="15">
      <c r="A22" s="53" t="s">
        <v>723</v>
      </c>
      <c r="B22" s="54">
        <v>5.94</v>
      </c>
      <c r="C22" s="54">
        <v>17.77</v>
      </c>
      <c r="D22" s="54">
        <v>15.20</v>
      </c>
      <c r="E22" s="54">
        <v>1.97</v>
      </c>
      <c r="F22" s="54">
        <v>7.77</v>
      </c>
      <c r="G22" s="63" t="s">
        <v>8</v>
      </c>
      <c r="H22" s="63" t="s">
        <v>8</v>
      </c>
      <c r="I22" s="54">
        <v>0.53</v>
      </c>
      <c r="J22" s="54">
        <v>0.37</v>
      </c>
      <c r="K22" s="54">
        <v>40.380000000000003</v>
      </c>
      <c r="L22" s="54">
        <v>24.01</v>
      </c>
      <c r="M22" s="54">
        <v>89.23</v>
      </c>
      <c r="N22" s="54">
        <v>303.80</v>
      </c>
      <c r="O22" s="54">
        <v>0</v>
      </c>
      <c r="P22" s="54">
        <v>0.47</v>
      </c>
      <c r="Q22" s="54">
        <v>5.33</v>
      </c>
      <c r="R22" s="43"/>
      <c r="S22" s="43"/>
      <c r="T22" s="43"/>
      <c r="U22" s="43"/>
    </row>
    <row r="23" spans="1:21" s="11" customFormat="1" ht="15">
      <c r="A23" s="53" t="s">
        <v>724</v>
      </c>
      <c r="B23" s="54">
        <v>6</v>
      </c>
      <c r="C23" s="54">
        <v>18.34</v>
      </c>
      <c r="D23" s="54">
        <v>15.58</v>
      </c>
      <c r="E23" s="54">
        <v>1.91</v>
      </c>
      <c r="F23" s="54">
        <v>7.75</v>
      </c>
      <c r="G23" s="63" t="s">
        <v>8</v>
      </c>
      <c r="H23" s="63" t="s">
        <v>8</v>
      </c>
      <c r="I23" s="54">
        <v>0.5</v>
      </c>
      <c r="J23" s="54">
        <v>0.37</v>
      </c>
      <c r="K23" s="54">
        <v>35.40</v>
      </c>
      <c r="L23" s="54">
        <v>24.30</v>
      </c>
      <c r="M23" s="54">
        <v>88.15</v>
      </c>
      <c r="N23" s="54">
        <v>373.90</v>
      </c>
      <c r="O23" s="54">
        <v>0</v>
      </c>
      <c r="P23" s="54">
        <v>0.46</v>
      </c>
      <c r="Q23" s="54">
        <v>6.65</v>
      </c>
      <c r="R23" s="43"/>
      <c r="S23" s="43"/>
      <c r="T23" s="43"/>
      <c r="U23" s="43"/>
    </row>
    <row r="24" spans="1:21" s="11" customFormat="1" ht="15">
      <c r="A24" s="53" t="s">
        <v>725</v>
      </c>
      <c r="B24" s="54">
        <v>5.53</v>
      </c>
      <c r="C24" s="54">
        <v>16.57</v>
      </c>
      <c r="D24" s="54">
        <v>13.93</v>
      </c>
      <c r="E24" s="54">
        <v>1.79</v>
      </c>
      <c r="F24" s="54">
        <v>6.82</v>
      </c>
      <c r="G24" s="63" t="s">
        <v>8</v>
      </c>
      <c r="H24" s="63" t="s">
        <v>8</v>
      </c>
      <c r="I24" s="54">
        <v>0.49</v>
      </c>
      <c r="J24" s="54">
        <v>0.11</v>
      </c>
      <c r="K24" s="54">
        <v>338.44</v>
      </c>
      <c r="L24" s="54">
        <v>24.62</v>
      </c>
      <c r="M24" s="54">
        <v>87.48</v>
      </c>
      <c r="N24" s="54">
        <v>319</v>
      </c>
      <c r="O24" s="54">
        <v>0</v>
      </c>
      <c r="P24" s="54">
        <v>0.43</v>
      </c>
      <c r="Q24" s="54">
        <v>6.91</v>
      </c>
      <c r="R24" s="43"/>
      <c r="S24" s="43"/>
      <c r="T24" s="43"/>
      <c r="U24" s="43"/>
    </row>
    <row r="25" spans="1:21" s="11" customFormat="1" ht="15">
      <c r="A25" s="53" t="s">
        <v>726</v>
      </c>
      <c r="B25" s="54">
        <v>6.84</v>
      </c>
      <c r="C25" s="54">
        <v>18.28</v>
      </c>
      <c r="D25" s="54">
        <v>16.22</v>
      </c>
      <c r="E25" s="54">
        <v>1.87</v>
      </c>
      <c r="F25" s="54">
        <v>9.49</v>
      </c>
      <c r="G25" s="63" t="s">
        <v>8</v>
      </c>
      <c r="H25" s="63" t="s">
        <v>8</v>
      </c>
      <c r="I25" s="54">
        <v>0.48</v>
      </c>
      <c r="J25" s="54">
        <v>0.21</v>
      </c>
      <c r="K25" s="54">
        <v>328.95</v>
      </c>
      <c r="L25" s="54">
        <v>24.58</v>
      </c>
      <c r="M25" s="54">
        <v>85.80</v>
      </c>
      <c r="N25" s="54">
        <v>199.5</v>
      </c>
      <c r="O25" s="54">
        <v>0</v>
      </c>
      <c r="P25" s="54">
        <v>0.59</v>
      </c>
      <c r="Q25" s="54">
        <v>6.59</v>
      </c>
      <c r="R25" s="43"/>
      <c r="S25" s="43"/>
      <c r="T25" s="43"/>
      <c r="U25" s="43"/>
    </row>
    <row r="26" spans="1:21" s="11" customFormat="1" ht="15">
      <c r="A26" s="53" t="s">
        <v>727</v>
      </c>
      <c r="B26" s="54">
        <v>8.26</v>
      </c>
      <c r="C26" s="54">
        <v>21.52</v>
      </c>
      <c r="D26" s="54">
        <v>19.149999999999999</v>
      </c>
      <c r="E26" s="54">
        <v>2.2799999999999998</v>
      </c>
      <c r="F26" s="54">
        <v>11.93</v>
      </c>
      <c r="G26" s="63" t="s">
        <v>8</v>
      </c>
      <c r="H26" s="63" t="s">
        <v>8</v>
      </c>
      <c r="I26" s="54">
        <v>0.56000000000000005</v>
      </c>
      <c r="J26" s="54">
        <v>0.14000000000000001</v>
      </c>
      <c r="K26" s="54">
        <v>52.49</v>
      </c>
      <c r="L26" s="54">
        <v>24.5</v>
      </c>
      <c r="M26" s="54">
        <v>87.77</v>
      </c>
      <c r="N26" s="54">
        <v>146.40</v>
      </c>
      <c r="O26" s="54">
        <v>0</v>
      </c>
      <c r="P26" s="54">
        <v>0.75</v>
      </c>
      <c r="Q26" s="54">
        <v>8.99</v>
      </c>
      <c r="R26" s="43"/>
      <c r="S26" s="43"/>
      <c r="T26" s="43"/>
      <c r="U26" s="43"/>
    </row>
    <row r="27" spans="1:21" s="11" customFormat="1" ht="15">
      <c r="A27" s="53" t="s">
        <v>728</v>
      </c>
      <c r="B27" s="54">
        <v>7.86</v>
      </c>
      <c r="C27" s="54">
        <v>16.95</v>
      </c>
      <c r="D27" s="54">
        <v>16.30</v>
      </c>
      <c r="E27" s="54">
        <v>1.86</v>
      </c>
      <c r="F27" s="54">
        <v>5.79</v>
      </c>
      <c r="G27" s="63" t="s">
        <v>8</v>
      </c>
      <c r="H27" s="63" t="s">
        <v>8</v>
      </c>
      <c r="I27" s="54">
        <v>0.56999999999999995</v>
      </c>
      <c r="J27" s="54">
        <v>0.20</v>
      </c>
      <c r="K27" s="54">
        <v>230.96</v>
      </c>
      <c r="L27" s="54">
        <v>24.37</v>
      </c>
      <c r="M27" s="54">
        <v>89.57</v>
      </c>
      <c r="N27" s="54">
        <v>132.5</v>
      </c>
      <c r="O27" s="54">
        <v>0</v>
      </c>
      <c r="P27" s="54">
        <v>0.78</v>
      </c>
      <c r="Q27" s="54">
        <v>8.33</v>
      </c>
      <c r="R27" s="43"/>
      <c r="S27" s="43"/>
      <c r="T27" s="43"/>
      <c r="U27" s="43"/>
    </row>
    <row r="28" spans="1:21" s="11" customFormat="1" ht="15">
      <c r="A28" s="53" t="s">
        <v>729</v>
      </c>
      <c r="B28" s="54">
        <v>7.26</v>
      </c>
      <c r="C28" s="54">
        <v>17.86</v>
      </c>
      <c r="D28" s="54">
        <v>15.80</v>
      </c>
      <c r="E28" s="54">
        <v>2.4700000000000002</v>
      </c>
      <c r="F28" s="54">
        <v>12.60</v>
      </c>
      <c r="G28" s="63" t="s">
        <v>8</v>
      </c>
      <c r="H28" s="63" t="s">
        <v>8</v>
      </c>
      <c r="I28" s="54">
        <v>0.56999999999999995</v>
      </c>
      <c r="J28" s="54">
        <v>0.15</v>
      </c>
      <c r="K28" s="54">
        <v>240.45</v>
      </c>
      <c r="L28" s="54">
        <v>23.97</v>
      </c>
      <c r="M28" s="54">
        <v>92.51</v>
      </c>
      <c r="N28" s="54">
        <v>98.90</v>
      </c>
      <c r="O28" s="54">
        <v>0</v>
      </c>
      <c r="P28" s="54">
        <v>0.79</v>
      </c>
      <c r="Q28" s="54">
        <v>9.44</v>
      </c>
      <c r="R28" s="43"/>
      <c r="S28" s="43"/>
      <c r="T28" s="43"/>
      <c r="U28" s="43"/>
    </row>
    <row r="29" spans="1:21" s="11" customFormat="1" ht="15">
      <c r="A29" s="53" t="s">
        <v>730</v>
      </c>
      <c r="B29" s="54">
        <v>9.5399999999999991</v>
      </c>
      <c r="C29" s="54">
        <v>25.08</v>
      </c>
      <c r="D29" s="54">
        <v>21.67</v>
      </c>
      <c r="E29" s="54">
        <v>2.21</v>
      </c>
      <c r="F29" s="54">
        <v>7.32</v>
      </c>
      <c r="G29" s="63" t="s">
        <v>8</v>
      </c>
      <c r="H29" s="63" t="s">
        <v>8</v>
      </c>
      <c r="I29" s="54">
        <v>0.60</v>
      </c>
      <c r="J29" s="54">
        <v>0.78</v>
      </c>
      <c r="K29" s="54">
        <v>212.92</v>
      </c>
      <c r="L29" s="54">
        <v>23.53</v>
      </c>
      <c r="M29" s="54">
        <v>96.71</v>
      </c>
      <c r="N29" s="54">
        <v>96</v>
      </c>
      <c r="O29" s="54">
        <v>0</v>
      </c>
      <c r="P29" s="54">
        <v>0.82</v>
      </c>
      <c r="Q29" s="54">
        <v>14.16</v>
      </c>
      <c r="R29" s="43"/>
      <c r="S29" s="43"/>
      <c r="T29" s="43"/>
      <c r="U29" s="43"/>
    </row>
    <row r="30" spans="1:21" s="11" customFormat="1" ht="15">
      <c r="A30" s="53" t="s">
        <v>731</v>
      </c>
      <c r="B30" s="54">
        <v>9.23</v>
      </c>
      <c r="C30" s="54">
        <v>13.88</v>
      </c>
      <c r="D30" s="54">
        <v>15.39</v>
      </c>
      <c r="E30" s="54">
        <v>2.2400000000000002</v>
      </c>
      <c r="F30" s="54">
        <v>6.55</v>
      </c>
      <c r="G30" s="63" t="s">
        <v>8</v>
      </c>
      <c r="H30" s="63" t="s">
        <v>8</v>
      </c>
      <c r="I30" s="54">
        <v>0.62</v>
      </c>
      <c r="J30" s="54">
        <v>0.23</v>
      </c>
      <c r="K30" s="54">
        <v>239.30</v>
      </c>
      <c r="L30" s="54">
        <v>23.41</v>
      </c>
      <c r="M30" s="54">
        <v>96.61</v>
      </c>
      <c r="N30" s="54">
        <v>96.60</v>
      </c>
      <c r="O30" s="54">
        <v>0</v>
      </c>
      <c r="P30" s="54">
        <v>0.82</v>
      </c>
      <c r="Q30" s="54">
        <v>13.34</v>
      </c>
      <c r="R30" s="43"/>
      <c r="S30" s="43"/>
      <c r="T30" s="43"/>
      <c r="U30" s="43"/>
    </row>
    <row r="31" spans="1:21" s="11" customFormat="1" ht="15">
      <c r="A31" s="53" t="s">
        <v>732</v>
      </c>
      <c r="B31" s="54">
        <v>8.35</v>
      </c>
      <c r="C31" s="54">
        <v>12.57</v>
      </c>
      <c r="D31" s="54">
        <v>13.74</v>
      </c>
      <c r="E31" s="54">
        <v>2.37</v>
      </c>
      <c r="F31" s="54">
        <v>10.91</v>
      </c>
      <c r="G31" s="63" t="s">
        <v>8</v>
      </c>
      <c r="H31" s="63" t="s">
        <v>8</v>
      </c>
      <c r="I31" s="54">
        <v>0.61</v>
      </c>
      <c r="J31" s="54">
        <v>0.18</v>
      </c>
      <c r="K31" s="54">
        <v>248.89</v>
      </c>
      <c r="L31" s="54">
        <v>23.31</v>
      </c>
      <c r="M31" s="54">
        <v>95.99</v>
      </c>
      <c r="N31" s="54">
        <v>111.60</v>
      </c>
      <c r="O31" s="54">
        <v>0</v>
      </c>
      <c r="P31" s="54">
        <v>0.76</v>
      </c>
      <c r="Q31" s="54">
        <v>18.670000000000002</v>
      </c>
      <c r="R31" s="43"/>
      <c r="S31" s="43"/>
      <c r="T31" s="43"/>
      <c r="U31" s="43"/>
    </row>
    <row r="32" spans="1:21" s="11" customFormat="1" ht="15">
      <c r="A32" s="53" t="s">
        <v>733</v>
      </c>
      <c r="B32" s="54">
        <v>8.69</v>
      </c>
      <c r="C32" s="54">
        <v>12.42</v>
      </c>
      <c r="D32" s="54">
        <v>14.06</v>
      </c>
      <c r="E32" s="54">
        <v>2.4700000000000002</v>
      </c>
      <c r="F32" s="54">
        <v>11.70</v>
      </c>
      <c r="G32" s="63" t="s">
        <v>8</v>
      </c>
      <c r="H32" s="63" t="s">
        <v>8</v>
      </c>
      <c r="I32" s="54">
        <v>0.59</v>
      </c>
      <c r="J32" s="54">
        <v>0.40</v>
      </c>
      <c r="K32" s="54">
        <v>220.06</v>
      </c>
      <c r="L32" s="54">
        <v>23.22</v>
      </c>
      <c r="M32" s="54">
        <v>95.85</v>
      </c>
      <c r="N32" s="54">
        <v>114.70</v>
      </c>
      <c r="O32" s="54">
        <v>0</v>
      </c>
      <c r="P32" s="54">
        <v>0.73</v>
      </c>
      <c r="Q32" s="54">
        <v>23.05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4.3099999999999996</v>
      </c>
      <c r="C34" s="28">
        <f t="shared" si="0"/>
        <v>11.4</v>
      </c>
      <c r="D34" s="28">
        <f t="shared" si="0"/>
        <v>10.390000000000001</v>
      </c>
      <c r="E34" s="28">
        <f t="shared" si="0"/>
        <v>1.73</v>
      </c>
      <c r="F34" s="28">
        <f t="shared" si="0"/>
        <v>4.79</v>
      </c>
      <c r="G34" s="28">
        <f t="shared" si="0"/>
        <v>0</v>
      </c>
      <c r="H34" s="28">
        <f t="shared" si="0"/>
        <v>0</v>
      </c>
      <c r="I34" s="28">
        <f t="shared" si="0"/>
        <v>0.47999999999999998</v>
      </c>
      <c r="J34" s="28">
        <f t="shared" si="0"/>
        <v>0.089999999999999997</v>
      </c>
      <c r="K34" s="28">
        <f t="shared" si="0"/>
        <v>22.670000000000002</v>
      </c>
      <c r="L34" s="28">
        <f t="shared" si="0"/>
        <v>21.530000000000001</v>
      </c>
      <c r="M34" s="28">
        <f t="shared" si="0"/>
        <v>85.799999999999997</v>
      </c>
      <c r="N34" s="28">
        <f t="shared" si="0"/>
        <v>61.700000000000003</v>
      </c>
      <c r="O34" s="28">
        <f t="shared" si="0"/>
        <v>0</v>
      </c>
      <c r="P34" s="28">
        <f t="shared" si="0"/>
        <v>0.25</v>
      </c>
      <c r="Q34" s="28">
        <f t="shared" si="0"/>
        <v>5.3300000000000001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9.5399999999999991</v>
      </c>
      <c r="C35" s="29">
        <f t="shared" si="1"/>
        <v>25.079999999999998</v>
      </c>
      <c r="D35" s="29">
        <f t="shared" si="1"/>
        <v>21.670000000000002</v>
      </c>
      <c r="E35" s="29">
        <f t="shared" si="1"/>
        <v>2.4700000000000002</v>
      </c>
      <c r="F35" s="29">
        <f t="shared" si="1"/>
        <v>12.6</v>
      </c>
      <c r="G35" s="29">
        <f t="shared" si="1"/>
        <v>0</v>
      </c>
      <c r="H35" s="29">
        <f t="shared" si="1"/>
        <v>0</v>
      </c>
      <c r="I35" s="29">
        <f t="shared" si="1"/>
        <v>0.62</v>
      </c>
      <c r="J35" s="29">
        <f t="shared" si="1"/>
        <v>0.78000000000000003</v>
      </c>
      <c r="K35" s="29">
        <f t="shared" si="1"/>
        <v>358.13999999999999</v>
      </c>
      <c r="L35" s="29">
        <f t="shared" si="1"/>
        <v>24.620000000000001</v>
      </c>
      <c r="M35" s="29">
        <f t="shared" si="1"/>
        <v>97.140000000000001</v>
      </c>
      <c r="N35" s="29">
        <f t="shared" si="1"/>
        <v>397.39999999999998</v>
      </c>
      <c r="O35" s="29">
        <f t="shared" si="1"/>
        <v>0.20000000000000001</v>
      </c>
      <c r="P35" s="29">
        <f t="shared" si="1"/>
        <v>0.81999999999999995</v>
      </c>
      <c r="Q35" s="29">
        <f t="shared" si="1"/>
        <v>23.050000000000001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6.4208333333333334</v>
      </c>
      <c r="C36" s="28">
        <f t="shared" si="2"/>
        <v>15.246249999999998</v>
      </c>
      <c r="D36" s="28">
        <f t="shared" si="2"/>
        <v>14.03875</v>
      </c>
      <c r="E36" s="28">
        <f t="shared" si="2"/>
        <v>2.0962499999999999</v>
      </c>
      <c r="F36" s="28">
        <f t="shared" si="2"/>
        <v>7.1670833333333333</v>
      </c>
      <c r="G36" s="28" t="e">
        <f t="shared" si="2"/>
        <v>#DIV/0!</v>
      </c>
      <c r="H36" s="28" t="e">
        <f t="shared" si="2"/>
        <v>#DIV/0!</v>
      </c>
      <c r="I36" s="28">
        <f t="shared" si="2"/>
        <v>0.53541666666666665</v>
      </c>
      <c r="J36" s="28">
        <f t="shared" si="2"/>
        <v>0.23791666666666669</v>
      </c>
      <c r="K36" s="28">
        <f t="shared" si="2"/>
        <v>176.02208333333331</v>
      </c>
      <c r="L36" s="28">
        <f t="shared" si="2"/>
        <v>23.150416666666668</v>
      </c>
      <c r="M36" s="28">
        <f t="shared" si="2"/>
        <v>93.722916666666663</v>
      </c>
      <c r="N36" s="28">
        <f t="shared" si="2"/>
        <v>197.70833333333337</v>
      </c>
      <c r="O36" s="28">
        <f t="shared" si="2"/>
        <v>0.016666666666666666</v>
      </c>
      <c r="P36" s="28">
        <f t="shared" si="2"/>
        <v>0.4916666666666667</v>
      </c>
      <c r="Q36" s="28">
        <f t="shared" si="2"/>
        <v>9.0895833333333353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1.5303108995479811</v>
      </c>
      <c r="C37" s="28">
        <f t="shared" si="3" ref="C37:Q37">STDEV(C9:C32)</f>
        <v>3.5435352189340668</v>
      </c>
      <c r="D37" s="28">
        <f t="shared" si="3"/>
        <v>2.7350658723487737</v>
      </c>
      <c r="E37" s="28">
        <f t="shared" si="3"/>
        <v>0.21004787239020761</v>
      </c>
      <c r="F37" s="28">
        <f t="shared" si="3"/>
        <v>2.4099277982449219</v>
      </c>
      <c r="G37" s="28" t="e">
        <f t="shared" si="3"/>
        <v>#DIV/0!</v>
      </c>
      <c r="H37" s="28" t="e">
        <f t="shared" si="3"/>
        <v>#DIV/0!</v>
      </c>
      <c r="I37" s="28">
        <f t="shared" si="3"/>
        <v>0.041281553588335643</v>
      </c>
      <c r="J37" s="28">
        <f t="shared" si="3"/>
        <v>0.14074272447538308</v>
      </c>
      <c r="K37" s="28">
        <f t="shared" si="3"/>
        <v>137.87391189934209</v>
      </c>
      <c r="L37" s="28">
        <f t="shared" si="3"/>
        <v>1.0760696565730157</v>
      </c>
      <c r="M37" s="28">
        <f t="shared" si="3"/>
        <v>4.1599513784436235</v>
      </c>
      <c r="N37" s="28">
        <f t="shared" si="3"/>
        <v>105.54225577285708</v>
      </c>
      <c r="O37" s="28">
        <f t="shared" si="3"/>
        <v>0.056465970257327996</v>
      </c>
      <c r="P37" s="28">
        <f t="shared" si="3"/>
        <v>0.20573656999154052</v>
      </c>
      <c r="Q37" s="28">
        <f t="shared" si="3"/>
        <v>4.1979979484704719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COUNT(G9:G32)+24</f>
        <v>24</v>
      </c>
      <c r="H38" s="32">
        <f>COUNT(H9:H32)+24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5906a0f-7bf0-456b-9b95-235b764a6464}">
  <sheetPr codeName=""/>
  <dimension ref="A1:U119"/>
  <sheetViews>
    <sheetView workbookViewId="0" topLeftCell="A1">
      <selection pane="topLeft" activeCell="I60" sqref="I60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29-06-2023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734</v>
      </c>
      <c r="B9" s="54">
        <v>7.88</v>
      </c>
      <c r="C9" s="54">
        <v>11.52</v>
      </c>
      <c r="D9" s="54">
        <v>12.86</v>
      </c>
      <c r="E9" s="54">
        <v>2.82</v>
      </c>
      <c r="F9" s="54">
        <v>5.88</v>
      </c>
      <c r="G9" s="64" t="s">
        <v>15</v>
      </c>
      <c r="H9" s="64" t="s">
        <v>15</v>
      </c>
      <c r="I9" s="54">
        <v>0.62</v>
      </c>
      <c r="J9" s="54">
        <v>0.37</v>
      </c>
      <c r="K9" s="54">
        <v>235.86</v>
      </c>
      <c r="L9" s="54">
        <v>23.01</v>
      </c>
      <c r="M9" s="54">
        <v>96.06</v>
      </c>
      <c r="N9" s="54">
        <v>109.70</v>
      </c>
      <c r="O9" s="54">
        <v>0</v>
      </c>
      <c r="P9" s="55" t="s">
        <v>14</v>
      </c>
      <c r="Q9" s="54">
        <v>19.73</v>
      </c>
      <c r="R9" s="43"/>
      <c r="S9" s="43"/>
      <c r="T9" s="43"/>
      <c r="U9" s="43"/>
    </row>
    <row r="10" spans="1:21" s="11" customFormat="1" ht="15">
      <c r="A10" s="53" t="s">
        <v>735</v>
      </c>
      <c r="B10" s="54">
        <v>6.77</v>
      </c>
      <c r="C10" s="54">
        <v>11.02</v>
      </c>
      <c r="D10" s="54">
        <v>12.15</v>
      </c>
      <c r="E10" s="54">
        <v>2.37</v>
      </c>
      <c r="F10" s="54">
        <v>10.050000000000001</v>
      </c>
      <c r="G10" s="64" t="s">
        <v>15</v>
      </c>
      <c r="H10" s="64" t="s">
        <v>15</v>
      </c>
      <c r="I10" s="54">
        <v>0.57999999999999996</v>
      </c>
      <c r="J10" s="54">
        <v>0.20</v>
      </c>
      <c r="K10" s="54">
        <v>248.98</v>
      </c>
      <c r="L10" s="54">
        <v>22.90</v>
      </c>
      <c r="M10" s="54">
        <v>96.25</v>
      </c>
      <c r="N10" s="54">
        <v>107.60</v>
      </c>
      <c r="O10" s="54">
        <v>0</v>
      </c>
      <c r="P10" s="54">
        <v>0.41</v>
      </c>
      <c r="Q10" s="54">
        <v>20.71</v>
      </c>
      <c r="R10" s="43"/>
      <c r="S10" s="43"/>
      <c r="T10" s="43"/>
      <c r="U10" s="43"/>
    </row>
    <row r="11" spans="1:21" s="11" customFormat="1" ht="15">
      <c r="A11" s="53" t="s">
        <v>736</v>
      </c>
      <c r="B11" s="54">
        <v>8.4499999999999993</v>
      </c>
      <c r="C11" s="54">
        <v>11.91</v>
      </c>
      <c r="D11" s="54">
        <v>14</v>
      </c>
      <c r="E11" s="54">
        <v>2.97</v>
      </c>
      <c r="F11" s="54">
        <v>9.3800000000000008</v>
      </c>
      <c r="G11" s="64" t="s">
        <v>15</v>
      </c>
      <c r="H11" s="64" t="s">
        <v>15</v>
      </c>
      <c r="I11" s="54">
        <v>0.55000000000000004</v>
      </c>
      <c r="J11" s="54">
        <v>0.21</v>
      </c>
      <c r="K11" s="54">
        <v>240.42</v>
      </c>
      <c r="L11" s="54">
        <v>22.57</v>
      </c>
      <c r="M11" s="54">
        <v>96.71</v>
      </c>
      <c r="N11" s="54">
        <v>104.20</v>
      </c>
      <c r="O11" s="54">
        <v>0</v>
      </c>
      <c r="P11" s="55" t="s">
        <v>14</v>
      </c>
      <c r="Q11" s="54">
        <v>22.24</v>
      </c>
      <c r="R11" s="43"/>
      <c r="S11" s="43"/>
      <c r="T11" s="43"/>
      <c r="U11" s="43"/>
    </row>
    <row r="12" spans="1:21" s="11" customFormat="1" ht="15">
      <c r="A12" s="53" t="s">
        <v>737</v>
      </c>
      <c r="B12" s="54">
        <v>8.0399999999999991</v>
      </c>
      <c r="C12" s="54">
        <v>11.28</v>
      </c>
      <c r="D12" s="54">
        <v>12.92</v>
      </c>
      <c r="E12" s="54">
        <v>2.76</v>
      </c>
      <c r="F12" s="54">
        <v>5.74</v>
      </c>
      <c r="G12" s="64" t="s">
        <v>15</v>
      </c>
      <c r="H12" s="64" t="s">
        <v>15</v>
      </c>
      <c r="I12" s="54">
        <v>0.56999999999999995</v>
      </c>
      <c r="J12" s="54">
        <v>0.24</v>
      </c>
      <c r="K12" s="54">
        <v>229.08</v>
      </c>
      <c r="L12" s="54">
        <v>22.51</v>
      </c>
      <c r="M12" s="54">
        <v>94.92</v>
      </c>
      <c r="N12" s="54">
        <v>96.90</v>
      </c>
      <c r="O12" s="54">
        <v>0</v>
      </c>
      <c r="P12" s="55" t="s">
        <v>14</v>
      </c>
      <c r="Q12" s="54">
        <v>19.04</v>
      </c>
      <c r="R12" s="43"/>
      <c r="S12" s="43"/>
      <c r="T12" s="43"/>
      <c r="U12" s="43"/>
    </row>
    <row r="13" spans="1:21" s="11" customFormat="1" ht="15">
      <c r="A13" s="53" t="s">
        <v>738</v>
      </c>
      <c r="B13" s="54">
        <v>7.64</v>
      </c>
      <c r="C13" s="54">
        <v>11.66</v>
      </c>
      <c r="D13" s="54">
        <v>13.18</v>
      </c>
      <c r="E13" s="54">
        <v>2.91</v>
      </c>
      <c r="F13" s="54">
        <v>9.5500000000000007</v>
      </c>
      <c r="G13" s="64" t="s">
        <v>15</v>
      </c>
      <c r="H13" s="64" t="s">
        <v>15</v>
      </c>
      <c r="I13" s="54">
        <v>0.55000000000000004</v>
      </c>
      <c r="J13" s="54">
        <v>0.15</v>
      </c>
      <c r="K13" s="54">
        <v>236.01</v>
      </c>
      <c r="L13" s="54">
        <v>22.45</v>
      </c>
      <c r="M13" s="54">
        <v>95.21</v>
      </c>
      <c r="N13" s="54">
        <v>95.5</v>
      </c>
      <c r="O13" s="54">
        <v>0</v>
      </c>
      <c r="P13" s="55" t="s">
        <v>14</v>
      </c>
      <c r="Q13" s="54">
        <v>21.23</v>
      </c>
      <c r="R13" s="43"/>
      <c r="S13" s="43"/>
      <c r="T13" s="43"/>
      <c r="U13" s="43"/>
    </row>
    <row r="14" spans="1:21" s="11" customFormat="1" ht="15">
      <c r="A14" s="53" t="s">
        <v>739</v>
      </c>
      <c r="B14" s="54">
        <v>9.7100000000000009</v>
      </c>
      <c r="C14" s="54">
        <v>12.56</v>
      </c>
      <c r="D14" s="54">
        <v>15.37</v>
      </c>
      <c r="E14" s="54">
        <v>3.47</v>
      </c>
      <c r="F14" s="54">
        <v>8.5299999999999994</v>
      </c>
      <c r="G14" s="64" t="s">
        <v>15</v>
      </c>
      <c r="H14" s="64" t="s">
        <v>15</v>
      </c>
      <c r="I14" s="54">
        <v>0.55000000000000004</v>
      </c>
      <c r="J14" s="54">
        <v>0.15</v>
      </c>
      <c r="K14" s="54">
        <v>249.89</v>
      </c>
      <c r="L14" s="54">
        <v>22.78</v>
      </c>
      <c r="M14" s="54">
        <v>93.95</v>
      </c>
      <c r="N14" s="54">
        <v>128.69999999999999</v>
      </c>
      <c r="O14" s="54">
        <v>0</v>
      </c>
      <c r="P14" s="55" t="s">
        <v>14</v>
      </c>
      <c r="Q14" s="54">
        <v>23.01</v>
      </c>
      <c r="R14" s="43"/>
      <c r="S14" s="43"/>
      <c r="T14" s="43"/>
      <c r="U14" s="43"/>
    </row>
    <row r="15" spans="1:21" s="11" customFormat="1" ht="15">
      <c r="A15" s="53" t="s">
        <v>740</v>
      </c>
      <c r="B15" s="54">
        <v>9.40</v>
      </c>
      <c r="C15" s="54">
        <v>12.58</v>
      </c>
      <c r="D15" s="54">
        <v>14.96</v>
      </c>
      <c r="E15" s="54">
        <v>3.01</v>
      </c>
      <c r="F15" s="54">
        <v>5.55</v>
      </c>
      <c r="G15" s="64" t="s">
        <v>15</v>
      </c>
      <c r="H15" s="64" t="s">
        <v>15</v>
      </c>
      <c r="I15" s="54">
        <v>0.56000000000000005</v>
      </c>
      <c r="J15" s="54">
        <v>0.20</v>
      </c>
      <c r="K15" s="54">
        <v>269.74</v>
      </c>
      <c r="L15" s="54">
        <v>23.59</v>
      </c>
      <c r="M15" s="54">
        <v>90.75</v>
      </c>
      <c r="N15" s="54">
        <v>233</v>
      </c>
      <c r="O15" s="54">
        <v>0</v>
      </c>
      <c r="P15" s="55" t="s">
        <v>14</v>
      </c>
      <c r="Q15" s="54">
        <v>20.440000000000001</v>
      </c>
      <c r="R15" s="43"/>
      <c r="S15" s="43"/>
      <c r="T15" s="43"/>
      <c r="U15" s="43"/>
    </row>
    <row r="16" spans="1:21" s="11" customFormat="1" ht="15">
      <c r="A16" s="53" t="s">
        <v>741</v>
      </c>
      <c r="B16" s="54">
        <v>8.25</v>
      </c>
      <c r="C16" s="54">
        <v>13.54</v>
      </c>
      <c r="D16" s="54">
        <v>14.59</v>
      </c>
      <c r="E16" s="54">
        <v>2.87</v>
      </c>
      <c r="F16" s="54">
        <v>6.08</v>
      </c>
      <c r="G16" s="64" t="s">
        <v>15</v>
      </c>
      <c r="H16" s="64" t="s">
        <v>15</v>
      </c>
      <c r="I16" s="54">
        <v>0.55000000000000004</v>
      </c>
      <c r="J16" s="54">
        <v>0.27</v>
      </c>
      <c r="K16" s="54">
        <v>295.58</v>
      </c>
      <c r="L16" s="54">
        <v>25.07</v>
      </c>
      <c r="M16" s="54">
        <v>87.32</v>
      </c>
      <c r="N16" s="54">
        <v>517.40</v>
      </c>
      <c r="O16" s="54">
        <v>0</v>
      </c>
      <c r="P16" s="54">
        <v>0.24</v>
      </c>
      <c r="Q16" s="54">
        <v>17.940000000000001</v>
      </c>
      <c r="R16" s="43"/>
      <c r="S16" s="43"/>
      <c r="T16" s="43"/>
      <c r="U16" s="43"/>
    </row>
    <row r="17" spans="1:21" s="11" customFormat="1" ht="15">
      <c r="A17" s="53" t="s">
        <v>742</v>
      </c>
      <c r="B17" s="54">
        <v>7.92</v>
      </c>
      <c r="C17" s="54">
        <v>14.13</v>
      </c>
      <c r="D17" s="54">
        <v>14.07</v>
      </c>
      <c r="E17" s="54">
        <v>3.11</v>
      </c>
      <c r="F17" s="54">
        <v>5.34</v>
      </c>
      <c r="G17" s="64" t="s">
        <v>15</v>
      </c>
      <c r="H17" s="64" t="s">
        <v>15</v>
      </c>
      <c r="I17" s="54">
        <v>0.56999999999999995</v>
      </c>
      <c r="J17" s="54">
        <v>0.21</v>
      </c>
      <c r="K17" s="54">
        <v>250.17</v>
      </c>
      <c r="L17" s="54">
        <v>25.69</v>
      </c>
      <c r="M17" s="54">
        <v>80.44</v>
      </c>
      <c r="N17" s="54">
        <v>572.90</v>
      </c>
      <c r="O17" s="54">
        <v>0</v>
      </c>
      <c r="P17" s="55" t="s">
        <v>14</v>
      </c>
      <c r="Q17" s="54">
        <v>17.63</v>
      </c>
      <c r="R17" s="43"/>
      <c r="S17" s="43"/>
      <c r="T17" s="43"/>
      <c r="U17" s="43"/>
    </row>
    <row r="18" spans="1:21" s="11" customFormat="1" ht="15">
      <c r="A18" s="53" t="s">
        <v>743</v>
      </c>
      <c r="B18" s="54">
        <v>6.09</v>
      </c>
      <c r="C18" s="54">
        <v>14.82</v>
      </c>
      <c r="D18" s="54">
        <v>13.34</v>
      </c>
      <c r="E18" s="54">
        <v>2.72</v>
      </c>
      <c r="F18" s="54">
        <v>6.09</v>
      </c>
      <c r="G18" s="64" t="s">
        <v>15</v>
      </c>
      <c r="H18" s="64" t="s">
        <v>15</v>
      </c>
      <c r="I18" s="54">
        <v>0.54</v>
      </c>
      <c r="J18" s="54">
        <v>0.27</v>
      </c>
      <c r="K18" s="54">
        <v>34.229999999999997</v>
      </c>
      <c r="L18" s="54">
        <v>26.65</v>
      </c>
      <c r="M18" s="54">
        <v>79.069999999999993</v>
      </c>
      <c r="N18" s="54">
        <v>615.29999999999995</v>
      </c>
      <c r="O18" s="54">
        <v>0</v>
      </c>
      <c r="P18" s="55" t="s">
        <v>14</v>
      </c>
      <c r="Q18" s="54">
        <v>13.42</v>
      </c>
      <c r="R18" s="43"/>
      <c r="S18" s="43"/>
      <c r="T18" s="43"/>
      <c r="U18" s="43"/>
    </row>
    <row r="19" spans="1:21" s="11" customFormat="1" ht="15">
      <c r="A19" s="53" t="s">
        <v>744</v>
      </c>
      <c r="B19" s="54">
        <v>5.54</v>
      </c>
      <c r="C19" s="54">
        <v>14.99</v>
      </c>
      <c r="D19" s="54">
        <v>13.22</v>
      </c>
      <c r="E19" s="54">
        <v>2.71</v>
      </c>
      <c r="F19" s="54">
        <v>7.14</v>
      </c>
      <c r="G19" s="64" t="s">
        <v>15</v>
      </c>
      <c r="H19" s="64" t="s">
        <v>15</v>
      </c>
      <c r="I19" s="54">
        <v>0.53</v>
      </c>
      <c r="J19" s="54">
        <v>0.22</v>
      </c>
      <c r="K19" s="54">
        <v>359.21</v>
      </c>
      <c r="L19" s="54">
        <v>27.21</v>
      </c>
      <c r="M19" s="54">
        <v>74.47</v>
      </c>
      <c r="N19" s="54">
        <v>622.60</v>
      </c>
      <c r="O19" s="54">
        <v>0</v>
      </c>
      <c r="P19" s="55" t="s">
        <v>14</v>
      </c>
      <c r="Q19" s="54">
        <v>10.65</v>
      </c>
      <c r="R19" s="43"/>
      <c r="S19" s="43"/>
      <c r="T19" s="43"/>
      <c r="U19" s="43"/>
    </row>
    <row r="20" spans="1:21" s="11" customFormat="1" ht="15">
      <c r="A20" s="53" t="s">
        <v>745</v>
      </c>
      <c r="B20" s="54">
        <v>5.78</v>
      </c>
      <c r="C20" s="54">
        <v>15.07</v>
      </c>
      <c r="D20" s="54">
        <v>13.46</v>
      </c>
      <c r="E20" s="54">
        <v>2.92</v>
      </c>
      <c r="F20" s="54">
        <v>7.14</v>
      </c>
      <c r="G20" s="64" t="s">
        <v>15</v>
      </c>
      <c r="H20" s="64" t="s">
        <v>15</v>
      </c>
      <c r="I20" s="54">
        <v>0.54</v>
      </c>
      <c r="J20" s="54">
        <v>0.12</v>
      </c>
      <c r="K20" s="54">
        <v>328.46</v>
      </c>
      <c r="L20" s="54">
        <v>27.01</v>
      </c>
      <c r="M20" s="54">
        <v>74.22</v>
      </c>
      <c r="N20" s="54">
        <v>449.5</v>
      </c>
      <c r="O20" s="54">
        <v>0</v>
      </c>
      <c r="P20" s="55" t="s">
        <v>14</v>
      </c>
      <c r="Q20" s="54">
        <v>10.38</v>
      </c>
      <c r="R20" s="43"/>
      <c r="S20" s="43"/>
      <c r="T20" s="43"/>
      <c r="U20" s="43"/>
    </row>
    <row r="21" spans="1:21" s="11" customFormat="1" ht="15">
      <c r="A21" s="53" t="s">
        <v>746</v>
      </c>
      <c r="B21" s="54">
        <v>5.21</v>
      </c>
      <c r="C21" s="54">
        <v>16.14</v>
      </c>
      <c r="D21" s="54">
        <v>13.73</v>
      </c>
      <c r="E21" s="54">
        <v>1.85</v>
      </c>
      <c r="F21" s="54">
        <v>7.32</v>
      </c>
      <c r="G21" s="64" t="s">
        <v>15</v>
      </c>
      <c r="H21" s="64" t="s">
        <v>15</v>
      </c>
      <c r="I21" s="54">
        <v>0.55000000000000004</v>
      </c>
      <c r="J21" s="54">
        <v>0.22</v>
      </c>
      <c r="K21" s="54">
        <v>315.56</v>
      </c>
      <c r="L21" s="54">
        <v>27.70</v>
      </c>
      <c r="M21" s="54">
        <v>74.5</v>
      </c>
      <c r="N21" s="54">
        <v>880.10</v>
      </c>
      <c r="O21" s="54">
        <v>0</v>
      </c>
      <c r="P21" s="55" t="s">
        <v>14</v>
      </c>
      <c r="Q21" s="54">
        <v>8.76</v>
      </c>
      <c r="R21" s="43"/>
      <c r="S21" s="43"/>
      <c r="T21" s="43"/>
      <c r="U21" s="43"/>
    </row>
    <row r="22" spans="1:21" s="11" customFormat="1" ht="15">
      <c r="A22" s="53" t="s">
        <v>747</v>
      </c>
      <c r="B22" s="54">
        <v>5.29</v>
      </c>
      <c r="C22" s="54">
        <v>13.34</v>
      </c>
      <c r="D22" s="54">
        <v>12.11</v>
      </c>
      <c r="E22" s="54">
        <v>1.97</v>
      </c>
      <c r="F22" s="54">
        <v>8.52</v>
      </c>
      <c r="G22" s="64" t="s">
        <v>15</v>
      </c>
      <c r="H22" s="64" t="s">
        <v>15</v>
      </c>
      <c r="I22" s="54">
        <v>0.52</v>
      </c>
      <c r="J22" s="54">
        <v>0.25</v>
      </c>
      <c r="K22" s="54">
        <v>314.61</v>
      </c>
      <c r="L22" s="54">
        <v>28.27</v>
      </c>
      <c r="M22" s="54">
        <v>68.680000000000007</v>
      </c>
      <c r="N22" s="54">
        <v>730.90</v>
      </c>
      <c r="O22" s="54">
        <v>0</v>
      </c>
      <c r="P22" s="54">
        <v>0.68</v>
      </c>
      <c r="Q22" s="54">
        <v>8.6300000000000008</v>
      </c>
      <c r="R22" s="43"/>
      <c r="S22" s="43"/>
      <c r="T22" s="43"/>
      <c r="U22" s="43"/>
    </row>
    <row r="23" spans="1:21" s="11" customFormat="1" ht="15">
      <c r="A23" s="53" t="s">
        <v>748</v>
      </c>
      <c r="B23" s="54">
        <v>5.07</v>
      </c>
      <c r="C23" s="54">
        <v>14.82</v>
      </c>
      <c r="D23" s="54">
        <v>12.68</v>
      </c>
      <c r="E23" s="54">
        <v>2.2200000000000002</v>
      </c>
      <c r="F23" s="54">
        <v>7.84</v>
      </c>
      <c r="G23" s="64" t="s">
        <v>15</v>
      </c>
      <c r="H23" s="64" t="s">
        <v>15</v>
      </c>
      <c r="I23" s="54">
        <v>0.54</v>
      </c>
      <c r="J23" s="54">
        <v>0.22</v>
      </c>
      <c r="K23" s="54">
        <v>343.01</v>
      </c>
      <c r="L23" s="54">
        <v>28.36</v>
      </c>
      <c r="M23" s="54">
        <v>67.31</v>
      </c>
      <c r="N23" s="54">
        <v>535.5</v>
      </c>
      <c r="O23" s="54">
        <v>0</v>
      </c>
      <c r="P23" s="55" t="s">
        <v>14</v>
      </c>
      <c r="Q23" s="54">
        <v>9.27</v>
      </c>
      <c r="R23" s="43"/>
      <c r="S23" s="43"/>
      <c r="T23" s="43"/>
      <c r="U23" s="43"/>
    </row>
    <row r="24" spans="1:21" s="11" customFormat="1" ht="15">
      <c r="A24" s="53" t="s">
        <v>749</v>
      </c>
      <c r="B24" s="54">
        <v>5.45</v>
      </c>
      <c r="C24" s="54">
        <v>15.02</v>
      </c>
      <c r="D24" s="54">
        <v>13.30</v>
      </c>
      <c r="E24" s="54">
        <v>2.09</v>
      </c>
      <c r="F24" s="54">
        <v>8.82</v>
      </c>
      <c r="G24" s="64" t="s">
        <v>15</v>
      </c>
      <c r="H24" s="64" t="s">
        <v>15</v>
      </c>
      <c r="I24" s="54">
        <v>0.54</v>
      </c>
      <c r="J24" s="54">
        <v>0.26</v>
      </c>
      <c r="K24" s="54">
        <v>284.30</v>
      </c>
      <c r="L24" s="54">
        <v>28.72</v>
      </c>
      <c r="M24" s="54">
        <v>65.87</v>
      </c>
      <c r="N24" s="54">
        <v>278.30</v>
      </c>
      <c r="O24" s="54">
        <v>0</v>
      </c>
      <c r="P24" s="55" t="s">
        <v>14</v>
      </c>
      <c r="Q24" s="54">
        <v>7.44</v>
      </c>
      <c r="R24" s="43"/>
      <c r="S24" s="43"/>
      <c r="T24" s="43"/>
      <c r="U24" s="43"/>
    </row>
    <row r="25" spans="1:21" s="11" customFormat="1" ht="15">
      <c r="A25" s="53" t="s">
        <v>750</v>
      </c>
      <c r="B25" s="54">
        <v>5.39</v>
      </c>
      <c r="C25" s="54">
        <v>15.17</v>
      </c>
      <c r="D25" s="54">
        <v>13.34</v>
      </c>
      <c r="E25" s="54">
        <v>2.37</v>
      </c>
      <c r="F25" s="54">
        <v>10.10</v>
      </c>
      <c r="G25" s="64" t="s">
        <v>15</v>
      </c>
      <c r="H25" s="64" t="s">
        <v>15</v>
      </c>
      <c r="I25" s="54">
        <v>0.53</v>
      </c>
      <c r="J25" s="54">
        <v>0.12</v>
      </c>
      <c r="K25" s="54">
        <v>306.62</v>
      </c>
      <c r="L25" s="54">
        <v>28.36</v>
      </c>
      <c r="M25" s="54">
        <v>65.180000000000007</v>
      </c>
      <c r="N25" s="54">
        <v>152.69999999999999</v>
      </c>
      <c r="O25" s="54">
        <v>0</v>
      </c>
      <c r="P25" s="55" t="s">
        <v>14</v>
      </c>
      <c r="Q25" s="54">
        <v>8.33</v>
      </c>
      <c r="R25" s="43"/>
      <c r="S25" s="43"/>
      <c r="T25" s="43"/>
      <c r="U25" s="43"/>
    </row>
    <row r="26" spans="1:21" s="11" customFormat="1" ht="15">
      <c r="A26" s="53" t="s">
        <v>751</v>
      </c>
      <c r="B26" s="54">
        <v>5.33</v>
      </c>
      <c r="C26" s="54">
        <v>15.14</v>
      </c>
      <c r="D26" s="54">
        <v>13.16</v>
      </c>
      <c r="E26" s="54">
        <v>2.58</v>
      </c>
      <c r="F26" s="54">
        <v>9.25</v>
      </c>
      <c r="G26" s="64" t="s">
        <v>15</v>
      </c>
      <c r="H26" s="64" t="s">
        <v>15</v>
      </c>
      <c r="I26" s="54">
        <v>0.53</v>
      </c>
      <c r="J26" s="54">
        <v>0.10</v>
      </c>
      <c r="K26" s="54">
        <v>358.04</v>
      </c>
      <c r="L26" s="54">
        <v>28.19</v>
      </c>
      <c r="M26" s="54">
        <v>67.239999999999995</v>
      </c>
      <c r="N26" s="54">
        <v>86.30</v>
      </c>
      <c r="O26" s="54">
        <v>0</v>
      </c>
      <c r="P26" s="55" t="s">
        <v>14</v>
      </c>
      <c r="Q26" s="54">
        <v>9.14</v>
      </c>
      <c r="R26" s="43"/>
      <c r="S26" s="43"/>
      <c r="T26" s="43"/>
      <c r="U26" s="43"/>
    </row>
    <row r="27" spans="1:21" s="11" customFormat="1" ht="15">
      <c r="A27" s="53" t="s">
        <v>752</v>
      </c>
      <c r="B27" s="54">
        <v>5.5</v>
      </c>
      <c r="C27" s="54">
        <v>17.329999999999998</v>
      </c>
      <c r="D27" s="54">
        <v>14.56</v>
      </c>
      <c r="E27" s="54">
        <v>2.5499999999999998</v>
      </c>
      <c r="F27" s="54">
        <v>19.34</v>
      </c>
      <c r="G27" s="64" t="s">
        <v>15</v>
      </c>
      <c r="H27" s="64" t="s">
        <v>15</v>
      </c>
      <c r="I27" s="54">
        <v>0.52</v>
      </c>
      <c r="J27" s="54">
        <v>0.09</v>
      </c>
      <c r="K27" s="54">
        <v>270.49</v>
      </c>
      <c r="L27" s="54">
        <v>27.47</v>
      </c>
      <c r="M27" s="54">
        <v>73.540000000000006</v>
      </c>
      <c r="N27" s="54">
        <v>42.20</v>
      </c>
      <c r="O27" s="54">
        <v>0</v>
      </c>
      <c r="P27" s="55" t="s">
        <v>14</v>
      </c>
      <c r="Q27" s="54">
        <v>8.5299999999999994</v>
      </c>
      <c r="R27" s="43"/>
      <c r="S27" s="43"/>
      <c r="T27" s="43"/>
      <c r="U27" s="43"/>
    </row>
    <row r="28" spans="1:21" s="11" customFormat="1" ht="15">
      <c r="A28" s="53" t="s">
        <v>753</v>
      </c>
      <c r="B28" s="54">
        <v>7.23</v>
      </c>
      <c r="C28" s="54">
        <v>18.16</v>
      </c>
      <c r="D28" s="54">
        <v>16.46</v>
      </c>
      <c r="E28" s="54">
        <v>2.63</v>
      </c>
      <c r="F28" s="54">
        <v>16.25</v>
      </c>
      <c r="G28" s="64" t="s">
        <v>15</v>
      </c>
      <c r="H28" s="64" t="s">
        <v>15</v>
      </c>
      <c r="I28" s="54">
        <v>0.54</v>
      </c>
      <c r="J28" s="54">
        <v>0.08</v>
      </c>
      <c r="K28" s="54">
        <v>343.36</v>
      </c>
      <c r="L28" s="54">
        <v>26.5</v>
      </c>
      <c r="M28" s="54">
        <v>74.75</v>
      </c>
      <c r="N28" s="54">
        <v>17.80</v>
      </c>
      <c r="O28" s="54">
        <v>0</v>
      </c>
      <c r="P28" s="54">
        <v>0.36</v>
      </c>
      <c r="Q28" s="54">
        <v>12.20</v>
      </c>
      <c r="R28" s="43"/>
      <c r="S28" s="43"/>
      <c r="T28" s="43"/>
      <c r="U28" s="43"/>
    </row>
    <row r="29" spans="1:21" s="11" customFormat="1" ht="15">
      <c r="A29" s="53" t="s">
        <v>754</v>
      </c>
      <c r="B29" s="54">
        <v>7.64</v>
      </c>
      <c r="C29" s="54">
        <v>16.07</v>
      </c>
      <c r="D29" s="54">
        <v>15.44</v>
      </c>
      <c r="E29" s="54">
        <v>2.5099999999999998</v>
      </c>
      <c r="F29" s="54">
        <v>7.91</v>
      </c>
      <c r="G29" s="64" t="s">
        <v>15</v>
      </c>
      <c r="H29" s="64" t="s">
        <v>15</v>
      </c>
      <c r="I29" s="54">
        <v>0.56000000000000005</v>
      </c>
      <c r="J29" s="54">
        <v>0.12</v>
      </c>
      <c r="K29" s="54">
        <v>24.73</v>
      </c>
      <c r="L29" s="54">
        <v>26.43</v>
      </c>
      <c r="M29" s="54">
        <v>76.11</v>
      </c>
      <c r="N29" s="54">
        <v>18.100000000000001</v>
      </c>
      <c r="O29" s="54">
        <v>0</v>
      </c>
      <c r="P29" s="55" t="s">
        <v>14</v>
      </c>
      <c r="Q29" s="54">
        <v>12.76</v>
      </c>
      <c r="R29" s="43"/>
      <c r="S29" s="43"/>
      <c r="T29" s="43"/>
      <c r="U29" s="43"/>
    </row>
    <row r="30" spans="1:21" s="11" customFormat="1" ht="15">
      <c r="A30" s="53" t="s">
        <v>755</v>
      </c>
      <c r="B30" s="54">
        <v>10.11</v>
      </c>
      <c r="C30" s="54">
        <v>19.14</v>
      </c>
      <c r="D30" s="54">
        <v>19.32</v>
      </c>
      <c r="E30" s="54">
        <v>2.46</v>
      </c>
      <c r="F30" s="54">
        <v>16.13</v>
      </c>
      <c r="G30" s="64" t="s">
        <v>15</v>
      </c>
      <c r="H30" s="64" t="s">
        <v>15</v>
      </c>
      <c r="I30" s="54">
        <v>0.59</v>
      </c>
      <c r="J30" s="54">
        <v>0.19</v>
      </c>
      <c r="K30" s="54">
        <v>229.41</v>
      </c>
      <c r="L30" s="54">
        <v>26.02</v>
      </c>
      <c r="M30" s="54">
        <v>79.849999999999994</v>
      </c>
      <c r="N30" s="54">
        <v>18.100000000000001</v>
      </c>
      <c r="O30" s="54">
        <v>0</v>
      </c>
      <c r="P30" s="55" t="s">
        <v>14</v>
      </c>
      <c r="Q30" s="54">
        <v>13.07</v>
      </c>
      <c r="R30" s="43"/>
      <c r="S30" s="43"/>
      <c r="T30" s="43"/>
      <c r="U30" s="43"/>
    </row>
    <row r="31" spans="1:21" s="11" customFormat="1" ht="15">
      <c r="A31" s="53" t="s">
        <v>756</v>
      </c>
      <c r="B31" s="54">
        <v>8.0299999999999994</v>
      </c>
      <c r="C31" s="54">
        <v>16.14</v>
      </c>
      <c r="D31" s="54">
        <v>15.32</v>
      </c>
      <c r="E31" s="54">
        <v>2.36</v>
      </c>
      <c r="F31" s="54">
        <v>14.17</v>
      </c>
      <c r="G31" s="64" t="s">
        <v>15</v>
      </c>
      <c r="H31" s="64" t="s">
        <v>15</v>
      </c>
      <c r="I31" s="54">
        <v>0.54</v>
      </c>
      <c r="J31" s="54">
        <v>0.16</v>
      </c>
      <c r="K31" s="54">
        <v>232.86</v>
      </c>
      <c r="L31" s="54">
        <v>25.76</v>
      </c>
      <c r="M31" s="54">
        <v>80.56</v>
      </c>
      <c r="N31" s="54">
        <v>18.100000000000001</v>
      </c>
      <c r="O31" s="54">
        <v>0</v>
      </c>
      <c r="P31" s="55" t="s">
        <v>14</v>
      </c>
      <c r="Q31" s="54">
        <v>17.62</v>
      </c>
      <c r="R31" s="43"/>
      <c r="S31" s="43"/>
      <c r="T31" s="43"/>
      <c r="U31" s="43"/>
    </row>
    <row r="32" spans="1:21" s="11" customFormat="1" ht="15">
      <c r="A32" s="53" t="s">
        <v>757</v>
      </c>
      <c r="B32" s="54">
        <v>8.7200000000000006</v>
      </c>
      <c r="C32" s="54">
        <v>14.02</v>
      </c>
      <c r="D32" s="54">
        <v>15.35</v>
      </c>
      <c r="E32" s="54">
        <v>2.2400000000000002</v>
      </c>
      <c r="F32" s="54">
        <v>9.43</v>
      </c>
      <c r="G32" s="64" t="s">
        <v>15</v>
      </c>
      <c r="H32" s="64" t="s">
        <v>15</v>
      </c>
      <c r="I32" s="54">
        <v>0.60</v>
      </c>
      <c r="J32" s="54">
        <v>0.37</v>
      </c>
      <c r="K32" s="54">
        <v>198.27</v>
      </c>
      <c r="L32" s="54">
        <v>25.43</v>
      </c>
      <c r="M32" s="54">
        <v>80.989999999999995</v>
      </c>
      <c r="N32" s="54">
        <v>18.100000000000001</v>
      </c>
      <c r="O32" s="54">
        <v>0</v>
      </c>
      <c r="P32" s="55" t="s">
        <v>14</v>
      </c>
      <c r="Q32" s="54">
        <v>18.899999999999999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5.0700000000000003</v>
      </c>
      <c r="C34" s="28">
        <f t="shared" si="0"/>
        <v>11.02</v>
      </c>
      <c r="D34" s="28">
        <f t="shared" si="0"/>
        <v>12.109999999999999</v>
      </c>
      <c r="E34" s="28">
        <f t="shared" si="0"/>
        <v>1.8500000000000001</v>
      </c>
      <c r="F34" s="28">
        <f t="shared" si="0"/>
        <v>5.3399999999999999</v>
      </c>
      <c r="G34" s="28">
        <f t="shared" si="0"/>
        <v>0</v>
      </c>
      <c r="H34" s="28">
        <f t="shared" si="0"/>
        <v>0</v>
      </c>
      <c r="I34" s="28">
        <f t="shared" si="0"/>
        <v>0.52000000000000002</v>
      </c>
      <c r="J34" s="28">
        <f t="shared" si="0"/>
        <v>0.080000000000000002</v>
      </c>
      <c r="K34" s="28">
        <f t="shared" si="0"/>
        <v>24.73</v>
      </c>
      <c r="L34" s="28">
        <f t="shared" si="0"/>
        <v>22.449999999999999</v>
      </c>
      <c r="M34" s="28">
        <f t="shared" si="0"/>
        <v>65.180000000000007</v>
      </c>
      <c r="N34" s="28">
        <f t="shared" si="0"/>
        <v>17.800000000000001</v>
      </c>
      <c r="O34" s="28">
        <f t="shared" si="0"/>
        <v>0</v>
      </c>
      <c r="P34" s="28">
        <f t="shared" si="0"/>
        <v>0.23999999999999999</v>
      </c>
      <c r="Q34" s="28">
        <f t="shared" si="0"/>
        <v>7.4400000000000004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10.109999999999999</v>
      </c>
      <c r="C35" s="29">
        <f t="shared" si="1"/>
        <v>19.140000000000001</v>
      </c>
      <c r="D35" s="29">
        <f t="shared" si="1"/>
        <v>19.32</v>
      </c>
      <c r="E35" s="29">
        <f t="shared" si="1"/>
        <v>3.4700000000000002</v>
      </c>
      <c r="F35" s="29">
        <f t="shared" si="1"/>
        <v>19.34</v>
      </c>
      <c r="G35" s="29">
        <f t="shared" si="1"/>
        <v>0</v>
      </c>
      <c r="H35" s="29">
        <f t="shared" si="1"/>
        <v>0</v>
      </c>
      <c r="I35" s="29">
        <f t="shared" si="1"/>
        <v>0.62</v>
      </c>
      <c r="J35" s="29">
        <f t="shared" si="1"/>
        <v>0.37</v>
      </c>
      <c r="K35" s="29">
        <f t="shared" si="1"/>
        <v>359.20999999999998</v>
      </c>
      <c r="L35" s="29">
        <f t="shared" si="1"/>
        <v>28.719999999999999</v>
      </c>
      <c r="M35" s="29">
        <f t="shared" si="1"/>
        <v>96.709999999999994</v>
      </c>
      <c r="N35" s="29">
        <f t="shared" si="1"/>
        <v>880.10000000000002</v>
      </c>
      <c r="O35" s="29">
        <f t="shared" si="1"/>
        <v>0</v>
      </c>
      <c r="P35" s="29">
        <f t="shared" si="1"/>
        <v>0.68000000000000005</v>
      </c>
      <c r="Q35" s="29">
        <f t="shared" si="1"/>
        <v>23.010000000000002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7.1016666666666639</v>
      </c>
      <c r="C36" s="28">
        <f t="shared" si="2"/>
        <v>14.398749999999998</v>
      </c>
      <c r="D36" s="28">
        <f t="shared" si="2"/>
        <v>14.120416666666666</v>
      </c>
      <c r="E36" s="28">
        <f t="shared" si="2"/>
        <v>2.6029166666666663</v>
      </c>
      <c r="F36" s="28">
        <f t="shared" si="2"/>
        <v>9.2312500000000011</v>
      </c>
      <c r="G36" s="28" t="e">
        <f t="shared" si="2"/>
        <v>#DIV/0!</v>
      </c>
      <c r="H36" s="28" t="e">
        <f t="shared" si="2"/>
        <v>#DIV/0!</v>
      </c>
      <c r="I36" s="28">
        <f t="shared" si="2"/>
        <v>0.55291666666666661</v>
      </c>
      <c r="J36" s="28">
        <f t="shared" si="2"/>
        <v>0.19958333333333336</v>
      </c>
      <c r="K36" s="28">
        <f t="shared" si="2"/>
        <v>258.28708333333327</v>
      </c>
      <c r="L36" s="28">
        <f t="shared" si="2"/>
        <v>25.777083333333326</v>
      </c>
      <c r="M36" s="28">
        <f t="shared" si="2"/>
        <v>80.581249999999997</v>
      </c>
      <c r="N36" s="28">
        <f t="shared" si="2"/>
        <v>268.72916666666669</v>
      </c>
      <c r="O36" s="28">
        <f t="shared" si="2"/>
        <v>0</v>
      </c>
      <c r="P36" s="28">
        <f t="shared" si="2"/>
        <v>0.42249999999999999</v>
      </c>
      <c r="Q36" s="28">
        <f t="shared" si="2"/>
        <v>14.627916666666662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1.5903859708359867</v>
      </c>
      <c r="C37" s="28">
        <f t="shared" si="3" ref="C37:Q37">STDEV(C9:C32)</f>
        <v>2.1734390950749258</v>
      </c>
      <c r="D37" s="28">
        <f t="shared" si="3"/>
        <v>1.5883365078971319</v>
      </c>
      <c r="E37" s="28">
        <f t="shared" si="3"/>
        <v>0.38346791903304905</v>
      </c>
      <c r="F37" s="28">
        <f t="shared" si="3"/>
        <v>3.6959487956409793</v>
      </c>
      <c r="G37" s="28" t="e">
        <f t="shared" si="3"/>
        <v>#DIV/0!</v>
      </c>
      <c r="H37" s="28" t="e">
        <f t="shared" si="3"/>
        <v>#DIV/0!</v>
      </c>
      <c r="I37" s="28">
        <f t="shared" si="3"/>
        <v>0.024931064377892515</v>
      </c>
      <c r="J37" s="28">
        <f t="shared" si="3"/>
        <v>0.077766605477776918</v>
      </c>
      <c r="K37" s="28">
        <f t="shared" si="3"/>
        <v>84.142540421088569</v>
      </c>
      <c r="L37" s="28">
        <f t="shared" si="3"/>
        <v>2.1699979546508397</v>
      </c>
      <c r="M37" s="28">
        <f t="shared" si="3"/>
        <v>10.760485811119553</v>
      </c>
      <c r="N37" s="28">
        <f t="shared" si="3"/>
        <v>268.81629492399935</v>
      </c>
      <c r="O37" s="28">
        <f t="shared" si="3"/>
        <v>0</v>
      </c>
      <c r="P37" s="28">
        <f t="shared" si="3"/>
        <v>0.18589871794429727</v>
      </c>
      <c r="Q37" s="28">
        <f t="shared" si="3"/>
        <v>5.2755844342772651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0</v>
      </c>
      <c r="H38" s="32">
        <f t="shared" si="4"/>
        <v>0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>COUNT(P9:P32)+20</f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b8c8e54-79cb-43d5-84f6-041e6be60457}">
  <sheetPr codeName=""/>
  <dimension ref="A1:U119"/>
  <sheetViews>
    <sheetView tabSelected="1" workbookViewId="0" topLeftCell="A1">
      <selection pane="topLeft" activeCell="M18" sqref="M1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6" width="9.14285714285714" style="20" customWidth="1"/>
    <col min="17" max="17" width="16.4285714285714" style="20" customWidth="1"/>
    <col min="18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30-06-2023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758</v>
      </c>
      <c r="B9" s="54">
        <v>8.07</v>
      </c>
      <c r="C9" s="54">
        <v>12.03</v>
      </c>
      <c r="D9" s="54">
        <v>13.56</v>
      </c>
      <c r="E9" s="54">
        <v>2.82</v>
      </c>
      <c r="F9" s="54">
        <v>13.13</v>
      </c>
      <c r="G9" s="64" t="s">
        <v>15</v>
      </c>
      <c r="H9" s="64" t="s">
        <v>15</v>
      </c>
      <c r="I9" s="54">
        <v>0.60</v>
      </c>
      <c r="J9" s="54">
        <v>0.43</v>
      </c>
      <c r="K9" s="54">
        <v>182.76</v>
      </c>
      <c r="L9" s="54">
        <v>25.18</v>
      </c>
      <c r="M9" s="54">
        <v>81.78</v>
      </c>
      <c r="N9" s="54">
        <v>18.100000000000001</v>
      </c>
      <c r="O9" s="54">
        <v>0</v>
      </c>
      <c r="P9" s="55" t="s">
        <v>14</v>
      </c>
      <c r="Q9" s="54">
        <v>16.920000000000002</v>
      </c>
      <c r="R9" s="43"/>
      <c r="S9" s="43"/>
      <c r="T9" s="43"/>
      <c r="U9" s="43"/>
    </row>
    <row r="10" spans="1:21" s="11" customFormat="1" ht="15">
      <c r="A10" s="53" t="s">
        <v>759</v>
      </c>
      <c r="B10" s="54">
        <v>8.86</v>
      </c>
      <c r="C10" s="54">
        <v>11.59</v>
      </c>
      <c r="D10" s="54">
        <v>14.15</v>
      </c>
      <c r="E10" s="54">
        <v>3.20</v>
      </c>
      <c r="F10" s="54">
        <v>13.87</v>
      </c>
      <c r="G10" s="64" t="s">
        <v>15</v>
      </c>
      <c r="H10" s="64" t="s">
        <v>15</v>
      </c>
      <c r="I10" s="54">
        <v>0.55000000000000004</v>
      </c>
      <c r="J10" s="54">
        <v>0.37</v>
      </c>
      <c r="K10" s="54">
        <v>244.08</v>
      </c>
      <c r="L10" s="54">
        <v>24.93</v>
      </c>
      <c r="M10" s="54">
        <v>82.27</v>
      </c>
      <c r="N10" s="54">
        <v>22.5</v>
      </c>
      <c r="O10" s="54">
        <v>0</v>
      </c>
      <c r="P10" s="54">
        <v>0.39</v>
      </c>
      <c r="Q10" s="54">
        <v>21.03</v>
      </c>
      <c r="R10" s="43"/>
      <c r="S10" s="43"/>
      <c r="T10" s="43"/>
      <c r="U10" s="43"/>
    </row>
    <row r="11" spans="1:21" s="11" customFormat="1" ht="15">
      <c r="A11" s="53" t="s">
        <v>760</v>
      </c>
      <c r="B11" s="54">
        <v>8.69</v>
      </c>
      <c r="C11" s="54">
        <v>12.22</v>
      </c>
      <c r="D11" s="54">
        <v>13.95</v>
      </c>
      <c r="E11" s="54">
        <v>3.16</v>
      </c>
      <c r="F11" s="54">
        <v>8.73</v>
      </c>
      <c r="G11" s="64" t="s">
        <v>15</v>
      </c>
      <c r="H11" s="64" t="s">
        <v>15</v>
      </c>
      <c r="I11" s="54">
        <v>0.57999999999999996</v>
      </c>
      <c r="J11" s="54">
        <v>0.15</v>
      </c>
      <c r="K11" s="54">
        <v>230.81</v>
      </c>
      <c r="L11" s="54">
        <v>24.90</v>
      </c>
      <c r="M11" s="54">
        <v>83.27</v>
      </c>
      <c r="N11" s="54">
        <v>23</v>
      </c>
      <c r="O11" s="54">
        <v>0</v>
      </c>
      <c r="P11" s="55" t="s">
        <v>14</v>
      </c>
      <c r="Q11" s="54">
        <v>18.670000000000002</v>
      </c>
      <c r="R11" s="43"/>
      <c r="S11" s="43"/>
      <c r="T11" s="43"/>
      <c r="U11" s="43"/>
    </row>
    <row r="12" spans="1:21" s="11" customFormat="1" ht="15">
      <c r="A12" s="53" t="s">
        <v>761</v>
      </c>
      <c r="B12" s="54">
        <v>7.34</v>
      </c>
      <c r="C12" s="54">
        <v>13.61</v>
      </c>
      <c r="D12" s="54">
        <v>13.47</v>
      </c>
      <c r="E12" s="54">
        <v>2.66</v>
      </c>
      <c r="F12" s="54">
        <v>10.199999999999999</v>
      </c>
      <c r="G12" s="64" t="s">
        <v>15</v>
      </c>
      <c r="H12" s="64" t="s">
        <v>15</v>
      </c>
      <c r="I12" s="54">
        <v>0.55000000000000004</v>
      </c>
      <c r="J12" s="54">
        <v>0.09</v>
      </c>
      <c r="K12" s="54">
        <v>46.05</v>
      </c>
      <c r="L12" s="54">
        <v>24.48</v>
      </c>
      <c r="M12" s="54">
        <v>85.71</v>
      </c>
      <c r="N12" s="54">
        <v>23</v>
      </c>
      <c r="O12" s="54">
        <v>0</v>
      </c>
      <c r="P12" s="55" t="s">
        <v>14</v>
      </c>
      <c r="Q12" s="54">
        <v>17.28</v>
      </c>
      <c r="R12" s="43"/>
      <c r="S12" s="43"/>
      <c r="T12" s="43"/>
      <c r="U12" s="43"/>
    </row>
    <row r="13" spans="1:21" s="11" customFormat="1" ht="15">
      <c r="A13" s="53" t="s">
        <v>762</v>
      </c>
      <c r="B13" s="54">
        <v>8.61</v>
      </c>
      <c r="C13" s="54">
        <v>13.27</v>
      </c>
      <c r="D13" s="54">
        <v>14.88</v>
      </c>
      <c r="E13" s="54">
        <v>2.79</v>
      </c>
      <c r="F13" s="54">
        <v>9.93</v>
      </c>
      <c r="G13" s="64" t="s">
        <v>15</v>
      </c>
      <c r="H13" s="64" t="s">
        <v>15</v>
      </c>
      <c r="I13" s="54">
        <v>0.54</v>
      </c>
      <c r="J13" s="54">
        <v>0.12</v>
      </c>
      <c r="K13" s="54">
        <v>338.16</v>
      </c>
      <c r="L13" s="54">
        <v>23.95</v>
      </c>
      <c r="M13" s="54">
        <v>89.64</v>
      </c>
      <c r="N13" s="54">
        <v>24.10</v>
      </c>
      <c r="O13" s="54">
        <v>0</v>
      </c>
      <c r="P13" s="55" t="s">
        <v>14</v>
      </c>
      <c r="Q13" s="54">
        <v>20.05</v>
      </c>
      <c r="R13" s="43"/>
      <c r="S13" s="43"/>
      <c r="T13" s="43"/>
      <c r="U13" s="43"/>
    </row>
    <row r="14" spans="1:21" s="11" customFormat="1" ht="15">
      <c r="A14" s="53" t="s">
        <v>763</v>
      </c>
      <c r="B14" s="54">
        <v>9.7100000000000009</v>
      </c>
      <c r="C14" s="54">
        <v>13.37</v>
      </c>
      <c r="D14" s="54">
        <v>15.76</v>
      </c>
      <c r="E14" s="54">
        <v>2.91</v>
      </c>
      <c r="F14" s="54">
        <v>6.48</v>
      </c>
      <c r="G14" s="64" t="s">
        <v>15</v>
      </c>
      <c r="H14" s="64" t="s">
        <v>15</v>
      </c>
      <c r="I14" s="54">
        <v>0.56000000000000005</v>
      </c>
      <c r="J14" s="54">
        <v>0.11</v>
      </c>
      <c r="K14" s="54">
        <v>215.58</v>
      </c>
      <c r="L14" s="54">
        <v>23.78</v>
      </c>
      <c r="M14" s="54">
        <v>90.92</v>
      </c>
      <c r="N14" s="54">
        <v>73.099999999999994</v>
      </c>
      <c r="O14" s="54">
        <v>0</v>
      </c>
      <c r="P14" s="55" t="s">
        <v>14</v>
      </c>
      <c r="Q14" s="54">
        <v>18.46</v>
      </c>
      <c r="R14" s="43"/>
      <c r="S14" s="43"/>
      <c r="T14" s="43"/>
      <c r="U14" s="43"/>
    </row>
    <row r="15" spans="1:21" s="11" customFormat="1" ht="15">
      <c r="A15" s="53" t="s">
        <v>764</v>
      </c>
      <c r="B15" s="54">
        <v>12.04</v>
      </c>
      <c r="C15" s="54">
        <v>17.47</v>
      </c>
      <c r="D15" s="54">
        <v>19.940000000000001</v>
      </c>
      <c r="E15" s="54">
        <v>2.99</v>
      </c>
      <c r="F15" s="54">
        <v>6.05</v>
      </c>
      <c r="G15" s="64" t="s">
        <v>15</v>
      </c>
      <c r="H15" s="64" t="s">
        <v>15</v>
      </c>
      <c r="I15" s="54">
        <v>0.56999999999999995</v>
      </c>
      <c r="J15" s="54">
        <v>0.18</v>
      </c>
      <c r="K15" s="54">
        <v>216.46</v>
      </c>
      <c r="L15" s="54">
        <v>25.05</v>
      </c>
      <c r="M15" s="54">
        <v>89.23</v>
      </c>
      <c r="N15" s="54">
        <v>169.5</v>
      </c>
      <c r="O15" s="54">
        <v>0</v>
      </c>
      <c r="P15" s="55" t="s">
        <v>14</v>
      </c>
      <c r="Q15" s="54">
        <v>17.940000000000001</v>
      </c>
      <c r="R15" s="43"/>
      <c r="S15" s="43"/>
      <c r="T15" s="43"/>
      <c r="U15" s="43"/>
    </row>
    <row r="16" spans="1:21" s="11" customFormat="1" ht="15">
      <c r="A16" s="53" t="s">
        <v>765</v>
      </c>
      <c r="B16" s="54">
        <v>10.68</v>
      </c>
      <c r="C16" s="54">
        <v>16.70</v>
      </c>
      <c r="D16" s="54">
        <v>18.07</v>
      </c>
      <c r="E16" s="54">
        <v>2.76</v>
      </c>
      <c r="F16" s="54">
        <v>5.97</v>
      </c>
      <c r="G16" s="64" t="s">
        <v>15</v>
      </c>
      <c r="H16" s="64" t="s">
        <v>15</v>
      </c>
      <c r="I16" s="54">
        <v>0.56999999999999995</v>
      </c>
      <c r="J16" s="54">
        <v>0.22</v>
      </c>
      <c r="K16" s="54">
        <v>220.14</v>
      </c>
      <c r="L16" s="54">
        <v>25.75</v>
      </c>
      <c r="M16" s="54">
        <v>80.86</v>
      </c>
      <c r="N16" s="54">
        <v>292.60000000000002</v>
      </c>
      <c r="O16" s="54">
        <v>0</v>
      </c>
      <c r="P16" s="54">
        <v>0.37</v>
      </c>
      <c r="Q16" s="54">
        <v>19.39</v>
      </c>
      <c r="R16" s="43"/>
      <c r="S16" s="43"/>
      <c r="T16" s="43"/>
      <c r="U16" s="43"/>
    </row>
    <row r="17" spans="1:21" s="11" customFormat="1" ht="15">
      <c r="A17" s="53" t="s">
        <v>766</v>
      </c>
      <c r="B17" s="54">
        <v>9.5399999999999991</v>
      </c>
      <c r="C17" s="54">
        <v>17.73</v>
      </c>
      <c r="D17" s="54">
        <v>17.29</v>
      </c>
      <c r="E17" s="54">
        <v>2.60</v>
      </c>
      <c r="F17" s="54">
        <v>5.39</v>
      </c>
      <c r="G17" s="64" t="s">
        <v>15</v>
      </c>
      <c r="H17" s="64" t="s">
        <v>15</v>
      </c>
      <c r="I17" s="54">
        <v>0.57999999999999996</v>
      </c>
      <c r="J17" s="54">
        <v>0.32</v>
      </c>
      <c r="K17" s="54">
        <v>35.159999999999997</v>
      </c>
      <c r="L17" s="54">
        <v>26.45</v>
      </c>
      <c r="M17" s="54">
        <v>72.569999999999993</v>
      </c>
      <c r="N17" s="54">
        <v>411.20</v>
      </c>
      <c r="O17" s="54">
        <v>0</v>
      </c>
      <c r="P17" s="55" t="s">
        <v>14</v>
      </c>
      <c r="Q17" s="54">
        <v>15.64</v>
      </c>
      <c r="R17" s="43"/>
      <c r="S17" s="43"/>
      <c r="T17" s="43"/>
      <c r="U17" s="43"/>
    </row>
    <row r="18" spans="1:21" s="11" customFormat="1" ht="15">
      <c r="A18" s="53" t="s">
        <v>767</v>
      </c>
      <c r="B18" s="54">
        <v>7.05</v>
      </c>
      <c r="C18" s="54">
        <v>17.75</v>
      </c>
      <c r="D18" s="54">
        <v>16.100000000000001</v>
      </c>
      <c r="E18" s="54">
        <v>2.2000000000000002</v>
      </c>
      <c r="F18" s="54">
        <v>6.44</v>
      </c>
      <c r="G18" s="64" t="s">
        <v>15</v>
      </c>
      <c r="H18" s="64" t="s">
        <v>15</v>
      </c>
      <c r="I18" s="54">
        <v>0.56000000000000005</v>
      </c>
      <c r="J18" s="54">
        <v>0.34</v>
      </c>
      <c r="K18" s="54">
        <v>33.799999999999997</v>
      </c>
      <c r="L18" s="54">
        <v>26.62</v>
      </c>
      <c r="M18" s="54">
        <v>71.72</v>
      </c>
      <c r="N18" s="54">
        <v>301.10000000000002</v>
      </c>
      <c r="O18" s="54">
        <v>0</v>
      </c>
      <c r="P18" s="55" t="s">
        <v>14</v>
      </c>
      <c r="Q18" s="54">
        <v>11.36</v>
      </c>
      <c r="R18" s="43"/>
      <c r="S18" s="43"/>
      <c r="T18" s="43"/>
      <c r="U18" s="43"/>
    </row>
    <row r="19" spans="1:21" s="11" customFormat="1" ht="15">
      <c r="A19" s="53" t="s">
        <v>768</v>
      </c>
      <c r="B19" s="54">
        <v>6.60</v>
      </c>
      <c r="C19" s="54">
        <v>16.66</v>
      </c>
      <c r="D19" s="54">
        <v>15.14</v>
      </c>
      <c r="E19" s="54">
        <v>2.48</v>
      </c>
      <c r="F19" s="54">
        <v>7.79</v>
      </c>
      <c r="G19" s="64" t="s">
        <v>15</v>
      </c>
      <c r="H19" s="64" t="s">
        <v>15</v>
      </c>
      <c r="I19" s="54">
        <v>0.55000000000000004</v>
      </c>
      <c r="J19" s="54">
        <v>0.21</v>
      </c>
      <c r="K19" s="54">
        <v>350.51</v>
      </c>
      <c r="L19" s="54">
        <v>26.86</v>
      </c>
      <c r="M19" s="54">
        <v>69.209999999999994</v>
      </c>
      <c r="N19" s="54">
        <v>395.20</v>
      </c>
      <c r="O19" s="54">
        <v>0</v>
      </c>
      <c r="P19" s="55" t="s">
        <v>14</v>
      </c>
      <c r="Q19" s="54">
        <v>10.40</v>
      </c>
      <c r="R19" s="43"/>
      <c r="S19" s="43"/>
      <c r="T19" s="43"/>
      <c r="U19" s="43"/>
    </row>
    <row r="20" spans="1:21" s="11" customFormat="1" ht="15">
      <c r="A20" s="53" t="s">
        <v>769</v>
      </c>
      <c r="B20" s="54">
        <v>6.19</v>
      </c>
      <c r="C20" s="54">
        <v>16.97</v>
      </c>
      <c r="D20" s="54">
        <v>14.97</v>
      </c>
      <c r="E20" s="54">
        <v>2.64</v>
      </c>
      <c r="F20" s="54">
        <v>6.24</v>
      </c>
      <c r="G20" s="64" t="s">
        <v>15</v>
      </c>
      <c r="H20" s="64" t="s">
        <v>15</v>
      </c>
      <c r="I20" s="54">
        <v>0.52</v>
      </c>
      <c r="J20" s="54">
        <v>0.16</v>
      </c>
      <c r="K20" s="54">
        <v>32.979999999999997</v>
      </c>
      <c r="L20" s="54">
        <v>27.20</v>
      </c>
      <c r="M20" s="54">
        <v>67.14</v>
      </c>
      <c r="N20" s="54">
        <v>381.80</v>
      </c>
      <c r="O20" s="54">
        <v>0</v>
      </c>
      <c r="P20" s="55" t="s">
        <v>14</v>
      </c>
      <c r="Q20" s="54">
        <v>8.60</v>
      </c>
      <c r="R20" s="43"/>
      <c r="S20" s="43"/>
      <c r="T20" s="43"/>
      <c r="U20" s="43"/>
    </row>
    <row r="21" spans="1:21" s="11" customFormat="1" ht="15">
      <c r="A21" s="53" t="s">
        <v>770</v>
      </c>
      <c r="B21" s="54">
        <v>5.89</v>
      </c>
      <c r="C21" s="54">
        <v>17.440000000000001</v>
      </c>
      <c r="D21" s="54">
        <v>14.77</v>
      </c>
      <c r="E21" s="54">
        <v>2.89</v>
      </c>
      <c r="F21" s="54">
        <v>9.11</v>
      </c>
      <c r="G21" s="64" t="s">
        <v>15</v>
      </c>
      <c r="H21" s="64" t="s">
        <v>15</v>
      </c>
      <c r="I21" s="54">
        <v>0.56000000000000005</v>
      </c>
      <c r="J21" s="54">
        <v>0.13</v>
      </c>
      <c r="K21" s="54">
        <v>65.36</v>
      </c>
      <c r="L21" s="54">
        <v>28.31</v>
      </c>
      <c r="M21" s="54">
        <v>64.94</v>
      </c>
      <c r="N21" s="54">
        <v>466.90</v>
      </c>
      <c r="O21" s="54">
        <v>0</v>
      </c>
      <c r="P21" s="55" t="s">
        <v>14</v>
      </c>
      <c r="Q21" s="54">
        <v>8.51</v>
      </c>
      <c r="R21" s="43"/>
      <c r="S21" s="43"/>
      <c r="T21" s="43"/>
      <c r="U21" s="43"/>
    </row>
    <row r="22" spans="1:21" s="11" customFormat="1" ht="15">
      <c r="A22" s="53" t="s">
        <v>771</v>
      </c>
      <c r="B22" s="54">
        <v>6.04</v>
      </c>
      <c r="C22" s="54">
        <v>16.100000000000001</v>
      </c>
      <c r="D22" s="54">
        <v>14.26</v>
      </c>
      <c r="E22" s="54">
        <v>2.98</v>
      </c>
      <c r="F22" s="54">
        <v>8.40</v>
      </c>
      <c r="G22" s="64" t="s">
        <v>15</v>
      </c>
      <c r="H22" s="64" t="s">
        <v>15</v>
      </c>
      <c r="I22" s="54">
        <v>0.56000000000000005</v>
      </c>
      <c r="J22" s="54">
        <v>0.15</v>
      </c>
      <c r="K22" s="54">
        <v>351.15</v>
      </c>
      <c r="L22" s="54">
        <v>28.59</v>
      </c>
      <c r="M22" s="54">
        <v>62.86</v>
      </c>
      <c r="N22" s="54">
        <v>522.90</v>
      </c>
      <c r="O22" s="54">
        <v>0</v>
      </c>
      <c r="P22" s="54">
        <v>0.88</v>
      </c>
      <c r="Q22" s="54">
        <v>9.0399999999999991</v>
      </c>
      <c r="R22" s="43"/>
      <c r="S22" s="43"/>
      <c r="T22" s="43"/>
      <c r="U22" s="43"/>
    </row>
    <row r="23" spans="1:21" s="11" customFormat="1" ht="15">
      <c r="A23" s="53" t="s">
        <v>772</v>
      </c>
      <c r="B23" s="54">
        <v>5.24</v>
      </c>
      <c r="C23" s="54">
        <v>15.92</v>
      </c>
      <c r="D23" s="54">
        <v>13.63</v>
      </c>
      <c r="E23" s="54">
        <v>2.99</v>
      </c>
      <c r="F23" s="54">
        <v>8.75</v>
      </c>
      <c r="G23" s="64" t="s">
        <v>15</v>
      </c>
      <c r="H23" s="64" t="s">
        <v>15</v>
      </c>
      <c r="I23" s="54">
        <v>0.54</v>
      </c>
      <c r="J23" s="54">
        <v>0.18</v>
      </c>
      <c r="K23" s="54">
        <v>352.51</v>
      </c>
      <c r="L23" s="54">
        <v>28.80</v>
      </c>
      <c r="M23" s="54">
        <v>60.80</v>
      </c>
      <c r="N23" s="54">
        <v>489.5</v>
      </c>
      <c r="O23" s="54">
        <v>0</v>
      </c>
      <c r="P23" s="54">
        <v>0.71</v>
      </c>
      <c r="Q23" s="54">
        <v>7.31</v>
      </c>
      <c r="R23" s="43"/>
      <c r="S23" s="43"/>
      <c r="T23" s="43"/>
      <c r="U23" s="43"/>
    </row>
    <row r="24" spans="1:21" s="11" customFormat="1" ht="15">
      <c r="A24" s="53" t="s">
        <v>773</v>
      </c>
      <c r="B24" s="54">
        <v>5.23</v>
      </c>
      <c r="C24" s="54">
        <v>16.059999999999999</v>
      </c>
      <c r="D24" s="54">
        <v>13.70</v>
      </c>
      <c r="E24" s="54">
        <v>3.29</v>
      </c>
      <c r="F24" s="54">
        <v>8.5299999999999994</v>
      </c>
      <c r="G24" s="64" t="s">
        <v>15</v>
      </c>
      <c r="H24" s="64" t="s">
        <v>15</v>
      </c>
      <c r="I24" s="54">
        <v>0.55000000000000004</v>
      </c>
      <c r="J24" s="54">
        <v>0.24</v>
      </c>
      <c r="K24" s="54">
        <v>338.20</v>
      </c>
      <c r="L24" s="54">
        <v>28.79</v>
      </c>
      <c r="M24" s="54">
        <v>58.53</v>
      </c>
      <c r="N24" s="54">
        <v>345.80</v>
      </c>
      <c r="O24" s="54">
        <v>0</v>
      </c>
      <c r="P24" s="54">
        <v>0.70</v>
      </c>
      <c r="Q24" s="54">
        <v>7.51</v>
      </c>
      <c r="R24" s="43"/>
      <c r="S24" s="43"/>
      <c r="T24" s="43"/>
      <c r="U24" s="43"/>
    </row>
    <row r="25" spans="1:21" s="11" customFormat="1" ht="15">
      <c r="A25" s="53" t="s">
        <v>774</v>
      </c>
      <c r="B25" s="54">
        <v>5.72</v>
      </c>
      <c r="C25" s="54">
        <v>19.55</v>
      </c>
      <c r="D25" s="54">
        <v>15.97</v>
      </c>
      <c r="E25" s="54">
        <v>2.44</v>
      </c>
      <c r="F25" s="54">
        <v>8.51</v>
      </c>
      <c r="G25" s="64" t="s">
        <v>15</v>
      </c>
      <c r="H25" s="64" t="s">
        <v>15</v>
      </c>
      <c r="I25" s="54">
        <v>0.54</v>
      </c>
      <c r="J25" s="54">
        <v>0.33</v>
      </c>
      <c r="K25" s="54">
        <v>353.44</v>
      </c>
      <c r="L25" s="54">
        <v>28.31</v>
      </c>
      <c r="M25" s="54">
        <v>61.34</v>
      </c>
      <c r="N25" s="54">
        <v>202.10</v>
      </c>
      <c r="O25" s="54">
        <v>0</v>
      </c>
      <c r="P25" s="54">
        <v>0.71</v>
      </c>
      <c r="Q25" s="54">
        <v>8.42</v>
      </c>
      <c r="R25" s="43"/>
      <c r="S25" s="43"/>
      <c r="T25" s="43"/>
      <c r="U25" s="43"/>
    </row>
    <row r="26" spans="1:21" s="11" customFormat="1" ht="15">
      <c r="A26" s="53" t="s">
        <v>775</v>
      </c>
      <c r="B26" s="54">
        <v>5.70</v>
      </c>
      <c r="C26" s="54">
        <v>18.82</v>
      </c>
      <c r="D26" s="54">
        <v>15.61</v>
      </c>
      <c r="E26" s="54">
        <v>2.4300000000000002</v>
      </c>
      <c r="F26" s="54">
        <v>10.72</v>
      </c>
      <c r="G26" s="64" t="s">
        <v>15</v>
      </c>
      <c r="H26" s="64" t="s">
        <v>15</v>
      </c>
      <c r="I26" s="54">
        <v>0.55000000000000004</v>
      </c>
      <c r="J26" s="54">
        <v>0.08</v>
      </c>
      <c r="K26" s="54">
        <v>357.66</v>
      </c>
      <c r="L26" s="54">
        <v>27.70</v>
      </c>
      <c r="M26" s="54">
        <v>64.37</v>
      </c>
      <c r="N26" s="54">
        <v>125.40</v>
      </c>
      <c r="O26" s="54">
        <v>0</v>
      </c>
      <c r="P26" s="54">
        <v>0.73</v>
      </c>
      <c r="Q26" s="54">
        <v>8.19</v>
      </c>
      <c r="R26" s="43"/>
      <c r="S26" s="43"/>
      <c r="T26" s="43"/>
      <c r="U26" s="43"/>
    </row>
    <row r="27" spans="1:21" s="11" customFormat="1" ht="15">
      <c r="A27" s="53" t="s">
        <v>776</v>
      </c>
      <c r="B27" s="54">
        <v>7.82</v>
      </c>
      <c r="C27" s="54">
        <v>20.62</v>
      </c>
      <c r="D27" s="54">
        <v>17.760000000000002</v>
      </c>
      <c r="E27" s="54">
        <v>2.95</v>
      </c>
      <c r="F27" s="54">
        <v>22.71</v>
      </c>
      <c r="G27" s="64" t="s">
        <v>15</v>
      </c>
      <c r="H27" s="64" t="s">
        <v>15</v>
      </c>
      <c r="I27" s="54">
        <v>0.55000000000000004</v>
      </c>
      <c r="J27" s="54">
        <v>0.06</v>
      </c>
      <c r="K27" s="54">
        <v>288.13</v>
      </c>
      <c r="L27" s="54">
        <v>27.38</v>
      </c>
      <c r="M27" s="54">
        <v>68.930000000000007</v>
      </c>
      <c r="N27" s="54">
        <v>71.400000000000006</v>
      </c>
      <c r="O27" s="54">
        <v>0</v>
      </c>
      <c r="P27" s="54">
        <v>0.78</v>
      </c>
      <c r="Q27" s="54">
        <v>10.49</v>
      </c>
      <c r="R27" s="43"/>
      <c r="S27" s="43"/>
      <c r="T27" s="43"/>
      <c r="U27" s="43"/>
    </row>
    <row r="28" spans="1:21" s="11" customFormat="1" ht="15">
      <c r="A28" s="53" t="s">
        <v>777</v>
      </c>
      <c r="B28" s="54">
        <v>7.15</v>
      </c>
      <c r="C28" s="54">
        <v>24.62</v>
      </c>
      <c r="D28" s="54">
        <v>19.96</v>
      </c>
      <c r="E28" s="54">
        <v>2.61</v>
      </c>
      <c r="F28" s="54">
        <v>19.5</v>
      </c>
      <c r="G28" s="64" t="s">
        <v>15</v>
      </c>
      <c r="H28" s="64" t="s">
        <v>15</v>
      </c>
      <c r="I28" s="54">
        <v>0.60</v>
      </c>
      <c r="J28" s="54">
        <v>0.10</v>
      </c>
      <c r="K28" s="54">
        <v>287.36</v>
      </c>
      <c r="L28" s="54">
        <v>26.44</v>
      </c>
      <c r="M28" s="54">
        <v>73.760000000000005</v>
      </c>
      <c r="N28" s="54">
        <v>34.60</v>
      </c>
      <c r="O28" s="54">
        <v>0</v>
      </c>
      <c r="P28" s="54">
        <v>0.81</v>
      </c>
      <c r="Q28" s="54">
        <v>14.84</v>
      </c>
      <c r="R28" s="43"/>
      <c r="S28" s="43"/>
      <c r="T28" s="43"/>
      <c r="U28" s="43"/>
    </row>
    <row r="29" spans="1:21" s="11" customFormat="1" ht="15">
      <c r="A29" s="53" t="s">
        <v>778</v>
      </c>
      <c r="B29" s="54">
        <v>8.26</v>
      </c>
      <c r="C29" s="54">
        <v>22.51</v>
      </c>
      <c r="D29" s="54">
        <v>19.690000000000001</v>
      </c>
      <c r="E29" s="54">
        <v>2.71</v>
      </c>
      <c r="F29" s="54">
        <v>11.93</v>
      </c>
      <c r="G29" s="64" t="s">
        <v>15</v>
      </c>
      <c r="H29" s="64" t="s">
        <v>15</v>
      </c>
      <c r="I29" s="54">
        <v>0.59</v>
      </c>
      <c r="J29" s="54">
        <v>0.09</v>
      </c>
      <c r="K29" s="54">
        <v>242.75</v>
      </c>
      <c r="L29" s="54">
        <v>25.76</v>
      </c>
      <c r="M29" s="54">
        <v>75.73</v>
      </c>
      <c r="N29" s="54">
        <v>34.60</v>
      </c>
      <c r="O29" s="54">
        <v>0</v>
      </c>
      <c r="P29" s="54">
        <v>0.92</v>
      </c>
      <c r="Q29" s="54">
        <v>15.06</v>
      </c>
      <c r="R29" s="43"/>
      <c r="S29" s="43"/>
      <c r="T29" s="43"/>
      <c r="U29" s="43"/>
    </row>
    <row r="30" spans="1:21" s="11" customFormat="1" ht="15">
      <c r="A30" s="53" t="s">
        <v>779</v>
      </c>
      <c r="B30" s="54">
        <v>14.78</v>
      </c>
      <c r="C30" s="54">
        <v>37.880000000000003</v>
      </c>
      <c r="D30" s="54">
        <v>33.40</v>
      </c>
      <c r="E30" s="54">
        <v>2.82</v>
      </c>
      <c r="F30" s="54">
        <v>12.16</v>
      </c>
      <c r="G30" s="64" t="s">
        <v>15</v>
      </c>
      <c r="H30" s="64" t="s">
        <v>15</v>
      </c>
      <c r="I30" s="54">
        <v>0.65</v>
      </c>
      <c r="J30" s="54">
        <v>0.42</v>
      </c>
      <c r="K30" s="54">
        <v>171.64</v>
      </c>
      <c r="L30" s="54">
        <v>25.47</v>
      </c>
      <c r="M30" s="54">
        <v>79.290000000000006</v>
      </c>
      <c r="N30" s="54">
        <v>34.700000000000003</v>
      </c>
      <c r="O30" s="54">
        <v>0</v>
      </c>
      <c r="P30" s="54">
        <v>0.95</v>
      </c>
      <c r="Q30" s="54">
        <v>19.13</v>
      </c>
      <c r="R30" s="43"/>
      <c r="S30" s="43"/>
      <c r="T30" s="43"/>
      <c r="U30" s="43"/>
    </row>
    <row r="31" spans="1:21" s="11" customFormat="1" ht="15">
      <c r="A31" s="53" t="s">
        <v>780</v>
      </c>
      <c r="B31" s="54">
        <v>11.44</v>
      </c>
      <c r="C31" s="54">
        <v>22.53</v>
      </c>
      <c r="D31" s="54">
        <v>21.98</v>
      </c>
      <c r="E31" s="54">
        <v>2.88</v>
      </c>
      <c r="F31" s="54">
        <v>12.52</v>
      </c>
      <c r="G31" s="64" t="s">
        <v>15</v>
      </c>
      <c r="H31" s="64" t="s">
        <v>15</v>
      </c>
      <c r="I31" s="54">
        <v>0.66</v>
      </c>
      <c r="J31" s="54">
        <v>0.45</v>
      </c>
      <c r="K31" s="54">
        <v>225.61</v>
      </c>
      <c r="L31" s="54">
        <v>25.41</v>
      </c>
      <c r="M31" s="54">
        <v>79.400000000000006</v>
      </c>
      <c r="N31" s="54">
        <v>35</v>
      </c>
      <c r="O31" s="54">
        <v>0</v>
      </c>
      <c r="P31" s="54">
        <v>0.95</v>
      </c>
      <c r="Q31" s="54">
        <v>21.22</v>
      </c>
      <c r="R31" s="43"/>
      <c r="S31" s="43"/>
      <c r="T31" s="43"/>
      <c r="U31" s="43"/>
    </row>
    <row r="32" spans="1:21" s="11" customFormat="1" ht="15">
      <c r="A32" s="53" t="s">
        <v>781</v>
      </c>
      <c r="B32" s="54">
        <v>12.24</v>
      </c>
      <c r="C32" s="54">
        <v>21.44</v>
      </c>
      <c r="D32" s="54">
        <v>21.17</v>
      </c>
      <c r="E32" s="54">
        <v>2.46</v>
      </c>
      <c r="F32" s="54">
        <v>9.90</v>
      </c>
      <c r="G32" s="64" t="s">
        <v>15</v>
      </c>
      <c r="H32" s="64" t="s">
        <v>15</v>
      </c>
      <c r="I32" s="54">
        <v>0.62</v>
      </c>
      <c r="J32" s="54">
        <v>0.90</v>
      </c>
      <c r="K32" s="54">
        <v>182.88</v>
      </c>
      <c r="L32" s="54">
        <v>25.47</v>
      </c>
      <c r="M32" s="54">
        <v>81.23</v>
      </c>
      <c r="N32" s="54">
        <v>34.799999999999997</v>
      </c>
      <c r="O32" s="54">
        <v>0</v>
      </c>
      <c r="P32" s="54">
        <v>0.91</v>
      </c>
      <c r="Q32" s="54">
        <v>20.72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5.2300000000000004</v>
      </c>
      <c r="C34" s="28">
        <f t="shared" si="0"/>
        <v>11.59</v>
      </c>
      <c r="D34" s="28">
        <f t="shared" si="0"/>
        <v>13.470000000000001</v>
      </c>
      <c r="E34" s="28">
        <f t="shared" si="0"/>
        <v>2.2000000000000002</v>
      </c>
      <c r="F34" s="28">
        <f t="shared" si="0"/>
        <v>5.3899999999999997</v>
      </c>
      <c r="G34" s="28">
        <f t="shared" si="0"/>
        <v>0</v>
      </c>
      <c r="H34" s="28">
        <f t="shared" si="0"/>
        <v>0</v>
      </c>
      <c r="I34" s="28">
        <f t="shared" si="0"/>
        <v>0.52000000000000002</v>
      </c>
      <c r="J34" s="28">
        <f t="shared" si="0"/>
        <v>0.059999999999999998</v>
      </c>
      <c r="K34" s="28">
        <f t="shared" si="0"/>
        <v>32.979999999999997</v>
      </c>
      <c r="L34" s="28">
        <f t="shared" si="0"/>
        <v>23.780000000000001</v>
      </c>
      <c r="M34" s="28">
        <f t="shared" si="0"/>
        <v>58.530000000000001</v>
      </c>
      <c r="N34" s="28">
        <f t="shared" si="0"/>
        <v>18.100000000000001</v>
      </c>
      <c r="O34" s="28">
        <f t="shared" si="0"/>
        <v>0</v>
      </c>
      <c r="P34" s="28">
        <f t="shared" si="0"/>
        <v>0.37</v>
      </c>
      <c r="Q34" s="28">
        <f t="shared" si="0"/>
        <v>7.3099999999999996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14.779999999999999</v>
      </c>
      <c r="C35" s="29">
        <f t="shared" si="1"/>
        <v>37.880000000000003</v>
      </c>
      <c r="D35" s="29">
        <f t="shared" si="1"/>
        <v>33.399999999999999</v>
      </c>
      <c r="E35" s="29">
        <f t="shared" si="1"/>
        <v>3.29</v>
      </c>
      <c r="F35" s="29">
        <f t="shared" si="1"/>
        <v>22.710000000000001</v>
      </c>
      <c r="G35" s="29">
        <f t="shared" si="1"/>
        <v>0</v>
      </c>
      <c r="H35" s="29">
        <f t="shared" si="1"/>
        <v>0</v>
      </c>
      <c r="I35" s="29">
        <f t="shared" si="1"/>
        <v>0.66000000000000003</v>
      </c>
      <c r="J35" s="29">
        <f t="shared" si="1"/>
        <v>0.90000000000000002</v>
      </c>
      <c r="K35" s="29">
        <f t="shared" si="1"/>
        <v>357.66000000000003</v>
      </c>
      <c r="L35" s="29">
        <f t="shared" si="1"/>
        <v>28.800000000000001</v>
      </c>
      <c r="M35" s="29">
        <f t="shared" si="1"/>
        <v>90.920000000000002</v>
      </c>
      <c r="N35" s="29">
        <f t="shared" si="1"/>
        <v>522.89999999999998</v>
      </c>
      <c r="O35" s="29">
        <f t="shared" si="1"/>
        <v>0</v>
      </c>
      <c r="P35" s="29">
        <f t="shared" si="1"/>
        <v>0.94999999999999996</v>
      </c>
      <c r="Q35" s="29">
        <f t="shared" si="1"/>
        <v>21.219999999999999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8.2870833333333334</v>
      </c>
      <c r="C36" s="28">
        <f t="shared" si="2"/>
        <v>18.035833333333333</v>
      </c>
      <c r="D36" s="28">
        <f t="shared" si="2"/>
        <v>17.049166666666668</v>
      </c>
      <c r="E36" s="28">
        <f t="shared" si="2"/>
        <v>2.7774999999999999</v>
      </c>
      <c r="F36" s="28">
        <f t="shared" si="2"/>
        <v>10.123333333333333</v>
      </c>
      <c r="G36" s="28" t="e">
        <f t="shared" si="2"/>
        <v>#DIV/0!</v>
      </c>
      <c r="H36" s="28" t="e">
        <f t="shared" si="2"/>
        <v>#DIV/0!</v>
      </c>
      <c r="I36" s="28">
        <f t="shared" si="2"/>
        <v>0.57083333333333341</v>
      </c>
      <c r="J36" s="28">
        <f t="shared" si="2"/>
        <v>0.2429166666666667</v>
      </c>
      <c r="K36" s="28">
        <f t="shared" si="2"/>
        <v>223.46583333333331</v>
      </c>
      <c r="L36" s="28">
        <f t="shared" si="2"/>
        <v>26.315833333333334</v>
      </c>
      <c r="M36" s="28">
        <f t="shared" si="2"/>
        <v>74.8125</v>
      </c>
      <c r="N36" s="28">
        <f t="shared" si="2"/>
        <v>188.87083333333337</v>
      </c>
      <c r="O36" s="28">
        <f t="shared" si="2"/>
        <v>0</v>
      </c>
      <c r="P36" s="28">
        <f t="shared" si="2"/>
        <v>0.75461538461538469</v>
      </c>
      <c r="Q36" s="28">
        <f t="shared" si="2"/>
        <v>14.424166666666665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2.5165823601389095</v>
      </c>
      <c r="C37" s="28">
        <f t="shared" si="3" ref="C37:Q37">STDEV(C9:C32)</f>
        <v>5.4845141013162086</v>
      </c>
      <c r="D37" s="28">
        <f t="shared" si="3"/>
        <v>4.3308879666541946</v>
      </c>
      <c r="E37" s="28">
        <f t="shared" si="3"/>
        <v>0.26765081079970654</v>
      </c>
      <c r="F37" s="28">
        <f t="shared" si="3"/>
        <v>4.1682377327956539</v>
      </c>
      <c r="G37" s="28" t="e">
        <f t="shared" si="3"/>
        <v>#DIV/0!</v>
      </c>
      <c r="H37" s="28" t="e">
        <f t="shared" si="3"/>
        <v>#DIV/0!</v>
      </c>
      <c r="I37" s="28">
        <f t="shared" si="3"/>
        <v>0.034504778077027912</v>
      </c>
      <c r="J37" s="28">
        <f t="shared" si="3"/>
        <v>0.18492017470923161</v>
      </c>
      <c r="K37" s="28">
        <f t="shared" si="3"/>
        <v>112.2378104901517</v>
      </c>
      <c r="L37" s="28">
        <f t="shared" si="3"/>
        <v>1.5430909597767799</v>
      </c>
      <c r="M37" s="28">
        <f t="shared" si="3"/>
        <v>9.8559605668677239</v>
      </c>
      <c r="N37" s="28">
        <f t="shared" si="3"/>
        <v>180.10136150697653</v>
      </c>
      <c r="O37" s="28">
        <f t="shared" si="3"/>
        <v>0</v>
      </c>
      <c r="P37" s="28">
        <f t="shared" si="3"/>
        <v>0.19055250302805352</v>
      </c>
      <c r="Q37" s="28">
        <f t="shared" si="3"/>
        <v>5.0359964401226112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0</v>
      </c>
      <c r="H38" s="32">
        <f t="shared" si="4"/>
        <v>0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>COUNT(P9:P32)+11</f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5567613-0b31-4b88-a2dc-e1201688178b}">
  <sheetPr codeName=""/>
  <dimension ref="A1:X54"/>
  <sheetViews>
    <sheetView workbookViewId="0" topLeftCell="A1">
      <pane xSplit="1" ySplit="8" topLeftCell="B9" activePane="bottomRight" state="frozen"/>
      <selection pane="topLeft" activeCell="B2" sqref="B2"/>
      <selection pane="topRight" activeCell="B2" sqref="B2"/>
      <selection pane="bottomLeft" activeCell="B2" sqref="B2"/>
      <selection pane="bottomRight" activeCell="I66" sqref="I66"/>
    </sheetView>
  </sheetViews>
  <sheetFormatPr defaultColWidth="8.85881696428571" defaultRowHeight="15"/>
  <cols>
    <col min="1" max="1" width="17.4285714285714" style="11" customWidth="1"/>
    <col min="2" max="2" width="17.8571428571429" style="11" customWidth="1"/>
    <col min="3" max="3" width="9.85714285714286" style="11" customWidth="1"/>
    <col min="4" max="4" width="12.5714285714286" style="11" customWidth="1"/>
    <col min="5" max="5" width="9.71428571428571" style="11" customWidth="1"/>
    <col min="6" max="6" width="8.85714285714286" style="11"/>
    <col min="7" max="7" width="11.2857142857143" style="11" customWidth="1"/>
    <col min="8" max="8" width="12.4285714285714" style="11" customWidth="1"/>
    <col min="9" max="9" width="13" style="11" customWidth="1"/>
    <col min="10" max="10" width="8.85714285714286" style="11"/>
    <col min="11" max="11" width="9.71428571428571" style="11" customWidth="1"/>
    <col min="12" max="12" width="11" style="11" customWidth="1"/>
    <col min="13" max="13" width="10" style="11" customWidth="1"/>
    <col min="14" max="15" width="8.85714285714286" style="11"/>
    <col min="16" max="16" width="11" style="11" customWidth="1"/>
    <col min="17" max="17" width="15.8571428571429" style="11" customWidth="1"/>
    <col min="18" max="18" width="8.85714285714286" style="11"/>
    <col min="19" max="19" width="12.1428571428571" style="11" customWidth="1"/>
    <col min="20" max="20" width="12.7142857142857" style="11" customWidth="1"/>
    <col min="21" max="16384" width="8.85714285714286" style="11"/>
  </cols>
  <sheetData>
    <row r="1" spans="1:21" s="21" customFormat="1" ht="27.75" customHeight="1">
      <c r="A1" s="14" t="s">
        <v>2</v>
      </c>
      <c r="B1" s="23" t="s">
        <v>42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01-06-2023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25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ht="15">
      <c r="A9" s="36" t="str">
        <f>'01'!$B$2</f>
        <v>01-06-2023 01:00</v>
      </c>
      <c r="B9" s="24">
        <f>'01'!B36</f>
        <v>31.777083333333334</v>
      </c>
      <c r="C9" s="24">
        <f>'01'!C36</f>
        <v>59.632500000000014</v>
      </c>
      <c r="D9" s="24">
        <f>'01'!D36</f>
        <v>58.359583333333319</v>
      </c>
      <c r="E9" s="24">
        <f>'01'!E36</f>
        <v>22.034166666666668</v>
      </c>
      <c r="F9" s="24">
        <f>'01'!F36</f>
        <v>21.37541666666667</v>
      </c>
      <c r="G9" s="24">
        <f>'01'!G36</f>
        <v>123.09041666666666</v>
      </c>
      <c r="H9" s="24">
        <f>'01'!H36</f>
        <v>53.95000000000001</v>
      </c>
      <c r="I9" s="24">
        <f>'01'!I36</f>
        <v>0.89416666666666667</v>
      </c>
      <c r="J9" s="24">
        <f>'01'!J36</f>
        <v>0.67499999999999993</v>
      </c>
      <c r="K9" s="24">
        <f>'01'!K36</f>
        <v>246.82833333333326</v>
      </c>
      <c r="L9" s="24">
        <f>'01'!L36</f>
        <v>33.77624999999999</v>
      </c>
      <c r="M9" s="24">
        <f>'01'!M36</f>
        <v>27.208749999999998</v>
      </c>
      <c r="N9" s="24">
        <f>'01'!N36</f>
        <v>234.68333333333331</v>
      </c>
      <c r="O9" s="24">
        <f>'01'!O36</f>
        <v>0</v>
      </c>
      <c r="P9" s="30">
        <f>'01'!$P$36</f>
        <v>1.2670833333333336</v>
      </c>
      <c r="Q9" s="24">
        <f>'01'!Q36</f>
        <v>26.44916666666666</v>
      </c>
      <c r="R9" s="45"/>
      <c r="S9" s="45"/>
      <c r="T9" s="45"/>
      <c r="U9" s="46"/>
    </row>
    <row r="10" spans="1:21" s="34" customFormat="1" ht="15">
      <c r="A10" s="36" t="str">
        <f>'02'!$B$2</f>
        <v>02-06-2023 01:00</v>
      </c>
      <c r="B10" s="33">
        <f>'02'!B36</f>
        <v>20.874999999999996</v>
      </c>
      <c r="C10" s="33">
        <f>'02'!C36</f>
        <v>55.22625</v>
      </c>
      <c r="D10" s="33">
        <f>'02'!D36</f>
        <v>46.89083333333334</v>
      </c>
      <c r="E10" s="33">
        <f>'02'!E36</f>
        <v>19.111249999999995</v>
      </c>
      <c r="F10" s="33">
        <f>'02'!F36</f>
        <v>23.829583333333332</v>
      </c>
      <c r="G10" s="33">
        <f>'02'!G36</f>
        <v>102.80541666666666</v>
      </c>
      <c r="H10" s="33">
        <f>'02'!H36</f>
        <v>47.37916666666667</v>
      </c>
      <c r="I10" s="33">
        <f>'02'!I36</f>
        <v>0.82250000000000012</v>
      </c>
      <c r="J10" s="33">
        <f>'02'!J36</f>
        <v>0.36458333333333331</v>
      </c>
      <c r="K10" s="33">
        <f>'02'!K36</f>
        <v>232.46666666666661</v>
      </c>
      <c r="L10" s="33">
        <f>'02'!L36</f>
        <v>33.605000000000011</v>
      </c>
      <c r="M10" s="33">
        <f>'02'!M36</f>
        <v>24.827916666666663</v>
      </c>
      <c r="N10" s="33">
        <f>'02'!N36</f>
        <v>238.94117647058826</v>
      </c>
      <c r="O10" s="33">
        <f>'02'!O36</f>
        <v>0</v>
      </c>
      <c r="P10" s="30">
        <f>'02'!$P$36</f>
        <v>1.0549999999999999</v>
      </c>
      <c r="Q10" s="33">
        <f>'02'!Q36</f>
        <v>26.175416666666674</v>
      </c>
      <c r="R10" s="47"/>
      <c r="S10" s="47"/>
      <c r="T10" s="47"/>
      <c r="U10" s="47"/>
    </row>
    <row r="11" spans="1:21" s="34" customFormat="1" ht="15">
      <c r="A11" s="36" t="str">
        <f>'03'!$B$2</f>
        <v>03-06-2023 01:00</v>
      </c>
      <c r="B11" s="33">
        <f>'03'!B36</f>
        <v>35.618749999999999</v>
      </c>
      <c r="C11" s="33">
        <f>'03'!C36</f>
        <v>64.717083333333321</v>
      </c>
      <c r="D11" s="33">
        <f>'03'!D36</f>
        <v>64.11333333333333</v>
      </c>
      <c r="E11" s="33">
        <f>'03'!E36</f>
        <v>18.443333333333335</v>
      </c>
      <c r="F11" s="33">
        <f>'03'!F36</f>
        <v>26.999583333333334</v>
      </c>
      <c r="G11" s="33">
        <f>'03'!G36</f>
        <v>93.551363636363646</v>
      </c>
      <c r="H11" s="33">
        <f>'03'!H36</f>
        <v>41.661363636363632</v>
      </c>
      <c r="I11" s="33">
        <f>'03'!I36</f>
        <v>0.94541666666666668</v>
      </c>
      <c r="J11" s="33">
        <f>'03'!J36</f>
        <v>0.6433333333333332</v>
      </c>
      <c r="K11" s="33">
        <f>'03'!K36</f>
        <v>231.26291666666665</v>
      </c>
      <c r="L11" s="33">
        <f>'03'!L36</f>
        <v>32.671666666666674</v>
      </c>
      <c r="M11" s="33">
        <f>'03'!M36</f>
        <v>32.52708333333333</v>
      </c>
      <c r="N11" s="33">
        <f>'03'!N36</f>
        <v>162.07391304347829</v>
      </c>
      <c r="O11" s="33">
        <f>'03'!O36</f>
        <v>0</v>
      </c>
      <c r="P11" s="30">
        <f>'03'!$P$36</f>
        <v>1.4695833333333332</v>
      </c>
      <c r="Q11" s="33">
        <f>'03'!Q36</f>
        <v>28.027499999999993</v>
      </c>
      <c r="R11" s="47"/>
      <c r="S11" s="47"/>
      <c r="T11" s="47"/>
      <c r="U11" s="47"/>
    </row>
    <row r="12" spans="1:21" s="34" customFormat="1" ht="15">
      <c r="A12" s="36" t="str">
        <f>'04'!$B$2</f>
        <v>04-06-2023 01:00</v>
      </c>
      <c r="B12" s="33">
        <f>'04'!B36</f>
        <v>10.640416666666669</v>
      </c>
      <c r="C12" s="33">
        <f>'04'!C36</f>
        <v>47.832499999999989</v>
      </c>
      <c r="D12" s="33">
        <f>'04'!D36</f>
        <v>34.741666666666674</v>
      </c>
      <c r="E12" s="33">
        <f>'04'!E36</f>
        <v>14.690416666666666</v>
      </c>
      <c r="F12" s="33">
        <f>'04'!F36</f>
        <v>35.010416666666664</v>
      </c>
      <c r="G12" s="33">
        <f>'04'!G36</f>
        <v>71.647500000000008</v>
      </c>
      <c r="H12" s="33">
        <f>'04'!H36</f>
        <v>38.849166666666676</v>
      </c>
      <c r="I12" s="33">
        <f>'04'!I36</f>
        <v>0.81208333333333327</v>
      </c>
      <c r="J12" s="33">
        <f>'04'!J36</f>
        <v>1.1849999999999998</v>
      </c>
      <c r="K12" s="33">
        <f>'04'!K36</f>
        <v>214.17958333333334</v>
      </c>
      <c r="L12" s="33">
        <f>'04'!L36</f>
        <v>31.145833333333332</v>
      </c>
      <c r="M12" s="33">
        <f>'04'!M36</f>
        <v>37.574166666666677</v>
      </c>
      <c r="N12" s="33">
        <f>'04'!N36</f>
        <v>176.89166666666665</v>
      </c>
      <c r="O12" s="33">
        <f>'04'!O36</f>
        <v>0</v>
      </c>
      <c r="P12" s="30">
        <f>'04'!$P$36</f>
        <v>0.98666666666666691</v>
      </c>
      <c r="Q12" s="33">
        <f>'04'!Q36</f>
        <v>28.428750000000004</v>
      </c>
      <c r="R12" s="47"/>
      <c r="S12" s="47"/>
      <c r="T12" s="47"/>
      <c r="U12" s="47"/>
    </row>
    <row r="13" spans="1:21" s="34" customFormat="1" ht="15">
      <c r="A13" s="36" t="str">
        <f>'05'!$B$2</f>
        <v>05-06-2023 01:00</v>
      </c>
      <c r="B13" s="33">
        <f>'05'!B36</f>
        <v>4.7766666666666664</v>
      </c>
      <c r="C13" s="33">
        <f>'05'!C36</f>
        <v>44.30916666666667</v>
      </c>
      <c r="D13" s="33">
        <f>'05'!D36</f>
        <v>28.42625</v>
      </c>
      <c r="E13" s="33">
        <f>'05'!E36</f>
        <v>5.4437500000000005</v>
      </c>
      <c r="F13" s="33">
        <f>'05'!F36</f>
        <v>36.29291666666667</v>
      </c>
      <c r="G13" s="33">
        <f>'05'!G36</f>
        <v>57.09708333333333</v>
      </c>
      <c r="H13" s="33">
        <f>'05'!H36</f>
        <v>29.602083333333336</v>
      </c>
      <c r="I13" s="33">
        <f>'05'!I36</f>
        <v>0.71041666666666659</v>
      </c>
      <c r="J13" s="33">
        <f>'05'!J36</f>
        <v>1.0450000000000002</v>
      </c>
      <c r="K13" s="33">
        <f>'05'!K36</f>
        <v>208.72583333333338</v>
      </c>
      <c r="L13" s="33">
        <f>'05'!L36</f>
        <v>33.295000000000002</v>
      </c>
      <c r="M13" s="33">
        <f>'05'!M36</f>
        <v>37.021428571428565</v>
      </c>
      <c r="N13" s="33">
        <f>'05'!N36</f>
        <v>186.7764705882353</v>
      </c>
      <c r="O13" s="33">
        <f>'05'!O36</f>
        <v>0</v>
      </c>
      <c r="P13" s="30">
        <f>'05'!$P$36</f>
        <v>0.71625000000000005</v>
      </c>
      <c r="Q13" s="33">
        <f>'05'!Q36</f>
        <v>28.298750000000002</v>
      </c>
      <c r="R13" s="47"/>
      <c r="S13" s="47"/>
      <c r="T13" s="47"/>
      <c r="U13" s="47"/>
    </row>
    <row r="14" spans="1:21" s="34" customFormat="1" ht="15">
      <c r="A14" s="36" t="str">
        <f>'06'!$B$2</f>
        <v>06-06-2023 01:00</v>
      </c>
      <c r="B14" s="33">
        <f>'06'!B36</f>
        <v>32.467083333333328</v>
      </c>
      <c r="C14" s="33">
        <f>'06'!C36</f>
        <v>61.153750000000009</v>
      </c>
      <c r="D14" s="33">
        <f>'06'!D36</f>
        <v>59.192500000000003</v>
      </c>
      <c r="E14" s="33">
        <f>'06'!E36</f>
        <v>5.760416666666667</v>
      </c>
      <c r="F14" s="33">
        <f>'06'!F36</f>
        <v>36.303750000000001</v>
      </c>
      <c r="G14" s="33">
        <f>'06'!G36</f>
        <v>61.819166666666682</v>
      </c>
      <c r="H14" s="33">
        <f>'06'!H36</f>
        <v>32.43333333333333</v>
      </c>
      <c r="I14" s="33">
        <f>'06'!I36</f>
        <v>0.86458333333333348</v>
      </c>
      <c r="J14" s="33">
        <f>'06'!J36</f>
        <v>0.48875000000000007</v>
      </c>
      <c r="K14" s="33">
        <f>'06'!K36</f>
        <v>235.94833333333338</v>
      </c>
      <c r="L14" s="33">
        <f>'06'!L36</f>
        <v>32.707499999999996</v>
      </c>
      <c r="M14" s="33">
        <f>'06'!M36</f>
        <v>40.115416666666668</v>
      </c>
      <c r="N14" s="33">
        <f>'06'!N36</f>
        <v>262.25454545454545</v>
      </c>
      <c r="O14" s="33">
        <f>'06'!O36</f>
        <v>0</v>
      </c>
      <c r="P14" s="30">
        <f>'06'!$P$36</f>
        <v>1.0862500000000002</v>
      </c>
      <c r="Q14" s="33">
        <f>'06'!Q36</f>
        <v>28.789583333333336</v>
      </c>
      <c r="R14" s="47"/>
      <c r="S14" s="47"/>
      <c r="T14" s="47"/>
      <c r="U14" s="47"/>
    </row>
    <row r="15" spans="1:21" s="34" customFormat="1" ht="15">
      <c r="A15" s="36" t="str">
        <f>'07'!$B$2</f>
        <v>07-06-2023 01:00</v>
      </c>
      <c r="B15" s="33">
        <f>'07'!B36</f>
        <v>23.887500000000003</v>
      </c>
      <c r="C15" s="33">
        <f>'07'!C36</f>
        <v>65.202500000000001</v>
      </c>
      <c r="D15" s="33">
        <f>'07'!D36</f>
        <v>53.905833333333341</v>
      </c>
      <c r="E15" s="33">
        <f>'07'!E36</f>
        <v>23.842916666666664</v>
      </c>
      <c r="F15" s="33">
        <f>'07'!F36</f>
        <v>33.853333333333332</v>
      </c>
      <c r="G15" s="33">
        <f>'07'!G36</f>
        <v>108.42374999999998</v>
      </c>
      <c r="H15" s="33">
        <f>'07'!H36</f>
        <v>54.840416666666663</v>
      </c>
      <c r="I15" s="33">
        <f>'07'!I36</f>
        <v>0.83416666666666683</v>
      </c>
      <c r="J15" s="33">
        <f>'07'!J36</f>
        <v>0.8125</v>
      </c>
      <c r="K15" s="33">
        <f>'07'!K36</f>
        <v>223.33583333333331</v>
      </c>
      <c r="L15" s="33">
        <f>'07'!L36</f>
        <v>32.723181818181814</v>
      </c>
      <c r="M15" s="33">
        <f>'07'!M36</f>
        <v>33.448636363636361</v>
      </c>
      <c r="N15" s="5" t="s">
        <v>14</v>
      </c>
      <c r="O15" s="33">
        <f>'07'!O37</f>
        <v>0</v>
      </c>
      <c r="P15" s="30">
        <f>'07'!$P$36</f>
        <v>1.3608333333333329</v>
      </c>
      <c r="Q15" s="33">
        <f>'07'!Q36</f>
        <v>30.210416666666664</v>
      </c>
      <c r="R15" s="47"/>
      <c r="S15" s="47"/>
      <c r="T15" s="47"/>
      <c r="U15" s="47"/>
    </row>
    <row r="16" spans="1:21" s="34" customFormat="1" ht="15">
      <c r="A16" s="36" t="str">
        <f>'08'!$B$2</f>
        <v>08-06-2023 01:00</v>
      </c>
      <c r="B16" s="33">
        <f>'08'!B36</f>
        <v>48.202916666666674</v>
      </c>
      <c r="C16" s="33">
        <f>'08'!C36</f>
        <v>66.805416666666659</v>
      </c>
      <c r="D16" s="33">
        <f>'08'!D36</f>
        <v>74.969166666666666</v>
      </c>
      <c r="E16" s="33">
        <f>'08'!E36</f>
        <v>9.2687499999999989</v>
      </c>
      <c r="F16" s="33">
        <f>'08'!F36</f>
        <v>26.727500000000003</v>
      </c>
      <c r="G16" s="33">
        <f>'08'!G36</f>
        <v>94.517916666666679</v>
      </c>
      <c r="H16" s="33">
        <f>'08'!H36</f>
        <v>41.523333333333333</v>
      </c>
      <c r="I16" s="33">
        <f>'08'!I36</f>
        <v>0.90749999999999986</v>
      </c>
      <c r="J16" s="33">
        <f>'08'!J36</f>
        <v>0.6462500000000001</v>
      </c>
      <c r="K16" s="33">
        <f>'08'!K36</f>
        <v>227.49583333333331</v>
      </c>
      <c r="L16" s="33">
        <f>'08'!L36</f>
        <v>34.031666666666659</v>
      </c>
      <c r="M16" s="33">
        <f>'08'!M36</f>
        <v>33.171249999999993</v>
      </c>
      <c r="N16" s="33">
        <f>'08'!N36</f>
        <v>232.25416666666669</v>
      </c>
      <c r="O16" s="33">
        <f>'08'!O36</f>
        <v>0</v>
      </c>
      <c r="P16" s="30">
        <f>'08'!$P$36</f>
        <v>1.321666666666667</v>
      </c>
      <c r="Q16" s="33">
        <f>'08'!Q36</f>
        <v>28.945833333333329</v>
      </c>
      <c r="R16" s="47"/>
      <c r="S16" s="47"/>
      <c r="T16" s="47"/>
      <c r="U16" s="47"/>
    </row>
    <row r="17" spans="1:24" s="34" customFormat="1" ht="15">
      <c r="A17" s="36" t="str">
        <f>'09'!$B$2</f>
        <v>09-06-2023 01:00</v>
      </c>
      <c r="B17" s="33">
        <f>'09'!B36</f>
        <v>26.477916666666662</v>
      </c>
      <c r="C17" s="33">
        <f>'09'!C36</f>
        <v>58.113750000000003</v>
      </c>
      <c r="D17" s="33">
        <f>'09'!D36</f>
        <v>53.372083333333329</v>
      </c>
      <c r="E17" s="33">
        <f>'09'!E36</f>
        <v>11.369583333333333</v>
      </c>
      <c r="F17" s="33">
        <f>'09'!F36</f>
        <v>23.232499999999998</v>
      </c>
      <c r="G17" s="33">
        <f>'09'!G36</f>
        <v>78.508750000000006</v>
      </c>
      <c r="H17" s="33">
        <f>'09'!H36</f>
        <v>40.028749999999995</v>
      </c>
      <c r="I17" s="33">
        <f>'09'!I36</f>
        <v>0.8254166666666668</v>
      </c>
      <c r="J17" s="33">
        <f>'09'!J36</f>
        <v>0.5675</v>
      </c>
      <c r="K17" s="33">
        <f>'09'!K36</f>
        <v>273.01833333333332</v>
      </c>
      <c r="L17" s="33">
        <f>'09'!L36</f>
        <v>31.9995652173913</v>
      </c>
      <c r="M17" s="33">
        <f>'09'!M36</f>
        <v>32.073636363636361</v>
      </c>
      <c r="N17" s="33">
        <f>'09'!N37</f>
        <v>316.45161840868866</v>
      </c>
      <c r="O17" s="33">
        <f>'09'!O37</f>
        <v>0.1224744871391589</v>
      </c>
      <c r="P17" s="30">
        <f>'09'!$P$36</f>
        <v>1.1187500000000004</v>
      </c>
      <c r="Q17" s="33">
        <f>'09'!Q36</f>
        <v>29.867083333333326</v>
      </c>
      <c r="R17" s="47"/>
      <c r="S17" s="47"/>
      <c r="T17" s="47"/>
      <c r="U17" s="47"/>
      <c r="V17" s="35"/>
      <c r="W17" s="35"/>
      <c r="X17" s="35"/>
    </row>
    <row r="18" spans="1:21" s="34" customFormat="1" ht="15">
      <c r="A18" s="36" t="str">
        <f>'10'!$B$2</f>
        <v>10-06-2023 01:00</v>
      </c>
      <c r="B18" s="33">
        <f>'10'!B36</f>
        <v>20.24958333333333</v>
      </c>
      <c r="C18" s="33">
        <f>'10'!C36</f>
        <v>55.972916666666663</v>
      </c>
      <c r="D18" s="33">
        <f>'10'!D36</f>
        <v>47.253750000000004</v>
      </c>
      <c r="E18" s="33">
        <f>'10'!E36</f>
        <v>7.8966666666666674</v>
      </c>
      <c r="F18" s="33">
        <f>'10'!F36</f>
        <v>20.30083333333333</v>
      </c>
      <c r="G18" s="33">
        <f>'10'!G36</f>
        <v>76.90916666666665</v>
      </c>
      <c r="H18" s="33">
        <f>'10'!H36</f>
        <v>36.944583333333334</v>
      </c>
      <c r="I18" s="33">
        <f>'10'!I36</f>
        <v>0.79874999999999996</v>
      </c>
      <c r="J18" s="33">
        <f>'10'!J36</f>
        <v>0.40333333333333332</v>
      </c>
      <c r="K18" s="33">
        <f>'10'!K36</f>
        <v>292.13041666666663</v>
      </c>
      <c r="L18" s="33">
        <f>'10'!L36</f>
        <v>33.292499999999997</v>
      </c>
      <c r="M18" s="33">
        <f>'10'!M36</f>
        <v>33.839166666666664</v>
      </c>
      <c r="N18" s="33">
        <f>'10'!N36</f>
        <v>205.34166666666667</v>
      </c>
      <c r="O18" s="33">
        <f>'10'!O36</f>
        <v>0</v>
      </c>
      <c r="P18" s="30">
        <f>'10'!$P$36</f>
        <v>1.1387500000000002</v>
      </c>
      <c r="Q18" s="33">
        <f>'10'!Q36</f>
        <v>28.47166666666666</v>
      </c>
      <c r="R18" s="47"/>
      <c r="S18" s="47"/>
      <c r="T18" s="47"/>
      <c r="U18" s="47"/>
    </row>
    <row r="19" spans="1:21" s="34" customFormat="1" ht="15">
      <c r="A19" s="36" t="str">
        <f>'11'!$B$2</f>
        <v>11-06-2023 01:00</v>
      </c>
      <c r="B19" s="33">
        <f>'11'!B36</f>
        <v>5.1637500000000012</v>
      </c>
      <c r="C19" s="33">
        <f>'11'!C36</f>
        <v>39.443750000000001</v>
      </c>
      <c r="D19" s="33">
        <f>'11'!D36</f>
        <v>25.837083333333329</v>
      </c>
      <c r="E19" s="33">
        <f>'11'!E36</f>
        <v>3.5908333333333329</v>
      </c>
      <c r="F19" s="33">
        <f>'11'!F36</f>
        <v>18.084583333333331</v>
      </c>
      <c r="G19" s="33">
        <f>'11'!G36</f>
        <v>42.510434782608698</v>
      </c>
      <c r="H19" s="33">
        <f>'11'!H36</f>
        <v>22.240869565217391</v>
      </c>
      <c r="I19" s="33">
        <f>'11'!I36</f>
        <v>0.61791666666666645</v>
      </c>
      <c r="J19" s="33">
        <f>'11'!J36</f>
        <v>0.73791666666666689</v>
      </c>
      <c r="K19" s="33">
        <f>'11'!K36</f>
        <v>184.74125000000001</v>
      </c>
      <c r="L19" s="33">
        <f>'11'!L36</f>
        <v>33.697916666666664</v>
      </c>
      <c r="M19" s="33">
        <f>'11'!M36</f>
        <v>32.946249999999999</v>
      </c>
      <c r="N19" s="33">
        <f>'11'!N36</f>
        <v>273.67916666666662</v>
      </c>
      <c r="O19" s="33">
        <f>'11'!O36</f>
        <v>0</v>
      </c>
      <c r="P19" s="33">
        <f>'11'!P36</f>
        <v>0.6679166666666666</v>
      </c>
      <c r="Q19" s="33">
        <f>'11'!Q36</f>
        <v>24.147499999999997</v>
      </c>
      <c r="R19" s="47"/>
      <c r="S19" s="47"/>
      <c r="T19" s="47"/>
      <c r="U19" s="47"/>
    </row>
    <row r="20" spans="1:21" s="34" customFormat="1" ht="15">
      <c r="A20" s="36" t="str">
        <f>'12'!$B$2</f>
        <v>12-06-2023 01:00</v>
      </c>
      <c r="B20" s="33">
        <f>'12'!B36</f>
        <v>4.4604166666666663</v>
      </c>
      <c r="C20" s="33">
        <f>'12'!C36</f>
        <v>43.664583333333333</v>
      </c>
      <c r="D20" s="33">
        <f>'12'!D36</f>
        <v>28.026250000000001</v>
      </c>
      <c r="E20" s="33">
        <f>'12'!E36</f>
        <v>5.2066666666666679</v>
      </c>
      <c r="F20" s="33">
        <f>'12'!F36</f>
        <v>20.931666666666668</v>
      </c>
      <c r="G20" s="33">
        <f>'12'!G36</f>
        <v>47.074782608695656</v>
      </c>
      <c r="H20" s="33">
        <f>'12'!H36</f>
        <v>24.198260869565214</v>
      </c>
      <c r="I20" s="33">
        <f>'12'!I36</f>
        <v>0.67499999999999993</v>
      </c>
      <c r="J20" s="33">
        <f>'12'!J36</f>
        <v>0.4991666666666667</v>
      </c>
      <c r="K20" s="33">
        <f>'12'!K36</f>
        <v>230.71375</v>
      </c>
      <c r="L20" s="33">
        <f>'12'!L36</f>
        <v>33.451666666666675</v>
      </c>
      <c r="M20" s="33">
        <f>'12'!M36</f>
        <v>37.747083333333329</v>
      </c>
      <c r="N20" s="33">
        <f>'12'!N36</f>
        <v>264.46249999999998</v>
      </c>
      <c r="O20" s="33">
        <f>'12'!O36</f>
        <v>0.049999999999999996</v>
      </c>
      <c r="P20" s="33">
        <f>'12'!P36</f>
        <v>0.81166666666666665</v>
      </c>
      <c r="Q20" s="33">
        <f>'12'!Q36</f>
        <v>24.783750000000001</v>
      </c>
      <c r="R20" s="47"/>
      <c r="S20" s="47"/>
      <c r="T20" s="47"/>
      <c r="U20" s="47"/>
    </row>
    <row r="21" spans="1:21" s="34" customFormat="1" ht="15">
      <c r="A21" s="36" t="str">
        <f>'13'!$B$2</f>
        <v>13-06-2023 01:00</v>
      </c>
      <c r="B21" s="33">
        <f>'13'!B36</f>
        <v>5.5829166666666659</v>
      </c>
      <c r="C21" s="33">
        <f>'13'!C36</f>
        <v>39.86333333333333</v>
      </c>
      <c r="D21" s="33">
        <f>'13'!D36</f>
        <v>26.764999999999997</v>
      </c>
      <c r="E21" s="33">
        <f>'13'!E36</f>
        <v>3.3175000000000003</v>
      </c>
      <c r="F21" s="33">
        <f>'13'!F36</f>
        <v>18.70291666666667</v>
      </c>
      <c r="G21" s="33">
        <f>'13'!G36</f>
        <v>42.899166666666666</v>
      </c>
      <c r="H21" s="33">
        <f>'13'!H36</f>
        <v>21.087499999999999</v>
      </c>
      <c r="I21" s="33">
        <f>'13'!I36</f>
        <v>0.65374999999999994</v>
      </c>
      <c r="J21" s="33">
        <f>'13'!J36</f>
        <v>0.55208333333333337</v>
      </c>
      <c r="K21" s="33">
        <f>'13'!K36</f>
        <v>284.41708333333332</v>
      </c>
      <c r="L21" s="33">
        <f>'13'!L36</f>
        <v>32.402499999999996</v>
      </c>
      <c r="M21" s="33">
        <f>'13'!M36</f>
        <v>41.804583333333333</v>
      </c>
      <c r="N21" s="33">
        <f>'13'!N36</f>
        <v>226.2833333333333</v>
      </c>
      <c r="O21" s="33">
        <f>'13'!O36</f>
        <v>0</v>
      </c>
      <c r="P21" s="33">
        <f>'13'!P36</f>
        <v>0.64666666666666661</v>
      </c>
      <c r="Q21" s="33">
        <f>'13'!Q36</f>
        <v>26.008749999999996</v>
      </c>
      <c r="R21" s="47"/>
      <c r="S21" s="47"/>
      <c r="T21" s="47"/>
      <c r="U21" s="47"/>
    </row>
    <row r="22" spans="1:21" s="34" customFormat="1" ht="15">
      <c r="A22" s="36" t="str">
        <f>'14'!$B$2</f>
        <v>14-06-2023 01:00</v>
      </c>
      <c r="B22" s="30">
        <f>'14'!B36</f>
        <v>13.549166666666665</v>
      </c>
      <c r="C22" s="30">
        <f>'14'!C36</f>
        <v>44.949583333333344</v>
      </c>
      <c r="D22" s="30">
        <f>'14'!D36</f>
        <v>35.974583333333335</v>
      </c>
      <c r="E22" s="30">
        <f>'14'!E36</f>
        <v>3.1212500000000012</v>
      </c>
      <c r="F22" s="30">
        <f>'14'!F36</f>
        <v>12.783333333333333</v>
      </c>
      <c r="G22" s="30">
        <f>'14'!G36</f>
        <v>54.720416666666658</v>
      </c>
      <c r="H22" s="30">
        <f>'14'!H36</f>
        <v>24.786250000000006</v>
      </c>
      <c r="I22" s="30">
        <f>'14'!I36</f>
        <v>0.68541666666666667</v>
      </c>
      <c r="J22" s="30">
        <f>'14'!J36</f>
        <v>0.64666666666666672</v>
      </c>
      <c r="K22" s="30">
        <f>'14'!K36</f>
        <v>231.01333333333324</v>
      </c>
      <c r="L22" s="30">
        <f>'14'!L36</f>
        <v>31.896666666666665</v>
      </c>
      <c r="M22" s="30">
        <f>'14'!M36</f>
        <v>44.630833333333335</v>
      </c>
      <c r="N22" s="30">
        <f>'14'!N36</f>
        <v>200.39999999999998</v>
      </c>
      <c r="O22" s="30">
        <f>'14'!O36</f>
        <v>0.0083333333333333332</v>
      </c>
      <c r="P22" s="30">
        <f>'14'!P36</f>
        <v>0.85791666666666677</v>
      </c>
      <c r="Q22" s="30">
        <f>'14'!Q36</f>
        <v>25.044583333333332</v>
      </c>
      <c r="R22" s="48"/>
      <c r="S22" s="48"/>
      <c r="T22" s="48"/>
      <c r="U22" s="48"/>
    </row>
    <row r="23" spans="1:21" s="34" customFormat="1" ht="15">
      <c r="A23" s="36" t="str">
        <f>'15'!$B$2</f>
        <v>15-06-2023 01:00</v>
      </c>
      <c r="B23" s="33">
        <f>'15'!B36</f>
        <v>19.293749999999999</v>
      </c>
      <c r="C23" s="33">
        <f>'15'!C36</f>
        <v>43.620416666666671</v>
      </c>
      <c r="D23" s="33">
        <f>'15'!D36</f>
        <v>39.602083333333333</v>
      </c>
      <c r="E23" s="33">
        <f>'15'!E36</f>
        <v>5.3416666666666659</v>
      </c>
      <c r="F23" s="33">
        <f>'15'!F36</f>
        <v>10.203333333333335</v>
      </c>
      <c r="G23" s="33">
        <f>'15'!G36</f>
        <v>71.035833333333343</v>
      </c>
      <c r="H23" s="33">
        <f>'15'!H36</f>
        <v>31.682499999999994</v>
      </c>
      <c r="I23" s="33">
        <f>'15'!I36</f>
        <v>0.69499999999999995</v>
      </c>
      <c r="J23" s="33">
        <f>'15'!J36</f>
        <v>0.48750000000000004</v>
      </c>
      <c r="K23" s="33">
        <f>'15'!K36</f>
        <v>253.69958333333338</v>
      </c>
      <c r="L23" s="33">
        <f>'15'!L36</f>
        <v>32.446666666666665</v>
      </c>
      <c r="M23" s="33">
        <f>'15'!M36</f>
        <v>42.397916666666667</v>
      </c>
      <c r="N23" s="33">
        <f>'15'!N36</f>
        <v>267.44583333333338</v>
      </c>
      <c r="O23" s="33">
        <f>'15'!O36</f>
        <v>0</v>
      </c>
      <c r="P23" s="30">
        <f>'15'!P36</f>
        <v>0.97583333333333322</v>
      </c>
      <c r="Q23" s="30">
        <f>'15'!Q36</f>
        <v>25.674166666666665</v>
      </c>
      <c r="R23" s="48"/>
      <c r="S23" s="48"/>
      <c r="T23" s="48"/>
      <c r="U23" s="47"/>
    </row>
    <row r="24" spans="1:21" s="34" customFormat="1" ht="15">
      <c r="A24" s="36" t="str">
        <f>'16'!$B$2</f>
        <v>16-06-2023 01:00</v>
      </c>
      <c r="B24" s="33">
        <f>'16'!B36</f>
        <v>11.741250000000001</v>
      </c>
      <c r="C24" s="33">
        <f>'16'!C36</f>
        <v>40.811666666666667</v>
      </c>
      <c r="D24" s="33">
        <f>'16'!D36</f>
        <v>31.969583333333333</v>
      </c>
      <c r="E24" s="33">
        <f>'16'!E36</f>
        <v>3.5</v>
      </c>
      <c r="F24" s="33">
        <f>'16'!F36</f>
        <v>12.849999999999996</v>
      </c>
      <c r="G24" s="33">
        <f>'16'!G36</f>
        <v>67.315416666666678</v>
      </c>
      <c r="H24" s="33">
        <f>'16'!H36</f>
        <v>34.298333333333332</v>
      </c>
      <c r="I24" s="33">
        <f>'16'!I36</f>
        <v>0.60583333333333333</v>
      </c>
      <c r="J24" s="33">
        <f>'16'!J36</f>
        <v>0.37624999999999997</v>
      </c>
      <c r="K24" s="33">
        <f>'16'!K36</f>
        <v>242.35416666666671</v>
      </c>
      <c r="L24" s="33">
        <f>'16'!L36</f>
        <v>34.611250000000005</v>
      </c>
      <c r="M24" s="33">
        <f>'16'!M36</f>
        <v>32.001666666666658</v>
      </c>
      <c r="N24" s="33">
        <f>'16'!N36</f>
        <v>294.11250000000001</v>
      </c>
      <c r="O24" s="33">
        <f>'16'!O36</f>
        <v>0</v>
      </c>
      <c r="P24" s="30">
        <f>'16'!P36</f>
        <v>0.70333333333333348</v>
      </c>
      <c r="Q24" s="30">
        <f>'16'!Q36</f>
        <v>24.79708333333333</v>
      </c>
      <c r="R24" s="48"/>
      <c r="S24" s="48"/>
      <c r="T24" s="48"/>
      <c r="U24" s="47"/>
    </row>
    <row r="25" spans="1:21" s="34" customFormat="1" ht="15">
      <c r="A25" s="36" t="str">
        <f>'17'!$B$2</f>
        <v>17-06-2023 01:00</v>
      </c>
      <c r="B25" s="33">
        <f>'17'!B36</f>
        <v>7.3195833333333331</v>
      </c>
      <c r="C25" s="33">
        <f>'17'!C36</f>
        <v>37.56333333333334</v>
      </c>
      <c r="D25" s="33">
        <f>'17'!D36</f>
        <v>26.625416666666666</v>
      </c>
      <c r="E25" s="33">
        <f>'17'!E36</f>
        <v>3.6558333333333337</v>
      </c>
      <c r="F25" s="33">
        <f>'17'!F36</f>
        <v>14.155833333333328</v>
      </c>
      <c r="G25" s="33">
        <f>'17'!G36</f>
        <v>58.749166666666667</v>
      </c>
      <c r="H25" s="33">
        <f>'17'!H36</f>
        <v>29.364166666666659</v>
      </c>
      <c r="I25" s="33">
        <f>'17'!I36</f>
        <v>0.59583333333333333</v>
      </c>
      <c r="J25" s="33">
        <f>'17'!J36</f>
        <v>0.41083333333333333</v>
      </c>
      <c r="K25" s="33">
        <f>'17'!K36</f>
        <v>191.7558333333333</v>
      </c>
      <c r="L25" s="33">
        <f>'17'!L36</f>
        <v>34.660416666666663</v>
      </c>
      <c r="M25" s="33">
        <f>'17'!M36</f>
        <v>29.997083333333332</v>
      </c>
      <c r="N25" s="33">
        <f>'17'!N36</f>
        <v>316.56666666666666</v>
      </c>
      <c r="O25" s="33">
        <f>'17'!O36</f>
        <v>0</v>
      </c>
      <c r="P25" s="30">
        <f>'17'!P36</f>
        <v>0.72041666666666682</v>
      </c>
      <c r="Q25" s="30">
        <f>'17'!Q36</f>
        <v>22.897083333333331</v>
      </c>
      <c r="R25" s="48"/>
      <c r="S25" s="48"/>
      <c r="T25" s="48"/>
      <c r="U25" s="47"/>
    </row>
    <row r="26" spans="1:21" s="34" customFormat="1" ht="15">
      <c r="A26" s="36" t="str">
        <f>'18'!$B$2</f>
        <v>18-06-2023 01:00</v>
      </c>
      <c r="B26" s="33">
        <f>'18'!B36</f>
        <v>6.5720833333333326</v>
      </c>
      <c r="C26" s="33">
        <f>'18'!C36</f>
        <v>36.711666666666659</v>
      </c>
      <c r="D26" s="33">
        <f>'18'!D36</f>
        <v>25.537083333333328</v>
      </c>
      <c r="E26" s="33">
        <f>'18'!E36</f>
        <v>4.1970833333333344</v>
      </c>
      <c r="F26" s="33">
        <f>'18'!F36</f>
        <v>16.608333333333331</v>
      </c>
      <c r="G26" s="33">
        <f>'18'!G36</f>
        <v>58.261666666666677</v>
      </c>
      <c r="H26" s="33">
        <f>'18'!H36</f>
        <v>27.926666666666666</v>
      </c>
      <c r="I26" s="33">
        <f>'18'!I36</f>
        <v>0.54541666666666677</v>
      </c>
      <c r="J26" s="33">
        <f>'18'!J36</f>
        <v>0.51083333333333336</v>
      </c>
      <c r="K26" s="33">
        <f>'18'!K36</f>
        <v>297.89208333333335</v>
      </c>
      <c r="L26" s="33">
        <f>'18'!L36</f>
        <v>34.609999999999999</v>
      </c>
      <c r="M26" s="33">
        <f>'18'!M36</f>
        <v>32.779583333333328</v>
      </c>
      <c r="N26" s="33">
        <f>'18'!N36</f>
        <v>301.24999999999994</v>
      </c>
      <c r="O26" s="33">
        <f>'18'!O36</f>
        <v>0</v>
      </c>
      <c r="P26" s="30">
        <f>'18'!P36</f>
        <v>0.62083333333333324</v>
      </c>
      <c r="Q26" s="30">
        <f>'18'!Q36</f>
        <v>22.76958333333333</v>
      </c>
      <c r="R26" s="48"/>
      <c r="S26" s="48"/>
      <c r="T26" s="48"/>
      <c r="U26" s="47"/>
    </row>
    <row r="27" spans="1:21" s="34" customFormat="1" ht="15">
      <c r="A27" s="36" t="str">
        <f>'19'!$B$2</f>
        <v>19-06-2023 01:00</v>
      </c>
      <c r="B27" s="33">
        <f>'19'!B36</f>
        <v>7.723749999999999</v>
      </c>
      <c r="C27" s="33">
        <f>'19'!C36</f>
        <v>37.955416666666657</v>
      </c>
      <c r="D27" s="33">
        <f>'19'!D36</f>
        <v>27.282916666666669</v>
      </c>
      <c r="E27" s="33">
        <f>'19'!E36</f>
        <v>6.0570833333333338</v>
      </c>
      <c r="F27" s="33">
        <f>'19'!F36</f>
        <v>18.795833333333334</v>
      </c>
      <c r="G27" s="33">
        <f>'19'!G36</f>
        <v>71.685833333333321</v>
      </c>
      <c r="H27" s="33">
        <f>'19'!H36</f>
        <v>33.828749999999999</v>
      </c>
      <c r="I27" s="33">
        <f>'19'!I36</f>
        <v>0.57333333333333336</v>
      </c>
      <c r="J27" s="33">
        <f>'19'!J36</f>
        <v>0.37083333333333329</v>
      </c>
      <c r="K27" s="33">
        <f>'19'!K36</f>
        <v>147.8520833333333</v>
      </c>
      <c r="L27" s="33">
        <f>'19'!L36</f>
        <v>34.449583333333329</v>
      </c>
      <c r="M27" s="33">
        <f>'19'!M36</f>
        <v>32.95333333333334</v>
      </c>
      <c r="N27" s="33">
        <f>'19'!N36</f>
        <v>297.19999999999993</v>
      </c>
      <c r="O27" s="33">
        <f>'19'!O36</f>
        <v>0</v>
      </c>
      <c r="P27" s="30">
        <f>'19'!P36</f>
        <v>0.79166666666666652</v>
      </c>
      <c r="Q27" s="30">
        <f>'19'!Q36</f>
        <v>24.422916666666666</v>
      </c>
      <c r="R27" s="48"/>
      <c r="S27" s="48"/>
      <c r="T27" s="48"/>
      <c r="U27" s="47"/>
    </row>
    <row r="28" spans="1:21" s="34" customFormat="1" ht="15">
      <c r="A28" s="36" t="str">
        <f>'20'!$B$2</f>
        <v>20-06-2023 01:00</v>
      </c>
      <c r="B28" s="33">
        <f>'20'!B36</f>
        <v>5.6162499999999973</v>
      </c>
      <c r="C28" s="33">
        <f>'20'!C36</f>
        <v>32.66375</v>
      </c>
      <c r="D28" s="33">
        <f>'20'!D36</f>
        <v>22.89041666666667</v>
      </c>
      <c r="E28" s="33">
        <f>'20'!E36</f>
        <v>3.206666666666667</v>
      </c>
      <c r="F28" s="33">
        <f>'20'!F36</f>
        <v>16.598333333333333</v>
      </c>
      <c r="G28" s="33">
        <f>'20'!G36</f>
        <v>59.666666666666664</v>
      </c>
      <c r="H28" s="33">
        <f>'20'!H36</f>
        <v>29.673333333333336</v>
      </c>
      <c r="I28" s="33">
        <f>'20'!I36</f>
        <v>0.57916666666666672</v>
      </c>
      <c r="J28" s="33">
        <f>'20'!J36</f>
        <v>0.75125000000000008</v>
      </c>
      <c r="K28" s="33">
        <f>'20'!K36</f>
        <v>177.3016666666667</v>
      </c>
      <c r="L28" s="33">
        <f>'20'!L36</f>
        <v>33.864583333333321</v>
      </c>
      <c r="M28" s="33">
        <f>'20'!M36</f>
        <v>37.73749999999999</v>
      </c>
      <c r="N28" s="33">
        <f>'20'!N36</f>
        <v>294.76249999999999</v>
      </c>
      <c r="O28" s="33">
        <f>'20'!O36</f>
        <v>0</v>
      </c>
      <c r="P28" s="30">
        <f>'20'!P36</f>
        <v>0.56708333333333327</v>
      </c>
      <c r="Q28" s="30">
        <f>'20'!Q36</f>
        <v>25.405833333333337</v>
      </c>
      <c r="R28" s="48"/>
      <c r="S28" s="48"/>
      <c r="T28" s="48"/>
      <c r="U28" s="47"/>
    </row>
    <row r="29" spans="1:21" s="34" customFormat="1" ht="15">
      <c r="A29" s="36" t="str">
        <f>'21'!$B$2</f>
        <v>21-06-2023 01:00</v>
      </c>
      <c r="B29" s="33">
        <f>'21'!B36</f>
        <v>2.4175</v>
      </c>
      <c r="C29" s="33">
        <f>'21'!C36</f>
        <v>28.035</v>
      </c>
      <c r="D29" s="33">
        <f>'21'!D36</f>
        <v>17.714583333333334</v>
      </c>
      <c r="E29" s="33">
        <f>'21'!E36</f>
        <v>1.4800000000000002</v>
      </c>
      <c r="F29" s="33">
        <f>'21'!F36</f>
        <v>11.22208333333333</v>
      </c>
      <c r="G29" s="33">
        <f>'21'!G36</f>
        <v>38.545454545454554</v>
      </c>
      <c r="H29" s="33">
        <f>'21'!H36</f>
        <v>17.551363636363639</v>
      </c>
      <c r="I29" s="33">
        <f>'21'!I36</f>
        <v>0.56791666666666651</v>
      </c>
      <c r="J29" s="33">
        <f>'21'!J36</f>
        <v>1.1233333333333335</v>
      </c>
      <c r="K29" s="33">
        <f>'21'!K36</f>
        <v>213.33333333333337</v>
      </c>
      <c r="L29" s="33">
        <f>'21'!L36</f>
        <v>30.331666666666663</v>
      </c>
      <c r="M29" s="33">
        <f>'21'!M36</f>
        <v>55.944166666666668</v>
      </c>
      <c r="N29" s="33">
        <f>'21'!N36</f>
        <v>275.08333333333331</v>
      </c>
      <c r="O29" s="33">
        <f>'21'!O36</f>
        <v>0</v>
      </c>
      <c r="P29" s="30">
        <f>'21'!P36</f>
        <v>0.46666666666666679</v>
      </c>
      <c r="Q29" s="30">
        <f>'21'!Q36</f>
        <v>22.463333333333335</v>
      </c>
      <c r="R29" s="48"/>
      <c r="S29" s="48"/>
      <c r="T29" s="48"/>
      <c r="U29" s="47"/>
    </row>
    <row r="30" spans="1:21" s="34" customFormat="1" ht="15">
      <c r="A30" s="36" t="str">
        <f>'22'!$B$2</f>
        <v>22-06-2023 01:00</v>
      </c>
      <c r="B30" s="33">
        <f>'22'!B36</f>
        <v>4.1066666666666665</v>
      </c>
      <c r="C30" s="33">
        <f>'22'!C36</f>
        <v>27.194166666666671</v>
      </c>
      <c r="D30" s="33">
        <f>'22'!D36</f>
        <v>18.634166666666662</v>
      </c>
      <c r="E30" s="33">
        <f>'22'!E36</f>
        <v>1.9387500000000006</v>
      </c>
      <c r="F30" s="33">
        <f>'22'!F36</f>
        <v>14.614166666666668</v>
      </c>
      <c r="G30" s="33">
        <f>'22'!G36</f>
        <v>36.119166666666672</v>
      </c>
      <c r="H30" s="33">
        <f>'22'!H36</f>
        <v>16.664999999999999</v>
      </c>
      <c r="I30" s="33">
        <f>'22'!I36</f>
        <v>0.60875000000000001</v>
      </c>
      <c r="J30" s="33">
        <f>'22'!J36</f>
        <v>0.78499999999999981</v>
      </c>
      <c r="K30" s="33">
        <f>'22'!K36</f>
        <v>197.61958333333334</v>
      </c>
      <c r="L30" s="33">
        <f>'22'!L36</f>
        <v>26.689583333333331</v>
      </c>
      <c r="M30" s="33">
        <f>'22'!M36</f>
        <v>76.262083333333337</v>
      </c>
      <c r="N30" s="33">
        <f>'22'!N36</f>
        <v>194.13750000000002</v>
      </c>
      <c r="O30" s="33">
        <f>'22'!O36</f>
        <v>0.083333333333333329</v>
      </c>
      <c r="P30" s="30">
        <f>'22'!P36</f>
        <v>0.63916666666666655</v>
      </c>
      <c r="Q30" s="30">
        <f>'22'!Q36</f>
        <v>22.501250000000002</v>
      </c>
      <c r="R30" s="48"/>
      <c r="S30" s="47"/>
      <c r="T30" s="47"/>
      <c r="U30" s="47"/>
    </row>
    <row r="31" spans="1:21" s="34" customFormat="1" ht="15">
      <c r="A31" s="36" t="str">
        <f>'23'!$B$2</f>
        <v>23-06-2023 01:00</v>
      </c>
      <c r="B31" s="33">
        <f>'23'!B36</f>
        <v>3.5570833333333334</v>
      </c>
      <c r="C31" s="33">
        <f>'23'!C36</f>
        <v>23.779583333333338</v>
      </c>
      <c r="D31" s="33">
        <f>'23'!D36</f>
        <v>16.438750000000002</v>
      </c>
      <c r="E31" s="33">
        <f>'23'!E36</f>
        <v>1.4470833333333335</v>
      </c>
      <c r="F31" s="33">
        <f>'23'!F36</f>
        <v>7.9669565217391307</v>
      </c>
      <c r="G31" s="33">
        <f>'23'!G36</f>
        <v>34.596500000000006</v>
      </c>
      <c r="H31" s="33">
        <f>'23'!H36</f>
        <v>14.461000000000002</v>
      </c>
      <c r="I31" s="33">
        <f>'23'!I36</f>
        <v>0.57166666666666666</v>
      </c>
      <c r="J31" s="33">
        <f>'23'!J36</f>
        <v>0.39250000000000013</v>
      </c>
      <c r="K31" s="33">
        <f>'23'!K36</f>
        <v>226.87333333333331</v>
      </c>
      <c r="L31" s="33">
        <f>'23'!L36</f>
        <v>25.696250000000006</v>
      </c>
      <c r="M31" s="33">
        <f>'23'!M36</f>
        <v>79.387500000000003</v>
      </c>
      <c r="N31" s="33">
        <f>'23'!N36</f>
        <v>183.12916666666672</v>
      </c>
      <c r="O31" s="33">
        <f>'23'!O36</f>
        <v>0.0083333333333333332</v>
      </c>
      <c r="P31" s="33">
        <f>'23'!P36</f>
        <v>0.63750000000000007</v>
      </c>
      <c r="Q31" s="33">
        <f>'23'!Q36</f>
        <v>16.78833333333333</v>
      </c>
      <c r="R31" s="47"/>
      <c r="S31" s="47"/>
      <c r="T31" s="47"/>
      <c r="U31" s="47"/>
    </row>
    <row r="32" spans="1:21" s="34" customFormat="1" ht="15">
      <c r="A32" s="36" t="str">
        <f>'24'!$B$2</f>
        <v>24-06-2023 01:00</v>
      </c>
      <c r="B32" s="33">
        <f>'24'!B36</f>
        <v>3.7616666666666663</v>
      </c>
      <c r="C32" s="33">
        <f>'24'!C36</f>
        <v>22.23041666666666</v>
      </c>
      <c r="D32" s="33">
        <f>'24'!D36</f>
        <v>15.757916666666667</v>
      </c>
      <c r="E32" s="33">
        <f>'24'!E36</f>
        <v>1.8520833333333329</v>
      </c>
      <c r="F32" s="33">
        <f>'24'!F36</f>
        <v>11.620833333333337</v>
      </c>
      <c r="G32" s="33">
        <f>'24'!G36</f>
        <v>43.731249999999996</v>
      </c>
      <c r="H32" s="33">
        <f>'24'!H36</f>
        <v>17.81583333333333</v>
      </c>
      <c r="I32" s="33">
        <f>'24'!I36</f>
        <v>0.57791666666666663</v>
      </c>
      <c r="J32" s="33">
        <f>'24'!J36</f>
        <v>0.19458333333333333</v>
      </c>
      <c r="K32" s="33">
        <f>'24'!K36</f>
        <v>113.09999999999998</v>
      </c>
      <c r="L32" s="33">
        <f>'24'!L36</f>
        <v>25.697500000000002</v>
      </c>
      <c r="M32" s="33">
        <f>'24'!M36</f>
        <v>76.789166666666659</v>
      </c>
      <c r="N32" s="33">
        <f>'24'!N36</f>
        <v>118.66666666666663</v>
      </c>
      <c r="O32" s="33">
        <f>'24'!O36</f>
        <v>0</v>
      </c>
      <c r="P32" s="33">
        <f>'24'!P36</f>
        <v>0.60791666666666666</v>
      </c>
      <c r="Q32" s="33">
        <f>'24'!Q36</f>
        <v>12.477083333333333</v>
      </c>
      <c r="R32" s="47"/>
      <c r="S32" s="47"/>
      <c r="T32" s="47"/>
      <c r="U32" s="47"/>
    </row>
    <row r="33" spans="1:21" s="34" customFormat="1" ht="15">
      <c r="A33" s="36" t="str">
        <f>'25'!$B$2</f>
        <v>25-06-2023 01:00</v>
      </c>
      <c r="B33" s="33">
        <f>'25'!B36</f>
        <v>6.9629166666666675</v>
      </c>
      <c r="C33" s="33">
        <f>'25'!C36</f>
        <v>16.965</v>
      </c>
      <c r="D33" s="33">
        <f>'25'!D36</f>
        <v>15.480833333333335</v>
      </c>
      <c r="E33" s="33">
        <f>'25'!E36</f>
        <v>1.1195833333333332</v>
      </c>
      <c r="F33" s="33">
        <f>'25'!F36</f>
        <v>6.7933333333333357</v>
      </c>
      <c r="G33" s="33">
        <f>'25'!G36</f>
        <v>42.50888888888889</v>
      </c>
      <c r="H33" s="33">
        <f>'25'!H36</f>
        <v>15.947777777777778</v>
      </c>
      <c r="I33" s="33">
        <f>'25'!I36</f>
        <v>0.58583333333333332</v>
      </c>
      <c r="J33" s="33">
        <f>'25'!J36</f>
        <v>0.25708333333333333</v>
      </c>
      <c r="K33" s="33">
        <f>'25'!K36</f>
        <v>187.80083333333334</v>
      </c>
      <c r="L33" s="33">
        <f>'25'!L36</f>
        <v>22.922500000000003</v>
      </c>
      <c r="M33" s="33">
        <f>'25'!M36</f>
        <v>95.647500000000036</v>
      </c>
      <c r="N33" s="33">
        <f>'25'!N36</f>
        <v>60.908333333333324</v>
      </c>
      <c r="O33" s="33">
        <f>'25'!O36</f>
        <v>0.94999999999999984</v>
      </c>
      <c r="P33" s="33">
        <f>'25'!P36</f>
        <v>0.66208333333333347</v>
      </c>
      <c r="Q33" s="33">
        <f>'25'!Q36</f>
        <v>11.718333333333335</v>
      </c>
      <c r="R33" s="47"/>
      <c r="S33" s="47"/>
      <c r="T33" s="47"/>
      <c r="U33" s="47"/>
    </row>
    <row r="34" spans="1:21" s="34" customFormat="1" ht="15">
      <c r="A34" s="36" t="str">
        <f>'26'!$B$2</f>
        <v>26-06-2023 01:00</v>
      </c>
      <c r="B34" s="33">
        <f>'26'!B36</f>
        <v>2.5866666666666664</v>
      </c>
      <c r="C34" s="33">
        <f>'26'!C36</f>
        <v>20.799999999999997</v>
      </c>
      <c r="D34" s="33">
        <f>'26'!D36</f>
        <v>13.901666666666666</v>
      </c>
      <c r="E34" s="33">
        <f>'26'!E36</f>
        <v>1.3549999999999998</v>
      </c>
      <c r="F34" s="33">
        <f>'26'!F36</f>
        <v>12.611666666666665</v>
      </c>
      <c r="G34" s="55" t="s">
        <v>14</v>
      </c>
      <c r="H34" s="55" t="s">
        <v>14</v>
      </c>
      <c r="I34" s="33">
        <f>'26'!I36</f>
        <v>0.53833333333333322</v>
      </c>
      <c r="J34" s="33">
        <f>'26'!J36</f>
        <v>0.37125000000000002</v>
      </c>
      <c r="K34" s="33">
        <f>'26'!K36</f>
        <v>193.36083333333332</v>
      </c>
      <c r="L34" s="33">
        <f>'26'!L36</f>
        <v>21.792083333333327</v>
      </c>
      <c r="M34" s="33">
        <f>'26'!M36</f>
        <v>97.15208333333338</v>
      </c>
      <c r="N34" s="33">
        <f>'26'!N36</f>
        <v>69.216666666666669</v>
      </c>
      <c r="O34" s="33">
        <f>'26'!O36</f>
        <v>1.1333333333333331</v>
      </c>
      <c r="P34" s="33">
        <f>'26'!P36</f>
        <v>0.64333333333333342</v>
      </c>
      <c r="Q34" s="33">
        <f>'26'!Q36</f>
        <v>8.6208333333333353</v>
      </c>
      <c r="R34" s="47"/>
      <c r="S34" s="47"/>
      <c r="T34" s="47"/>
      <c r="U34" s="47"/>
    </row>
    <row r="35" spans="1:21" s="34" customFormat="1" ht="15">
      <c r="A35" s="36" t="str">
        <f>'27'!$B$2</f>
        <v>27-06-2023 01:00</v>
      </c>
      <c r="B35" s="33">
        <f>'27'!B36</f>
        <v>5.689166666666666</v>
      </c>
      <c r="C35" s="33">
        <f>'27'!C36</f>
        <v>15.626666666666665</v>
      </c>
      <c r="D35" s="33">
        <f>'27'!D36</f>
        <v>13.567916666666667</v>
      </c>
      <c r="E35" s="33">
        <f>'27'!E36</f>
        <v>1.2820833333333337</v>
      </c>
      <c r="F35" s="33">
        <f>'27'!F36</f>
        <v>6.3462500000000004</v>
      </c>
      <c r="G35" s="63" t="s">
        <v>8</v>
      </c>
      <c r="H35" s="63" t="s">
        <v>8</v>
      </c>
      <c r="I35" s="33">
        <f>'27'!I36</f>
        <v>0.51916666666666667</v>
      </c>
      <c r="J35" s="33">
        <f>'27'!J36</f>
        <v>0.30041666666666667</v>
      </c>
      <c r="K35" s="33">
        <f>'27'!K36</f>
        <v>53.338750000000026</v>
      </c>
      <c r="L35" s="33">
        <f>'27'!L36</f>
        <v>21.411666666666665</v>
      </c>
      <c r="M35" s="33">
        <f>'27'!M36</f>
        <v>97.104166666666686</v>
      </c>
      <c r="N35" s="33">
        <f>'27'!N36</f>
        <v>144.76250000000002</v>
      </c>
      <c r="O35" s="33">
        <f>'27'!O36</f>
        <v>0.60833333333333328</v>
      </c>
      <c r="P35" s="30">
        <f>'27'!P36</f>
        <v>0.41458333333333336</v>
      </c>
      <c r="Q35" s="33">
        <f>'27'!Q36</f>
        <v>8.5995833333333334</v>
      </c>
      <c r="R35" s="47"/>
      <c r="S35" s="47"/>
      <c r="T35" s="47"/>
      <c r="U35" s="47"/>
    </row>
    <row r="36" spans="1:21" s="34" customFormat="1" ht="15">
      <c r="A36" s="36" t="str">
        <f>'28'!$B$2</f>
        <v>28-06-2023 01:00</v>
      </c>
      <c r="B36" s="33">
        <f>'28'!B36</f>
        <v>6.4208333333333334</v>
      </c>
      <c r="C36" s="33">
        <f>'28'!C36</f>
        <v>15.246249999999998</v>
      </c>
      <c r="D36" s="33">
        <f>'28'!D36</f>
        <v>14.03875</v>
      </c>
      <c r="E36" s="33">
        <f>'28'!E36</f>
        <v>2.0962499999999999</v>
      </c>
      <c r="F36" s="33">
        <f>'28'!F36</f>
        <v>7.1670833333333333</v>
      </c>
      <c r="G36" s="63" t="s">
        <v>8</v>
      </c>
      <c r="H36" s="63" t="s">
        <v>8</v>
      </c>
      <c r="I36" s="33">
        <f>'28'!I36</f>
        <v>0.53541666666666665</v>
      </c>
      <c r="J36" s="33">
        <f>'28'!J36</f>
        <v>0.23791666666666669</v>
      </c>
      <c r="K36" s="33">
        <f>'28'!K36</f>
        <v>176.02208333333331</v>
      </c>
      <c r="L36" s="33">
        <f>'28'!L36</f>
        <v>23.150416666666668</v>
      </c>
      <c r="M36" s="33">
        <f>'28'!M36</f>
        <v>93.722916666666663</v>
      </c>
      <c r="N36" s="33">
        <f>'28'!N36</f>
        <v>197.70833333333337</v>
      </c>
      <c r="O36" s="33">
        <f>'28'!O36</f>
        <v>0.016666666666666666</v>
      </c>
      <c r="P36" s="30">
        <f>'28'!P36</f>
        <v>0.4916666666666667</v>
      </c>
      <c r="Q36" s="33">
        <f>'28'!Q36</f>
        <v>9.0895833333333353</v>
      </c>
      <c r="R36" s="47"/>
      <c r="S36" s="47"/>
      <c r="T36" s="47"/>
      <c r="U36" s="47"/>
    </row>
    <row r="37" spans="1:21" s="34" customFormat="1" ht="15">
      <c r="A37" s="36" t="str">
        <f>'29'!$B$2</f>
        <v>29-06-2023 01:00</v>
      </c>
      <c r="B37" s="33">
        <f>'29'!B36</f>
        <v>7.1016666666666639</v>
      </c>
      <c r="C37" s="33">
        <f>'29'!C36</f>
        <v>14.398749999999998</v>
      </c>
      <c r="D37" s="33">
        <f>'29'!D36</f>
        <v>14.120416666666666</v>
      </c>
      <c r="E37" s="33">
        <f>'29'!E36</f>
        <v>2.6029166666666663</v>
      </c>
      <c r="F37" s="33">
        <f>'29'!F36</f>
        <v>9.2312500000000011</v>
      </c>
      <c r="G37" s="64" t="s">
        <v>15</v>
      </c>
      <c r="H37" s="64" t="s">
        <v>15</v>
      </c>
      <c r="I37" s="33">
        <f>'29'!I36</f>
        <v>0.55291666666666661</v>
      </c>
      <c r="J37" s="33">
        <f>'29'!J36</f>
        <v>0.19958333333333336</v>
      </c>
      <c r="K37" s="33">
        <f>'29'!K36</f>
        <v>258.28708333333327</v>
      </c>
      <c r="L37" s="33">
        <f>'29'!L36</f>
        <v>25.777083333333326</v>
      </c>
      <c r="M37" s="33">
        <f>'29'!M36</f>
        <v>80.581249999999997</v>
      </c>
      <c r="N37" s="33">
        <f>'29'!N36</f>
        <v>268.72916666666669</v>
      </c>
      <c r="O37" s="33">
        <f>'29'!O36</f>
        <v>0</v>
      </c>
      <c r="P37" s="33">
        <f>'29'!P36</f>
        <v>0.42249999999999999</v>
      </c>
      <c r="Q37" s="33">
        <f>'29'!Q36</f>
        <v>14.627916666666662</v>
      </c>
      <c r="R37" s="47"/>
      <c r="S37" s="47"/>
      <c r="T37" s="47"/>
      <c r="U37" s="47"/>
    </row>
    <row r="38" spans="1:21" s="34" customFormat="1" ht="15">
      <c r="A38" s="36" t="str">
        <f>'30'!$B$2</f>
        <v>30-06-2023 01:00</v>
      </c>
      <c r="B38" s="33">
        <f>'30'!B36</f>
        <v>8.2870833333333334</v>
      </c>
      <c r="C38" s="33">
        <f>'30'!C36</f>
        <v>18.035833333333333</v>
      </c>
      <c r="D38" s="33">
        <f>'30'!D36</f>
        <v>17.049166666666668</v>
      </c>
      <c r="E38" s="33">
        <f>'30'!E36</f>
        <v>2.7774999999999999</v>
      </c>
      <c r="F38" s="33">
        <f>'30'!F36</f>
        <v>10.123333333333333</v>
      </c>
      <c r="G38" s="64" t="s">
        <v>15</v>
      </c>
      <c r="H38" s="64" t="s">
        <v>15</v>
      </c>
      <c r="I38" s="33">
        <f>'30'!I36</f>
        <v>0.57083333333333341</v>
      </c>
      <c r="J38" s="33">
        <f>'30'!J36</f>
        <v>0.2429166666666667</v>
      </c>
      <c r="K38" s="33">
        <f>'30'!K36</f>
        <v>223.46583333333331</v>
      </c>
      <c r="L38" s="33">
        <f>'30'!L36</f>
        <v>26.315833333333334</v>
      </c>
      <c r="M38" s="33">
        <f>'30'!M36</f>
        <v>74.8125</v>
      </c>
      <c r="N38" s="33">
        <f>'30'!N36</f>
        <v>188.87083333333337</v>
      </c>
      <c r="O38" s="33">
        <f>'30'!O36</f>
        <v>0</v>
      </c>
      <c r="P38" s="33">
        <f>'30'!P36</f>
        <v>0.75461538461538469</v>
      </c>
      <c r="Q38" s="33">
        <f>'30'!Q36</f>
        <v>14.424166666666665</v>
      </c>
      <c r="R38" s="47"/>
      <c r="S38" s="47"/>
      <c r="T38" s="47"/>
      <c r="U38" s="47"/>
    </row>
    <row r="39" spans="2:21" ht="15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0"/>
      <c r="S39" s="20"/>
      <c r="T39" s="20"/>
      <c r="U39" s="49"/>
    </row>
    <row r="40" spans="1:21" s="21" customFormat="1" ht="15">
      <c r="A40" s="14" t="s">
        <v>30</v>
      </c>
      <c r="B40" s="15">
        <f t="shared" si="0" ref="B40:Q40">MIN(B9:B38)</f>
        <v>2.4175</v>
      </c>
      <c r="C40" s="15">
        <f t="shared" si="0"/>
        <v>14.398749999999998</v>
      </c>
      <c r="D40" s="15">
        <f t="shared" si="0"/>
        <v>13.567916666666667</v>
      </c>
      <c r="E40" s="15">
        <f t="shared" si="0"/>
        <v>1.1195833333333332</v>
      </c>
      <c r="F40" s="15">
        <f t="shared" si="0"/>
        <v>6.3462500000000004</v>
      </c>
      <c r="G40" s="15">
        <f t="shared" si="0"/>
        <v>34.596500000000006</v>
      </c>
      <c r="H40" s="15">
        <f t="shared" si="0"/>
        <v>14.461000000000002</v>
      </c>
      <c r="I40" s="15">
        <f t="shared" si="0"/>
        <v>0.51916666666666667</v>
      </c>
      <c r="J40" s="15">
        <f t="shared" si="0"/>
        <v>0.19458333333333333</v>
      </c>
      <c r="K40" s="15">
        <f t="shared" si="0"/>
        <v>53.338750000000026</v>
      </c>
      <c r="L40" s="15">
        <f t="shared" si="0"/>
        <v>21.411666666666665</v>
      </c>
      <c r="M40" s="15">
        <f t="shared" si="0"/>
        <v>24.827916666666663</v>
      </c>
      <c r="N40" s="15">
        <f t="shared" si="0"/>
        <v>60.908333333333324</v>
      </c>
      <c r="O40" s="15">
        <f t="shared" si="0"/>
        <v>0</v>
      </c>
      <c r="P40" s="15">
        <f t="shared" si="0"/>
        <v>0.41458333333333336</v>
      </c>
      <c r="Q40" s="15">
        <f t="shared" si="0"/>
        <v>8.5995833333333334</v>
      </c>
      <c r="R40" s="28"/>
      <c r="S40" s="28"/>
      <c r="T40" s="28"/>
      <c r="U40" s="28"/>
    </row>
    <row r="41" spans="1:21" s="21" customFormat="1" ht="15">
      <c r="A41" s="14" t="s">
        <v>31</v>
      </c>
      <c r="B41" s="15">
        <f t="shared" si="1" ref="B41:Q41">MAX(B9:B38)</f>
        <v>48.202916666666674</v>
      </c>
      <c r="C41" s="15">
        <f t="shared" si="1"/>
        <v>66.805416666666659</v>
      </c>
      <c r="D41" s="15">
        <f t="shared" si="1"/>
        <v>74.969166666666666</v>
      </c>
      <c r="E41" s="15">
        <f t="shared" si="1"/>
        <v>23.842916666666664</v>
      </c>
      <c r="F41" s="15">
        <f t="shared" si="1"/>
        <v>36.303750000000001</v>
      </c>
      <c r="G41" s="15">
        <f t="shared" si="1"/>
        <v>123.09041666666666</v>
      </c>
      <c r="H41" s="15">
        <f t="shared" si="1"/>
        <v>54.840416666666663</v>
      </c>
      <c r="I41" s="15">
        <f t="shared" si="1"/>
        <v>0.94541666666666668</v>
      </c>
      <c r="J41" s="15">
        <f t="shared" si="1"/>
        <v>1.1849999999999998</v>
      </c>
      <c r="K41" s="15">
        <f t="shared" si="1"/>
        <v>297.89208333333335</v>
      </c>
      <c r="L41" s="15">
        <f t="shared" si="1"/>
        <v>34.660416666666663</v>
      </c>
      <c r="M41" s="15">
        <f t="shared" si="1"/>
        <v>97.15208333333338</v>
      </c>
      <c r="N41" s="15">
        <f t="shared" si="1"/>
        <v>316.56666666666666</v>
      </c>
      <c r="O41" s="15">
        <f t="shared" si="1"/>
        <v>1.1333333333333331</v>
      </c>
      <c r="P41" s="15">
        <f t="shared" si="1"/>
        <v>1.4695833333333332</v>
      </c>
      <c r="Q41" s="15">
        <f t="shared" si="1"/>
        <v>30.210416666666664</v>
      </c>
      <c r="R41" s="28"/>
      <c r="S41" s="28"/>
      <c r="T41" s="28"/>
      <c r="U41" s="28"/>
    </row>
    <row r="42" spans="1:21" s="21" customFormat="1" ht="15">
      <c r="A42" s="14" t="s">
        <v>32</v>
      </c>
      <c r="B42" s="15">
        <f t="shared" si="2" ref="B42:Q42">AVERAGE(B9:B38)</f>
        <v>13.096236111111114</v>
      </c>
      <c r="C42" s="15">
        <f t="shared" si="2"/>
        <v>39.284166666666671</v>
      </c>
      <c r="D42" s="15">
        <f t="shared" si="2"/>
        <v>32.281319444444442</v>
      </c>
      <c r="E42" s="15">
        <f t="shared" si="2"/>
        <v>6.566902777777778</v>
      </c>
      <c r="F42" s="15">
        <f t="shared" si="2"/>
        <v>18.044565217391312</v>
      </c>
      <c r="G42" s="15">
        <f t="shared" si="2"/>
        <v>65.511646978480456</v>
      </c>
      <c r="H42" s="15">
        <f t="shared" si="2"/>
        <v>31.149592086078165</v>
      </c>
      <c r="I42" s="15">
        <f t="shared" si="2"/>
        <v>0.67568055555555562</v>
      </c>
      <c r="J42" s="15">
        <f t="shared" si="2"/>
        <v>0.54263888888888911</v>
      </c>
      <c r="K42" s="15">
        <f t="shared" si="2"/>
        <v>215.67781944444442</v>
      </c>
      <c r="L42" s="15">
        <f t="shared" si="2"/>
        <v>30.504133234519102</v>
      </c>
      <c r="M42" s="15">
        <f t="shared" si="2"/>
        <v>50.806887265512266</v>
      </c>
      <c r="N42" s="15">
        <f t="shared" si="2"/>
        <v>222.51874335513338</v>
      </c>
      <c r="O42" s="15">
        <f t="shared" si="2"/>
        <v>0.099360260682416407</v>
      </c>
      <c r="P42" s="15">
        <f t="shared" si="2"/>
        <v>0.82080662393162407</v>
      </c>
      <c r="Q42" s="15">
        <f t="shared" si="2"/>
        <v>22.364194444444443</v>
      </c>
      <c r="R42" s="28"/>
      <c r="S42" s="28"/>
      <c r="T42" s="28"/>
      <c r="U42" s="28"/>
    </row>
    <row r="43" spans="1:21" s="21" customFormat="1" ht="15">
      <c r="A43" s="14" t="s">
        <v>38</v>
      </c>
      <c r="B43" s="15">
        <f t="shared" si="3" ref="B43:Q43">STDEV(B9:B38)</f>
        <v>11.775306751157363</v>
      </c>
      <c r="C43" s="15">
        <f t="shared" si="3"/>
        <v>16.540298860615156</v>
      </c>
      <c r="D43" s="15">
        <f t="shared" si="3"/>
        <v>17.366393313740488</v>
      </c>
      <c r="E43" s="15">
        <f t="shared" si="3"/>
        <v>6.5294979044440726</v>
      </c>
      <c r="F43" s="15">
        <f t="shared" si="3"/>
        <v>8.9710330093697586</v>
      </c>
      <c r="G43" s="15">
        <f t="shared" si="3"/>
        <v>24.020427931637197</v>
      </c>
      <c r="H43" s="15">
        <f t="shared" si="3"/>
        <v>11.407300034219446</v>
      </c>
      <c r="I43" s="15">
        <f t="shared" si="3"/>
        <v>0.13129473709978667</v>
      </c>
      <c r="J43" s="15">
        <f t="shared" si="3"/>
        <v>0.26349890522042502</v>
      </c>
      <c r="K43" s="15">
        <f t="shared" si="3"/>
        <v>50.871746900955117</v>
      </c>
      <c r="L43" s="15">
        <f t="shared" si="3"/>
        <v>4.3245003686777759</v>
      </c>
      <c r="M43" s="15">
        <f t="shared" si="3"/>
        <v>24.459734507429413</v>
      </c>
      <c r="N43" s="15">
        <f t="shared" si="3"/>
        <v>68.541163778713241</v>
      </c>
      <c r="O43" s="15">
        <f t="shared" si="3"/>
        <v>0.28074415631917937</v>
      </c>
      <c r="P43" s="15">
        <f t="shared" si="3"/>
        <v>0.29094719781694378</v>
      </c>
      <c r="Q43" s="15">
        <f t="shared" si="3"/>
        <v>6.8355595379602097</v>
      </c>
      <c r="R43" s="28"/>
      <c r="S43" s="28"/>
      <c r="T43" s="28"/>
      <c r="U43" s="28"/>
    </row>
    <row r="44" spans="1:21" s="21" customFormat="1" ht="15">
      <c r="A44" s="14" t="s">
        <v>33</v>
      </c>
      <c r="B44" s="12">
        <f>COUNT(B9:B38)</f>
        <v>30</v>
      </c>
      <c r="C44" s="12">
        <f>COUNT(C9:C38)</f>
        <v>30</v>
      </c>
      <c r="D44" s="12">
        <f>COUNT(D9:D38)</f>
        <v>30</v>
      </c>
      <c r="E44" s="12">
        <f>COUNT(E9:E38)</f>
        <v>30</v>
      </c>
      <c r="F44" s="12">
        <f>COUNT(F9:F38)</f>
        <v>30</v>
      </c>
      <c r="G44" s="15">
        <f>COUNT(G9:G38)+3</f>
        <v>28</v>
      </c>
      <c r="H44" s="15">
        <f>COUNT(H9:H38)+3</f>
        <v>28</v>
      </c>
      <c r="I44" s="12">
        <f>COUNT(I9:I38)</f>
        <v>30</v>
      </c>
      <c r="J44" s="12">
        <f>COUNT(J9:J38)</f>
        <v>30</v>
      </c>
      <c r="K44" s="12">
        <f>COUNT(K9:K38)</f>
        <v>30</v>
      </c>
      <c r="L44" s="12">
        <f>COUNT(L9:L38)</f>
        <v>30</v>
      </c>
      <c r="M44" s="12">
        <f>COUNT(M9:M38)</f>
        <v>30</v>
      </c>
      <c r="N44" s="15">
        <f>COUNT(N9:N38)+1</f>
        <v>30</v>
      </c>
      <c r="O44" s="12">
        <f>COUNT(O9:O38)</f>
        <v>30</v>
      </c>
      <c r="P44" s="12">
        <f>COUNT(P9:P38)</f>
        <v>30</v>
      </c>
      <c r="Q44" s="12">
        <f>COUNT(Q9:Q38)</f>
        <v>30</v>
      </c>
      <c r="R44" s="29"/>
      <c r="S44" s="29"/>
      <c r="T44" s="29"/>
      <c r="U44" s="29"/>
    </row>
    <row r="45" spans="1:21" s="21" customFormat="1" ht="15">
      <c r="A45" s="14" t="s">
        <v>34</v>
      </c>
      <c r="B45" s="12" t="str">
        <f>IF(B44&gt;=28,"&gt;90%",IF(B44&lt;=28,"&lt;90%"))</f>
        <v>&gt;90%</v>
      </c>
      <c r="C45" s="12" t="str">
        <f t="shared" si="4" ref="C45:Q45">IF(C44&gt;=28,"&gt;90%",IF(C44&lt;=28,"&lt;90%"))</f>
        <v>&gt;90%</v>
      </c>
      <c r="D45" s="12" t="str">
        <f t="shared" si="4"/>
        <v>&gt;90%</v>
      </c>
      <c r="E45" s="12" t="str">
        <f t="shared" si="4"/>
        <v>&gt;90%</v>
      </c>
      <c r="F45" s="12" t="str">
        <f t="shared" si="4"/>
        <v>&gt;90%</v>
      </c>
      <c r="G45" s="12" t="str">
        <f t="shared" si="4"/>
        <v>&gt;90%</v>
      </c>
      <c r="H45" s="12" t="str">
        <f t="shared" si="4"/>
        <v>&gt;90%</v>
      </c>
      <c r="I45" s="12" t="str">
        <f t="shared" si="4"/>
        <v>&gt;90%</v>
      </c>
      <c r="J45" s="12" t="str">
        <f t="shared" si="4"/>
        <v>&gt;90%</v>
      </c>
      <c r="K45" s="12" t="str">
        <f t="shared" si="4"/>
        <v>&gt;90%</v>
      </c>
      <c r="L45" s="12" t="str">
        <f t="shared" si="4"/>
        <v>&gt;90%</v>
      </c>
      <c r="M45" s="12" t="str">
        <f t="shared" si="4"/>
        <v>&gt;90%</v>
      </c>
      <c r="N45" s="12" t="str">
        <f t="shared" si="4"/>
        <v>&gt;90%</v>
      </c>
      <c r="O45" s="12" t="str">
        <f t="shared" si="4"/>
        <v>&gt;90%</v>
      </c>
      <c r="P45" s="12" t="str">
        <f t="shared" si="4"/>
        <v>&gt;90%</v>
      </c>
      <c r="Q45" s="12" t="str">
        <f t="shared" si="4"/>
        <v>&gt;90%</v>
      </c>
      <c r="R45" s="29"/>
      <c r="S45" s="29"/>
      <c r="T45" s="29"/>
      <c r="U45" s="29"/>
    </row>
    <row r="46" spans="1:21" s="21" customFormat="1" ht="15">
      <c r="A46" s="14" t="s">
        <v>1</v>
      </c>
      <c r="B46" s="12" t="str">
        <f>IF(B44&gt;=28,"OK",IF(B44&lt;=28,"LESS"))</f>
        <v>OK</v>
      </c>
      <c r="C46" s="12" t="str">
        <f t="shared" si="5" ref="C46:Q46">IF(C44&gt;=28,"OK",IF(C44&lt;=28,"LESS"))</f>
        <v>OK</v>
      </c>
      <c r="D46" s="12" t="str">
        <f t="shared" si="5"/>
        <v>OK</v>
      </c>
      <c r="E46" s="12" t="str">
        <f t="shared" si="5"/>
        <v>OK</v>
      </c>
      <c r="F46" s="12" t="str">
        <f t="shared" si="5"/>
        <v>OK</v>
      </c>
      <c r="G46" s="12" t="str">
        <f t="shared" si="5"/>
        <v>OK</v>
      </c>
      <c r="H46" s="12" t="str">
        <f t="shared" si="5"/>
        <v>OK</v>
      </c>
      <c r="I46" s="12" t="str">
        <f t="shared" si="5"/>
        <v>OK</v>
      </c>
      <c r="J46" s="12" t="str">
        <f t="shared" si="5"/>
        <v>OK</v>
      </c>
      <c r="K46" s="12" t="str">
        <f t="shared" si="5"/>
        <v>OK</v>
      </c>
      <c r="L46" s="12" t="str">
        <f t="shared" si="5"/>
        <v>OK</v>
      </c>
      <c r="M46" s="12" t="str">
        <f t="shared" si="5"/>
        <v>OK</v>
      </c>
      <c r="N46" s="12" t="str">
        <f t="shared" si="5"/>
        <v>OK</v>
      </c>
      <c r="O46" s="12" t="str">
        <f t="shared" si="5"/>
        <v>OK</v>
      </c>
      <c r="P46" s="12" t="str">
        <f t="shared" si="5"/>
        <v>OK</v>
      </c>
      <c r="Q46" s="12" t="str">
        <f t="shared" si="5"/>
        <v>OK</v>
      </c>
      <c r="R46" s="29"/>
      <c r="S46" s="29"/>
      <c r="T46" s="29"/>
      <c r="U46" s="29"/>
    </row>
    <row r="47" spans="2:20" ht="15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9" spans="1:16" ht="15">
      <c r="A49" s="14" t="s">
        <v>35</v>
      </c>
      <c r="B49" s="40" t="s">
        <v>60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ht="15">
      <c r="A50" s="13"/>
      <c r="B50" s="21"/>
      <c r="C50" s="21"/>
      <c r="D50" s="1"/>
      <c r="E50" s="1"/>
      <c r="F50" s="1"/>
      <c r="G50" s="1"/>
      <c r="H50" s="1"/>
      <c r="I50" s="1"/>
      <c r="J50" s="21"/>
      <c r="K50" s="21"/>
      <c r="L50" s="21"/>
      <c r="M50" s="21"/>
      <c r="N50" s="21"/>
      <c r="O50" s="21"/>
      <c r="P50" s="21"/>
    </row>
    <row r="51" spans="1:16" ht="15.75">
      <c r="A51" s="17" t="s">
        <v>36</v>
      </c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</row>
    <row r="52" spans="1:16" ht="15">
      <c r="A52" s="1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ht="1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1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</sheetData>
  <sheetProtection/>
  <mergeCells count="1">
    <mergeCell ref="B51:P51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30</vt:lpstr>
    </vt:vector>
  </TitlesOfParts>
  <Template/>
  <Manager/>
  <Company>wbpcb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2018-07-30T12:51:54Z</cp:lastPrinted>
  <dcterms:created xsi:type="dcterms:W3CDTF">2013-08-23T16:44:31Z</dcterms:created>
  <dcterms:modified xsi:type="dcterms:W3CDTF">2023-07-01T15:27:54Z</dcterms:modified>
  <cp:category/>
</cp:coreProperties>
</file>