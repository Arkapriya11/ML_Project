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1" sheetId="39" r:id="rId33"/>
  </sheets>
  <definedNames/>
  <calcPr calcId="124519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<sst xmlns="http://schemas.openxmlformats.org/spreadsheetml/2006/main" count="2837" uniqueCount="782">
  <si>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</si>
  <si>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</si>
  <si>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</si>
  <si>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</si>
  <si>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</si>
  <si>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</si>
  <si>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</si>
  <si>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</si>
  <si>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</si>
  <si>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</si>
  <si>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</si>
  <si>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</si>
  <si>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</si>
  <si>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</si>
  <si>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</si>
  <si>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</si>
  <si>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</si>
  <si>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</si>
  <si>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</si>
  <si>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</si>
  <si>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</si>
  <si>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</si>
  <si>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</si>
  <si>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</si>
  <si>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</si>
  <si>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</si>
  <si>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</si>
  <si>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</si>
  <si>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</si>
  <si>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</si>
  <si>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</si>
  <si>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</si>
  <si>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</si>
  <si>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</si>
  <si>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</si>
  <si>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</si>
  <si>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</si>
  <si>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</si>
  <si>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</si>
  <si>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</si>
  <si>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</si>
  <si>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</si>
  <si>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</si>
  <si>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</si>
  <si>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</si>
  <si>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</si>
  <si>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</si>
  <si>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</si>
  <si>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</si>
  <si>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</si>
  <si>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</si>
  <si>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</si>
  <si>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</si>
  <si>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</si>
  <si>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</si>
  <si>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</si>
  <si>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</si>
  <si>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</si>
  <si>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</si>
  <si>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</si>
  <si>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</si>
  <si>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</si>
  <si>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</si>
  <si>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</si>
  <si>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</si>
  <si>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</si>
  <si>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</si>
  <si>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</si>
  <si>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</si>
  <si>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</si>
  <si>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</si>
  <si>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</si>
  <si>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</si>
  <si>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</si>
  <si>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</si>
  <si>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</si>
  <si>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</si>
  <si>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</si>
  <si>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</si>
  <si>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</si>
  <si>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</si>
  <si>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</si>
  <si>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</si>
  <si>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</si>
  <si>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</si>
  <si>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01-04-2024 24:00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</si>
  <si>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</si>
  <si>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</si>
  <si>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</si>
  <si>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</si>
  <si>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</si>
  <si>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</si>
  <si>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</si>
  <si>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</si>
  <si>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</si>
  <si>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</si>
  <si>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</si>
  <si>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</si>
  <si>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</si>
  <si>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</si>
  <si>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</si>
  <si>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</si>
  <si>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</si>
  <si>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</si>
  <si>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</si>
  <si>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</si>
  <si>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</si>
  <si>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</si>
  <si>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</si>
  <si>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02-04-2024 24:00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</si>
  <si>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</si>
  <si>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</si>
  <si>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</si>
  <si>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</si>
  <si>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</si>
  <si>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</si>
  <si>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</si>
  <si>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</si>
  <si>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</si>
  <si>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</si>
  <si>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</si>
  <si>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</si>
  <si>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</si>
  <si>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</si>
  <si>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</si>
  <si>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</si>
  <si>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</si>
  <si>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</si>
  <si>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</si>
  <si>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</si>
  <si>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</si>
  <si>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</si>
  <si>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</si>
  <si>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03-04-2024 24:00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</si>
  <si>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</si>
  <si>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</si>
  <si>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</si>
  <si>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</si>
  <si>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</si>
  <si>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</si>
  <si>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</si>
  <si>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</si>
  <si>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</si>
  <si>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</si>
  <si>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</si>
  <si>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</si>
  <si>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</si>
  <si>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</si>
  <si>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</si>
  <si>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</si>
  <si>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</si>
  <si>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</si>
  <si>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</si>
  <si>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</si>
  <si>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</si>
  <si>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</si>
  <si>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</si>
  <si>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04-04-2024 24:00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</si>
  <si>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</si>
  <si>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</si>
  <si>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</si>
  <si>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</si>
  <si>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</si>
  <si>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</si>
  <si>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</si>
  <si>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</si>
  <si>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</si>
  <si>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</si>
  <si>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</si>
  <si>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</si>
  <si>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</si>
  <si>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</si>
  <si>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</si>
  <si>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</si>
  <si>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</si>
  <si>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</si>
  <si>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</si>
  <si>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</si>
  <si>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</si>
  <si>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</si>
  <si>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</si>
  <si>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05-04-2024 24:00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</si>
  <si>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</si>
  <si>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</si>
  <si>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</si>
  <si>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</si>
  <si>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</si>
  <si>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</si>
  <si>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</si>
  <si>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</si>
  <si>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</si>
  <si>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</si>
  <si>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</si>
  <si>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</si>
  <si>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</si>
  <si>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</si>
  <si>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</si>
  <si>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</si>
  <si>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</si>
  <si>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</si>
  <si>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</si>
  <si>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</si>
  <si>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</si>
  <si>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</si>
  <si>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</si>
  <si>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06-04-2024 24:00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</si>
  <si>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</si>
  <si>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</si>
  <si>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</si>
  <si>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</si>
  <si>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</si>
  <si>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</si>
  <si>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</si>
  <si>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</si>
  <si>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</si>
  <si>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</si>
  <si>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</si>
  <si>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</si>
  <si>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</si>
  <si>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</si>
  <si>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</si>
  <si>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</si>
  <si>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</si>
  <si>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</si>
  <si>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</si>
  <si>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</si>
  <si>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</si>
  <si>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</si>
  <si>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</si>
  <si>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07-04-2024 24:00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</si>
  <si>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</si>
  <si>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</si>
  <si>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</si>
  <si>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</si>
  <si>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</si>
  <si>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</si>
  <si>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</si>
  <si>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</si>
  <si>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</si>
  <si>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</si>
  <si>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</si>
  <si>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</si>
  <si>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</si>
  <si>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</si>
  <si>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</si>
  <si>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</si>
  <si>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</si>
  <si>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</si>
  <si>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</si>
  <si>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</si>
  <si>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</si>
  <si>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</si>
  <si>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</si>
  <si>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08-04-2024 24:00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</si>
  <si>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</si>
  <si>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</si>
  <si>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</si>
  <si>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</si>
  <si>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</si>
  <si>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</si>
  <si>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</si>
  <si>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</si>
  <si>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</si>
  <si>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</si>
  <si>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</si>
  <si>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</si>
  <si>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</si>
  <si>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</si>
  <si>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</si>
  <si>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</si>
  <si>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</si>
  <si>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</si>
  <si>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</si>
  <si>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</si>
  <si>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</si>
  <si>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</si>
  <si>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</si>
  <si>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09-04-2024 24:00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</si>
  <si>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</si>
  <si>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</si>
  <si>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</si>
  <si>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</si>
  <si>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</si>
  <si>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</si>
  <si>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</si>
  <si>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</si>
  <si>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</si>
  <si>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</si>
  <si>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</si>
  <si>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</si>
  <si>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</si>
  <si>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</si>
  <si>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</si>
  <si>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</si>
  <si>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</si>
  <si>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</si>
  <si>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</si>
  <si>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</si>
  <si>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</si>
  <si>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</si>
  <si>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</si>
  <si>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10-04-2024 24:00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</si>
  <si>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</si>
  <si>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</si>
  <si>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</si>
  <si>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</si>
  <si>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</si>
  <si>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</si>
  <si>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</si>
  <si>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</si>
  <si>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</si>
  <si>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</si>
  <si>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</si>
  <si>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</si>
  <si>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</si>
  <si>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</si>
  <si>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</si>
  <si>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</si>
  <si>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</si>
  <si>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</si>
  <si>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</si>
  <si>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</si>
  <si>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</si>
  <si>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</si>
  <si>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</si>
  <si>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11-04-2024 24:00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</si>
  <si>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</si>
  <si>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</si>
  <si>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</si>
  <si>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</si>
  <si>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</si>
  <si>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</si>
  <si>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</si>
  <si>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</si>
  <si>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</si>
  <si>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</si>
  <si>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</si>
  <si>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</si>
  <si>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</si>
  <si>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</si>
  <si>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</si>
  <si>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</si>
  <si>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</si>
  <si>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</si>
  <si>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</si>
  <si>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</si>
  <si>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</si>
  <si>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</si>
  <si>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</si>
  <si>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12-04-2024 24:00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</si>
  <si>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</si>
  <si>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</si>
  <si>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</si>
  <si>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</si>
  <si>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</si>
  <si>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</si>
  <si>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</si>
  <si>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</si>
  <si>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</si>
  <si>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</si>
  <si>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</si>
  <si>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</si>
  <si>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</si>
  <si>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</si>
  <si>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</si>
  <si>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</si>
  <si>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</si>
  <si>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</si>
  <si>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</si>
  <si>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</si>
  <si>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</si>
  <si>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</si>
  <si>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</si>
  <si>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13-04-2024 24:00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</si>
  <si>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</si>
  <si>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</si>
  <si>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</si>
  <si>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</si>
  <si>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</si>
  <si>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</si>
  <si>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</si>
  <si>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</si>
  <si>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</si>
  <si>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</si>
  <si>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</si>
  <si>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</si>
  <si>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</si>
  <si>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</si>
  <si>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</si>
  <si>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</si>
  <si>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</si>
  <si>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</si>
  <si>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</si>
  <si>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</si>
  <si>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</si>
  <si>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</si>
  <si>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</si>
  <si>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14-04-2024 24:00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</si>
  <si>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</si>
  <si>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</si>
  <si>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</si>
  <si>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</si>
  <si>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</si>
  <si>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</si>
  <si>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</si>
  <si>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</si>
  <si>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</si>
  <si>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</si>
  <si>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</si>
  <si>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</si>
  <si>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</si>
  <si>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</si>
  <si>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</si>
  <si>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</si>
  <si>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</si>
  <si>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</si>
  <si>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</si>
  <si>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</si>
  <si>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</si>
  <si>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</si>
  <si>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</si>
  <si>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15-04-2024 24:00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</si>
  <si>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</si>
  <si>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</si>
  <si>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</si>
  <si>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</si>
  <si>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</si>
  <si>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</si>
  <si>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</si>
  <si>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</si>
  <si>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</si>
  <si>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</si>
  <si>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</si>
  <si>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</si>
  <si>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</si>
  <si>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</si>
  <si>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</si>
  <si>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</si>
  <si>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</si>
  <si>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</si>
  <si>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</si>
  <si>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</si>
  <si>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</si>
  <si>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</si>
  <si>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</si>
  <si>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16-04-2024 24:00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</si>
  <si>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</si>
  <si>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</si>
  <si>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</si>
  <si>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</si>
  <si>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</si>
  <si>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</si>
  <si>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</si>
  <si>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</si>
  <si>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</si>
  <si>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</si>
  <si>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</si>
  <si>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</si>
  <si>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</si>
  <si>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</si>
  <si>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</si>
  <si>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</si>
  <si>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</si>
  <si>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</si>
  <si>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</si>
  <si>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</si>
  <si>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</si>
  <si>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</si>
  <si>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</si>
  <si>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17-04-2024 24:00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</si>
  <si>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</si>
  <si>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</si>
  <si>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</si>
  <si>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</si>
  <si>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</si>
  <si>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</si>
  <si>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</si>
  <si>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</si>
  <si>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</si>
  <si>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</si>
  <si>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</si>
  <si>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</si>
  <si>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</si>
  <si>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</si>
  <si>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</si>
  <si>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</si>
  <si>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</si>
  <si>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</si>
  <si>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</si>
  <si>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</si>
  <si>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</si>
  <si>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</si>
  <si>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</si>
  <si>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18-04-2024 24:00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</si>
  <si>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</si>
  <si>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</si>
  <si>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</si>
  <si>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</si>
  <si>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</si>
  <si>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</si>
  <si>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</si>
  <si>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</si>
  <si>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</si>
  <si>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</si>
  <si>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</si>
  <si>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</si>
  <si>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</si>
  <si>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</si>
  <si>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</si>
  <si>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</si>
  <si>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</si>
  <si>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</si>
  <si>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</si>
  <si>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</si>
  <si>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</si>
  <si>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</si>
  <si>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</si>
  <si>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19-04-2024 24:00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</si>
  <si>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</si>
  <si>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</si>
  <si>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</si>
  <si>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</si>
  <si>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</si>
  <si>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</si>
  <si>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</si>
  <si>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</si>
  <si>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</si>
  <si>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</si>
  <si>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</si>
  <si>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</si>
  <si>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</si>
  <si>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</si>
  <si>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</si>
  <si>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</si>
  <si>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</si>
  <si>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</si>
  <si>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</si>
  <si>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</si>
  <si>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</si>
  <si>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</si>
  <si>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</si>
  <si>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20-04-2024 24:00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</si>
  <si>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</si>
  <si>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</si>
  <si>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</si>
  <si>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</si>
  <si>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</si>
  <si>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</si>
  <si>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</si>
  <si>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</si>
  <si>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</si>
  <si>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</si>
  <si>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</si>
  <si>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</si>
  <si>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</si>
  <si>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</si>
  <si>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</si>
  <si>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</si>
  <si>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</si>
  <si>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</si>
  <si>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</si>
  <si>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</si>
  <si>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</si>
  <si>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</si>
  <si>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</si>
  <si>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21-04-2024 24:00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</si>
  <si>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</si>
  <si>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</si>
  <si>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</si>
  <si>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</si>
  <si>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</si>
  <si>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</si>
  <si>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</si>
  <si>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</si>
  <si>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</si>
  <si>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</si>
  <si>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</si>
  <si>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</si>
  <si>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</si>
  <si>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</si>
  <si>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</si>
  <si>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</si>
  <si>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</si>
  <si>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</si>
  <si>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</si>
  <si>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</si>
  <si>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</si>
  <si>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</si>
  <si>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</si>
  <si>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22-04-2024 24:00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</si>
  <si>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</si>
  <si>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</si>
  <si>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</si>
  <si>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</si>
  <si>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</si>
  <si>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</si>
  <si>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</si>
  <si>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</si>
  <si>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</si>
  <si>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</si>
  <si>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</si>
  <si>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</si>
  <si>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</si>
  <si>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</si>
  <si>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</si>
  <si>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</si>
  <si>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</si>
  <si>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</si>
  <si>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</si>
  <si>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</si>
  <si>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</si>
  <si>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</si>
  <si>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</si>
  <si>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23-04-2024 24:00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</si>
  <si>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</si>
  <si>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</si>
  <si>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</si>
  <si>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</si>
  <si>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</si>
  <si>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</si>
  <si>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</si>
  <si>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</si>
  <si>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</si>
  <si>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</si>
  <si>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</si>
  <si>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</si>
  <si>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</si>
  <si>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</si>
  <si>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</si>
  <si>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</si>
  <si>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</si>
  <si>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</si>
  <si>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</si>
  <si>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</si>
  <si>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</si>
  <si>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</si>
  <si>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</si>
  <si>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24-04-2024 24:00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</si>
  <si>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</si>
  <si>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</si>
  <si>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</si>
  <si>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</si>
  <si>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</si>
  <si>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</si>
  <si>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</si>
  <si>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</si>
  <si>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</si>
  <si>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</si>
  <si>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</si>
  <si>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</si>
  <si>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</si>
  <si>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</si>
  <si>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</si>
  <si>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</si>
  <si>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</si>
  <si>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</si>
  <si>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</si>
  <si>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</si>
  <si>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</si>
  <si>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</si>
  <si>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</si>
  <si>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25-04-2024 24:00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</si>
  <si>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</si>
  <si>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</si>
  <si>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</si>
  <si>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</si>
  <si>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</si>
  <si>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</si>
  <si>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</si>
  <si>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</si>
  <si>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</si>
  <si>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</si>
  <si>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</si>
  <si>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</si>
  <si>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</si>
  <si>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</si>
  <si>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</si>
  <si>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</si>
  <si>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</si>
  <si>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</si>
  <si>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</si>
  <si>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</si>
  <si>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</si>
  <si>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</si>
  <si>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</si>
  <si>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26-04-2024 24:00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</si>
  <si>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</si>
  <si>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</si>
  <si>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</si>
  <si>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</si>
  <si>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</si>
  <si>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</si>
  <si>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</si>
  <si>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</si>
  <si>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</si>
  <si>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</si>
  <si>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</si>
  <si>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</si>
  <si>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</si>
  <si>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</si>
  <si>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</si>
  <si>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</si>
  <si>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</si>
  <si>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</si>
  <si>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</si>
  <si>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</si>
  <si>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</si>
  <si>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</si>
  <si>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</si>
  <si>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27-04-2024 24:00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</si>
  <si>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</si>
  <si>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</si>
  <si>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</si>
  <si>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</si>
  <si>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</si>
  <si>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</si>
  <si>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</si>
  <si>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</si>
  <si>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</si>
  <si>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</si>
  <si>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</si>
  <si>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</si>
  <si>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</si>
  <si>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</si>
  <si>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</si>
  <si>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</si>
  <si>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</si>
  <si>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</si>
  <si>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</si>
  <si>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</si>
  <si>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</si>
  <si>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</si>
  <si>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</si>
  <si>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28-04-2024 24:00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</si>
  <si>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</si>
  <si>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</si>
  <si>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</si>
  <si>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</si>
  <si>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</si>
  <si>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</si>
  <si>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</si>
  <si>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</si>
  <si>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</si>
  <si>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</si>
  <si>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</si>
  <si>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</si>
  <si>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</si>
  <si>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</si>
  <si>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</si>
  <si>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</si>
  <si>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</si>
  <si>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</si>
  <si>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</si>
  <si>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</si>
  <si>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</si>
  <si>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</si>
  <si>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</si>
  <si>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29-04-2024 24:00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</si>
  <si>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</si>
  <si>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</si>
  <si>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</si>
  <si>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</si>
  <si>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</si>
  <si>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</si>
  <si>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</si>
  <si>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</si>
  <si>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</si>
  <si>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</si>
  <si>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</si>
  <si>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</si>
  <si>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</si>
  <si>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</si>
  <si>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</si>
  <si>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</si>
  <si>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</si>
  <si>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</si>
  <si>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</si>
  <si>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</si>
  <si>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</si>
  <si>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</si>
  <si>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</si>
  <si>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30-04-2024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</si>
</sst>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3" Type="http://schemas.openxmlformats.org/officeDocument/2006/relationships/worksheet" Target="worksheets/sheet21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9" Type="http://schemas.openxmlformats.org/officeDocument/2006/relationships/worksheet" Target="worksheets/sheet27.xml" /><Relationship Id="rId18" Type="http://schemas.openxmlformats.org/officeDocument/2006/relationships/worksheet" Target="worksheets/sheet16.xml" /><Relationship Id="rId8" Type="http://schemas.openxmlformats.org/officeDocument/2006/relationships/worksheet" Target="worksheets/sheet6.xml" /><Relationship Id="rId33" Type="http://schemas.openxmlformats.org/officeDocument/2006/relationships/worksheet" Target="worksheets/sheet31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30" Type="http://schemas.openxmlformats.org/officeDocument/2006/relationships/worksheet" Target="worksheets/sheet28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22" Type="http://schemas.openxmlformats.org/officeDocument/2006/relationships/worksheet" Target="worksheets/sheet20.xml" /><Relationship Id="rId24" Type="http://schemas.openxmlformats.org/officeDocument/2006/relationships/worksheet" Target="worksheets/sheet22.xml" /><Relationship Id="rId32" Type="http://schemas.openxmlformats.org/officeDocument/2006/relationships/worksheet" Target="worksheets/sheet30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28" Type="http://schemas.openxmlformats.org/officeDocument/2006/relationships/worksheet" Target="worksheets/sheet26.xml" /><Relationship Id="rId31" Type="http://schemas.openxmlformats.org/officeDocument/2006/relationships/worksheet" Target="worksheets/sheet29.xml" /><Relationship Id="rId17" Type="http://schemas.openxmlformats.org/officeDocument/2006/relationships/worksheet" Target="worksheets/sheet15.xml" /><Relationship Id="rId10" Type="http://schemas.openxmlformats.org/officeDocument/2006/relationships/worksheet" Target="worksheets/sheet8.xml" /><Relationship Id="rId21" Type="http://schemas.openxmlformats.org/officeDocument/2006/relationships/worksheet" Target="worksheets/sheet19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3" Type="http://schemas.openxmlformats.org/officeDocument/2006/relationships/worksheet" Target="worksheets/sheet11.xml" /><Relationship Id="rId26" Type="http://schemas.openxmlformats.org/officeDocument/2006/relationships/worksheet" Target="worksheets/sheet24.xml" /><Relationship Id="rId35" Type="http://schemas.openxmlformats.org/officeDocument/2006/relationships/calcChain" Target="calcChain.xml" /><Relationship Id="rId34" Type="http://schemas.openxmlformats.org/officeDocument/2006/relationships/sharedStrings" Target="sharedStrings.xml" /><Relationship Id="rId27" Type="http://schemas.openxmlformats.org/officeDocument/2006/relationships/worksheet" Target="worksheets/sheet25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6fbde2-019a-4df4-a771-2e00bd09ba7a}">
  <sheetPr codeName=""/>
  <dimension ref="A1:U119"/>
  <sheetViews>
    <sheetView tabSelected="1"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62</v>
      </c>
      <c r="B9" s="56">
        <v>6.68</v>
      </c>
      <c r="C9" s="56">
        <v>45.57</v>
      </c>
      <c r="D9" s="56">
        <v>28.49</v>
      </c>
      <c r="E9" s="56">
        <v>1.32</v>
      </c>
      <c r="F9" s="56">
        <v>3.98</v>
      </c>
      <c r="G9" s="56">
        <v>39.74</v>
      </c>
      <c r="H9" s="56">
        <v>22.78</v>
      </c>
      <c r="I9" s="56">
        <v>5.72</v>
      </c>
      <c r="J9" s="56">
        <v>0.38</v>
      </c>
      <c r="K9" s="56">
        <v>353.24</v>
      </c>
      <c r="L9" s="56">
        <v>25.37</v>
      </c>
      <c r="M9" s="56">
        <v>57.34</v>
      </c>
      <c r="N9" s="56">
        <v>26.60</v>
      </c>
      <c r="O9" s="56">
        <v>0</v>
      </c>
      <c r="P9" s="56">
        <v>0.51</v>
      </c>
      <c r="Q9" s="56">
        <v>9.67</v>
      </c>
      <c r="R9" s="43"/>
      <c r="S9" s="43"/>
      <c r="T9" s="43"/>
      <c r="U9" s="43"/>
    </row>
    <row r="10" spans="1:21" s="11" customFormat="1" ht="15">
      <c r="A10" s="55" t="s">
        <v>63</v>
      </c>
      <c r="B10" s="56">
        <v>6.54</v>
      </c>
      <c r="C10" s="56">
        <v>42.40</v>
      </c>
      <c r="D10" s="56">
        <v>27.30</v>
      </c>
      <c r="E10" s="56">
        <v>1.40</v>
      </c>
      <c r="F10" s="56">
        <v>3.91</v>
      </c>
      <c r="G10" s="56">
        <v>39.74</v>
      </c>
      <c r="H10" s="56">
        <v>22.78</v>
      </c>
      <c r="I10" s="56">
        <v>5.61</v>
      </c>
      <c r="J10" s="56">
        <v>0.25</v>
      </c>
      <c r="K10" s="56">
        <v>308.37</v>
      </c>
      <c r="L10" s="56">
        <v>24.34</v>
      </c>
      <c r="M10" s="56">
        <v>64.19</v>
      </c>
      <c r="N10" s="56">
        <v>26.5</v>
      </c>
      <c r="O10" s="56">
        <v>0</v>
      </c>
      <c r="P10" s="56">
        <v>0.51</v>
      </c>
      <c r="Q10" s="56">
        <v>9.7100000000000009</v>
      </c>
      <c r="R10" s="43"/>
      <c r="S10" s="43"/>
      <c r="T10" s="43"/>
      <c r="U10" s="43"/>
    </row>
    <row r="11" spans="1:21" s="11" customFormat="1" ht="15">
      <c r="A11" s="55" t="s">
        <v>64</v>
      </c>
      <c r="B11" s="56">
        <v>6.70</v>
      </c>
      <c r="C11" s="56">
        <v>41.38</v>
      </c>
      <c r="D11" s="56">
        <v>26.91</v>
      </c>
      <c r="E11" s="56">
        <v>1.30</v>
      </c>
      <c r="F11" s="56">
        <v>3.56</v>
      </c>
      <c r="G11" s="56">
        <v>36.590000000000003</v>
      </c>
      <c r="H11" s="56">
        <v>20.60</v>
      </c>
      <c r="I11" s="56">
        <v>5.54</v>
      </c>
      <c r="J11" s="56">
        <v>0.26</v>
      </c>
      <c r="K11" s="56">
        <v>239.46</v>
      </c>
      <c r="L11" s="56">
        <v>24.04</v>
      </c>
      <c r="M11" s="56">
        <v>63.07</v>
      </c>
      <c r="N11" s="56">
        <v>26.20</v>
      </c>
      <c r="O11" s="56">
        <v>0</v>
      </c>
      <c r="P11" s="56">
        <v>0.51</v>
      </c>
      <c r="Q11" s="56">
        <v>9.67</v>
      </c>
      <c r="R11" s="43"/>
      <c r="S11" s="43"/>
      <c r="T11" s="43"/>
      <c r="U11" s="43"/>
    </row>
    <row r="12" spans="1:21" s="11" customFormat="1" ht="15">
      <c r="A12" s="55" t="s">
        <v>65</v>
      </c>
      <c r="B12" s="56">
        <v>7.67</v>
      </c>
      <c r="C12" s="56">
        <v>41.13</v>
      </c>
      <c r="D12" s="56">
        <v>27.31</v>
      </c>
      <c r="E12" s="56">
        <v>2.67</v>
      </c>
      <c r="F12" s="56">
        <v>3.75</v>
      </c>
      <c r="G12" s="56">
        <v>39.47</v>
      </c>
      <c r="H12" s="56">
        <v>20.32</v>
      </c>
      <c r="I12" s="56">
        <v>4.75</v>
      </c>
      <c r="J12" s="56">
        <v>0.20</v>
      </c>
      <c r="K12" s="56">
        <v>316.02999999999997</v>
      </c>
      <c r="L12" s="56">
        <v>23.78</v>
      </c>
      <c r="M12" s="56">
        <v>66.48</v>
      </c>
      <c r="N12" s="56">
        <v>26.70</v>
      </c>
      <c r="O12" s="56">
        <v>0</v>
      </c>
      <c r="P12" s="56">
        <v>0.49</v>
      </c>
      <c r="Q12" s="56">
        <v>9.69</v>
      </c>
      <c r="R12" s="43"/>
      <c r="S12" s="43"/>
      <c r="T12" s="43"/>
      <c r="U12" s="43"/>
    </row>
    <row r="13" spans="1:21" s="11" customFormat="1" ht="15">
      <c r="A13" s="55" t="s">
        <v>66</v>
      </c>
      <c r="B13" s="56">
        <v>7.79</v>
      </c>
      <c r="C13" s="56">
        <v>43.37</v>
      </c>
      <c r="D13" s="56">
        <v>28.49</v>
      </c>
      <c r="E13" s="56">
        <v>2.73</v>
      </c>
      <c r="F13" s="56">
        <v>3.82</v>
      </c>
      <c r="G13" s="56">
        <v>39.47</v>
      </c>
      <c r="H13" s="56">
        <v>20.88</v>
      </c>
      <c r="I13" s="56">
        <v>6.32</v>
      </c>
      <c r="J13" s="56">
        <v>0.11</v>
      </c>
      <c r="K13" s="56">
        <v>342.63</v>
      </c>
      <c r="L13" s="56">
        <v>24.15</v>
      </c>
      <c r="M13" s="56">
        <v>55.10</v>
      </c>
      <c r="N13" s="56">
        <v>26.30</v>
      </c>
      <c r="O13" s="56">
        <v>0</v>
      </c>
      <c r="P13" s="56">
        <v>0.5</v>
      </c>
      <c r="Q13" s="56">
        <v>9.66</v>
      </c>
      <c r="R13" s="43"/>
      <c r="S13" s="43"/>
      <c r="T13" s="43"/>
      <c r="U13" s="43"/>
    </row>
    <row r="14" spans="1:21" s="11" customFormat="1" ht="15">
      <c r="A14" s="55" t="s">
        <v>67</v>
      </c>
      <c r="B14" s="56">
        <v>6.98</v>
      </c>
      <c r="C14" s="56">
        <v>43.01</v>
      </c>
      <c r="D14" s="56">
        <v>27.99</v>
      </c>
      <c r="E14" s="56">
        <v>2.64</v>
      </c>
      <c r="F14" s="56">
        <v>4.07</v>
      </c>
      <c r="G14" s="56">
        <v>42.48</v>
      </c>
      <c r="H14" s="56">
        <v>21.56</v>
      </c>
      <c r="I14" s="56">
        <v>6.60</v>
      </c>
      <c r="J14" s="56">
        <v>0.30</v>
      </c>
      <c r="K14" s="56">
        <v>225.31</v>
      </c>
      <c r="L14" s="56">
        <v>24.03</v>
      </c>
      <c r="M14" s="56">
        <v>55.96</v>
      </c>
      <c r="N14" s="56">
        <v>33</v>
      </c>
      <c r="O14" s="56">
        <v>0</v>
      </c>
      <c r="P14" s="56">
        <v>0.51</v>
      </c>
      <c r="Q14" s="56">
        <v>9.69</v>
      </c>
      <c r="R14" s="43"/>
      <c r="S14" s="43"/>
      <c r="T14" s="43"/>
      <c r="U14" s="43"/>
    </row>
    <row r="15" spans="1:21" s="11" customFormat="1" ht="15">
      <c r="A15" s="55" t="s">
        <v>68</v>
      </c>
      <c r="B15" s="56">
        <v>5.74</v>
      </c>
      <c r="C15" s="56">
        <v>44.01</v>
      </c>
      <c r="D15" s="56">
        <v>27.52</v>
      </c>
      <c r="E15" s="56">
        <v>2.77</v>
      </c>
      <c r="F15" s="56">
        <v>3.73</v>
      </c>
      <c r="G15" s="56">
        <v>43.40</v>
      </c>
      <c r="H15" s="56">
        <v>21.56</v>
      </c>
      <c r="I15" s="56">
        <v>5.95</v>
      </c>
      <c r="J15" s="56">
        <v>0.08</v>
      </c>
      <c r="K15" s="56">
        <v>359.33</v>
      </c>
      <c r="L15" s="56">
        <v>25.68</v>
      </c>
      <c r="M15" s="56">
        <v>48.59</v>
      </c>
      <c r="N15" s="56">
        <v>156.80000000000001</v>
      </c>
      <c r="O15" s="56">
        <v>0</v>
      </c>
      <c r="P15" s="56">
        <v>0.54</v>
      </c>
      <c r="Q15" s="56">
        <v>9.5299999999999994</v>
      </c>
      <c r="R15" s="43"/>
      <c r="S15" s="43"/>
      <c r="T15" s="43"/>
      <c r="U15" s="43"/>
    </row>
    <row r="16" spans="1:21" s="11" customFormat="1" ht="15">
      <c r="A16" s="55" t="s">
        <v>69</v>
      </c>
      <c r="B16" s="56">
        <v>6.03</v>
      </c>
      <c r="C16" s="56">
        <v>45.87</v>
      </c>
      <c r="D16" s="56">
        <v>28.51</v>
      </c>
      <c r="E16" s="56">
        <v>2.73</v>
      </c>
      <c r="F16" s="56">
        <v>4.0199999999999996</v>
      </c>
      <c r="G16" s="56">
        <v>48.69</v>
      </c>
      <c r="H16" s="56">
        <v>21.27</v>
      </c>
      <c r="I16" s="56">
        <v>5.91</v>
      </c>
      <c r="J16" s="56">
        <v>0.13</v>
      </c>
      <c r="K16" s="56">
        <v>344.60</v>
      </c>
      <c r="L16" s="56">
        <v>28.66</v>
      </c>
      <c r="M16" s="56">
        <v>40.14</v>
      </c>
      <c r="N16" s="56">
        <v>365.80</v>
      </c>
      <c r="O16" s="56">
        <v>0</v>
      </c>
      <c r="P16" s="56">
        <v>0.60</v>
      </c>
      <c r="Q16" s="56">
        <v>9.75</v>
      </c>
      <c r="R16" s="43"/>
      <c r="S16" s="43"/>
      <c r="T16" s="43"/>
      <c r="U16" s="43"/>
    </row>
    <row r="17" spans="1:21" s="11" customFormat="1" ht="15">
      <c r="A17" s="55" t="s">
        <v>70</v>
      </c>
      <c r="B17" s="56">
        <v>5.40</v>
      </c>
      <c r="C17" s="56">
        <v>48.45</v>
      </c>
      <c r="D17" s="56">
        <v>28.94</v>
      </c>
      <c r="E17" s="56">
        <v>2.2799999999999998</v>
      </c>
      <c r="F17" s="56">
        <v>6.05</v>
      </c>
      <c r="G17" s="56">
        <v>50.91</v>
      </c>
      <c r="H17" s="56">
        <v>23.72</v>
      </c>
      <c r="I17" s="56">
        <v>5.92</v>
      </c>
      <c r="J17" s="56">
        <v>0.12</v>
      </c>
      <c r="K17" s="56">
        <v>344.35</v>
      </c>
      <c r="L17" s="56">
        <v>30.48</v>
      </c>
      <c r="M17" s="56">
        <v>38.340000000000003</v>
      </c>
      <c r="N17" s="56">
        <v>582.60</v>
      </c>
      <c r="O17" s="56">
        <v>0</v>
      </c>
      <c r="P17" s="56">
        <v>0.61</v>
      </c>
      <c r="Q17" s="56">
        <v>9.67</v>
      </c>
      <c r="R17" s="43"/>
      <c r="S17" s="43"/>
      <c r="T17" s="43"/>
      <c r="U17" s="43"/>
    </row>
    <row r="18" spans="1:21" s="11" customFormat="1" ht="15">
      <c r="A18" s="55" t="s">
        <v>71</v>
      </c>
      <c r="B18" s="56">
        <v>1.67</v>
      </c>
      <c r="C18" s="56">
        <v>53.44</v>
      </c>
      <c r="D18" s="56">
        <v>28.82</v>
      </c>
      <c r="E18" s="56">
        <v>2.63</v>
      </c>
      <c r="F18" s="56">
        <v>9.06</v>
      </c>
      <c r="G18" s="56">
        <v>54.24</v>
      </c>
      <c r="H18" s="56">
        <v>23.72</v>
      </c>
      <c r="I18" s="56">
        <v>5.62</v>
      </c>
      <c r="J18" s="56">
        <v>0.25</v>
      </c>
      <c r="K18" s="56">
        <v>26.65</v>
      </c>
      <c r="L18" s="56">
        <v>32.51</v>
      </c>
      <c r="M18" s="56">
        <v>34.60</v>
      </c>
      <c r="N18" s="56">
        <v>774.5</v>
      </c>
      <c r="O18" s="56">
        <v>0</v>
      </c>
      <c r="P18" s="56">
        <v>0.60</v>
      </c>
      <c r="Q18" s="56">
        <v>9.65</v>
      </c>
      <c r="R18" s="43"/>
      <c r="S18" s="43"/>
      <c r="T18" s="43"/>
      <c r="U18" s="43"/>
    </row>
    <row r="19" spans="1:21" s="11" customFormat="1" ht="15">
      <c r="A19" s="55" t="s">
        <v>72</v>
      </c>
      <c r="B19" s="56">
        <v>0.92</v>
      </c>
      <c r="C19" s="56">
        <v>55.70</v>
      </c>
      <c r="D19" s="56">
        <v>29.54</v>
      </c>
      <c r="E19" s="56">
        <v>2.83</v>
      </c>
      <c r="F19" s="56">
        <v>13.59</v>
      </c>
      <c r="G19" s="56">
        <v>54.24</v>
      </c>
      <c r="H19" s="56">
        <v>23.72</v>
      </c>
      <c r="I19" s="56">
        <v>3.82</v>
      </c>
      <c r="J19" s="56">
        <v>0.67</v>
      </c>
      <c r="K19" s="56">
        <v>322.27999999999997</v>
      </c>
      <c r="L19" s="56">
        <v>35.42</v>
      </c>
      <c r="M19" s="56">
        <v>31.59</v>
      </c>
      <c r="N19" s="56">
        <v>865.80</v>
      </c>
      <c r="O19" s="56">
        <v>0</v>
      </c>
      <c r="P19" s="56">
        <v>0.55000000000000004</v>
      </c>
      <c r="Q19" s="56">
        <v>9.58</v>
      </c>
      <c r="R19" s="43"/>
      <c r="S19" s="43"/>
      <c r="T19" s="43"/>
      <c r="U19" s="43"/>
    </row>
    <row r="20" spans="1:21" s="11" customFormat="1" ht="15">
      <c r="A20" s="55" t="s">
        <v>73</v>
      </c>
      <c r="B20" s="56">
        <v>1.18</v>
      </c>
      <c r="C20" s="56">
        <v>44.21</v>
      </c>
      <c r="D20" s="56">
        <v>23.97</v>
      </c>
      <c r="E20" s="18" t="s">
        <v>12</v>
      </c>
      <c r="F20" s="56">
        <v>18.22</v>
      </c>
      <c r="G20" s="18" t="s">
        <v>12</v>
      </c>
      <c r="H20" s="18" t="s">
        <v>12</v>
      </c>
      <c r="I20" s="56">
        <v>2.81</v>
      </c>
      <c r="J20" s="56">
        <v>0.54</v>
      </c>
      <c r="K20" s="56">
        <v>345.59</v>
      </c>
      <c r="L20" s="56">
        <v>36.840000000000003</v>
      </c>
      <c r="M20" s="56">
        <v>27.51</v>
      </c>
      <c r="N20" s="56">
        <v>922.70</v>
      </c>
      <c r="O20" s="56">
        <v>0</v>
      </c>
      <c r="P20" s="56">
        <v>0.51</v>
      </c>
      <c r="Q20" s="56">
        <v>9.44</v>
      </c>
      <c r="R20" s="43"/>
      <c r="S20" s="43"/>
      <c r="T20" s="43"/>
      <c r="U20" s="43"/>
    </row>
    <row r="21" spans="1:21" s="11" customFormat="1" ht="15">
      <c r="A21" s="55" t="s">
        <v>74</v>
      </c>
      <c r="B21" s="56">
        <v>0.41</v>
      </c>
      <c r="C21" s="56">
        <v>44.29</v>
      </c>
      <c r="D21" s="56">
        <v>23.39</v>
      </c>
      <c r="E21" s="56">
        <v>6</v>
      </c>
      <c r="F21" s="56">
        <v>18.059999999999999</v>
      </c>
      <c r="G21" s="56">
        <v>66.430000000000007</v>
      </c>
      <c r="H21" s="56">
        <v>18.309999999999999</v>
      </c>
      <c r="I21" s="56">
        <v>6.43</v>
      </c>
      <c r="J21" s="56">
        <v>0.44</v>
      </c>
      <c r="K21" s="56">
        <v>350.52</v>
      </c>
      <c r="L21" s="56">
        <v>36.78</v>
      </c>
      <c r="M21" s="56">
        <v>23.38</v>
      </c>
      <c r="N21" s="56">
        <v>913.90</v>
      </c>
      <c r="O21" s="56">
        <v>0</v>
      </c>
      <c r="P21" s="56">
        <v>0.49</v>
      </c>
      <c r="Q21" s="56">
        <v>9.40</v>
      </c>
      <c r="R21" s="43"/>
      <c r="S21" s="43"/>
      <c r="T21" s="43"/>
      <c r="U21" s="43"/>
    </row>
    <row r="22" spans="1:21" s="11" customFormat="1" ht="15">
      <c r="A22" s="55" t="s">
        <v>75</v>
      </c>
      <c r="B22" s="56">
        <v>0.60</v>
      </c>
      <c r="C22" s="56">
        <v>57.78</v>
      </c>
      <c r="D22" s="56">
        <v>30.59</v>
      </c>
      <c r="E22" s="56">
        <v>3.20</v>
      </c>
      <c r="F22" s="56">
        <v>13.62</v>
      </c>
      <c r="G22" s="56">
        <v>66.430000000000007</v>
      </c>
      <c r="H22" s="56">
        <v>22.49</v>
      </c>
      <c r="I22" s="56">
        <v>6.25</v>
      </c>
      <c r="J22" s="56">
        <v>0.35</v>
      </c>
      <c r="K22" s="56">
        <v>355.44</v>
      </c>
      <c r="L22" s="56">
        <v>36.89</v>
      </c>
      <c r="M22" s="56">
        <v>21</v>
      </c>
      <c r="N22" s="56">
        <v>847</v>
      </c>
      <c r="O22" s="56">
        <v>0</v>
      </c>
      <c r="P22" s="56">
        <v>0.48</v>
      </c>
      <c r="Q22" s="56">
        <v>9.51</v>
      </c>
      <c r="R22" s="43"/>
      <c r="S22" s="43"/>
      <c r="T22" s="43"/>
      <c r="U22" s="43"/>
    </row>
    <row r="23" spans="1:21" s="11" customFormat="1" ht="15">
      <c r="A23" s="55" t="s">
        <v>76</v>
      </c>
      <c r="B23" s="56">
        <v>0.77</v>
      </c>
      <c r="C23" s="56">
        <v>58.45</v>
      </c>
      <c r="D23" s="56">
        <v>31.02</v>
      </c>
      <c r="E23" s="56">
        <v>2.77</v>
      </c>
      <c r="F23" s="56">
        <v>13.31</v>
      </c>
      <c r="G23" s="56">
        <v>63.51</v>
      </c>
      <c r="H23" s="56">
        <v>24.48</v>
      </c>
      <c r="I23" s="56">
        <v>4.41</v>
      </c>
      <c r="J23" s="56">
        <v>0.49</v>
      </c>
      <c r="K23" s="56">
        <v>349.33</v>
      </c>
      <c r="L23" s="56">
        <v>36.5</v>
      </c>
      <c r="M23" s="56">
        <v>22.10</v>
      </c>
      <c r="N23" s="56">
        <v>594</v>
      </c>
      <c r="O23" s="56">
        <v>0</v>
      </c>
      <c r="P23" s="56">
        <v>0.48</v>
      </c>
      <c r="Q23" s="56">
        <v>9.7899999999999991</v>
      </c>
      <c r="R23" s="43"/>
      <c r="S23" s="43"/>
      <c r="T23" s="43"/>
      <c r="U23" s="43"/>
    </row>
    <row r="24" spans="1:21" s="11" customFormat="1" ht="15">
      <c r="A24" s="55" t="s">
        <v>77</v>
      </c>
      <c r="B24" s="56">
        <v>0.84</v>
      </c>
      <c r="C24" s="56">
        <v>58.09</v>
      </c>
      <c r="D24" s="56">
        <v>30.94</v>
      </c>
      <c r="E24" s="56">
        <v>2.73</v>
      </c>
      <c r="F24" s="56">
        <v>12.28</v>
      </c>
      <c r="G24" s="56">
        <v>54.58</v>
      </c>
      <c r="H24" s="56">
        <v>34.409999999999997</v>
      </c>
      <c r="I24" s="56">
        <v>3.52</v>
      </c>
      <c r="J24" s="56">
        <v>0.36</v>
      </c>
      <c r="K24" s="56">
        <v>336.86</v>
      </c>
      <c r="L24" s="56">
        <v>35.74</v>
      </c>
      <c r="M24" s="56">
        <v>22.94</v>
      </c>
      <c r="N24" s="56">
        <v>361.40</v>
      </c>
      <c r="O24" s="56">
        <v>0</v>
      </c>
      <c r="P24" s="56">
        <v>0.45</v>
      </c>
      <c r="Q24" s="56">
        <v>9.6300000000000008</v>
      </c>
      <c r="R24" s="43"/>
      <c r="S24" s="43"/>
      <c r="T24" s="43"/>
      <c r="U24" s="43"/>
    </row>
    <row r="25" spans="1:21" s="11" customFormat="1" ht="15">
      <c r="A25" s="55" t="s">
        <v>78</v>
      </c>
      <c r="B25" s="56">
        <v>0.68</v>
      </c>
      <c r="C25" s="56">
        <v>53.74</v>
      </c>
      <c r="D25" s="56">
        <v>28.39</v>
      </c>
      <c r="E25" s="56">
        <v>1.46</v>
      </c>
      <c r="F25" s="56">
        <v>11.28</v>
      </c>
      <c r="G25" s="56">
        <v>54.05</v>
      </c>
      <c r="H25" s="56">
        <v>34.409999999999997</v>
      </c>
      <c r="I25" s="56">
        <v>2.62</v>
      </c>
      <c r="J25" s="56">
        <v>0.18</v>
      </c>
      <c r="K25" s="56">
        <v>351.44</v>
      </c>
      <c r="L25" s="56">
        <v>34.60</v>
      </c>
      <c r="M25" s="56">
        <v>23.24</v>
      </c>
      <c r="N25" s="56">
        <v>197.10</v>
      </c>
      <c r="O25" s="56">
        <v>0</v>
      </c>
      <c r="P25" s="56">
        <v>0.41</v>
      </c>
      <c r="Q25" s="56">
        <v>9.5299999999999994</v>
      </c>
      <c r="R25" s="43"/>
      <c r="S25" s="43"/>
      <c r="T25" s="43"/>
      <c r="U25" s="43"/>
    </row>
    <row r="26" spans="1:21" s="11" customFormat="1" ht="15">
      <c r="A26" s="55" t="s">
        <v>79</v>
      </c>
      <c r="B26" s="56">
        <v>5.99</v>
      </c>
      <c r="C26" s="56">
        <v>52.20</v>
      </c>
      <c r="D26" s="56">
        <v>31.76</v>
      </c>
      <c r="E26" s="56">
        <v>1.31</v>
      </c>
      <c r="F26" s="56">
        <v>10.28</v>
      </c>
      <c r="G26" s="56">
        <v>54.05</v>
      </c>
      <c r="H26" s="56">
        <v>31.43</v>
      </c>
      <c r="I26" s="56">
        <v>2.65</v>
      </c>
      <c r="J26" s="56">
        <v>0.24</v>
      </c>
      <c r="K26" s="56">
        <v>358.76</v>
      </c>
      <c r="L26" s="56">
        <v>33.83</v>
      </c>
      <c r="M26" s="56">
        <v>25.26</v>
      </c>
      <c r="N26" s="56">
        <v>105.90</v>
      </c>
      <c r="O26" s="56">
        <v>0</v>
      </c>
      <c r="P26" s="56">
        <v>0.51</v>
      </c>
      <c r="Q26" s="56">
        <v>9.5500000000000007</v>
      </c>
      <c r="R26" s="43"/>
      <c r="S26" s="43"/>
      <c r="T26" s="43"/>
      <c r="U26" s="43"/>
    </row>
    <row r="27" spans="1:21" s="11" customFormat="1" ht="15">
      <c r="A27" s="55" t="s">
        <v>80</v>
      </c>
      <c r="B27" s="56">
        <v>9.36</v>
      </c>
      <c r="C27" s="56">
        <v>58.17</v>
      </c>
      <c r="D27" s="56">
        <v>37.82</v>
      </c>
      <c r="E27" s="56">
        <v>1.25</v>
      </c>
      <c r="F27" s="56">
        <v>19.28</v>
      </c>
      <c r="G27" s="56">
        <v>65.62</v>
      </c>
      <c r="H27" s="56">
        <v>29.01</v>
      </c>
      <c r="I27" s="56">
        <v>3.72</v>
      </c>
      <c r="J27" s="56">
        <v>0.17</v>
      </c>
      <c r="K27" s="56">
        <v>353.13</v>
      </c>
      <c r="L27" s="56">
        <v>32.43</v>
      </c>
      <c r="M27" s="56">
        <v>29.57</v>
      </c>
      <c r="N27" s="56">
        <v>38.200000000000003</v>
      </c>
      <c r="O27" s="56">
        <v>0</v>
      </c>
      <c r="P27" s="56">
        <v>0.70</v>
      </c>
      <c r="Q27" s="56">
        <v>9.8800000000000008</v>
      </c>
      <c r="R27" s="43"/>
      <c r="S27" s="43"/>
      <c r="T27" s="43"/>
      <c r="U27" s="43"/>
    </row>
    <row r="28" spans="1:21" s="11" customFormat="1" ht="15">
      <c r="A28" s="55" t="s">
        <v>81</v>
      </c>
      <c r="B28" s="56">
        <v>11.47</v>
      </c>
      <c r="C28" s="56">
        <v>61.82</v>
      </c>
      <c r="D28" s="56">
        <v>41.41</v>
      </c>
      <c r="E28" s="56">
        <v>1.23</v>
      </c>
      <c r="F28" s="56">
        <v>12.28</v>
      </c>
      <c r="G28" s="56">
        <v>65.62</v>
      </c>
      <c r="H28" s="56">
        <v>25.90</v>
      </c>
      <c r="I28" s="56">
        <v>5.33</v>
      </c>
      <c r="J28" s="56">
        <v>0.17</v>
      </c>
      <c r="K28" s="56">
        <v>315.33999999999997</v>
      </c>
      <c r="L28" s="56">
        <v>30.77</v>
      </c>
      <c r="M28" s="56">
        <v>35.049999999999997</v>
      </c>
      <c r="N28" s="56">
        <v>33</v>
      </c>
      <c r="O28" s="56">
        <v>0</v>
      </c>
      <c r="P28" s="56">
        <v>0.98</v>
      </c>
      <c r="Q28" s="56">
        <v>9.81</v>
      </c>
      <c r="R28" s="43"/>
      <c r="S28" s="43"/>
      <c r="T28" s="43"/>
      <c r="U28" s="43"/>
    </row>
    <row r="29" spans="1:21" s="11" customFormat="1" ht="15">
      <c r="A29" s="55" t="s">
        <v>82</v>
      </c>
      <c r="B29" s="56">
        <v>24.01</v>
      </c>
      <c r="C29" s="56">
        <v>66.930000000000007</v>
      </c>
      <c r="D29" s="56">
        <v>53.02</v>
      </c>
      <c r="E29" s="56">
        <v>0.72</v>
      </c>
      <c r="F29" s="56">
        <v>13.28</v>
      </c>
      <c r="G29" s="56">
        <v>82.19</v>
      </c>
      <c r="H29" s="56">
        <v>21.38</v>
      </c>
      <c r="I29" s="56">
        <v>6.52</v>
      </c>
      <c r="J29" s="56">
        <v>0.14000000000000001</v>
      </c>
      <c r="K29" s="56">
        <v>265.02</v>
      </c>
      <c r="L29" s="56">
        <v>28.48</v>
      </c>
      <c r="M29" s="56">
        <v>47.66</v>
      </c>
      <c r="N29" s="56">
        <v>33.700000000000003</v>
      </c>
      <c r="O29" s="56">
        <v>0</v>
      </c>
      <c r="P29" s="56">
        <v>1.30</v>
      </c>
      <c r="Q29" s="56">
        <v>10.10</v>
      </c>
      <c r="R29" s="43"/>
      <c r="S29" s="43"/>
      <c r="T29" s="43"/>
      <c r="U29" s="43"/>
    </row>
    <row r="30" spans="1:21" s="11" customFormat="1" ht="15">
      <c r="A30" s="55" t="s">
        <v>83</v>
      </c>
      <c r="B30" s="56">
        <v>29.71</v>
      </c>
      <c r="C30" s="56">
        <v>61.23</v>
      </c>
      <c r="D30" s="56">
        <v>55.42</v>
      </c>
      <c r="E30" s="56">
        <v>0.55000000000000004</v>
      </c>
      <c r="F30" s="56">
        <v>12.28</v>
      </c>
      <c r="G30" s="56">
        <v>82.19</v>
      </c>
      <c r="H30" s="56">
        <v>21.38</v>
      </c>
      <c r="I30" s="56">
        <v>7.16</v>
      </c>
      <c r="J30" s="56">
        <v>0.26</v>
      </c>
      <c r="K30" s="56">
        <v>259.89999999999998</v>
      </c>
      <c r="L30" s="56">
        <v>28.05</v>
      </c>
      <c r="M30" s="56">
        <v>41.86</v>
      </c>
      <c r="N30" s="56">
        <v>35.299999999999997</v>
      </c>
      <c r="O30" s="56">
        <v>0</v>
      </c>
      <c r="P30" s="56">
        <v>1.26</v>
      </c>
      <c r="Q30" s="56">
        <v>10.039999999999999</v>
      </c>
      <c r="R30" s="43"/>
      <c r="S30" s="43"/>
      <c r="T30" s="43"/>
      <c r="U30" s="43"/>
    </row>
    <row r="31" spans="1:21" s="11" customFormat="1" ht="15">
      <c r="A31" s="55" t="s">
        <v>84</v>
      </c>
      <c r="B31" s="56">
        <v>39.450000000000003</v>
      </c>
      <c r="C31" s="56">
        <v>66.05</v>
      </c>
      <c r="D31" s="56">
        <v>66.069999999999993</v>
      </c>
      <c r="E31" s="56">
        <v>0.87</v>
      </c>
      <c r="F31" s="56">
        <v>14.28</v>
      </c>
      <c r="G31" s="56">
        <v>80.44</v>
      </c>
      <c r="H31" s="56">
        <v>15.58</v>
      </c>
      <c r="I31" s="56">
        <v>7.14</v>
      </c>
      <c r="J31" s="56">
        <v>0.17</v>
      </c>
      <c r="K31" s="56">
        <v>347.67</v>
      </c>
      <c r="L31" s="56">
        <v>26.80</v>
      </c>
      <c r="M31" s="56">
        <v>51.44</v>
      </c>
      <c r="N31" s="56">
        <v>37.700000000000003</v>
      </c>
      <c r="O31" s="56">
        <v>0</v>
      </c>
      <c r="P31" s="56">
        <v>1.35</v>
      </c>
      <c r="Q31" s="56">
        <v>10.45</v>
      </c>
      <c r="R31" s="43"/>
      <c r="S31" s="43"/>
      <c r="T31" s="43"/>
      <c r="U31" s="43"/>
    </row>
    <row r="32" spans="1:21" s="11" customFormat="1" ht="15">
      <c r="A32" s="55" t="s">
        <v>85</v>
      </c>
      <c r="B32" s="56">
        <v>46.22</v>
      </c>
      <c r="C32" s="56">
        <v>67.34</v>
      </c>
      <c r="D32" s="56">
        <v>72.06</v>
      </c>
      <c r="E32" s="56">
        <v>3.02</v>
      </c>
      <c r="F32" s="56">
        <v>12.28</v>
      </c>
      <c r="G32" s="56">
        <v>75.83</v>
      </c>
      <c r="H32" s="56">
        <v>16.39</v>
      </c>
      <c r="I32" s="56">
        <v>7.71</v>
      </c>
      <c r="J32" s="56">
        <v>0.22</v>
      </c>
      <c r="K32" s="56">
        <v>356.81</v>
      </c>
      <c r="L32" s="56">
        <v>26.14</v>
      </c>
      <c r="M32" s="56">
        <v>55.64</v>
      </c>
      <c r="N32" s="56">
        <v>39.40</v>
      </c>
      <c r="O32" s="56">
        <v>0</v>
      </c>
      <c r="P32" s="56">
        <v>1.34</v>
      </c>
      <c r="Q32" s="56">
        <v>10.44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0.40999999999999998</v>
      </c>
      <c r="C34" s="28">
        <f t="shared" si="0"/>
        <v>41.130000000000003</v>
      </c>
      <c r="D34" s="28">
        <f t="shared" si="0"/>
        <v>23.390000000000001</v>
      </c>
      <c r="E34" s="28">
        <f t="shared" si="0"/>
        <v>0.55000000000000004</v>
      </c>
      <c r="F34" s="28">
        <f t="shared" si="0"/>
        <v>3.5600000000000001</v>
      </c>
      <c r="G34" s="28">
        <f t="shared" si="0"/>
        <v>36.590000000000003</v>
      </c>
      <c r="H34" s="28">
        <f t="shared" si="0"/>
        <v>15.58</v>
      </c>
      <c r="I34" s="28">
        <f t="shared" si="0"/>
        <v>2.6200000000000001</v>
      </c>
      <c r="J34" s="28">
        <f t="shared" si="0"/>
        <v>0.080000000000000002</v>
      </c>
      <c r="K34" s="28">
        <f t="shared" si="0"/>
        <v>26.649999999999999</v>
      </c>
      <c r="L34" s="28">
        <f t="shared" si="0"/>
        <v>23.780000000000001</v>
      </c>
      <c r="M34" s="28">
        <f t="shared" si="0"/>
        <v>21</v>
      </c>
      <c r="N34" s="28">
        <f t="shared" si="0"/>
        <v>26.199999999999999</v>
      </c>
      <c r="O34" s="28">
        <f t="shared" si="0"/>
        <v>0</v>
      </c>
      <c r="P34" s="28">
        <f t="shared" si="0"/>
        <v>0.40999999999999998</v>
      </c>
      <c r="Q34" s="28">
        <f t="shared" si="0"/>
        <v>9.4000000000000004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46.219999999999999</v>
      </c>
      <c r="C35" s="29">
        <f t="shared" si="1"/>
        <v>67.340000000000003</v>
      </c>
      <c r="D35" s="29">
        <f t="shared" si="1"/>
        <v>72.060000000000002</v>
      </c>
      <c r="E35" s="29">
        <f t="shared" si="1"/>
        <v>6</v>
      </c>
      <c r="F35" s="29">
        <f t="shared" si="1"/>
        <v>19.280000000000001</v>
      </c>
      <c r="G35" s="29">
        <f t="shared" si="1"/>
        <v>82.189999999999998</v>
      </c>
      <c r="H35" s="29">
        <f t="shared" si="1"/>
        <v>34.409999999999997</v>
      </c>
      <c r="I35" s="29">
        <f t="shared" si="1"/>
        <v>7.71</v>
      </c>
      <c r="J35" s="29">
        <f t="shared" si="1"/>
        <v>0.67000000000000004</v>
      </c>
      <c r="K35" s="29">
        <f t="shared" si="1"/>
        <v>359.32999999999998</v>
      </c>
      <c r="L35" s="29">
        <f t="shared" si="1"/>
        <v>36.890000000000001</v>
      </c>
      <c r="M35" s="29">
        <f t="shared" si="1"/>
        <v>66.480000000000004</v>
      </c>
      <c r="N35" s="29">
        <f t="shared" si="1"/>
        <v>922.70000000000005</v>
      </c>
      <c r="O35" s="29">
        <f t="shared" si="1"/>
        <v>0</v>
      </c>
      <c r="P35" s="29">
        <f t="shared" si="1"/>
        <v>1.3500000000000001</v>
      </c>
      <c r="Q35" s="29">
        <f t="shared" si="1"/>
        <v>10.449999999999999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9.7004166666666674</v>
      </c>
      <c r="C36" s="28">
        <f t="shared" si="2"/>
        <v>52.276249999999997</v>
      </c>
      <c r="D36" s="28">
        <f t="shared" si="2"/>
        <v>34.819999999999993</v>
      </c>
      <c r="E36" s="28">
        <f t="shared" si="2"/>
        <v>2.1917391304347826</v>
      </c>
      <c r="F36" s="28">
        <f t="shared" si="2"/>
        <v>10.01125</v>
      </c>
      <c r="G36" s="28">
        <f t="shared" si="2"/>
        <v>56.517826086956525</v>
      </c>
      <c r="H36" s="28">
        <f t="shared" si="2"/>
        <v>23.39478260869565</v>
      </c>
      <c r="I36" s="28">
        <f t="shared" si="2"/>
        <v>5.3345833333333337</v>
      </c>
      <c r="J36" s="28">
        <f t="shared" si="2"/>
        <v>0.26999999999999996</v>
      </c>
      <c r="K36" s="28">
        <f t="shared" si="2"/>
        <v>313.66916666666668</v>
      </c>
      <c r="L36" s="28">
        <f t="shared" si="2"/>
        <v>30.096249999999998</v>
      </c>
      <c r="M36" s="28">
        <f t="shared" si="2"/>
        <v>40.918750000000003</v>
      </c>
      <c r="N36" s="28">
        <f t="shared" si="2"/>
        <v>294.58749999999992</v>
      </c>
      <c r="O36" s="28">
        <f t="shared" si="2"/>
        <v>0</v>
      </c>
      <c r="P36" s="28">
        <f t="shared" si="2"/>
        <v>0.67458333333333342</v>
      </c>
      <c r="Q36" s="28">
        <f t="shared" si="2"/>
        <v>9.7433333333333323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12.431996404497921</v>
      </c>
      <c r="C37" s="28">
        <f t="shared" si="3" ref="C37:Q37">STDEV(C9:C32)</f>
        <v>8.7434615632880863</v>
      </c>
      <c r="D37" s="28">
        <f t="shared" si="3"/>
        <v>13.206940862914553</v>
      </c>
      <c r="E37" s="28">
        <f t="shared" si="3"/>
        <v>1.1812037472384342</v>
      </c>
      <c r="F37" s="28">
        <f t="shared" si="3"/>
        <v>5.2168808876235788</v>
      </c>
      <c r="G37" s="28">
        <f t="shared" si="3"/>
        <v>14.622495731677398</v>
      </c>
      <c r="H37" s="28">
        <f t="shared" si="3"/>
        <v>4.8946138018003822</v>
      </c>
      <c r="I37" s="28">
        <f t="shared" si="3"/>
        <v>1.4742720507796867</v>
      </c>
      <c r="J37" s="28">
        <f t="shared" si="3"/>
        <v>0.1482946538072972</v>
      </c>
      <c r="K37" s="28">
        <f t="shared" si="3"/>
        <v>72.656345718652702</v>
      </c>
      <c r="L37" s="28">
        <f t="shared" si="3"/>
        <v>4.8574969511503729</v>
      </c>
      <c r="M37" s="28">
        <f t="shared" si="3"/>
        <v>15.082268112357744</v>
      </c>
      <c r="N37" s="28">
        <f t="shared" si="3"/>
        <v>343.54391063240917</v>
      </c>
      <c r="O37" s="28">
        <f t="shared" si="3"/>
        <v>0</v>
      </c>
      <c r="P37" s="28">
        <f t="shared" si="3"/>
        <v>0.31158750835410404</v>
      </c>
      <c r="Q37" s="28">
        <f t="shared" si="3"/>
        <v>0.27156017295659068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253da-2074-4f5d-8594-e498416c98c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2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86</v>
      </c>
      <c r="B9" s="56">
        <v>41.77</v>
      </c>
      <c r="C9" s="56">
        <v>65.98</v>
      </c>
      <c r="D9" s="56">
        <v>67.89</v>
      </c>
      <c r="E9" s="56">
        <v>2.85</v>
      </c>
      <c r="F9" s="57" t="s">
        <v>14</v>
      </c>
      <c r="G9" s="56">
        <v>72.87</v>
      </c>
      <c r="H9" s="56">
        <v>16.39</v>
      </c>
      <c r="I9" s="56">
        <v>8.23</v>
      </c>
      <c r="J9" s="56">
        <v>0.68</v>
      </c>
      <c r="K9" s="56">
        <v>345.25</v>
      </c>
      <c r="L9" s="56">
        <v>26.01</v>
      </c>
      <c r="M9" s="56">
        <v>55.15</v>
      </c>
      <c r="N9" s="56">
        <v>41.30</v>
      </c>
      <c r="O9" s="56">
        <v>0</v>
      </c>
      <c r="P9" s="56">
        <v>1.24</v>
      </c>
      <c r="Q9" s="56">
        <v>10.27</v>
      </c>
      <c r="R9" s="43"/>
      <c r="S9" s="43"/>
      <c r="T9" s="43"/>
      <c r="U9" s="43"/>
    </row>
    <row r="10" spans="1:21" s="11" customFormat="1" ht="15">
      <c r="A10" s="55" t="s">
        <v>87</v>
      </c>
      <c r="B10" s="56">
        <v>31.02</v>
      </c>
      <c r="C10" s="56">
        <v>62.81</v>
      </c>
      <c r="D10" s="56">
        <v>57.61</v>
      </c>
      <c r="E10" s="56">
        <v>2.5</v>
      </c>
      <c r="F10" s="57" t="s">
        <v>14</v>
      </c>
      <c r="G10" s="56">
        <v>62.93</v>
      </c>
      <c r="H10" s="56">
        <v>14.04</v>
      </c>
      <c r="I10" s="56">
        <v>7.86</v>
      </c>
      <c r="J10" s="56">
        <v>0.43</v>
      </c>
      <c r="K10" s="56">
        <v>341.68</v>
      </c>
      <c r="L10" s="56">
        <v>25.40</v>
      </c>
      <c r="M10" s="56">
        <v>50.43</v>
      </c>
      <c r="N10" s="56">
        <v>46.70</v>
      </c>
      <c r="O10" s="56">
        <v>0</v>
      </c>
      <c r="P10" s="56">
        <v>0.99</v>
      </c>
      <c r="Q10" s="56">
        <v>10.24</v>
      </c>
      <c r="R10" s="43"/>
      <c r="S10" s="43"/>
      <c r="T10" s="43"/>
      <c r="U10" s="43"/>
    </row>
    <row r="11" spans="1:21" s="11" customFormat="1" ht="15">
      <c r="A11" s="55" t="s">
        <v>88</v>
      </c>
      <c r="B11" s="56">
        <v>25.83</v>
      </c>
      <c r="C11" s="56">
        <v>53.77</v>
      </c>
      <c r="D11" s="56">
        <v>47.94</v>
      </c>
      <c r="E11" s="56">
        <v>2.48</v>
      </c>
      <c r="F11" s="57" t="s">
        <v>14</v>
      </c>
      <c r="G11" s="56">
        <v>61.54</v>
      </c>
      <c r="H11" s="56">
        <v>13.42</v>
      </c>
      <c r="I11" s="56">
        <v>6.36</v>
      </c>
      <c r="J11" s="56">
        <v>0.19</v>
      </c>
      <c r="K11" s="56">
        <v>321.45</v>
      </c>
      <c r="L11" s="56">
        <v>25.24</v>
      </c>
      <c r="M11" s="56">
        <v>50.58</v>
      </c>
      <c r="N11" s="56">
        <v>48</v>
      </c>
      <c r="O11" s="56">
        <v>0</v>
      </c>
      <c r="P11" s="56">
        <v>0.88</v>
      </c>
      <c r="Q11" s="56">
        <v>10.08</v>
      </c>
      <c r="R11" s="43"/>
      <c r="S11" s="43"/>
      <c r="T11" s="43"/>
      <c r="U11" s="43"/>
    </row>
    <row r="12" spans="1:21" s="11" customFormat="1" ht="15">
      <c r="A12" s="55" t="s">
        <v>89</v>
      </c>
      <c r="B12" s="56">
        <v>23.5</v>
      </c>
      <c r="C12" s="56">
        <v>57.97</v>
      </c>
      <c r="D12" s="56">
        <v>48.07</v>
      </c>
      <c r="E12" s="56">
        <v>2.54</v>
      </c>
      <c r="F12" s="57" t="s">
        <v>14</v>
      </c>
      <c r="G12" s="56">
        <v>60.56</v>
      </c>
      <c r="H12" s="56">
        <v>12.81</v>
      </c>
      <c r="I12" s="56">
        <v>8.40</v>
      </c>
      <c r="J12" s="56">
        <v>0.14000000000000001</v>
      </c>
      <c r="K12" s="56">
        <v>298.38</v>
      </c>
      <c r="L12" s="56">
        <v>24.18</v>
      </c>
      <c r="M12" s="56">
        <v>54.30</v>
      </c>
      <c r="N12" s="56">
        <v>49.80</v>
      </c>
      <c r="O12" s="56">
        <v>0</v>
      </c>
      <c r="P12" s="56">
        <v>0.83</v>
      </c>
      <c r="Q12" s="56">
        <v>10.07</v>
      </c>
      <c r="R12" s="43"/>
      <c r="S12" s="43"/>
      <c r="T12" s="43"/>
      <c r="U12" s="43"/>
    </row>
    <row r="13" spans="1:21" s="11" customFormat="1" ht="15">
      <c r="A13" s="55" t="s">
        <v>90</v>
      </c>
      <c r="B13" s="56">
        <v>25.67</v>
      </c>
      <c r="C13" s="56">
        <v>59.43</v>
      </c>
      <c r="D13" s="56">
        <v>51.56</v>
      </c>
      <c r="E13" s="56">
        <v>2.34</v>
      </c>
      <c r="F13" s="57" t="s">
        <v>14</v>
      </c>
      <c r="G13" s="56">
        <v>59.23</v>
      </c>
      <c r="H13" s="56">
        <v>12.81</v>
      </c>
      <c r="I13" s="56">
        <v>8.7799999999999994</v>
      </c>
      <c r="J13" s="56">
        <v>0.23</v>
      </c>
      <c r="K13" s="56">
        <v>346.45</v>
      </c>
      <c r="L13" s="56">
        <v>22.89</v>
      </c>
      <c r="M13" s="56">
        <v>67.05</v>
      </c>
      <c r="N13" s="56">
        <v>51.70</v>
      </c>
      <c r="O13" s="56">
        <v>0</v>
      </c>
      <c r="P13" s="56">
        <v>0.78</v>
      </c>
      <c r="Q13" s="56">
        <v>10.10</v>
      </c>
      <c r="R13" s="43"/>
      <c r="S13" s="43"/>
      <c r="T13" s="43"/>
      <c r="U13" s="43"/>
    </row>
    <row r="14" spans="1:21" s="11" customFormat="1" ht="15">
      <c r="A14" s="55" t="s">
        <v>91</v>
      </c>
      <c r="B14" s="56">
        <v>27.23</v>
      </c>
      <c r="C14" s="56">
        <v>59.69</v>
      </c>
      <c r="D14" s="56">
        <v>52.95</v>
      </c>
      <c r="E14" s="56">
        <v>2.37</v>
      </c>
      <c r="F14" s="57" t="s">
        <v>14</v>
      </c>
      <c r="G14" s="56">
        <v>66.27</v>
      </c>
      <c r="H14" s="56">
        <v>14.47</v>
      </c>
      <c r="I14" s="56">
        <v>8.77</v>
      </c>
      <c r="J14" s="56">
        <v>0.27</v>
      </c>
      <c r="K14" s="56">
        <v>313.07</v>
      </c>
      <c r="L14" s="56">
        <v>22.83</v>
      </c>
      <c r="M14" s="56">
        <v>64.94</v>
      </c>
      <c r="N14" s="56">
        <v>68.599999999999994</v>
      </c>
      <c r="O14" s="56">
        <v>0</v>
      </c>
      <c r="P14" s="56">
        <v>0.79</v>
      </c>
      <c r="Q14" s="56">
        <v>10.10</v>
      </c>
      <c r="R14" s="43"/>
      <c r="S14" s="43"/>
      <c r="T14" s="43"/>
      <c r="U14" s="43"/>
    </row>
    <row r="15" spans="1:21" s="11" customFormat="1" ht="15">
      <c r="A15" s="55" t="s">
        <v>92</v>
      </c>
      <c r="B15" s="56">
        <v>30.45</v>
      </c>
      <c r="C15" s="56">
        <v>55.72</v>
      </c>
      <c r="D15" s="56">
        <v>52.73</v>
      </c>
      <c r="E15" s="56">
        <v>2.4700000000000002</v>
      </c>
      <c r="F15" s="57" t="s">
        <v>14</v>
      </c>
      <c r="G15" s="56">
        <v>70.959999999999994</v>
      </c>
      <c r="H15" s="56">
        <v>14.47</v>
      </c>
      <c r="I15" s="56">
        <v>8.74</v>
      </c>
      <c r="J15" s="56">
        <v>0.35</v>
      </c>
      <c r="K15" s="56">
        <v>289.83999999999997</v>
      </c>
      <c r="L15" s="56">
        <v>24.86</v>
      </c>
      <c r="M15" s="56">
        <v>62.76</v>
      </c>
      <c r="N15" s="56">
        <v>207.90</v>
      </c>
      <c r="O15" s="56">
        <v>0</v>
      </c>
      <c r="P15" s="56">
        <v>0.82</v>
      </c>
      <c r="Q15" s="56">
        <v>10.16</v>
      </c>
      <c r="R15" s="43"/>
      <c r="S15" s="43"/>
      <c r="T15" s="43"/>
      <c r="U15" s="43"/>
    </row>
    <row r="16" spans="1:21" s="11" customFormat="1" ht="15">
      <c r="A16" s="55" t="s">
        <v>93</v>
      </c>
      <c r="B16" s="56">
        <v>30.32</v>
      </c>
      <c r="C16" s="56">
        <v>54.33</v>
      </c>
      <c r="D16" s="56">
        <v>52.51</v>
      </c>
      <c r="E16" s="56">
        <v>2.36</v>
      </c>
      <c r="F16" s="57" t="s">
        <v>14</v>
      </c>
      <c r="G16" s="56">
        <v>78.33</v>
      </c>
      <c r="H16" s="56">
        <v>12.74</v>
      </c>
      <c r="I16" s="56">
        <v>9.17</v>
      </c>
      <c r="J16" s="56">
        <v>0.35</v>
      </c>
      <c r="K16" s="56">
        <v>333.33</v>
      </c>
      <c r="L16" s="56">
        <v>31.73</v>
      </c>
      <c r="M16" s="56">
        <v>50.34</v>
      </c>
      <c r="N16" s="56">
        <v>410.40</v>
      </c>
      <c r="O16" s="56">
        <v>0</v>
      </c>
      <c r="P16" s="56">
        <v>0.87</v>
      </c>
      <c r="Q16" s="56">
        <v>10.199999999999999</v>
      </c>
      <c r="R16" s="43"/>
      <c r="S16" s="43"/>
      <c r="T16" s="43"/>
      <c r="U16" s="43"/>
    </row>
    <row r="17" spans="1:21" s="11" customFormat="1" ht="15">
      <c r="A17" s="55" t="s">
        <v>94</v>
      </c>
      <c r="B17" s="56">
        <v>28.07</v>
      </c>
      <c r="C17" s="56">
        <v>63.44</v>
      </c>
      <c r="D17" s="56">
        <v>51.76</v>
      </c>
      <c r="E17" s="56">
        <v>2.0699999999999998</v>
      </c>
      <c r="F17" s="57" t="s">
        <v>14</v>
      </c>
      <c r="G17" s="56">
        <v>80.22</v>
      </c>
      <c r="H17" s="56">
        <v>15.74</v>
      </c>
      <c r="I17" s="56">
        <v>10</v>
      </c>
      <c r="J17" s="56">
        <v>0.51</v>
      </c>
      <c r="K17" s="56">
        <v>323.88</v>
      </c>
      <c r="L17" s="56">
        <v>33.869999999999997</v>
      </c>
      <c r="M17" s="56">
        <v>40.21</v>
      </c>
      <c r="N17" s="56">
        <v>603.90</v>
      </c>
      <c r="O17" s="56">
        <v>0</v>
      </c>
      <c r="P17" s="56">
        <v>0.98</v>
      </c>
      <c r="Q17" s="56">
        <v>10.16</v>
      </c>
      <c r="R17" s="43"/>
      <c r="S17" s="43"/>
      <c r="T17" s="43"/>
      <c r="U17" s="43"/>
    </row>
    <row r="18" spans="1:21" s="11" customFormat="1" ht="15">
      <c r="A18" s="55" t="s">
        <v>95</v>
      </c>
      <c r="B18" s="56">
        <v>20.5</v>
      </c>
      <c r="C18" s="56">
        <v>70.040000000000006</v>
      </c>
      <c r="D18" s="56">
        <v>50.53</v>
      </c>
      <c r="E18" s="56">
        <v>2.15</v>
      </c>
      <c r="F18" s="57" t="s">
        <v>14</v>
      </c>
      <c r="G18" s="56">
        <v>95.34</v>
      </c>
      <c r="H18" s="56">
        <v>11.74</v>
      </c>
      <c r="I18" s="56">
        <v>10.82</v>
      </c>
      <c r="J18" s="56">
        <v>0.48</v>
      </c>
      <c r="K18" s="56">
        <v>339.79</v>
      </c>
      <c r="L18" s="56">
        <v>37.01</v>
      </c>
      <c r="M18" s="56">
        <v>34.29</v>
      </c>
      <c r="N18" s="56">
        <v>797.70</v>
      </c>
      <c r="O18" s="56">
        <v>0</v>
      </c>
      <c r="P18" s="56">
        <v>1.03</v>
      </c>
      <c r="Q18" s="56">
        <v>9.94</v>
      </c>
      <c r="R18" s="43"/>
      <c r="S18" s="43"/>
      <c r="T18" s="43"/>
      <c r="U18" s="43"/>
    </row>
    <row r="19" spans="1:21" s="11" customFormat="1" ht="15">
      <c r="A19" s="55" t="s">
        <v>96</v>
      </c>
      <c r="B19" s="56">
        <v>9.49</v>
      </c>
      <c r="C19" s="56">
        <v>72.69</v>
      </c>
      <c r="D19" s="56">
        <v>44.56</v>
      </c>
      <c r="E19" s="56">
        <v>1.95</v>
      </c>
      <c r="F19" s="57" t="s">
        <v>14</v>
      </c>
      <c r="G19" s="56">
        <v>95.34</v>
      </c>
      <c r="H19" s="56">
        <v>18.739999999999998</v>
      </c>
      <c r="I19" s="56">
        <v>10.33</v>
      </c>
      <c r="J19" s="56">
        <v>0.53</v>
      </c>
      <c r="K19" s="56">
        <v>338.28</v>
      </c>
      <c r="L19" s="56">
        <v>39.60</v>
      </c>
      <c r="M19" s="56">
        <v>20.62</v>
      </c>
      <c r="N19" s="56">
        <v>876.20</v>
      </c>
      <c r="O19" s="56">
        <v>0</v>
      </c>
      <c r="P19" s="56">
        <v>1.01</v>
      </c>
      <c r="Q19" s="56">
        <v>9.83</v>
      </c>
      <c r="R19" s="43"/>
      <c r="S19" s="43"/>
      <c r="T19" s="43"/>
      <c r="U19" s="43"/>
    </row>
    <row r="20" spans="1:21" s="11" customFormat="1" ht="15">
      <c r="A20" s="55" t="s">
        <v>97</v>
      </c>
      <c r="B20" s="56">
        <v>6.12</v>
      </c>
      <c r="C20" s="56">
        <v>66.75</v>
      </c>
      <c r="D20" s="56">
        <v>39.700000000000003</v>
      </c>
      <c r="E20" s="56">
        <v>2.14</v>
      </c>
      <c r="F20" s="57" t="s">
        <v>14</v>
      </c>
      <c r="G20" s="56">
        <v>80.87</v>
      </c>
      <c r="H20" s="56">
        <v>10.74</v>
      </c>
      <c r="I20" s="56">
        <v>10.43</v>
      </c>
      <c r="J20" s="56">
        <v>0.64</v>
      </c>
      <c r="K20" s="56">
        <v>354.90</v>
      </c>
      <c r="L20" s="56">
        <v>39.18</v>
      </c>
      <c r="M20" s="56">
        <v>16.88</v>
      </c>
      <c r="N20" s="56">
        <v>935.70</v>
      </c>
      <c r="O20" s="56">
        <v>0</v>
      </c>
      <c r="P20" s="56">
        <v>0.97</v>
      </c>
      <c r="Q20" s="56">
        <v>9.7100000000000009</v>
      </c>
      <c r="R20" s="43"/>
      <c r="S20" s="43"/>
      <c r="T20" s="43"/>
      <c r="U20" s="43"/>
    </row>
    <row r="21" spans="1:21" s="11" customFormat="1" ht="15">
      <c r="A21" s="55" t="s">
        <v>98</v>
      </c>
      <c r="B21" s="56">
        <v>5.19</v>
      </c>
      <c r="C21" s="56">
        <v>65.459999999999994</v>
      </c>
      <c r="D21" s="56">
        <v>38.01</v>
      </c>
      <c r="E21" s="56">
        <v>2.4300000000000002</v>
      </c>
      <c r="F21" s="57" t="s">
        <v>14</v>
      </c>
      <c r="G21" s="56">
        <v>77.17</v>
      </c>
      <c r="H21" s="56">
        <v>12.74</v>
      </c>
      <c r="I21" s="56">
        <v>10.29</v>
      </c>
      <c r="J21" s="56">
        <v>0.49</v>
      </c>
      <c r="K21" s="56">
        <v>321.44</v>
      </c>
      <c r="L21" s="56">
        <v>38.18</v>
      </c>
      <c r="M21" s="56">
        <v>16.079999999999998</v>
      </c>
      <c r="N21" s="56">
        <v>943.20</v>
      </c>
      <c r="O21" s="56">
        <v>0</v>
      </c>
      <c r="P21" s="56">
        <v>0.97</v>
      </c>
      <c r="Q21" s="56">
        <v>9.9700000000000006</v>
      </c>
      <c r="R21" s="43"/>
      <c r="S21" s="43"/>
      <c r="T21" s="43"/>
      <c r="U21" s="43"/>
    </row>
    <row r="22" spans="1:21" s="11" customFormat="1" ht="15">
      <c r="A22" s="55" t="s">
        <v>99</v>
      </c>
      <c r="B22" s="56">
        <v>4.87</v>
      </c>
      <c r="C22" s="56">
        <v>62.59</v>
      </c>
      <c r="D22" s="56">
        <v>36.51</v>
      </c>
      <c r="E22" s="56">
        <v>2.81</v>
      </c>
      <c r="F22" s="56">
        <v>10.42</v>
      </c>
      <c r="G22" s="57" t="s">
        <v>14</v>
      </c>
      <c r="H22" s="57" t="s">
        <v>14</v>
      </c>
      <c r="I22" s="56">
        <v>9.51</v>
      </c>
      <c r="J22" s="56">
        <v>0.5</v>
      </c>
      <c r="K22" s="56">
        <v>333.75</v>
      </c>
      <c r="L22" s="56">
        <v>38.89</v>
      </c>
      <c r="M22" s="56">
        <v>13.21</v>
      </c>
      <c r="N22" s="56">
        <v>925</v>
      </c>
      <c r="O22" s="56">
        <v>0</v>
      </c>
      <c r="P22" s="56">
        <v>0.84</v>
      </c>
      <c r="Q22" s="56">
        <v>9.69</v>
      </c>
      <c r="R22" s="43"/>
      <c r="S22" s="43"/>
      <c r="T22" s="43"/>
      <c r="U22" s="43"/>
    </row>
    <row r="23" spans="1:21" s="11" customFormat="1" ht="15">
      <c r="A23" s="55" t="s">
        <v>100</v>
      </c>
      <c r="B23" s="56">
        <v>4.72</v>
      </c>
      <c r="C23" s="56">
        <v>55.95</v>
      </c>
      <c r="D23" s="56">
        <v>32.94</v>
      </c>
      <c r="E23" s="56">
        <v>2.11</v>
      </c>
      <c r="F23" s="56">
        <v>11.09</v>
      </c>
      <c r="G23" s="57" t="s">
        <v>14</v>
      </c>
      <c r="H23" s="57" t="s">
        <v>14</v>
      </c>
      <c r="I23" s="56">
        <v>6.47</v>
      </c>
      <c r="J23" s="56">
        <v>0.47</v>
      </c>
      <c r="K23" s="56">
        <v>353.89</v>
      </c>
      <c r="L23" s="56">
        <v>38.229999999999997</v>
      </c>
      <c r="M23" s="56">
        <v>15.52</v>
      </c>
      <c r="N23" s="56">
        <v>710.60</v>
      </c>
      <c r="O23" s="56">
        <v>0</v>
      </c>
      <c r="P23" s="56">
        <v>0.67</v>
      </c>
      <c r="Q23" s="56">
        <v>9.51</v>
      </c>
      <c r="R23" s="43"/>
      <c r="S23" s="43"/>
      <c r="T23" s="43"/>
      <c r="U23" s="43"/>
    </row>
    <row r="24" spans="1:21" s="11" customFormat="1" ht="15">
      <c r="A24" s="55" t="s">
        <v>101</v>
      </c>
      <c r="B24" s="56">
        <v>4.75</v>
      </c>
      <c r="C24" s="56">
        <v>54.77</v>
      </c>
      <c r="D24" s="56">
        <v>32.340000000000003</v>
      </c>
      <c r="E24" s="56">
        <v>2.02</v>
      </c>
      <c r="F24" s="56">
        <v>11.07</v>
      </c>
      <c r="G24" s="57" t="s">
        <v>14</v>
      </c>
      <c r="H24" s="57" t="s">
        <v>14</v>
      </c>
      <c r="I24" s="56">
        <v>5.29</v>
      </c>
      <c r="J24" s="56">
        <v>0.46</v>
      </c>
      <c r="K24" s="56">
        <v>350.53</v>
      </c>
      <c r="L24" s="56">
        <v>36.71</v>
      </c>
      <c r="M24" s="56">
        <v>15.04</v>
      </c>
      <c r="N24" s="56">
        <v>415.90</v>
      </c>
      <c r="O24" s="56">
        <v>0</v>
      </c>
      <c r="P24" s="56">
        <v>0.56000000000000005</v>
      </c>
      <c r="Q24" s="56">
        <v>9.4600000000000009</v>
      </c>
      <c r="R24" s="43"/>
      <c r="S24" s="43"/>
      <c r="T24" s="43"/>
      <c r="U24" s="43"/>
    </row>
    <row r="25" spans="1:21" s="11" customFormat="1" ht="15">
      <c r="A25" s="55" t="s">
        <v>102</v>
      </c>
      <c r="B25" s="56">
        <v>4.9800000000000004</v>
      </c>
      <c r="C25" s="56">
        <v>54.67</v>
      </c>
      <c r="D25" s="56">
        <v>32.479999999999997</v>
      </c>
      <c r="E25" s="56">
        <v>1.1599999999999999</v>
      </c>
      <c r="F25" s="56">
        <v>9.91</v>
      </c>
      <c r="G25" s="57" t="s">
        <v>14</v>
      </c>
      <c r="H25" s="57" t="s">
        <v>14</v>
      </c>
      <c r="I25" s="56">
        <v>4.3499999999999996</v>
      </c>
      <c r="J25" s="56">
        <v>0.27</v>
      </c>
      <c r="K25" s="56">
        <v>347.96</v>
      </c>
      <c r="L25" s="56">
        <v>36.119999999999997</v>
      </c>
      <c r="M25" s="56">
        <v>16.38</v>
      </c>
      <c r="N25" s="56">
        <v>193.70</v>
      </c>
      <c r="O25" s="56">
        <v>0</v>
      </c>
      <c r="P25" s="56">
        <v>0.53</v>
      </c>
      <c r="Q25" s="56">
        <v>9.59</v>
      </c>
      <c r="R25" s="43"/>
      <c r="S25" s="43"/>
      <c r="T25" s="43"/>
      <c r="U25" s="43"/>
    </row>
    <row r="26" spans="1:21" s="11" customFormat="1" ht="15">
      <c r="A26" s="55" t="s">
        <v>103</v>
      </c>
      <c r="B26" s="56">
        <v>5.86</v>
      </c>
      <c r="C26" s="56">
        <v>57.37</v>
      </c>
      <c r="D26" s="56">
        <v>34.590000000000003</v>
      </c>
      <c r="E26" s="56">
        <v>1.33</v>
      </c>
      <c r="F26" s="56">
        <v>6.54</v>
      </c>
      <c r="G26" s="57" t="s">
        <v>14</v>
      </c>
      <c r="H26" s="57" t="s">
        <v>14</v>
      </c>
      <c r="I26" s="56">
        <v>4.5199999999999996</v>
      </c>
      <c r="J26" s="56">
        <v>0.60</v>
      </c>
      <c r="K26" s="56">
        <v>322.52</v>
      </c>
      <c r="L26" s="56">
        <v>34.67</v>
      </c>
      <c r="M26" s="56">
        <v>27.97</v>
      </c>
      <c r="N26" s="56">
        <v>77.20</v>
      </c>
      <c r="O26" s="56">
        <v>0</v>
      </c>
      <c r="P26" s="56">
        <v>0.60</v>
      </c>
      <c r="Q26" s="56">
        <v>9.68</v>
      </c>
      <c r="R26" s="43"/>
      <c r="S26" s="43"/>
      <c r="T26" s="43"/>
      <c r="U26" s="43"/>
    </row>
    <row r="27" spans="1:21" s="11" customFormat="1" ht="15">
      <c r="A27" s="55" t="s">
        <v>104</v>
      </c>
      <c r="B27" s="56">
        <v>9.73</v>
      </c>
      <c r="C27" s="56">
        <v>65.989999999999995</v>
      </c>
      <c r="D27" s="56">
        <v>42.20</v>
      </c>
      <c r="E27" s="56">
        <v>1.25</v>
      </c>
      <c r="F27" s="56">
        <v>4.95</v>
      </c>
      <c r="G27" s="57" t="s">
        <v>14</v>
      </c>
      <c r="H27" s="57" t="s">
        <v>14</v>
      </c>
      <c r="I27" s="56">
        <v>4.97</v>
      </c>
      <c r="J27" s="56">
        <v>0.44</v>
      </c>
      <c r="K27" s="56">
        <v>332.45</v>
      </c>
      <c r="L27" s="56">
        <v>30.51</v>
      </c>
      <c r="M27" s="56">
        <v>32.47</v>
      </c>
      <c r="N27" s="56">
        <v>25.20</v>
      </c>
      <c r="O27" s="56">
        <v>0</v>
      </c>
      <c r="P27" s="56">
        <v>0.86</v>
      </c>
      <c r="Q27" s="56">
        <v>9.86</v>
      </c>
      <c r="R27" s="43"/>
      <c r="S27" s="43"/>
      <c r="T27" s="43"/>
      <c r="U27" s="43"/>
    </row>
    <row r="28" spans="1:21" s="11" customFormat="1" ht="15">
      <c r="A28" s="55" t="s">
        <v>105</v>
      </c>
      <c r="B28" s="56">
        <v>15.32</v>
      </c>
      <c r="C28" s="56">
        <v>70.5</v>
      </c>
      <c r="D28" s="56">
        <v>48.38</v>
      </c>
      <c r="E28" s="56">
        <v>2.10</v>
      </c>
      <c r="F28" s="56">
        <v>3.88</v>
      </c>
      <c r="G28" s="57" t="s">
        <v>14</v>
      </c>
      <c r="H28" s="57" t="s">
        <v>14</v>
      </c>
      <c r="I28" s="56">
        <v>6.30</v>
      </c>
      <c r="J28" s="56">
        <v>0.17</v>
      </c>
      <c r="K28" s="56">
        <v>253.79</v>
      </c>
      <c r="L28" s="56">
        <v>29.64</v>
      </c>
      <c r="M28" s="56">
        <v>25.99</v>
      </c>
      <c r="N28" s="56">
        <v>22</v>
      </c>
      <c r="O28" s="56">
        <v>0</v>
      </c>
      <c r="P28" s="56">
        <v>1.07</v>
      </c>
      <c r="Q28" s="56">
        <v>9.9700000000000006</v>
      </c>
      <c r="R28" s="43"/>
      <c r="S28" s="43"/>
      <c r="T28" s="43"/>
      <c r="U28" s="43"/>
    </row>
    <row r="29" spans="1:21" s="11" customFormat="1" ht="15">
      <c r="A29" s="55" t="s">
        <v>106</v>
      </c>
      <c r="B29" s="56">
        <v>29.27</v>
      </c>
      <c r="C29" s="56">
        <v>69.22</v>
      </c>
      <c r="D29" s="56">
        <v>59.56</v>
      </c>
      <c r="E29" s="56">
        <v>1.99</v>
      </c>
      <c r="F29" s="56">
        <v>3.51</v>
      </c>
      <c r="G29" s="57" t="s">
        <v>14</v>
      </c>
      <c r="H29" s="57" t="s">
        <v>14</v>
      </c>
      <c r="I29" s="56">
        <v>9.82</v>
      </c>
      <c r="J29" s="56">
        <v>0.24</v>
      </c>
      <c r="K29" s="56">
        <v>316.37</v>
      </c>
      <c r="L29" s="56">
        <v>29.19</v>
      </c>
      <c r="M29" s="56">
        <v>39.93</v>
      </c>
      <c r="N29" s="56">
        <v>22.10</v>
      </c>
      <c r="O29" s="56">
        <v>0</v>
      </c>
      <c r="P29" s="56">
        <v>1.56</v>
      </c>
      <c r="Q29" s="56">
        <v>10.199999999999999</v>
      </c>
      <c r="R29" s="43"/>
      <c r="S29" s="43"/>
      <c r="T29" s="43"/>
      <c r="U29" s="43"/>
    </row>
    <row r="30" spans="1:21" s="11" customFormat="1" ht="15">
      <c r="A30" s="55" t="s">
        <v>107</v>
      </c>
      <c r="B30" s="56">
        <v>60.26</v>
      </c>
      <c r="C30" s="56">
        <v>70.64</v>
      </c>
      <c r="D30" s="56">
        <v>85.15</v>
      </c>
      <c r="E30" s="56">
        <v>2.4300000000000002</v>
      </c>
      <c r="F30" s="56">
        <v>3.5</v>
      </c>
      <c r="G30" s="57" t="s">
        <v>14</v>
      </c>
      <c r="H30" s="57" t="s">
        <v>14</v>
      </c>
      <c r="I30" s="56">
        <v>9.9700000000000006</v>
      </c>
      <c r="J30" s="56">
        <v>0.10</v>
      </c>
      <c r="K30" s="56">
        <v>346.95</v>
      </c>
      <c r="L30" s="56">
        <v>26.73</v>
      </c>
      <c r="M30" s="56">
        <v>46.31</v>
      </c>
      <c r="N30" s="56">
        <v>22</v>
      </c>
      <c r="O30" s="56">
        <v>0</v>
      </c>
      <c r="P30" s="56">
        <v>1.58</v>
      </c>
      <c r="Q30" s="56">
        <v>10.66</v>
      </c>
      <c r="R30" s="43"/>
      <c r="S30" s="43"/>
      <c r="T30" s="43"/>
      <c r="U30" s="43"/>
    </row>
    <row r="31" spans="1:21" s="11" customFormat="1" ht="15">
      <c r="A31" s="55" t="s">
        <v>108</v>
      </c>
      <c r="B31" s="56">
        <v>103.33</v>
      </c>
      <c r="C31" s="56">
        <v>77.23</v>
      </c>
      <c r="D31" s="56">
        <v>123.13</v>
      </c>
      <c r="E31" s="56">
        <v>3.16</v>
      </c>
      <c r="F31" s="56">
        <v>3.76</v>
      </c>
      <c r="G31" s="57" t="s">
        <v>14</v>
      </c>
      <c r="H31" s="57" t="s">
        <v>14</v>
      </c>
      <c r="I31" s="56">
        <v>10.61</v>
      </c>
      <c r="J31" s="56">
        <v>0.16</v>
      </c>
      <c r="K31" s="56">
        <v>277.58</v>
      </c>
      <c r="L31" s="56">
        <v>25.84</v>
      </c>
      <c r="M31" s="56">
        <v>51.71</v>
      </c>
      <c r="N31" s="56">
        <v>22.10</v>
      </c>
      <c r="O31" s="56">
        <v>0</v>
      </c>
      <c r="P31" s="56">
        <v>1.79</v>
      </c>
      <c r="Q31" s="56">
        <v>11.52</v>
      </c>
      <c r="R31" s="43"/>
      <c r="S31" s="43"/>
      <c r="T31" s="43"/>
      <c r="U31" s="43"/>
    </row>
    <row r="32" spans="1:21" s="11" customFormat="1" ht="15">
      <c r="A32" s="55" t="s">
        <v>109</v>
      </c>
      <c r="B32" s="56">
        <v>134.24</v>
      </c>
      <c r="C32" s="56">
        <v>78.64</v>
      </c>
      <c r="D32" s="56">
        <v>148.04</v>
      </c>
      <c r="E32" s="56">
        <v>3.52</v>
      </c>
      <c r="F32" s="56">
        <v>3.51</v>
      </c>
      <c r="G32" s="56">
        <v>131.21</v>
      </c>
      <c r="H32" s="56">
        <v>63.44</v>
      </c>
      <c r="I32" s="56">
        <v>11.31</v>
      </c>
      <c r="J32" s="56">
        <v>0.35</v>
      </c>
      <c r="K32" s="56">
        <v>358.29</v>
      </c>
      <c r="L32" s="56">
        <v>24.67</v>
      </c>
      <c r="M32" s="56">
        <v>57.15</v>
      </c>
      <c r="N32" s="56">
        <v>22.10</v>
      </c>
      <c r="O32" s="56">
        <v>0</v>
      </c>
      <c r="P32" s="56">
        <v>1.96</v>
      </c>
      <c r="Q32" s="56">
        <v>12.04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4.7199999999999998</v>
      </c>
      <c r="C34" s="28">
        <f t="shared" si="0"/>
        <v>53.770000000000003</v>
      </c>
      <c r="D34" s="28">
        <f t="shared" si="0"/>
        <v>32.340000000000003</v>
      </c>
      <c r="E34" s="28">
        <f t="shared" si="0"/>
        <v>1.1599999999999999</v>
      </c>
      <c r="F34" s="28">
        <f t="shared" si="0"/>
        <v>3.5</v>
      </c>
      <c r="G34" s="28">
        <f t="shared" si="0"/>
        <v>59.229999999999997</v>
      </c>
      <c r="H34" s="28">
        <f t="shared" si="0"/>
        <v>10.74</v>
      </c>
      <c r="I34" s="28">
        <f t="shared" si="0"/>
        <v>4.3499999999999996</v>
      </c>
      <c r="J34" s="28">
        <f t="shared" si="0"/>
        <v>0.10000000000000001</v>
      </c>
      <c r="K34" s="28">
        <f t="shared" si="0"/>
        <v>253.78999999999999</v>
      </c>
      <c r="L34" s="28">
        <f t="shared" si="0"/>
        <v>22.829999999999998</v>
      </c>
      <c r="M34" s="28">
        <f t="shared" si="0"/>
        <v>13.210000000000001</v>
      </c>
      <c r="N34" s="28">
        <f t="shared" si="0"/>
        <v>22</v>
      </c>
      <c r="O34" s="28">
        <f t="shared" si="0"/>
        <v>0</v>
      </c>
      <c r="P34" s="28">
        <f t="shared" si="0"/>
        <v>0.53000000000000003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134.24000000000001</v>
      </c>
      <c r="C35" s="29">
        <f t="shared" si="1"/>
        <v>78.640000000000001</v>
      </c>
      <c r="D35" s="29">
        <f t="shared" si="1"/>
        <v>148.03999999999999</v>
      </c>
      <c r="E35" s="29">
        <f t="shared" si="1"/>
        <v>3.52</v>
      </c>
      <c r="F35" s="29">
        <f t="shared" si="1"/>
        <v>11.09</v>
      </c>
      <c r="G35" s="29">
        <f t="shared" si="1"/>
        <v>131.21000000000001</v>
      </c>
      <c r="H35" s="29">
        <f t="shared" si="1"/>
        <v>63.439999999999998</v>
      </c>
      <c r="I35" s="29">
        <f t="shared" si="1"/>
        <v>11.31</v>
      </c>
      <c r="J35" s="29">
        <f t="shared" si="1"/>
        <v>0.68000000000000005</v>
      </c>
      <c r="K35" s="29">
        <f t="shared" si="1"/>
        <v>358.29000000000002</v>
      </c>
      <c r="L35" s="29">
        <f t="shared" si="1"/>
        <v>39.600000000000001</v>
      </c>
      <c r="M35" s="29">
        <f t="shared" si="1"/>
        <v>67.049999999999997</v>
      </c>
      <c r="N35" s="29">
        <f t="shared" si="1"/>
        <v>943.20000000000005</v>
      </c>
      <c r="O35" s="29">
        <f t="shared" si="1"/>
        <v>0</v>
      </c>
      <c r="P35" s="29">
        <f t="shared" si="1"/>
        <v>1.96</v>
      </c>
      <c r="Q35" s="29">
        <f t="shared" si="1"/>
        <v>12.039999999999999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28.437083333333337</v>
      </c>
      <c r="C36" s="28">
        <f t="shared" si="2"/>
        <v>63.568750000000001</v>
      </c>
      <c r="D36" s="28">
        <f t="shared" si="2"/>
        <v>55.464166666666678</v>
      </c>
      <c r="E36" s="28">
        <f t="shared" si="2"/>
        <v>2.2720833333333337</v>
      </c>
      <c r="F36" s="28">
        <f t="shared" si="2"/>
        <v>6.5581818181818194</v>
      </c>
      <c r="G36" s="28">
        <f t="shared" si="2"/>
        <v>78.059999999999988</v>
      </c>
      <c r="H36" s="28">
        <f t="shared" si="2"/>
        <v>17.449285714285715</v>
      </c>
      <c r="I36" s="28">
        <f t="shared" si="2"/>
        <v>8.3875000000000011</v>
      </c>
      <c r="J36" s="28">
        <f t="shared" si="2"/>
        <v>0.37708333333333327</v>
      </c>
      <c r="K36" s="28">
        <f t="shared" si="2"/>
        <v>327.57583333333338</v>
      </c>
      <c r="L36" s="28">
        <f t="shared" si="2"/>
        <v>30.924166666666665</v>
      </c>
      <c r="M36" s="28">
        <f t="shared" si="2"/>
        <v>38.554583333333333</v>
      </c>
      <c r="N36" s="28">
        <f t="shared" si="2"/>
        <v>314.125</v>
      </c>
      <c r="O36" s="28">
        <f t="shared" si="2"/>
        <v>0</v>
      </c>
      <c r="P36" s="28">
        <f t="shared" si="2"/>
        <v>1.0075000000000001</v>
      </c>
      <c r="Q36" s="28">
        <f t="shared" si="2"/>
        <v>10.125416666666666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31.464596734185669</v>
      </c>
      <c r="C37" s="28">
        <f t="shared" si="3" ref="C37:Q37">STDEV(C9:C32)</f>
        <v>7.3877703364058318</v>
      </c>
      <c r="D37" s="28">
        <f t="shared" si="3"/>
        <v>27.707015265588147</v>
      </c>
      <c r="E37" s="28">
        <f t="shared" si="3"/>
        <v>0.54341095960101171</v>
      </c>
      <c r="F37" s="28">
        <f t="shared" si="3"/>
        <v>3.3550940916219263</v>
      </c>
      <c r="G37" s="28">
        <f t="shared" si="3"/>
        <v>19.244464538786652</v>
      </c>
      <c r="H37" s="28">
        <f t="shared" si="3"/>
        <v>13.391953074247875</v>
      </c>
      <c r="I37" s="28">
        <f t="shared" si="3"/>
        <v>2.1406708619333377</v>
      </c>
      <c r="J37" s="28">
        <f t="shared" si="3"/>
        <v>0.16627580980869172</v>
      </c>
      <c r="K37" s="28">
        <f t="shared" si="3"/>
        <v>26.041079740632515</v>
      </c>
      <c r="L37" s="28">
        <f t="shared" si="3"/>
        <v>5.972593142059833</v>
      </c>
      <c r="M37" s="28">
        <f t="shared" si="3"/>
        <v>18.015470399961345</v>
      </c>
      <c r="N37" s="28">
        <f t="shared" si="3"/>
        <v>359.55995478773298</v>
      </c>
      <c r="O37" s="28">
        <f t="shared" si="3"/>
        <v>0</v>
      </c>
      <c r="P37" s="28">
        <f t="shared" si="3"/>
        <v>0.37147473435062778</v>
      </c>
      <c r="Q37" s="28">
        <f t="shared" si="3"/>
        <v>0.58456211160051308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COUNT(F9:F32)+13</f>
        <v>24</v>
      </c>
      <c r="G38" s="32">
        <f>COUNT(G9:G32)+10</f>
        <v>24</v>
      </c>
      <c r="H38" s="32">
        <f>COUNT(H9:H32)+10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d34fda-fe27-4663-b8cc-ea66d07f648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110</v>
      </c>
      <c r="B9" s="56">
        <v>131.24</v>
      </c>
      <c r="C9" s="56">
        <v>76.819999999999993</v>
      </c>
      <c r="D9" s="56">
        <v>145.30000000000001</v>
      </c>
      <c r="E9" s="56">
        <v>3.22</v>
      </c>
      <c r="F9" s="56">
        <v>3.67</v>
      </c>
      <c r="G9" s="56">
        <v>131.21</v>
      </c>
      <c r="H9" s="56">
        <v>63.44</v>
      </c>
      <c r="I9" s="56">
        <v>11.58</v>
      </c>
      <c r="J9" s="56">
        <v>0.21</v>
      </c>
      <c r="K9" s="56">
        <v>287.33999999999997</v>
      </c>
      <c r="L9" s="56">
        <v>25.46</v>
      </c>
      <c r="M9" s="56">
        <v>51.20</v>
      </c>
      <c r="N9" s="56">
        <v>22.10</v>
      </c>
      <c r="O9" s="56">
        <v>0</v>
      </c>
      <c r="P9" s="56">
        <v>1.96</v>
      </c>
      <c r="Q9" s="56">
        <v>12.15</v>
      </c>
      <c r="R9" s="43"/>
      <c r="S9" s="43"/>
      <c r="T9" s="43"/>
      <c r="U9" s="43"/>
    </row>
    <row r="10" spans="1:21" s="11" customFormat="1" ht="15">
      <c r="A10" s="55" t="s">
        <v>111</v>
      </c>
      <c r="B10" s="56">
        <v>117.93</v>
      </c>
      <c r="C10" s="56">
        <v>68.09</v>
      </c>
      <c r="D10" s="56">
        <v>130.06</v>
      </c>
      <c r="E10" s="56">
        <v>2.72</v>
      </c>
      <c r="F10" s="56">
        <v>3.72</v>
      </c>
      <c r="G10" s="56">
        <v>129.86000000000001</v>
      </c>
      <c r="H10" s="56">
        <v>44.67</v>
      </c>
      <c r="I10" s="56">
        <v>11.82</v>
      </c>
      <c r="J10" s="56">
        <v>0.92</v>
      </c>
      <c r="K10" s="56">
        <v>218.18</v>
      </c>
      <c r="L10" s="56">
        <v>25.11</v>
      </c>
      <c r="M10" s="56">
        <v>51.58</v>
      </c>
      <c r="N10" s="56">
        <v>22.40</v>
      </c>
      <c r="O10" s="56">
        <v>0</v>
      </c>
      <c r="P10" s="56">
        <v>1.71</v>
      </c>
      <c r="Q10" s="56">
        <v>11.80</v>
      </c>
      <c r="R10" s="43"/>
      <c r="S10" s="43"/>
      <c r="T10" s="43"/>
      <c r="U10" s="43"/>
    </row>
    <row r="11" spans="1:21" s="11" customFormat="1" ht="15">
      <c r="A11" s="55" t="s">
        <v>112</v>
      </c>
      <c r="B11" s="56">
        <v>96.44</v>
      </c>
      <c r="C11" s="56">
        <v>62.99</v>
      </c>
      <c r="D11" s="56">
        <v>110.16</v>
      </c>
      <c r="E11" s="56">
        <v>2.44</v>
      </c>
      <c r="F11" s="56">
        <v>3.32</v>
      </c>
      <c r="G11" s="56">
        <v>123.45</v>
      </c>
      <c r="H11" s="56">
        <v>50.07</v>
      </c>
      <c r="I11" s="56">
        <v>11.21</v>
      </c>
      <c r="J11" s="56">
        <v>0.20</v>
      </c>
      <c r="K11" s="56">
        <v>338.48</v>
      </c>
      <c r="L11" s="56">
        <v>23.05</v>
      </c>
      <c r="M11" s="56">
        <v>59.5</v>
      </c>
      <c r="N11" s="56">
        <v>22.60</v>
      </c>
      <c r="O11" s="56">
        <v>0</v>
      </c>
      <c r="P11" s="56">
        <v>1.49</v>
      </c>
      <c r="Q11" s="56">
        <v>11.49</v>
      </c>
      <c r="R11" s="43"/>
      <c r="S11" s="43"/>
      <c r="T11" s="43"/>
      <c r="U11" s="43"/>
    </row>
    <row r="12" spans="1:21" s="11" customFormat="1" ht="15">
      <c r="A12" s="55" t="s">
        <v>113</v>
      </c>
      <c r="B12" s="56">
        <v>79.900000000000006</v>
      </c>
      <c r="C12" s="56">
        <v>59.32</v>
      </c>
      <c r="D12" s="56">
        <v>94.99</v>
      </c>
      <c r="E12" s="56">
        <v>2.1800000000000002</v>
      </c>
      <c r="F12" s="56">
        <v>3.25</v>
      </c>
      <c r="G12" s="56">
        <v>97.66</v>
      </c>
      <c r="H12" s="56">
        <v>99.04</v>
      </c>
      <c r="I12" s="56">
        <v>11.07</v>
      </c>
      <c r="J12" s="56">
        <v>1.06</v>
      </c>
      <c r="K12" s="56">
        <v>359.91</v>
      </c>
      <c r="L12" s="56">
        <v>23.66</v>
      </c>
      <c r="M12" s="56">
        <v>59.45</v>
      </c>
      <c r="N12" s="56">
        <v>22.30</v>
      </c>
      <c r="O12" s="56">
        <v>0</v>
      </c>
      <c r="P12" s="56">
        <v>1.30</v>
      </c>
      <c r="Q12" s="56">
        <v>11.24</v>
      </c>
      <c r="R12" s="43"/>
      <c r="S12" s="43"/>
      <c r="T12" s="43"/>
      <c r="U12" s="43"/>
    </row>
    <row r="13" spans="1:21" s="11" customFormat="1" ht="15">
      <c r="A13" s="55" t="s">
        <v>114</v>
      </c>
      <c r="B13" s="56">
        <v>65.12</v>
      </c>
      <c r="C13" s="56">
        <v>59.68</v>
      </c>
      <c r="D13" s="56">
        <v>83.19</v>
      </c>
      <c r="E13" s="56">
        <v>1.78</v>
      </c>
      <c r="F13" s="56">
        <v>3.28</v>
      </c>
      <c r="G13" s="56">
        <v>132.88999999999999</v>
      </c>
      <c r="H13" s="56">
        <v>99.04</v>
      </c>
      <c r="I13" s="56">
        <v>10.09</v>
      </c>
      <c r="J13" s="56">
        <v>0.19</v>
      </c>
      <c r="K13" s="56">
        <v>351.73</v>
      </c>
      <c r="L13" s="56">
        <v>23.34</v>
      </c>
      <c r="M13" s="56">
        <v>54.37</v>
      </c>
      <c r="N13" s="56">
        <v>22.60</v>
      </c>
      <c r="O13" s="56">
        <v>0</v>
      </c>
      <c r="P13" s="56">
        <v>1.1499999999999999</v>
      </c>
      <c r="Q13" s="56">
        <v>10.98</v>
      </c>
      <c r="R13" s="43"/>
      <c r="S13" s="43"/>
      <c r="T13" s="43"/>
      <c r="U13" s="43"/>
    </row>
    <row r="14" spans="1:21" s="11" customFormat="1" ht="15">
      <c r="A14" s="55" t="s">
        <v>115</v>
      </c>
      <c r="B14" s="56">
        <v>66.75</v>
      </c>
      <c r="C14" s="56">
        <v>58.26</v>
      </c>
      <c r="D14" s="56">
        <v>83.89</v>
      </c>
      <c r="E14" s="56">
        <v>1.96</v>
      </c>
      <c r="F14" s="56">
        <v>3.22</v>
      </c>
      <c r="G14" s="56">
        <v>215.85</v>
      </c>
      <c r="H14" s="56">
        <v>28.24</v>
      </c>
      <c r="I14" s="56">
        <v>9.57</v>
      </c>
      <c r="J14" s="56">
        <v>0.24</v>
      </c>
      <c r="K14" s="56">
        <v>359.72</v>
      </c>
      <c r="L14" s="56">
        <v>22.60</v>
      </c>
      <c r="M14" s="56">
        <v>60.59</v>
      </c>
      <c r="N14" s="56">
        <v>30.60</v>
      </c>
      <c r="O14" s="56">
        <v>0</v>
      </c>
      <c r="P14" s="56">
        <v>1.17</v>
      </c>
      <c r="Q14" s="56">
        <v>10.86</v>
      </c>
      <c r="R14" s="43"/>
      <c r="S14" s="43"/>
      <c r="T14" s="43"/>
      <c r="U14" s="43"/>
    </row>
    <row r="15" spans="1:21" s="11" customFormat="1" ht="15">
      <c r="A15" s="55" t="s">
        <v>116</v>
      </c>
      <c r="B15" s="56">
        <v>73.739999999999995</v>
      </c>
      <c r="C15" s="56">
        <v>57.79</v>
      </c>
      <c r="D15" s="56">
        <v>89.08</v>
      </c>
      <c r="E15" s="56">
        <v>1.93</v>
      </c>
      <c r="F15" s="56">
        <v>3.42</v>
      </c>
      <c r="G15" s="56">
        <v>215.85</v>
      </c>
      <c r="H15" s="56">
        <v>30.37</v>
      </c>
      <c r="I15" s="56">
        <v>9.7899999999999991</v>
      </c>
      <c r="J15" s="56">
        <v>0.45</v>
      </c>
      <c r="K15" s="56">
        <v>322.13</v>
      </c>
      <c r="L15" s="56">
        <v>24.91</v>
      </c>
      <c r="M15" s="56">
        <v>54.80</v>
      </c>
      <c r="N15" s="56">
        <v>144.5</v>
      </c>
      <c r="O15" s="56">
        <v>0</v>
      </c>
      <c r="P15" s="56">
        <v>1.18</v>
      </c>
      <c r="Q15" s="56">
        <v>10.93</v>
      </c>
      <c r="R15" s="43"/>
      <c r="S15" s="43"/>
      <c r="T15" s="43"/>
      <c r="U15" s="43"/>
    </row>
    <row r="16" spans="1:21" s="11" customFormat="1" ht="15">
      <c r="A16" s="55" t="s">
        <v>117</v>
      </c>
      <c r="B16" s="56">
        <v>73.77</v>
      </c>
      <c r="C16" s="56">
        <v>60.45</v>
      </c>
      <c r="D16" s="56">
        <v>89.31</v>
      </c>
      <c r="E16" s="56">
        <v>2.1800000000000002</v>
      </c>
      <c r="F16" s="56">
        <v>3.07</v>
      </c>
      <c r="G16" s="56">
        <v>201.24</v>
      </c>
      <c r="H16" s="56">
        <v>30.37</v>
      </c>
      <c r="I16" s="56">
        <v>11.86</v>
      </c>
      <c r="J16" s="56">
        <v>0.28999999999999998</v>
      </c>
      <c r="K16" s="56">
        <v>311.82</v>
      </c>
      <c r="L16" s="56">
        <v>30.55</v>
      </c>
      <c r="M16" s="56">
        <v>45.47</v>
      </c>
      <c r="N16" s="56">
        <v>341.70</v>
      </c>
      <c r="O16" s="56">
        <v>0</v>
      </c>
      <c r="P16" s="56">
        <v>1.23</v>
      </c>
      <c r="Q16" s="56">
        <v>11.04</v>
      </c>
      <c r="R16" s="43"/>
      <c r="S16" s="43"/>
      <c r="T16" s="43"/>
      <c r="U16" s="43"/>
    </row>
    <row r="17" spans="1:21" s="11" customFormat="1" ht="15">
      <c r="A17" s="55" t="s">
        <v>118</v>
      </c>
      <c r="B17" s="56">
        <v>63.34</v>
      </c>
      <c r="C17" s="56">
        <v>71.14</v>
      </c>
      <c r="D17" s="56">
        <v>83.24</v>
      </c>
      <c r="E17" s="56">
        <v>2.4500000000000002</v>
      </c>
      <c r="F17" s="56">
        <v>3.51</v>
      </c>
      <c r="G17" s="56">
        <v>164.43</v>
      </c>
      <c r="H17" s="56">
        <v>24.74</v>
      </c>
      <c r="I17" s="56">
        <v>11.46</v>
      </c>
      <c r="J17" s="56">
        <v>0.69</v>
      </c>
      <c r="K17" s="56">
        <v>350.78</v>
      </c>
      <c r="L17" s="56">
        <v>34.840000000000003</v>
      </c>
      <c r="M17" s="56">
        <v>35.15</v>
      </c>
      <c r="N17" s="56">
        <v>539.40</v>
      </c>
      <c r="O17" s="56">
        <v>0</v>
      </c>
      <c r="P17" s="56">
        <v>1.25</v>
      </c>
      <c r="Q17" s="56">
        <v>10.76</v>
      </c>
      <c r="R17" s="43"/>
      <c r="S17" s="43"/>
      <c r="T17" s="43"/>
      <c r="U17" s="43"/>
    </row>
    <row r="18" spans="1:21" s="11" customFormat="1" ht="15">
      <c r="A18" s="55" t="s">
        <v>119</v>
      </c>
      <c r="B18" s="56">
        <v>49.71</v>
      </c>
      <c r="C18" s="56">
        <v>79.84</v>
      </c>
      <c r="D18" s="56">
        <v>78.680000000000007</v>
      </c>
      <c r="E18" s="56">
        <v>2.25</v>
      </c>
      <c r="F18" s="56">
        <v>3.61</v>
      </c>
      <c r="G18" s="56">
        <v>211.69</v>
      </c>
      <c r="H18" s="56">
        <v>32.979999999999997</v>
      </c>
      <c r="I18" s="56">
        <v>11.51</v>
      </c>
      <c r="J18" s="56">
        <v>0.93</v>
      </c>
      <c r="K18" s="56">
        <v>351.66</v>
      </c>
      <c r="L18" s="56">
        <v>37.04</v>
      </c>
      <c r="M18" s="56">
        <v>24.18</v>
      </c>
      <c r="N18" s="56">
        <v>673.70</v>
      </c>
      <c r="O18" s="56">
        <v>0</v>
      </c>
      <c r="P18" s="56">
        <v>1.33</v>
      </c>
      <c r="Q18" s="56">
        <v>10.68</v>
      </c>
      <c r="R18" s="43"/>
      <c r="S18" s="43"/>
      <c r="T18" s="43"/>
      <c r="U18" s="43"/>
    </row>
    <row r="19" spans="1:21" s="11" customFormat="1" ht="15">
      <c r="A19" s="55" t="s">
        <v>120</v>
      </c>
      <c r="B19" s="56">
        <v>37.21</v>
      </c>
      <c r="C19" s="56">
        <v>95.21</v>
      </c>
      <c r="D19" s="56">
        <v>71.97</v>
      </c>
      <c r="E19" s="56">
        <v>4.20</v>
      </c>
      <c r="F19" s="56">
        <v>5.49</v>
      </c>
      <c r="G19" s="56">
        <v>211.69</v>
      </c>
      <c r="H19" s="56">
        <v>32.979999999999997</v>
      </c>
      <c r="I19" s="56">
        <v>12.28</v>
      </c>
      <c r="J19" s="56">
        <v>0.99</v>
      </c>
      <c r="K19" s="56">
        <v>351.92</v>
      </c>
      <c r="L19" s="56">
        <v>38.409999999999997</v>
      </c>
      <c r="M19" s="56">
        <v>22.02</v>
      </c>
      <c r="N19" s="56">
        <v>765.40</v>
      </c>
      <c r="O19" s="56">
        <v>0</v>
      </c>
      <c r="P19" s="56">
        <v>1.36</v>
      </c>
      <c r="Q19" s="56">
        <v>10.57</v>
      </c>
      <c r="R19" s="43"/>
      <c r="S19" s="43"/>
      <c r="T19" s="43"/>
      <c r="U19" s="43"/>
    </row>
    <row r="20" spans="1:21" s="11" customFormat="1" ht="15">
      <c r="A20" s="55" t="s">
        <v>121</v>
      </c>
      <c r="B20" s="56">
        <v>15.86</v>
      </c>
      <c r="C20" s="56">
        <v>98.54</v>
      </c>
      <c r="D20" s="56">
        <v>64.13</v>
      </c>
      <c r="E20" s="56">
        <v>2.4500000000000002</v>
      </c>
      <c r="F20" s="56">
        <v>9.3000000000000007</v>
      </c>
      <c r="G20" s="56">
        <v>204.67</v>
      </c>
      <c r="H20" s="56">
        <v>35.950000000000003</v>
      </c>
      <c r="I20" s="56">
        <v>12.48</v>
      </c>
      <c r="J20" s="56">
        <v>0.59</v>
      </c>
      <c r="K20" s="56">
        <v>327.64</v>
      </c>
      <c r="L20" s="56">
        <v>39.549999999999997</v>
      </c>
      <c r="M20" s="56">
        <v>20.56</v>
      </c>
      <c r="N20" s="56">
        <v>874.60</v>
      </c>
      <c r="O20" s="56">
        <v>0</v>
      </c>
      <c r="P20" s="56">
        <v>1.36</v>
      </c>
      <c r="Q20" s="56">
        <v>10.35</v>
      </c>
      <c r="R20" s="43"/>
      <c r="S20" s="43"/>
      <c r="T20" s="43"/>
      <c r="U20" s="43"/>
    </row>
    <row r="21" spans="1:21" s="11" customFormat="1" ht="15">
      <c r="A21" s="55" t="s">
        <v>122</v>
      </c>
      <c r="B21" s="56">
        <v>6.03</v>
      </c>
      <c r="C21" s="56">
        <v>96.33</v>
      </c>
      <c r="D21" s="56">
        <v>55.08</v>
      </c>
      <c r="E21" s="56">
        <v>2.90</v>
      </c>
      <c r="F21" s="56">
        <v>14.44</v>
      </c>
      <c r="G21" s="56">
        <v>169.56</v>
      </c>
      <c r="H21" s="56">
        <v>35.950000000000003</v>
      </c>
      <c r="I21" s="56">
        <v>11.63</v>
      </c>
      <c r="J21" s="56">
        <v>0.77</v>
      </c>
      <c r="K21" s="56">
        <v>342.72</v>
      </c>
      <c r="L21" s="56">
        <v>39.79</v>
      </c>
      <c r="M21" s="56">
        <v>22.02</v>
      </c>
      <c r="N21" s="56">
        <v>858.10</v>
      </c>
      <c r="O21" s="56">
        <v>0</v>
      </c>
      <c r="P21" s="56">
        <v>1.19</v>
      </c>
      <c r="Q21" s="56">
        <v>10.01</v>
      </c>
      <c r="R21" s="43"/>
      <c r="S21" s="43"/>
      <c r="T21" s="43"/>
      <c r="U21" s="43"/>
    </row>
    <row r="22" spans="1:21" s="11" customFormat="1" ht="15">
      <c r="A22" s="55" t="s">
        <v>123</v>
      </c>
      <c r="B22" s="56">
        <v>5.53</v>
      </c>
      <c r="C22" s="56">
        <v>81.290000000000006</v>
      </c>
      <c r="D22" s="56">
        <v>46.43</v>
      </c>
      <c r="E22" s="56">
        <v>4.0999999999999996</v>
      </c>
      <c r="F22" s="56">
        <v>19.170000000000002</v>
      </c>
      <c r="G22" s="56">
        <v>136.27000000000001</v>
      </c>
      <c r="H22" s="56">
        <v>26.73</v>
      </c>
      <c r="I22" s="56">
        <v>8.9600000000000009</v>
      </c>
      <c r="J22" s="56">
        <v>0.70</v>
      </c>
      <c r="K22" s="56">
        <v>356.26</v>
      </c>
      <c r="L22" s="56">
        <v>40.700000000000003</v>
      </c>
      <c r="M22" s="56">
        <v>18.57</v>
      </c>
      <c r="N22" s="56">
        <v>769.10</v>
      </c>
      <c r="O22" s="56">
        <v>0</v>
      </c>
      <c r="P22" s="56">
        <v>1</v>
      </c>
      <c r="Q22" s="56">
        <v>10.06</v>
      </c>
      <c r="R22" s="43"/>
      <c r="S22" s="43"/>
      <c r="T22" s="43"/>
      <c r="U22" s="43"/>
    </row>
    <row r="23" spans="1:21" s="11" customFormat="1" ht="15">
      <c r="A23" s="55" t="s">
        <v>124</v>
      </c>
      <c r="B23" s="56">
        <v>5.04</v>
      </c>
      <c r="C23" s="56">
        <v>79</v>
      </c>
      <c r="D23" s="56">
        <v>45.13</v>
      </c>
      <c r="E23" s="56">
        <v>3.45</v>
      </c>
      <c r="F23" s="56">
        <v>27.38</v>
      </c>
      <c r="G23" s="56">
        <v>86.17</v>
      </c>
      <c r="H23" s="56">
        <v>26.73</v>
      </c>
      <c r="I23" s="56">
        <v>7.12</v>
      </c>
      <c r="J23" s="56">
        <v>1.07</v>
      </c>
      <c r="K23" s="56">
        <v>355.93</v>
      </c>
      <c r="L23" s="56">
        <v>39.54</v>
      </c>
      <c r="M23" s="56">
        <v>17.52</v>
      </c>
      <c r="N23" s="56">
        <v>616.60</v>
      </c>
      <c r="O23" s="56">
        <v>0</v>
      </c>
      <c r="P23" s="56">
        <v>0.93</v>
      </c>
      <c r="Q23" s="56">
        <v>9.83</v>
      </c>
      <c r="R23" s="43"/>
      <c r="S23" s="43"/>
      <c r="T23" s="43"/>
      <c r="U23" s="43"/>
    </row>
    <row r="24" spans="1:21" s="11" customFormat="1" ht="15">
      <c r="A24" s="55" t="s">
        <v>125</v>
      </c>
      <c r="B24" s="56">
        <v>4.93</v>
      </c>
      <c r="C24" s="56">
        <v>72.39</v>
      </c>
      <c r="D24" s="56">
        <v>41.48</v>
      </c>
      <c r="E24" s="56">
        <v>2.39</v>
      </c>
      <c r="F24" s="56">
        <v>12.65</v>
      </c>
      <c r="G24" s="56">
        <v>90.93</v>
      </c>
      <c r="H24" s="56">
        <v>9.6300000000000008</v>
      </c>
      <c r="I24" s="56">
        <v>7</v>
      </c>
      <c r="J24" s="56">
        <v>0.61</v>
      </c>
      <c r="K24" s="56">
        <v>341.01</v>
      </c>
      <c r="L24" s="56">
        <v>37.83</v>
      </c>
      <c r="M24" s="56">
        <v>18.54</v>
      </c>
      <c r="N24" s="56">
        <v>353.10</v>
      </c>
      <c r="O24" s="56">
        <v>0</v>
      </c>
      <c r="P24" s="56">
        <v>0.70</v>
      </c>
      <c r="Q24" s="56">
        <v>9.9700000000000006</v>
      </c>
      <c r="R24" s="43"/>
      <c r="S24" s="43"/>
      <c r="T24" s="43"/>
      <c r="U24" s="43"/>
    </row>
    <row r="25" spans="1:21" s="11" customFormat="1" ht="15">
      <c r="A25" s="55" t="s">
        <v>126</v>
      </c>
      <c r="B25" s="56">
        <v>5.53</v>
      </c>
      <c r="C25" s="56">
        <v>61.43</v>
      </c>
      <c r="D25" s="56">
        <v>36.15</v>
      </c>
      <c r="E25" s="56">
        <v>1.64</v>
      </c>
      <c r="F25" s="56">
        <v>7.71</v>
      </c>
      <c r="G25" s="57" t="s">
        <v>14</v>
      </c>
      <c r="H25" s="57" t="s">
        <v>14</v>
      </c>
      <c r="I25" s="56">
        <v>7.88</v>
      </c>
      <c r="J25" s="56">
        <v>0.81</v>
      </c>
      <c r="K25" s="56">
        <v>84.52</v>
      </c>
      <c r="L25" s="56">
        <v>36.28</v>
      </c>
      <c r="M25" s="56">
        <v>21.91</v>
      </c>
      <c r="N25" s="56">
        <v>166.5</v>
      </c>
      <c r="O25" s="56">
        <v>0</v>
      </c>
      <c r="P25" s="56">
        <v>0.68</v>
      </c>
      <c r="Q25" s="56">
        <v>9.91</v>
      </c>
      <c r="R25" s="43"/>
      <c r="S25" s="43"/>
      <c r="T25" s="43"/>
      <c r="U25" s="43"/>
    </row>
    <row r="26" spans="1:21" s="11" customFormat="1" ht="15">
      <c r="A26" s="55" t="s">
        <v>127</v>
      </c>
      <c r="B26" s="56">
        <v>4.9800000000000004</v>
      </c>
      <c r="C26" s="56">
        <v>67.84</v>
      </c>
      <c r="D26" s="56">
        <v>39.36</v>
      </c>
      <c r="E26" s="56">
        <v>1.89</v>
      </c>
      <c r="F26" s="56">
        <v>19.98</v>
      </c>
      <c r="G26" s="57" t="s">
        <v>14</v>
      </c>
      <c r="H26" s="57" t="s">
        <v>14</v>
      </c>
      <c r="I26" s="56">
        <v>7.86</v>
      </c>
      <c r="J26" s="56">
        <v>0.56999999999999995</v>
      </c>
      <c r="K26" s="56">
        <v>87.53</v>
      </c>
      <c r="L26" s="56">
        <v>33.840000000000003</v>
      </c>
      <c r="M26" s="56">
        <v>22.66</v>
      </c>
      <c r="N26" s="56">
        <v>69.900000000000006</v>
      </c>
      <c r="O26" s="56">
        <v>0</v>
      </c>
      <c r="P26" s="56">
        <v>0.67</v>
      </c>
      <c r="Q26" s="56">
        <v>9.77</v>
      </c>
      <c r="R26" s="43"/>
      <c r="S26" s="43"/>
      <c r="T26" s="43"/>
      <c r="U26" s="43"/>
    </row>
    <row r="27" spans="1:21" s="11" customFormat="1" ht="15">
      <c r="A27" s="55" t="s">
        <v>128</v>
      </c>
      <c r="B27" s="56">
        <v>13.40</v>
      </c>
      <c r="C27" s="56">
        <v>84.49</v>
      </c>
      <c r="D27" s="56">
        <v>54.40</v>
      </c>
      <c r="E27" s="56">
        <v>1.65</v>
      </c>
      <c r="F27" s="56">
        <v>11.72</v>
      </c>
      <c r="G27" s="57" t="s">
        <v>14</v>
      </c>
      <c r="H27" s="57" t="s">
        <v>14</v>
      </c>
      <c r="I27" s="56">
        <v>6.10</v>
      </c>
      <c r="J27" s="56">
        <v>0.33</v>
      </c>
      <c r="K27" s="56">
        <v>183.84</v>
      </c>
      <c r="L27" s="56">
        <v>32.520000000000003</v>
      </c>
      <c r="M27" s="56">
        <v>36.799999999999997</v>
      </c>
      <c r="N27" s="56">
        <v>21</v>
      </c>
      <c r="O27" s="56">
        <v>0</v>
      </c>
      <c r="P27" s="56">
        <v>1.17</v>
      </c>
      <c r="Q27" s="56">
        <v>10.050000000000001</v>
      </c>
      <c r="R27" s="43"/>
      <c r="S27" s="43"/>
      <c r="T27" s="43"/>
      <c r="U27" s="43"/>
    </row>
    <row r="28" spans="1:21" s="11" customFormat="1" ht="15">
      <c r="A28" s="55" t="s">
        <v>129</v>
      </c>
      <c r="B28" s="56">
        <v>32.17</v>
      </c>
      <c r="C28" s="56">
        <v>85.01</v>
      </c>
      <c r="D28" s="56">
        <v>69.569999999999993</v>
      </c>
      <c r="E28" s="56">
        <v>1.76</v>
      </c>
      <c r="F28" s="56">
        <v>3.59</v>
      </c>
      <c r="G28" s="56">
        <v>168.97</v>
      </c>
      <c r="H28" s="56">
        <v>93.49</v>
      </c>
      <c r="I28" s="56">
        <v>9.61</v>
      </c>
      <c r="J28" s="56">
        <v>0.35</v>
      </c>
      <c r="K28" s="56">
        <v>245.60</v>
      </c>
      <c r="L28" s="56">
        <v>30.06</v>
      </c>
      <c r="M28" s="56">
        <v>38.549999999999997</v>
      </c>
      <c r="N28" s="56">
        <v>18.70</v>
      </c>
      <c r="O28" s="56">
        <v>0</v>
      </c>
      <c r="P28" s="56">
        <v>1.60</v>
      </c>
      <c r="Q28" s="56">
        <v>10.42</v>
      </c>
      <c r="R28" s="43"/>
      <c r="S28" s="43"/>
      <c r="T28" s="43"/>
      <c r="U28" s="43"/>
    </row>
    <row r="29" spans="1:21" s="11" customFormat="1" ht="15">
      <c r="A29" s="55" t="s">
        <v>130</v>
      </c>
      <c r="B29" s="56">
        <v>33.200000000000003</v>
      </c>
      <c r="C29" s="56">
        <v>82.94</v>
      </c>
      <c r="D29" s="56">
        <v>69.88</v>
      </c>
      <c r="E29" s="56">
        <v>1.69</v>
      </c>
      <c r="F29" s="56">
        <v>3.63</v>
      </c>
      <c r="G29" s="56">
        <v>163.51</v>
      </c>
      <c r="H29" s="56">
        <v>59.58</v>
      </c>
      <c r="I29" s="56">
        <v>10.33</v>
      </c>
      <c r="J29" s="56">
        <v>1.02</v>
      </c>
      <c r="K29" s="56">
        <v>320.05</v>
      </c>
      <c r="L29" s="56">
        <v>30.31</v>
      </c>
      <c r="M29" s="56">
        <v>39.06</v>
      </c>
      <c r="N29" s="56">
        <v>19.100000000000001</v>
      </c>
      <c r="O29" s="56">
        <v>0</v>
      </c>
      <c r="P29" s="56">
        <v>1.59</v>
      </c>
      <c r="Q29" s="56">
        <v>10.58</v>
      </c>
      <c r="R29" s="43"/>
      <c r="S29" s="43"/>
      <c r="T29" s="43"/>
      <c r="U29" s="43"/>
    </row>
    <row r="30" spans="1:21" s="11" customFormat="1" ht="15">
      <c r="A30" s="55" t="s">
        <v>131</v>
      </c>
      <c r="B30" s="56">
        <v>33.96</v>
      </c>
      <c r="C30" s="56">
        <v>78.56</v>
      </c>
      <c r="D30" s="56">
        <v>68.20</v>
      </c>
      <c r="E30" s="56">
        <v>1.89</v>
      </c>
      <c r="F30" s="56">
        <v>3.53</v>
      </c>
      <c r="G30" s="56">
        <v>127.49</v>
      </c>
      <c r="H30" s="56">
        <v>42.06</v>
      </c>
      <c r="I30" s="56">
        <v>9.98</v>
      </c>
      <c r="J30" s="56">
        <v>0.83</v>
      </c>
      <c r="K30" s="56">
        <v>305.02999999999997</v>
      </c>
      <c r="L30" s="56">
        <v>28.78</v>
      </c>
      <c r="M30" s="56">
        <v>42.21</v>
      </c>
      <c r="N30" s="56">
        <v>18.80</v>
      </c>
      <c r="O30" s="56">
        <v>0</v>
      </c>
      <c r="P30" s="56">
        <v>1.61</v>
      </c>
      <c r="Q30" s="56">
        <v>10.5</v>
      </c>
      <c r="R30" s="43"/>
      <c r="S30" s="43"/>
      <c r="T30" s="43"/>
      <c r="U30" s="43"/>
    </row>
    <row r="31" spans="1:21" s="11" customFormat="1" ht="15">
      <c r="A31" s="55" t="s">
        <v>132</v>
      </c>
      <c r="B31" s="56">
        <v>23.65</v>
      </c>
      <c r="C31" s="56">
        <v>71.25</v>
      </c>
      <c r="D31" s="56">
        <v>55.92</v>
      </c>
      <c r="E31" s="56">
        <v>1.29</v>
      </c>
      <c r="F31" s="56">
        <v>3.78</v>
      </c>
      <c r="G31" s="56">
        <v>96.91</v>
      </c>
      <c r="H31" s="56">
        <v>30.53</v>
      </c>
      <c r="I31" s="56">
        <v>9.67</v>
      </c>
      <c r="J31" s="56">
        <v>0.99</v>
      </c>
      <c r="K31" s="56">
        <v>165.86</v>
      </c>
      <c r="L31" s="56">
        <v>28.63</v>
      </c>
      <c r="M31" s="56">
        <v>44.78</v>
      </c>
      <c r="N31" s="56">
        <v>18.20</v>
      </c>
      <c r="O31" s="56">
        <v>0</v>
      </c>
      <c r="P31" s="56">
        <v>1.43</v>
      </c>
      <c r="Q31" s="56">
        <v>10.30</v>
      </c>
      <c r="R31" s="43"/>
      <c r="S31" s="43"/>
      <c r="T31" s="43"/>
      <c r="U31" s="43"/>
    </row>
    <row r="32" spans="1:21" s="11" customFormat="1" ht="15">
      <c r="A32" s="55" t="s">
        <v>133</v>
      </c>
      <c r="B32" s="56">
        <v>16.420000000000002</v>
      </c>
      <c r="C32" s="56">
        <v>67.88</v>
      </c>
      <c r="D32" s="56">
        <v>48.56</v>
      </c>
      <c r="E32" s="56">
        <v>1.1100000000000001</v>
      </c>
      <c r="F32" s="56">
        <v>3.70</v>
      </c>
      <c r="G32" s="56">
        <v>69.06</v>
      </c>
      <c r="H32" s="56">
        <v>25.92</v>
      </c>
      <c r="I32" s="56">
        <v>8.39</v>
      </c>
      <c r="J32" s="56">
        <v>0.99</v>
      </c>
      <c r="K32" s="56">
        <v>183.44</v>
      </c>
      <c r="L32" s="56">
        <v>27.78</v>
      </c>
      <c r="M32" s="56">
        <v>47.94</v>
      </c>
      <c r="N32" s="56">
        <v>18.5</v>
      </c>
      <c r="O32" s="56">
        <v>0</v>
      </c>
      <c r="P32" s="56">
        <v>1.17</v>
      </c>
      <c r="Q32" s="56">
        <v>9.9600000000000009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4.9299999999999997</v>
      </c>
      <c r="C34" s="28">
        <f t="shared" si="0"/>
        <v>57.789999999999999</v>
      </c>
      <c r="D34" s="28">
        <f t="shared" si="0"/>
        <v>36.149999999999999</v>
      </c>
      <c r="E34" s="28">
        <f t="shared" si="0"/>
        <v>1.1100000000000001</v>
      </c>
      <c r="F34" s="28">
        <f t="shared" si="0"/>
        <v>3.0699999999999998</v>
      </c>
      <c r="G34" s="28">
        <f t="shared" si="0"/>
        <v>69.060000000000002</v>
      </c>
      <c r="H34" s="28">
        <f t="shared" si="0"/>
        <v>9.6300000000000008</v>
      </c>
      <c r="I34" s="28">
        <f t="shared" si="0"/>
        <v>6.0999999999999996</v>
      </c>
      <c r="J34" s="28">
        <f t="shared" si="0"/>
        <v>0.19</v>
      </c>
      <c r="K34" s="28">
        <f t="shared" si="0"/>
        <v>84.519999999999996</v>
      </c>
      <c r="L34" s="28">
        <f t="shared" si="0"/>
        <v>22.600000000000001</v>
      </c>
      <c r="M34" s="28">
        <f t="shared" si="0"/>
        <v>17.52</v>
      </c>
      <c r="N34" s="28">
        <f t="shared" si="0"/>
        <v>18.199999999999999</v>
      </c>
      <c r="O34" s="28">
        <f t="shared" si="0"/>
        <v>0</v>
      </c>
      <c r="P34" s="28">
        <f t="shared" si="0"/>
        <v>0.67000000000000004</v>
      </c>
      <c r="Q34" s="28">
        <f t="shared" si="0"/>
        <v>9.7699999999999996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131.24000000000001</v>
      </c>
      <c r="C35" s="29">
        <f t="shared" si="1"/>
        <v>98.540000000000006</v>
      </c>
      <c r="D35" s="29">
        <f t="shared" si="1"/>
        <v>145.30000000000001</v>
      </c>
      <c r="E35" s="29">
        <f t="shared" si="1"/>
        <v>4.2000000000000002</v>
      </c>
      <c r="F35" s="29">
        <f t="shared" si="1"/>
        <v>27.379999999999999</v>
      </c>
      <c r="G35" s="29">
        <f t="shared" si="1"/>
        <v>215.84999999999999</v>
      </c>
      <c r="H35" s="29">
        <f t="shared" si="1"/>
        <v>99.040000000000006</v>
      </c>
      <c r="I35" s="29">
        <f t="shared" si="1"/>
        <v>12.48</v>
      </c>
      <c r="J35" s="29">
        <f t="shared" si="1"/>
        <v>1.0700000000000001</v>
      </c>
      <c r="K35" s="29">
        <f t="shared" si="1"/>
        <v>359.91000000000003</v>
      </c>
      <c r="L35" s="29">
        <f t="shared" si="1"/>
        <v>40.700000000000003</v>
      </c>
      <c r="M35" s="29">
        <f t="shared" si="1"/>
        <v>60.590000000000003</v>
      </c>
      <c r="N35" s="29">
        <f t="shared" si="1"/>
        <v>874.60000000000002</v>
      </c>
      <c r="O35" s="29">
        <f t="shared" si="1"/>
        <v>0</v>
      </c>
      <c r="P35" s="29">
        <f t="shared" si="1"/>
        <v>1.96</v>
      </c>
      <c r="Q35" s="29">
        <f t="shared" si="1"/>
        <v>12.15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43.993750000000006</v>
      </c>
      <c r="C36" s="28">
        <f t="shared" si="2"/>
        <v>74.022500000000022</v>
      </c>
      <c r="D36" s="28">
        <f t="shared" si="2"/>
        <v>73.090000000000003</v>
      </c>
      <c r="E36" s="28">
        <f t="shared" si="2"/>
        <v>2.313333333333333</v>
      </c>
      <c r="F36" s="28">
        <f t="shared" si="2"/>
        <v>7.5058333333333325</v>
      </c>
      <c r="G36" s="28">
        <f t="shared" si="2"/>
        <v>149.96952380952376</v>
      </c>
      <c r="H36" s="28">
        <f t="shared" si="2"/>
        <v>43.929047619047623</v>
      </c>
      <c r="I36" s="28">
        <f t="shared" si="2"/>
        <v>9.96875</v>
      </c>
      <c r="J36" s="28">
        <f t="shared" si="2"/>
        <v>0.65833333333333333</v>
      </c>
      <c r="K36" s="28">
        <f t="shared" si="2"/>
        <v>287.62916666666666</v>
      </c>
      <c r="L36" s="28">
        <f t="shared" si="2"/>
        <v>31.44083333333333</v>
      </c>
      <c r="M36" s="28">
        <f t="shared" si="2"/>
        <v>37.892916666666657</v>
      </c>
      <c r="N36" s="28">
        <f t="shared" si="2"/>
        <v>267.89583333333337</v>
      </c>
      <c r="O36" s="28">
        <f t="shared" si="2"/>
        <v>0</v>
      </c>
      <c r="P36" s="28">
        <f t="shared" si="2"/>
        <v>1.2595833333333333</v>
      </c>
      <c r="Q36" s="28">
        <f t="shared" si="2"/>
        <v>10.592083333333335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37.60851254384928</v>
      </c>
      <c r="C37" s="28">
        <f t="shared" si="3" ref="C37:Q37">STDEV(C9:C32)</f>
        <v>12.38062695961078</v>
      </c>
      <c r="D37" s="28">
        <f t="shared" si="3"/>
        <v>27.879931538809334</v>
      </c>
      <c r="E37" s="28">
        <f t="shared" si="3"/>
        <v>0.79323589707337305</v>
      </c>
      <c r="F37" s="28">
        <f t="shared" si="3"/>
        <v>6.6894413340965082</v>
      </c>
      <c r="G37" s="28">
        <f t="shared" si="3"/>
        <v>47.516142570308958</v>
      </c>
      <c r="H37" s="28">
        <f t="shared" si="3"/>
        <v>25.3171481223225</v>
      </c>
      <c r="I37" s="28">
        <f t="shared" si="3"/>
        <v>1.8193508457688985</v>
      </c>
      <c r="J37" s="28">
        <f t="shared" si="3"/>
        <v>0.3095391619062493</v>
      </c>
      <c r="K37" s="28">
        <f t="shared" si="3"/>
        <v>86.894646651371062</v>
      </c>
      <c r="L37" s="28">
        <f t="shared" si="3"/>
        <v>6.1680247819010097</v>
      </c>
      <c r="M37" s="28">
        <f t="shared" si="3"/>
        <v>15.102924703561541</v>
      </c>
      <c r="N37" s="28">
        <f t="shared" si="3"/>
        <v>321.79867251755087</v>
      </c>
      <c r="O37" s="28">
        <f t="shared" si="3"/>
        <v>0</v>
      </c>
      <c r="P37" s="28">
        <f t="shared" si="3"/>
        <v>0.32107806400999361</v>
      </c>
      <c r="Q37" s="28">
        <f t="shared" si="3"/>
        <v>0.63560980077444884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99c90c-d775-43e4-8daf-e0d9eb00db7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C13" sqref="C13"/>
    </sheetView>
  </sheetViews>
  <sheetFormatPr defaultColWidth="8.85881696428571" defaultRowHeight="15"/>
  <cols>
    <col min="1" max="1" width="18.2857142857143" style="26" customWidth="1"/>
    <col min="2" max="3" width="13.2857142857143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134</v>
      </c>
      <c r="B9" s="51">
        <v>12.05</v>
      </c>
      <c r="C9" s="51">
        <v>60.82</v>
      </c>
      <c r="D9" s="51">
        <v>41.36</v>
      </c>
      <c r="E9" s="51">
        <v>0.99</v>
      </c>
      <c r="F9" s="51">
        <v>4.26</v>
      </c>
      <c r="G9" s="51">
        <v>53.07</v>
      </c>
      <c r="H9" s="51">
        <v>23.38</v>
      </c>
      <c r="I9" s="51">
        <v>7.5</v>
      </c>
      <c r="J9" s="51">
        <v>0.45</v>
      </c>
      <c r="K9" s="51">
        <v>226.11</v>
      </c>
      <c r="L9" s="51">
        <v>26.68</v>
      </c>
      <c r="M9" s="51">
        <v>53.80</v>
      </c>
      <c r="N9" s="51">
        <v>18.20</v>
      </c>
      <c r="O9" s="51">
        <v>0</v>
      </c>
      <c r="P9" s="51">
        <v>1</v>
      </c>
      <c r="Q9" s="51">
        <v>10.06</v>
      </c>
      <c r="R9" s="43"/>
      <c r="S9" s="43"/>
      <c r="T9" s="43"/>
      <c r="U9" s="43"/>
    </row>
    <row r="10" spans="1:21" s="11" customFormat="1" ht="15">
      <c r="A10" s="50" t="s">
        <v>135</v>
      </c>
      <c r="B10" s="51">
        <v>9.43</v>
      </c>
      <c r="C10" s="51">
        <v>53.91</v>
      </c>
      <c r="D10" s="51">
        <v>35.64</v>
      </c>
      <c r="E10" s="51">
        <v>1.04</v>
      </c>
      <c r="F10" s="51">
        <v>4.05</v>
      </c>
      <c r="G10" s="51">
        <v>45.51</v>
      </c>
      <c r="H10" s="51">
        <v>25.76</v>
      </c>
      <c r="I10" s="51">
        <v>7.37</v>
      </c>
      <c r="J10" s="51">
        <v>0.27</v>
      </c>
      <c r="K10" s="51">
        <v>291.04000000000002</v>
      </c>
      <c r="L10" s="51">
        <v>25.47</v>
      </c>
      <c r="M10" s="51">
        <v>57.65</v>
      </c>
      <c r="N10" s="51">
        <v>18.30</v>
      </c>
      <c r="O10" s="51">
        <v>0</v>
      </c>
      <c r="P10" s="51">
        <v>0.89</v>
      </c>
      <c r="Q10" s="51">
        <v>9.89</v>
      </c>
      <c r="R10" s="43"/>
      <c r="S10" s="43"/>
      <c r="T10" s="43"/>
      <c r="U10" s="43"/>
    </row>
    <row r="11" spans="1:21" s="11" customFormat="1" ht="15">
      <c r="A11" s="50" t="s">
        <v>136</v>
      </c>
      <c r="B11" s="51">
        <v>7.53</v>
      </c>
      <c r="C11" s="51">
        <v>53.73</v>
      </c>
      <c r="D11" s="51">
        <v>34.03</v>
      </c>
      <c r="E11" s="51">
        <v>0.99</v>
      </c>
      <c r="F11" s="51">
        <v>4.13</v>
      </c>
      <c r="G11" s="51">
        <v>44.5</v>
      </c>
      <c r="H11" s="51">
        <v>20.059999999999999</v>
      </c>
      <c r="I11" s="51">
        <v>7.05</v>
      </c>
      <c r="J11" s="51">
        <v>0.14000000000000001</v>
      </c>
      <c r="K11" s="51">
        <v>352.41</v>
      </c>
      <c r="L11" s="51">
        <v>25.14</v>
      </c>
      <c r="M11" s="51">
        <v>64.760000000000005</v>
      </c>
      <c r="N11" s="51">
        <v>18.5</v>
      </c>
      <c r="O11" s="51">
        <v>0</v>
      </c>
      <c r="P11" s="51">
        <v>0.79</v>
      </c>
      <c r="Q11" s="51">
        <v>9.99</v>
      </c>
      <c r="R11" s="43"/>
      <c r="S11" s="43"/>
      <c r="T11" s="43"/>
      <c r="U11" s="43"/>
    </row>
    <row r="12" spans="1:21" s="11" customFormat="1" ht="15">
      <c r="A12" s="50" t="s">
        <v>137</v>
      </c>
      <c r="B12" s="51">
        <v>9.2899999999999991</v>
      </c>
      <c r="C12" s="51">
        <v>51.90</v>
      </c>
      <c r="D12" s="51">
        <v>33.47</v>
      </c>
      <c r="E12" s="51">
        <v>2.82</v>
      </c>
      <c r="F12" s="51">
        <v>4.09</v>
      </c>
      <c r="G12" s="51">
        <v>40.53</v>
      </c>
      <c r="H12" s="51">
        <v>15.65</v>
      </c>
      <c r="I12" s="51">
        <v>6.45</v>
      </c>
      <c r="J12" s="51">
        <v>0.22</v>
      </c>
      <c r="K12" s="51">
        <v>255.62</v>
      </c>
      <c r="L12" s="51">
        <v>24.29</v>
      </c>
      <c r="M12" s="51">
        <v>67.489999999999995</v>
      </c>
      <c r="N12" s="51">
        <v>18.399999999999999</v>
      </c>
      <c r="O12" s="51">
        <v>0</v>
      </c>
      <c r="P12" s="51">
        <v>0.69</v>
      </c>
      <c r="Q12" s="51">
        <v>9.9499999999999993</v>
      </c>
      <c r="R12" s="43"/>
      <c r="S12" s="43"/>
      <c r="T12" s="43"/>
      <c r="U12" s="43"/>
    </row>
    <row r="13" spans="1:21" s="11" customFormat="1" ht="15">
      <c r="A13" s="50" t="s">
        <v>138</v>
      </c>
      <c r="B13" s="51">
        <v>12.10</v>
      </c>
      <c r="C13" s="51">
        <v>49.84</v>
      </c>
      <c r="D13" s="51">
        <v>35.630000000000003</v>
      </c>
      <c r="E13" s="51">
        <v>2.15</v>
      </c>
      <c r="F13" s="51">
        <v>3.67</v>
      </c>
      <c r="G13" s="51">
        <v>53.06</v>
      </c>
      <c r="H13" s="51">
        <v>28.15</v>
      </c>
      <c r="I13" s="51">
        <v>6.33</v>
      </c>
      <c r="J13" s="51">
        <v>0.80</v>
      </c>
      <c r="K13" s="51">
        <v>297.51</v>
      </c>
      <c r="L13" s="51">
        <v>24.73</v>
      </c>
      <c r="M13" s="51">
        <v>69.319999999999993</v>
      </c>
      <c r="N13" s="51">
        <v>18.899999999999999</v>
      </c>
      <c r="O13" s="51">
        <v>0</v>
      </c>
      <c r="P13" s="51">
        <v>0.63</v>
      </c>
      <c r="Q13" s="51">
        <v>9.73</v>
      </c>
      <c r="R13" s="43"/>
      <c r="S13" s="43"/>
      <c r="T13" s="43"/>
      <c r="U13" s="43"/>
    </row>
    <row r="14" spans="1:21" s="11" customFormat="1" ht="15">
      <c r="A14" s="50" t="s">
        <v>139</v>
      </c>
      <c r="B14" s="51">
        <v>18</v>
      </c>
      <c r="C14" s="51">
        <v>50.96</v>
      </c>
      <c r="D14" s="51">
        <v>40.97</v>
      </c>
      <c r="E14" s="51">
        <v>2.27</v>
      </c>
      <c r="F14" s="51">
        <v>3.43</v>
      </c>
      <c r="G14" s="51">
        <v>89.90</v>
      </c>
      <c r="H14" s="51">
        <v>28.22</v>
      </c>
      <c r="I14" s="51">
        <v>7</v>
      </c>
      <c r="J14" s="51">
        <v>0.21</v>
      </c>
      <c r="K14" s="51">
        <v>300.64999999999998</v>
      </c>
      <c r="L14" s="51">
        <v>23.67</v>
      </c>
      <c r="M14" s="51">
        <v>72.5</v>
      </c>
      <c r="N14" s="51">
        <v>25.30</v>
      </c>
      <c r="O14" s="51">
        <v>0</v>
      </c>
      <c r="P14" s="51">
        <v>0.63</v>
      </c>
      <c r="Q14" s="51">
        <v>9.8699999999999992</v>
      </c>
      <c r="R14" s="43"/>
      <c r="S14" s="43"/>
      <c r="T14" s="43"/>
      <c r="U14" s="43"/>
    </row>
    <row r="15" spans="1:21" s="11" customFormat="1" ht="15">
      <c r="A15" s="50" t="s">
        <v>140</v>
      </c>
      <c r="B15" s="51">
        <v>27.54</v>
      </c>
      <c r="C15" s="51">
        <v>55.47</v>
      </c>
      <c r="D15" s="51">
        <v>50.55</v>
      </c>
      <c r="E15" s="51">
        <v>2.67</v>
      </c>
      <c r="F15" s="51">
        <v>3.64</v>
      </c>
      <c r="G15" s="51">
        <v>98.40</v>
      </c>
      <c r="H15" s="51">
        <v>28.97</v>
      </c>
      <c r="I15" s="51">
        <v>7.62</v>
      </c>
      <c r="J15" s="51">
        <v>0.85</v>
      </c>
      <c r="K15" s="51">
        <v>342.60</v>
      </c>
      <c r="L15" s="51">
        <v>26.14</v>
      </c>
      <c r="M15" s="51">
        <v>74.180000000000007</v>
      </c>
      <c r="N15" s="51">
        <v>127.10</v>
      </c>
      <c r="O15" s="51">
        <v>0</v>
      </c>
      <c r="P15" s="51">
        <v>0.73</v>
      </c>
      <c r="Q15" s="51">
        <v>10.119999999999999</v>
      </c>
      <c r="R15" s="43"/>
      <c r="S15" s="43"/>
      <c r="T15" s="43"/>
      <c r="U15" s="43"/>
    </row>
    <row r="16" spans="1:21" s="11" customFormat="1" ht="15">
      <c r="A16" s="50" t="s">
        <v>141</v>
      </c>
      <c r="B16" s="51">
        <v>25.49</v>
      </c>
      <c r="C16" s="51">
        <v>57.78</v>
      </c>
      <c r="D16" s="51">
        <v>49.60</v>
      </c>
      <c r="E16" s="51">
        <v>2.75</v>
      </c>
      <c r="F16" s="51">
        <v>3.98</v>
      </c>
      <c r="G16" s="51">
        <v>92.94</v>
      </c>
      <c r="H16" s="51">
        <v>28.41</v>
      </c>
      <c r="I16" s="51">
        <v>7.51</v>
      </c>
      <c r="J16" s="51">
        <v>1.01</v>
      </c>
      <c r="K16" s="51">
        <v>169.88</v>
      </c>
      <c r="L16" s="51">
        <v>27.75</v>
      </c>
      <c r="M16" s="51">
        <v>50.66</v>
      </c>
      <c r="N16" s="51">
        <v>298.60000000000002</v>
      </c>
      <c r="O16" s="51">
        <v>0</v>
      </c>
      <c r="P16" s="51">
        <v>0.71</v>
      </c>
      <c r="Q16" s="51">
        <v>10.08</v>
      </c>
      <c r="R16" s="43"/>
      <c r="S16" s="43"/>
      <c r="T16" s="43"/>
      <c r="U16" s="43"/>
    </row>
    <row r="17" spans="1:21" s="11" customFormat="1" ht="15">
      <c r="A17" s="50" t="s">
        <v>142</v>
      </c>
      <c r="B17" s="51">
        <v>18.649999999999999</v>
      </c>
      <c r="C17" s="51">
        <v>58.04</v>
      </c>
      <c r="D17" s="51">
        <v>45.20</v>
      </c>
      <c r="E17" s="51">
        <v>1.33</v>
      </c>
      <c r="F17" s="51">
        <v>3.97</v>
      </c>
      <c r="G17" s="51">
        <v>73.099999999999994</v>
      </c>
      <c r="H17" s="51">
        <v>30.31</v>
      </c>
      <c r="I17" s="51">
        <v>7.19</v>
      </c>
      <c r="J17" s="51">
        <v>0.98</v>
      </c>
      <c r="K17" s="51">
        <v>171.01</v>
      </c>
      <c r="L17" s="51">
        <v>30.55</v>
      </c>
      <c r="M17" s="51">
        <v>48.31</v>
      </c>
      <c r="N17" s="51">
        <v>517.5</v>
      </c>
      <c r="O17" s="51">
        <v>0</v>
      </c>
      <c r="P17" s="51">
        <v>0.69</v>
      </c>
      <c r="Q17" s="51">
        <v>10.050000000000001</v>
      </c>
      <c r="R17" s="43"/>
      <c r="S17" s="43"/>
      <c r="T17" s="43"/>
      <c r="U17" s="43"/>
    </row>
    <row r="18" spans="1:21" s="11" customFormat="1" ht="15">
      <c r="A18" s="50" t="s">
        <v>143</v>
      </c>
      <c r="B18" s="51">
        <v>13.85</v>
      </c>
      <c r="C18" s="51">
        <v>55.17</v>
      </c>
      <c r="D18" s="51">
        <v>39.409999999999997</v>
      </c>
      <c r="E18" s="51">
        <v>1.1000000000000001</v>
      </c>
      <c r="F18" s="51">
        <v>4.5</v>
      </c>
      <c r="G18" s="51">
        <v>65.06</v>
      </c>
      <c r="H18" s="51">
        <v>30.67</v>
      </c>
      <c r="I18" s="51">
        <v>6.82</v>
      </c>
      <c r="J18" s="51">
        <v>1.76</v>
      </c>
      <c r="K18" s="51">
        <v>215.86</v>
      </c>
      <c r="L18" s="51">
        <v>32.020000000000003</v>
      </c>
      <c r="M18" s="51">
        <v>38.799999999999997</v>
      </c>
      <c r="N18" s="51">
        <v>678.40</v>
      </c>
      <c r="O18" s="51">
        <v>0</v>
      </c>
      <c r="P18" s="51">
        <v>0.66</v>
      </c>
      <c r="Q18" s="51">
        <v>9.82</v>
      </c>
      <c r="R18" s="43"/>
      <c r="S18" s="43"/>
      <c r="T18" s="43"/>
      <c r="U18" s="43"/>
    </row>
    <row r="19" spans="1:21" s="11" customFormat="1" ht="15">
      <c r="A19" s="50" t="s">
        <v>144</v>
      </c>
      <c r="B19" s="51">
        <v>7.83</v>
      </c>
      <c r="C19" s="51">
        <v>60.98</v>
      </c>
      <c r="D19" s="51">
        <v>36.479999999999997</v>
      </c>
      <c r="E19" s="51">
        <v>2.19</v>
      </c>
      <c r="F19" s="51">
        <v>16.84</v>
      </c>
      <c r="G19" s="51">
        <v>57.03</v>
      </c>
      <c r="H19" s="51">
        <v>24.93</v>
      </c>
      <c r="I19" s="51">
        <v>6.65</v>
      </c>
      <c r="J19" s="51">
        <v>1.08</v>
      </c>
      <c r="K19" s="51">
        <v>224.23</v>
      </c>
      <c r="L19" s="51">
        <v>34.26</v>
      </c>
      <c r="M19" s="51">
        <v>36.29</v>
      </c>
      <c r="N19" s="51">
        <v>781.40</v>
      </c>
      <c r="O19" s="51">
        <v>0</v>
      </c>
      <c r="P19" s="51">
        <v>0.63</v>
      </c>
      <c r="Q19" s="51">
        <v>9.8699999999999992</v>
      </c>
      <c r="R19" s="43"/>
      <c r="S19" s="43"/>
      <c r="T19" s="43"/>
      <c r="U19" s="43"/>
    </row>
    <row r="20" spans="1:21" s="11" customFormat="1" ht="15">
      <c r="A20" s="50" t="s">
        <v>145</v>
      </c>
      <c r="B20" s="51">
        <v>5.20</v>
      </c>
      <c r="C20" s="51">
        <v>52.01</v>
      </c>
      <c r="D20" s="51">
        <v>31.18</v>
      </c>
      <c r="E20" s="51">
        <v>2.16</v>
      </c>
      <c r="F20" s="51">
        <v>14.68</v>
      </c>
      <c r="G20" s="51">
        <v>40.880000000000003</v>
      </c>
      <c r="H20" s="51">
        <v>11.51</v>
      </c>
      <c r="I20" s="51">
        <v>5.75</v>
      </c>
      <c r="J20" s="51">
        <v>0.60</v>
      </c>
      <c r="K20" s="51">
        <v>212.57</v>
      </c>
      <c r="L20" s="51">
        <v>35.51</v>
      </c>
      <c r="M20" s="51">
        <v>32.520000000000003</v>
      </c>
      <c r="N20" s="51">
        <v>823.80</v>
      </c>
      <c r="O20" s="51">
        <v>0</v>
      </c>
      <c r="P20" s="51">
        <v>0.56000000000000005</v>
      </c>
      <c r="Q20" s="51">
        <v>9.64</v>
      </c>
      <c r="R20" s="43"/>
      <c r="S20" s="43"/>
      <c r="T20" s="43"/>
      <c r="U20" s="43"/>
    </row>
    <row r="21" spans="1:21" s="11" customFormat="1" ht="15">
      <c r="A21" s="50" t="s">
        <v>146</v>
      </c>
      <c r="B21" s="51">
        <v>5.19</v>
      </c>
      <c r="C21" s="51">
        <v>44.01</v>
      </c>
      <c r="D21" s="51">
        <v>27.08</v>
      </c>
      <c r="E21" s="51">
        <v>1.52</v>
      </c>
      <c r="F21" s="51">
        <v>12.72</v>
      </c>
      <c r="G21" s="51">
        <v>78.52</v>
      </c>
      <c r="H21" s="51">
        <v>33.549999999999997</v>
      </c>
      <c r="I21" s="51">
        <v>3.73</v>
      </c>
      <c r="J21" s="51">
        <v>0.26</v>
      </c>
      <c r="K21" s="51">
        <v>307.79000000000002</v>
      </c>
      <c r="L21" s="51">
        <v>37.21</v>
      </c>
      <c r="M21" s="51">
        <v>30.66</v>
      </c>
      <c r="N21" s="51">
        <v>803.90</v>
      </c>
      <c r="O21" s="51">
        <v>0</v>
      </c>
      <c r="P21" s="51">
        <v>0.55000000000000004</v>
      </c>
      <c r="Q21" s="51">
        <v>9.52</v>
      </c>
      <c r="R21" s="43"/>
      <c r="S21" s="43"/>
      <c r="T21" s="43"/>
      <c r="U21" s="43"/>
    </row>
    <row r="22" spans="1:21" s="11" customFormat="1" ht="15">
      <c r="A22" s="50" t="s">
        <v>147</v>
      </c>
      <c r="B22" s="51">
        <v>4.8099999999999996</v>
      </c>
      <c r="C22" s="51">
        <v>43.35</v>
      </c>
      <c r="D22" s="51">
        <v>26.40</v>
      </c>
      <c r="E22" s="51">
        <v>2.36</v>
      </c>
      <c r="F22" s="51">
        <v>15.58</v>
      </c>
      <c r="G22" s="51">
        <v>65.52</v>
      </c>
      <c r="H22" s="51">
        <v>39.93</v>
      </c>
      <c r="I22" s="51">
        <v>3.10</v>
      </c>
      <c r="J22" s="51">
        <v>0.52</v>
      </c>
      <c r="K22" s="51">
        <v>337.39</v>
      </c>
      <c r="L22" s="51">
        <v>38.47</v>
      </c>
      <c r="M22" s="51">
        <v>24.43</v>
      </c>
      <c r="N22" s="51">
        <v>746</v>
      </c>
      <c r="O22" s="51">
        <v>0</v>
      </c>
      <c r="P22" s="51">
        <v>0.47</v>
      </c>
      <c r="Q22" s="51">
        <v>9.73</v>
      </c>
      <c r="R22" s="43"/>
      <c r="S22" s="43"/>
      <c r="T22" s="43"/>
      <c r="U22" s="43"/>
    </row>
    <row r="23" spans="1:21" s="11" customFormat="1" ht="15">
      <c r="A23" s="50" t="s">
        <v>148</v>
      </c>
      <c r="B23" s="51">
        <v>4.84</v>
      </c>
      <c r="C23" s="51">
        <v>49.29</v>
      </c>
      <c r="D23" s="51">
        <v>29.55</v>
      </c>
      <c r="E23" s="51">
        <v>1.32</v>
      </c>
      <c r="F23" s="51">
        <v>12.32</v>
      </c>
      <c r="G23" s="51">
        <v>52.5</v>
      </c>
      <c r="H23" s="51">
        <v>33.119999999999997</v>
      </c>
      <c r="I23" s="51">
        <v>2.36</v>
      </c>
      <c r="J23" s="51">
        <v>0.52</v>
      </c>
      <c r="K23" s="51">
        <v>329.98</v>
      </c>
      <c r="L23" s="51">
        <v>37.57</v>
      </c>
      <c r="M23" s="51">
        <v>25.44</v>
      </c>
      <c r="N23" s="51">
        <v>614.40</v>
      </c>
      <c r="O23" s="51">
        <v>0</v>
      </c>
      <c r="P23" s="51">
        <v>0.45</v>
      </c>
      <c r="Q23" s="51">
        <v>9.60</v>
      </c>
      <c r="R23" s="43"/>
      <c r="S23" s="43"/>
      <c r="T23" s="43"/>
      <c r="U23" s="43"/>
    </row>
    <row r="24" spans="1:21" s="11" customFormat="1" ht="15">
      <c r="A24" s="50" t="s">
        <v>149</v>
      </c>
      <c r="B24" s="51">
        <v>4.8099999999999996</v>
      </c>
      <c r="C24" s="51">
        <v>53.19</v>
      </c>
      <c r="D24" s="51">
        <v>31.49</v>
      </c>
      <c r="E24" s="51">
        <v>2.5499999999999998</v>
      </c>
      <c r="F24" s="51">
        <v>12.38</v>
      </c>
      <c r="G24" s="51">
        <v>52.23</v>
      </c>
      <c r="H24" s="51">
        <v>16.98</v>
      </c>
      <c r="I24" s="51">
        <v>2.11</v>
      </c>
      <c r="J24" s="51">
        <v>0.41</v>
      </c>
      <c r="K24" s="51">
        <v>344.83</v>
      </c>
      <c r="L24" s="51">
        <v>36.93</v>
      </c>
      <c r="M24" s="51">
        <v>24.24</v>
      </c>
      <c r="N24" s="51">
        <v>341</v>
      </c>
      <c r="O24" s="51">
        <v>0</v>
      </c>
      <c r="P24" s="51">
        <v>0.41</v>
      </c>
      <c r="Q24" s="51">
        <v>9.49</v>
      </c>
      <c r="R24" s="43"/>
      <c r="S24" s="43"/>
      <c r="T24" s="43"/>
      <c r="U24" s="43"/>
    </row>
    <row r="25" spans="1:21" s="11" customFormat="1" ht="15">
      <c r="A25" s="50" t="s">
        <v>150</v>
      </c>
      <c r="B25" s="51">
        <v>4.62</v>
      </c>
      <c r="C25" s="51">
        <v>45.33</v>
      </c>
      <c r="D25" s="51">
        <v>27.31</v>
      </c>
      <c r="E25" s="51">
        <v>2.23</v>
      </c>
      <c r="F25" s="51">
        <v>11.34</v>
      </c>
      <c r="G25" s="51">
        <v>37.28</v>
      </c>
      <c r="H25" s="51">
        <v>7.09</v>
      </c>
      <c r="I25" s="51">
        <v>2.15</v>
      </c>
      <c r="J25" s="51">
        <v>0.30</v>
      </c>
      <c r="K25" s="51">
        <v>358.35</v>
      </c>
      <c r="L25" s="51">
        <v>35.840000000000003</v>
      </c>
      <c r="M25" s="51">
        <v>26.40</v>
      </c>
      <c r="N25" s="51">
        <v>187.30</v>
      </c>
      <c r="O25" s="51">
        <v>0</v>
      </c>
      <c r="P25" s="51">
        <v>0.41</v>
      </c>
      <c r="Q25" s="51">
        <v>9.64</v>
      </c>
      <c r="R25" s="43"/>
      <c r="S25" s="43"/>
      <c r="T25" s="43"/>
      <c r="U25" s="43"/>
    </row>
    <row r="26" spans="1:21" s="11" customFormat="1" ht="15">
      <c r="A26" s="50" t="s">
        <v>151</v>
      </c>
      <c r="B26" s="51">
        <v>1.1599999999999999</v>
      </c>
      <c r="C26" s="51">
        <v>61</v>
      </c>
      <c r="D26" s="51">
        <v>32.64</v>
      </c>
      <c r="E26" s="51">
        <v>2.02</v>
      </c>
      <c r="F26" s="51">
        <v>10.43</v>
      </c>
      <c r="G26" s="51">
        <v>43.44</v>
      </c>
      <c r="H26" s="51">
        <v>38.42</v>
      </c>
      <c r="I26" s="51">
        <v>2.4700000000000002</v>
      </c>
      <c r="J26" s="51">
        <v>0.13</v>
      </c>
      <c r="K26" s="51">
        <v>342.83</v>
      </c>
      <c r="L26" s="51">
        <v>34.93</v>
      </c>
      <c r="M26" s="51">
        <v>28.82</v>
      </c>
      <c r="N26" s="51">
        <v>78.5</v>
      </c>
      <c r="O26" s="51">
        <v>0</v>
      </c>
      <c r="P26" s="51">
        <v>0.47</v>
      </c>
      <c r="Q26" s="51">
        <v>9.48</v>
      </c>
      <c r="R26" s="43"/>
      <c r="S26" s="43"/>
      <c r="T26" s="43"/>
      <c r="U26" s="43"/>
    </row>
    <row r="27" spans="1:21" s="11" customFormat="1" ht="15">
      <c r="A27" s="50" t="s">
        <v>152</v>
      </c>
      <c r="B27" s="51">
        <v>2.86</v>
      </c>
      <c r="C27" s="51">
        <v>50.85</v>
      </c>
      <c r="D27" s="51">
        <v>28.46</v>
      </c>
      <c r="E27" s="51">
        <v>1.69</v>
      </c>
      <c r="F27" s="51">
        <v>5.73</v>
      </c>
      <c r="G27" s="51">
        <v>49.09</v>
      </c>
      <c r="H27" s="51">
        <v>33.299999999999997</v>
      </c>
      <c r="I27" s="51">
        <v>3.72</v>
      </c>
      <c r="J27" s="51">
        <v>0.32</v>
      </c>
      <c r="K27" s="51">
        <v>357.11</v>
      </c>
      <c r="L27" s="51">
        <v>33.67</v>
      </c>
      <c r="M27" s="51">
        <v>33.33</v>
      </c>
      <c r="N27" s="51">
        <v>20</v>
      </c>
      <c r="O27" s="51">
        <v>0</v>
      </c>
      <c r="P27" s="51">
        <v>0.57999999999999996</v>
      </c>
      <c r="Q27" s="51">
        <v>9.67</v>
      </c>
      <c r="R27" s="43"/>
      <c r="S27" s="43"/>
      <c r="T27" s="43"/>
      <c r="U27" s="43"/>
    </row>
    <row r="28" spans="1:21" s="11" customFormat="1" ht="15">
      <c r="A28" s="50" t="s">
        <v>153</v>
      </c>
      <c r="B28" s="51">
        <v>4.54</v>
      </c>
      <c r="C28" s="51">
        <v>50.49</v>
      </c>
      <c r="D28" s="51">
        <v>28.94</v>
      </c>
      <c r="E28" s="51">
        <v>1.78</v>
      </c>
      <c r="F28" s="51">
        <v>4.1500000000000004</v>
      </c>
      <c r="G28" s="51">
        <v>56.32</v>
      </c>
      <c r="H28" s="51">
        <v>26.07</v>
      </c>
      <c r="I28" s="51">
        <v>5.28</v>
      </c>
      <c r="J28" s="51">
        <v>0.23</v>
      </c>
      <c r="K28" s="51">
        <v>356.33</v>
      </c>
      <c r="L28" s="51">
        <v>32.07</v>
      </c>
      <c r="M28" s="51">
        <v>33.65</v>
      </c>
      <c r="N28" s="51">
        <v>17.899999999999999</v>
      </c>
      <c r="O28" s="51">
        <v>0</v>
      </c>
      <c r="P28" s="51">
        <v>0.76</v>
      </c>
      <c r="Q28" s="51">
        <v>9.68</v>
      </c>
      <c r="R28" s="43"/>
      <c r="S28" s="43"/>
      <c r="T28" s="43"/>
      <c r="U28" s="43"/>
    </row>
    <row r="29" spans="1:21" s="11" customFormat="1" ht="15">
      <c r="A29" s="50" t="s">
        <v>154</v>
      </c>
      <c r="B29" s="51">
        <v>6.63</v>
      </c>
      <c r="C29" s="51">
        <v>50.55</v>
      </c>
      <c r="D29" s="51">
        <v>31.64</v>
      </c>
      <c r="E29" s="51">
        <v>1.39</v>
      </c>
      <c r="F29" s="51">
        <v>3.75</v>
      </c>
      <c r="G29" s="51">
        <v>63.49</v>
      </c>
      <c r="H29" s="51">
        <v>27.48</v>
      </c>
      <c r="I29" s="51">
        <v>5.76</v>
      </c>
      <c r="J29" s="51">
        <v>0.13</v>
      </c>
      <c r="K29" s="51">
        <v>337.52</v>
      </c>
      <c r="L29" s="51">
        <v>31.23</v>
      </c>
      <c r="M29" s="51">
        <v>34.35</v>
      </c>
      <c r="N29" s="51">
        <v>17.70</v>
      </c>
      <c r="O29" s="51">
        <v>0</v>
      </c>
      <c r="P29" s="51">
        <v>0.97</v>
      </c>
      <c r="Q29" s="51">
        <v>9.6300000000000008</v>
      </c>
      <c r="R29" s="43"/>
      <c r="S29" s="43"/>
      <c r="T29" s="43"/>
      <c r="U29" s="43"/>
    </row>
    <row r="30" spans="1:21" s="11" customFormat="1" ht="15">
      <c r="A30" s="50" t="s">
        <v>155</v>
      </c>
      <c r="B30" s="51">
        <v>11.08</v>
      </c>
      <c r="C30" s="51">
        <v>52.15</v>
      </c>
      <c r="D30" s="51">
        <v>36.049999999999997</v>
      </c>
      <c r="E30" s="51">
        <v>1.64</v>
      </c>
      <c r="F30" s="51">
        <v>3.74</v>
      </c>
      <c r="G30" s="51">
        <v>74.41</v>
      </c>
      <c r="H30" s="51">
        <v>28.95</v>
      </c>
      <c r="I30" s="51">
        <v>7.63</v>
      </c>
      <c r="J30" s="51">
        <v>0.31</v>
      </c>
      <c r="K30" s="51">
        <v>355.04</v>
      </c>
      <c r="L30" s="51">
        <v>30.95</v>
      </c>
      <c r="M30" s="51">
        <v>38.90</v>
      </c>
      <c r="N30" s="51">
        <v>18.20</v>
      </c>
      <c r="O30" s="51">
        <v>0</v>
      </c>
      <c r="P30" s="51">
        <v>1.1299999999999999</v>
      </c>
      <c r="Q30" s="51">
        <v>9.67</v>
      </c>
      <c r="R30" s="43"/>
      <c r="S30" s="43"/>
      <c r="T30" s="43"/>
      <c r="U30" s="43"/>
    </row>
    <row r="31" spans="1:21" s="11" customFormat="1" ht="15">
      <c r="A31" s="50" t="s">
        <v>156</v>
      </c>
      <c r="B31" s="51">
        <v>17.329999999999998</v>
      </c>
      <c r="C31" s="51">
        <v>55.89</v>
      </c>
      <c r="D31" s="51">
        <v>42.37</v>
      </c>
      <c r="E31" s="51">
        <v>1.5</v>
      </c>
      <c r="F31" s="51">
        <v>3.54</v>
      </c>
      <c r="G31" s="51">
        <v>75.73</v>
      </c>
      <c r="H31" s="51">
        <v>26.95</v>
      </c>
      <c r="I31" s="51">
        <v>10.19</v>
      </c>
      <c r="J31" s="51">
        <v>0.36</v>
      </c>
      <c r="K31" s="51">
        <v>348.09</v>
      </c>
      <c r="L31" s="51">
        <v>28.38</v>
      </c>
      <c r="M31" s="51">
        <v>43.68</v>
      </c>
      <c r="N31" s="51">
        <v>18</v>
      </c>
      <c r="O31" s="51">
        <v>0</v>
      </c>
      <c r="P31" s="51">
        <v>1.29</v>
      </c>
      <c r="Q31" s="51">
        <v>9.84</v>
      </c>
      <c r="R31" s="43"/>
      <c r="S31" s="43"/>
      <c r="T31" s="43"/>
      <c r="U31" s="43"/>
    </row>
    <row r="32" spans="1:21" s="11" customFormat="1" ht="15">
      <c r="A32" s="50" t="s">
        <v>157</v>
      </c>
      <c r="B32" s="51">
        <v>17.5</v>
      </c>
      <c r="C32" s="51">
        <v>55.11</v>
      </c>
      <c r="D32" s="51">
        <v>42.73</v>
      </c>
      <c r="E32" s="51">
        <v>1.98</v>
      </c>
      <c r="F32" s="51">
        <v>3.97</v>
      </c>
      <c r="G32" s="51">
        <v>87.16</v>
      </c>
      <c r="H32" s="51">
        <v>30.66</v>
      </c>
      <c r="I32" s="51">
        <v>9.6199999999999992</v>
      </c>
      <c r="J32" s="51">
        <v>0.36</v>
      </c>
      <c r="K32" s="51">
        <v>349.14</v>
      </c>
      <c r="L32" s="51">
        <v>28.09</v>
      </c>
      <c r="M32" s="51">
        <v>37.880000000000003</v>
      </c>
      <c r="N32" s="51">
        <v>18.100000000000001</v>
      </c>
      <c r="O32" s="51">
        <v>0</v>
      </c>
      <c r="P32" s="51">
        <v>1.27</v>
      </c>
      <c r="Q32" s="51">
        <v>9.94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1.1599999999999999</v>
      </c>
      <c r="C34" s="28">
        <f t="shared" si="0"/>
        <v>43.350000000000001</v>
      </c>
      <c r="D34" s="28">
        <f t="shared" si="0"/>
        <v>26.399999999999999</v>
      </c>
      <c r="E34" s="28">
        <f t="shared" si="0"/>
        <v>0.98999999999999999</v>
      </c>
      <c r="F34" s="28">
        <f t="shared" si="0"/>
        <v>3.4300000000000002</v>
      </c>
      <c r="G34" s="28">
        <f t="shared" si="0"/>
        <v>37.280000000000001</v>
      </c>
      <c r="H34" s="28">
        <f t="shared" si="0"/>
        <v>7.0899999999999999</v>
      </c>
      <c r="I34" s="28">
        <f t="shared" si="0"/>
        <v>2.1099999999999999</v>
      </c>
      <c r="J34" s="28">
        <f t="shared" si="0"/>
        <v>0.13</v>
      </c>
      <c r="K34" s="28">
        <f t="shared" si="0"/>
        <v>169.88</v>
      </c>
      <c r="L34" s="28">
        <f t="shared" si="0"/>
        <v>23.670000000000002</v>
      </c>
      <c r="M34" s="28">
        <f t="shared" si="0"/>
        <v>24.239999999999998</v>
      </c>
      <c r="N34" s="28">
        <f t="shared" si="0"/>
        <v>17.699999999999999</v>
      </c>
      <c r="O34" s="28">
        <f t="shared" si="0"/>
        <v>0</v>
      </c>
      <c r="P34" s="28">
        <f t="shared" si="0"/>
        <v>0.40999999999999998</v>
      </c>
      <c r="Q34" s="28">
        <f t="shared" si="0"/>
        <v>9.4800000000000004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27.539999999999999</v>
      </c>
      <c r="C35" s="29">
        <f t="shared" si="1"/>
        <v>61</v>
      </c>
      <c r="D35" s="29">
        <f t="shared" si="1"/>
        <v>50.549999999999997</v>
      </c>
      <c r="E35" s="29">
        <f t="shared" si="1"/>
        <v>2.8199999999999998</v>
      </c>
      <c r="F35" s="29">
        <f t="shared" si="1"/>
        <v>16.84</v>
      </c>
      <c r="G35" s="29">
        <f t="shared" si="1"/>
        <v>98.400000000000006</v>
      </c>
      <c r="H35" s="29">
        <f t="shared" si="1"/>
        <v>39.93</v>
      </c>
      <c r="I35" s="29">
        <f t="shared" si="1"/>
        <v>10.19</v>
      </c>
      <c r="J35" s="29">
        <f t="shared" si="1"/>
        <v>1.76</v>
      </c>
      <c r="K35" s="29">
        <f t="shared" si="1"/>
        <v>358.35000000000002</v>
      </c>
      <c r="L35" s="29">
        <f t="shared" si="1"/>
        <v>38.469999999999999</v>
      </c>
      <c r="M35" s="29">
        <f t="shared" si="1"/>
        <v>74.180000000000007</v>
      </c>
      <c r="N35" s="29">
        <f t="shared" si="1"/>
        <v>823.79999999999995</v>
      </c>
      <c r="O35" s="29">
        <f t="shared" si="1"/>
        <v>0</v>
      </c>
      <c r="P35" s="29">
        <f t="shared" si="1"/>
        <v>1.29</v>
      </c>
      <c r="Q35" s="29">
        <f t="shared" si="1"/>
        <v>10.119999999999999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10.51375</v>
      </c>
      <c r="C36" s="28">
        <f t="shared" si="2"/>
        <v>52.992500000000007</v>
      </c>
      <c r="D36" s="28">
        <f t="shared" si="2"/>
        <v>35.7575</v>
      </c>
      <c r="E36" s="28">
        <f t="shared" si="2"/>
        <v>1.8516666666666666</v>
      </c>
      <c r="F36" s="28">
        <f t="shared" si="2"/>
        <v>7.1204166666666673</v>
      </c>
      <c r="G36" s="28">
        <f t="shared" si="2"/>
        <v>62.069583333333348</v>
      </c>
      <c r="H36" s="28">
        <f t="shared" si="2"/>
        <v>26.605000000000004</v>
      </c>
      <c r="I36" s="28">
        <f t="shared" si="2"/>
        <v>5.8900000000000006</v>
      </c>
      <c r="J36" s="28">
        <f t="shared" si="2"/>
        <v>0.50916666666666666</v>
      </c>
      <c r="K36" s="28">
        <f t="shared" si="2"/>
        <v>299.32875000000007</v>
      </c>
      <c r="L36" s="28">
        <f t="shared" si="2"/>
        <v>30.897916666666671</v>
      </c>
      <c r="M36" s="28">
        <f t="shared" si="2"/>
        <v>43.669166666666662</v>
      </c>
      <c r="N36" s="28">
        <f t="shared" si="2"/>
        <v>259.39166666666659</v>
      </c>
      <c r="O36" s="28">
        <f t="shared" si="2"/>
        <v>0</v>
      </c>
      <c r="P36" s="28">
        <f t="shared" si="2"/>
        <v>0.72375</v>
      </c>
      <c r="Q36" s="28">
        <f t="shared" si="2"/>
        <v>9.7899999999999991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7.0778612665617917</v>
      </c>
      <c r="C37" s="28">
        <f t="shared" si="3" ref="C37:Q37">STDEV(C9:C32)</f>
        <v>4.8571464605393357</v>
      </c>
      <c r="D37" s="28">
        <f t="shared" si="3"/>
        <v>6.9501725033330519</v>
      </c>
      <c r="E37" s="28">
        <f t="shared" si="3"/>
        <v>0.57514963396430674</v>
      </c>
      <c r="F37" s="28">
        <f t="shared" si="3"/>
        <v>4.6359178812236603</v>
      </c>
      <c r="G37" s="28">
        <f t="shared" si="3"/>
        <v>18.016802177090263</v>
      </c>
      <c r="H37" s="28">
        <f t="shared" si="3"/>
        <v>7.7962253966122903</v>
      </c>
      <c r="I37" s="28">
        <f t="shared" si="3"/>
        <v>2.3035718956136071</v>
      </c>
      <c r="J37" s="28">
        <f t="shared" si="3"/>
        <v>0.39250496165976828</v>
      </c>
      <c r="K37" s="28">
        <f t="shared" si="3"/>
        <v>63.006819666258956</v>
      </c>
      <c r="L37" s="28">
        <f t="shared" si="3"/>
        <v>4.7686402940065635</v>
      </c>
      <c r="M37" s="28">
        <f t="shared" si="3"/>
        <v>16.314316443372444</v>
      </c>
      <c r="N37" s="28">
        <f t="shared" si="3"/>
        <v>312.76526816610334</v>
      </c>
      <c r="O37" s="28">
        <f t="shared" si="3"/>
        <v>0</v>
      </c>
      <c r="P37" s="28">
        <f t="shared" si="3"/>
        <v>0.25242842291559014</v>
      </c>
      <c r="Q37" s="28">
        <f t="shared" si="3"/>
        <v>0.19354810659173344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883f17-d8ee-447e-9400-56bbdf18d88a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158</v>
      </c>
      <c r="B9" s="56">
        <v>15.61</v>
      </c>
      <c r="C9" s="56">
        <v>60.72</v>
      </c>
      <c r="D9" s="56">
        <v>42.12</v>
      </c>
      <c r="E9" s="56">
        <v>1.55</v>
      </c>
      <c r="F9" s="56">
        <v>4.01</v>
      </c>
      <c r="G9" s="56">
        <v>82.71</v>
      </c>
      <c r="H9" s="56">
        <v>31.69</v>
      </c>
      <c r="I9" s="56">
        <v>9.56</v>
      </c>
      <c r="J9" s="56">
        <v>0.5</v>
      </c>
      <c r="K9" s="56">
        <v>207.06</v>
      </c>
      <c r="L9" s="56">
        <v>27.56</v>
      </c>
      <c r="M9" s="56">
        <v>43.25</v>
      </c>
      <c r="N9" s="56">
        <v>18.20</v>
      </c>
      <c r="O9" s="56">
        <v>0</v>
      </c>
      <c r="P9" s="56">
        <v>1.21</v>
      </c>
      <c r="Q9" s="56">
        <v>9.82</v>
      </c>
      <c r="R9" s="43"/>
      <c r="S9" s="43"/>
      <c r="T9" s="43"/>
      <c r="U9" s="43"/>
    </row>
    <row r="10" spans="1:21" s="11" customFormat="1" ht="15">
      <c r="A10" s="55" t="s">
        <v>159</v>
      </c>
      <c r="B10" s="56">
        <v>11.07</v>
      </c>
      <c r="C10" s="56">
        <v>60.54</v>
      </c>
      <c r="D10" s="56">
        <v>40.43</v>
      </c>
      <c r="E10" s="56">
        <v>1.46</v>
      </c>
      <c r="F10" s="56">
        <v>4.2699999999999996</v>
      </c>
      <c r="G10" s="56">
        <v>77.55</v>
      </c>
      <c r="H10" s="56">
        <v>30.06</v>
      </c>
      <c r="I10" s="56">
        <v>9.35</v>
      </c>
      <c r="J10" s="56">
        <v>0.41</v>
      </c>
      <c r="K10" s="56">
        <v>306.18</v>
      </c>
      <c r="L10" s="56">
        <v>26.5</v>
      </c>
      <c r="M10" s="56">
        <v>46.26</v>
      </c>
      <c r="N10" s="56">
        <v>17.80</v>
      </c>
      <c r="O10" s="56">
        <v>0</v>
      </c>
      <c r="P10" s="56">
        <v>0.99</v>
      </c>
      <c r="Q10" s="56">
        <v>9.94</v>
      </c>
      <c r="R10" s="43"/>
      <c r="S10" s="43"/>
      <c r="T10" s="43"/>
      <c r="U10" s="43"/>
    </row>
    <row r="11" spans="1:21" s="11" customFormat="1" ht="15">
      <c r="A11" s="55" t="s">
        <v>160</v>
      </c>
      <c r="B11" s="56">
        <v>8.27</v>
      </c>
      <c r="C11" s="56">
        <v>49.72</v>
      </c>
      <c r="D11" s="56">
        <v>32.53</v>
      </c>
      <c r="E11" s="56">
        <v>1.31</v>
      </c>
      <c r="F11" s="56">
        <v>3.96</v>
      </c>
      <c r="G11" s="56">
        <v>72.36</v>
      </c>
      <c r="H11" s="56">
        <v>26</v>
      </c>
      <c r="I11" s="56">
        <v>8.51</v>
      </c>
      <c r="J11" s="56">
        <v>0.14000000000000001</v>
      </c>
      <c r="K11" s="56">
        <v>301.68</v>
      </c>
      <c r="L11" s="56">
        <v>25.16</v>
      </c>
      <c r="M11" s="56">
        <v>52.52</v>
      </c>
      <c r="N11" s="56">
        <v>18.100000000000001</v>
      </c>
      <c r="O11" s="56">
        <v>0</v>
      </c>
      <c r="P11" s="56">
        <v>0.90</v>
      </c>
      <c r="Q11" s="56">
        <v>9.85</v>
      </c>
      <c r="R11" s="43"/>
      <c r="S11" s="43"/>
      <c r="T11" s="43"/>
      <c r="U11" s="43"/>
    </row>
    <row r="12" spans="1:21" s="11" customFormat="1" ht="15">
      <c r="A12" s="55" t="s">
        <v>161</v>
      </c>
      <c r="B12" s="56">
        <v>8.51</v>
      </c>
      <c r="C12" s="56">
        <v>46.32</v>
      </c>
      <c r="D12" s="56">
        <v>30.64</v>
      </c>
      <c r="E12" s="56">
        <v>1.52</v>
      </c>
      <c r="F12" s="56">
        <v>3.74</v>
      </c>
      <c r="G12" s="56">
        <v>69.13</v>
      </c>
      <c r="H12" s="56">
        <v>25.19</v>
      </c>
      <c r="I12" s="56">
        <v>7.72</v>
      </c>
      <c r="J12" s="56">
        <v>0.17</v>
      </c>
      <c r="K12" s="56">
        <v>311.88</v>
      </c>
      <c r="L12" s="56">
        <v>24.26</v>
      </c>
      <c r="M12" s="56">
        <v>55.60</v>
      </c>
      <c r="N12" s="56">
        <v>17.899999999999999</v>
      </c>
      <c r="O12" s="56">
        <v>0</v>
      </c>
      <c r="P12" s="56">
        <v>0.81</v>
      </c>
      <c r="Q12" s="56">
        <v>9.75</v>
      </c>
      <c r="R12" s="43"/>
      <c r="S12" s="43"/>
      <c r="T12" s="43"/>
      <c r="U12" s="43"/>
    </row>
    <row r="13" spans="1:21" s="11" customFormat="1" ht="15">
      <c r="A13" s="55" t="s">
        <v>162</v>
      </c>
      <c r="B13" s="56">
        <v>13.67</v>
      </c>
      <c r="C13" s="56">
        <v>50.77</v>
      </c>
      <c r="D13" s="56">
        <v>37.409999999999997</v>
      </c>
      <c r="E13" s="56">
        <v>2.35</v>
      </c>
      <c r="F13" s="56">
        <v>3.65</v>
      </c>
      <c r="G13" s="56">
        <v>70.13</v>
      </c>
      <c r="H13" s="56">
        <v>24.40</v>
      </c>
      <c r="I13" s="56">
        <v>8.32</v>
      </c>
      <c r="J13" s="56">
        <v>0.21</v>
      </c>
      <c r="K13" s="56">
        <v>339.56</v>
      </c>
      <c r="L13" s="56">
        <v>23.89</v>
      </c>
      <c r="M13" s="56">
        <v>57.40</v>
      </c>
      <c r="N13" s="56">
        <v>17.899999999999999</v>
      </c>
      <c r="O13" s="56">
        <v>0</v>
      </c>
      <c r="P13" s="56">
        <v>0.78</v>
      </c>
      <c r="Q13" s="56">
        <v>9.75</v>
      </c>
      <c r="R13" s="43"/>
      <c r="S13" s="43"/>
      <c r="T13" s="43"/>
      <c r="U13" s="43"/>
    </row>
    <row r="14" spans="1:21" s="11" customFormat="1" ht="15">
      <c r="A14" s="55" t="s">
        <v>163</v>
      </c>
      <c r="B14" s="56">
        <v>15.27</v>
      </c>
      <c r="C14" s="56">
        <v>55.91</v>
      </c>
      <c r="D14" s="56">
        <v>41.38</v>
      </c>
      <c r="E14" s="56">
        <v>2.38</v>
      </c>
      <c r="F14" s="56">
        <v>3.78</v>
      </c>
      <c r="G14" s="56">
        <v>74.36</v>
      </c>
      <c r="H14" s="56">
        <v>23.19</v>
      </c>
      <c r="I14" s="56">
        <v>9.09</v>
      </c>
      <c r="J14" s="56">
        <v>0.20</v>
      </c>
      <c r="K14" s="56">
        <v>346.42</v>
      </c>
      <c r="L14" s="56">
        <v>24.26</v>
      </c>
      <c r="M14" s="56">
        <v>51.20</v>
      </c>
      <c r="N14" s="56">
        <v>26.30</v>
      </c>
      <c r="O14" s="56">
        <v>0</v>
      </c>
      <c r="P14" s="56">
        <v>0.77</v>
      </c>
      <c r="Q14" s="56">
        <v>9.9600000000000009</v>
      </c>
      <c r="R14" s="43"/>
      <c r="S14" s="43"/>
      <c r="T14" s="43"/>
      <c r="U14" s="43"/>
    </row>
    <row r="15" spans="1:21" s="11" customFormat="1" ht="15">
      <c r="A15" s="55" t="s">
        <v>164</v>
      </c>
      <c r="B15" s="56">
        <v>19.39</v>
      </c>
      <c r="C15" s="56">
        <v>61.42</v>
      </c>
      <c r="D15" s="56">
        <v>47.56</v>
      </c>
      <c r="E15" s="56">
        <v>2.5499999999999998</v>
      </c>
      <c r="F15" s="56">
        <v>3.66</v>
      </c>
      <c r="G15" s="56">
        <v>76.12</v>
      </c>
      <c r="H15" s="56">
        <v>23.60</v>
      </c>
      <c r="I15" s="56">
        <v>8.56</v>
      </c>
      <c r="J15" s="56">
        <v>0.35</v>
      </c>
      <c r="K15" s="56">
        <v>305.95999999999998</v>
      </c>
      <c r="L15" s="56">
        <v>26.84</v>
      </c>
      <c r="M15" s="56">
        <v>51.20</v>
      </c>
      <c r="N15" s="56">
        <v>161.90</v>
      </c>
      <c r="O15" s="56">
        <v>0</v>
      </c>
      <c r="P15" s="56">
        <v>0.77</v>
      </c>
      <c r="Q15" s="56">
        <v>9.9499999999999993</v>
      </c>
      <c r="R15" s="43"/>
      <c r="S15" s="43"/>
      <c r="T15" s="43"/>
      <c r="U15" s="43"/>
    </row>
    <row r="16" spans="1:21" s="11" customFormat="1" ht="15">
      <c r="A16" s="55" t="s">
        <v>165</v>
      </c>
      <c r="B16" s="56">
        <v>19.03</v>
      </c>
      <c r="C16" s="56">
        <v>61.93</v>
      </c>
      <c r="D16" s="56">
        <v>47.54</v>
      </c>
      <c r="E16" s="56">
        <v>2.27</v>
      </c>
      <c r="F16" s="56">
        <v>3.83</v>
      </c>
      <c r="G16" s="56">
        <v>79.70</v>
      </c>
      <c r="H16" s="56">
        <v>30.17</v>
      </c>
      <c r="I16" s="56">
        <v>8.24</v>
      </c>
      <c r="J16" s="56">
        <v>0.40</v>
      </c>
      <c r="K16" s="56">
        <v>325.99</v>
      </c>
      <c r="L16" s="56">
        <v>31.99</v>
      </c>
      <c r="M16" s="56">
        <v>41.42</v>
      </c>
      <c r="N16" s="56">
        <v>363.60</v>
      </c>
      <c r="O16" s="56">
        <v>0</v>
      </c>
      <c r="P16" s="56">
        <v>0.78</v>
      </c>
      <c r="Q16" s="56">
        <v>9.9600000000000009</v>
      </c>
      <c r="R16" s="43"/>
      <c r="S16" s="43"/>
      <c r="T16" s="43"/>
      <c r="U16" s="43"/>
    </row>
    <row r="17" spans="1:21" s="11" customFormat="1" ht="15">
      <c r="A17" s="55" t="s">
        <v>166</v>
      </c>
      <c r="B17" s="56">
        <v>16.12</v>
      </c>
      <c r="C17" s="56">
        <v>61.54</v>
      </c>
      <c r="D17" s="56">
        <v>42.86</v>
      </c>
      <c r="E17" s="56">
        <v>1.47</v>
      </c>
      <c r="F17" s="56">
        <v>4.01</v>
      </c>
      <c r="G17" s="56">
        <v>81.96</v>
      </c>
      <c r="H17" s="56">
        <v>30.97</v>
      </c>
      <c r="I17" s="56">
        <v>8.69</v>
      </c>
      <c r="J17" s="56">
        <v>0.45</v>
      </c>
      <c r="K17" s="56">
        <v>346.22</v>
      </c>
      <c r="L17" s="56">
        <v>34.880000000000003</v>
      </c>
      <c r="M17" s="56">
        <v>36.60</v>
      </c>
      <c r="N17" s="56">
        <v>557.20000000000005</v>
      </c>
      <c r="O17" s="56">
        <v>0</v>
      </c>
      <c r="P17" s="56">
        <v>0.92</v>
      </c>
      <c r="Q17" s="56">
        <v>9.89</v>
      </c>
      <c r="R17" s="43"/>
      <c r="S17" s="43"/>
      <c r="T17" s="43"/>
      <c r="U17" s="43"/>
    </row>
    <row r="18" spans="1:21" s="11" customFormat="1" ht="15">
      <c r="A18" s="55" t="s">
        <v>167</v>
      </c>
      <c r="B18" s="56">
        <v>10.35</v>
      </c>
      <c r="C18" s="56">
        <v>76.20</v>
      </c>
      <c r="D18" s="56">
        <v>43.36</v>
      </c>
      <c r="E18" s="56">
        <v>1.71</v>
      </c>
      <c r="F18" s="56">
        <v>5.20</v>
      </c>
      <c r="G18" s="56">
        <v>94.11</v>
      </c>
      <c r="H18" s="56">
        <v>32.42</v>
      </c>
      <c r="I18" s="56">
        <v>9.5500000000000007</v>
      </c>
      <c r="J18" s="56">
        <v>1.18</v>
      </c>
      <c r="K18" s="56">
        <v>316.43</v>
      </c>
      <c r="L18" s="56">
        <v>38.46</v>
      </c>
      <c r="M18" s="56">
        <v>30.70</v>
      </c>
      <c r="N18" s="56">
        <v>772.60</v>
      </c>
      <c r="O18" s="56">
        <v>0</v>
      </c>
      <c r="P18" s="56">
        <v>0.97</v>
      </c>
      <c r="Q18" s="56">
        <v>10.01</v>
      </c>
      <c r="R18" s="43"/>
      <c r="S18" s="43"/>
      <c r="T18" s="43"/>
      <c r="U18" s="43"/>
    </row>
    <row r="19" spans="1:21" s="11" customFormat="1" ht="15">
      <c r="A19" s="55" t="s">
        <v>168</v>
      </c>
      <c r="B19" s="56">
        <v>3.36</v>
      </c>
      <c r="C19" s="56">
        <v>74.72</v>
      </c>
      <c r="D19" s="56">
        <v>41.65</v>
      </c>
      <c r="E19" s="56">
        <v>1.58</v>
      </c>
      <c r="F19" s="56">
        <v>5.99</v>
      </c>
      <c r="G19" s="56">
        <v>87.54</v>
      </c>
      <c r="H19" s="56">
        <v>23.35</v>
      </c>
      <c r="I19" s="56">
        <v>8.66</v>
      </c>
      <c r="J19" s="56">
        <v>1.31</v>
      </c>
      <c r="K19" s="56">
        <v>326.27999999999997</v>
      </c>
      <c r="L19" s="56">
        <v>40.72</v>
      </c>
      <c r="M19" s="56">
        <v>18.690000000000001</v>
      </c>
      <c r="N19" s="56">
        <v>912.30</v>
      </c>
      <c r="O19" s="56">
        <v>0</v>
      </c>
      <c r="P19" s="56">
        <v>0.89</v>
      </c>
      <c r="Q19" s="56">
        <v>9.8699999999999992</v>
      </c>
      <c r="R19" s="43"/>
      <c r="S19" s="43"/>
      <c r="T19" s="43"/>
      <c r="U19" s="43"/>
    </row>
    <row r="20" spans="1:21" s="11" customFormat="1" ht="15">
      <c r="A20" s="55" t="s">
        <v>169</v>
      </c>
      <c r="B20" s="56">
        <v>2.2999999999999998</v>
      </c>
      <c r="C20" s="56">
        <v>66.040000000000006</v>
      </c>
      <c r="D20" s="56">
        <v>36.270000000000003</v>
      </c>
      <c r="E20" s="56">
        <v>2.1800000000000002</v>
      </c>
      <c r="F20" s="56">
        <v>5.81</v>
      </c>
      <c r="G20" s="56">
        <v>71.61</v>
      </c>
      <c r="H20" s="56">
        <v>18.989999999999998</v>
      </c>
      <c r="I20" s="56">
        <v>7.31</v>
      </c>
      <c r="J20" s="56">
        <v>1.24</v>
      </c>
      <c r="K20" s="56">
        <v>340.96</v>
      </c>
      <c r="L20" s="56">
        <v>41.07</v>
      </c>
      <c r="M20" s="56">
        <v>14.35</v>
      </c>
      <c r="N20" s="56">
        <v>943.20</v>
      </c>
      <c r="O20" s="56">
        <v>0</v>
      </c>
      <c r="P20" s="56">
        <v>0.80</v>
      </c>
      <c r="Q20" s="56">
        <v>9.73</v>
      </c>
      <c r="R20" s="43"/>
      <c r="S20" s="43"/>
      <c r="T20" s="43"/>
      <c r="U20" s="43"/>
    </row>
    <row r="21" spans="1:21" s="11" customFormat="1" ht="15">
      <c r="A21" s="55" t="s">
        <v>170</v>
      </c>
      <c r="B21" s="56">
        <v>2.66</v>
      </c>
      <c r="C21" s="56">
        <v>57.95</v>
      </c>
      <c r="D21" s="56">
        <v>32.159999999999997</v>
      </c>
      <c r="E21" s="56">
        <v>1.97</v>
      </c>
      <c r="F21" s="56">
        <v>5.18</v>
      </c>
      <c r="G21" s="56">
        <v>64.099999999999994</v>
      </c>
      <c r="H21" s="56">
        <v>15.52</v>
      </c>
      <c r="I21" s="56">
        <v>7.25</v>
      </c>
      <c r="J21" s="56">
        <v>1.1200000000000001</v>
      </c>
      <c r="K21" s="56">
        <v>351.33</v>
      </c>
      <c r="L21" s="56">
        <v>41.44</v>
      </c>
      <c r="M21" s="56">
        <v>14.75</v>
      </c>
      <c r="N21" s="56">
        <v>924.60</v>
      </c>
      <c r="O21" s="56">
        <v>0</v>
      </c>
      <c r="P21" s="56">
        <v>0.72</v>
      </c>
      <c r="Q21" s="56">
        <v>9.89</v>
      </c>
      <c r="R21" s="43"/>
      <c r="S21" s="43"/>
      <c r="T21" s="43"/>
      <c r="U21" s="43"/>
    </row>
    <row r="22" spans="1:21" s="11" customFormat="1" ht="15">
      <c r="A22" s="55" t="s">
        <v>171</v>
      </c>
      <c r="B22" s="56">
        <v>2.23</v>
      </c>
      <c r="C22" s="56">
        <v>57.56</v>
      </c>
      <c r="D22" s="56">
        <v>31.78</v>
      </c>
      <c r="E22" s="56">
        <v>2.04</v>
      </c>
      <c r="F22" s="56">
        <v>6.10</v>
      </c>
      <c r="G22" s="56">
        <v>55.80</v>
      </c>
      <c r="H22" s="56">
        <v>18.78</v>
      </c>
      <c r="I22" s="56">
        <v>7.38</v>
      </c>
      <c r="J22" s="56">
        <v>0.87</v>
      </c>
      <c r="K22" s="56">
        <v>330.04</v>
      </c>
      <c r="L22" s="56">
        <v>41.05</v>
      </c>
      <c r="M22" s="56">
        <v>14.04</v>
      </c>
      <c r="N22" s="56">
        <v>866.90</v>
      </c>
      <c r="O22" s="56">
        <v>0</v>
      </c>
      <c r="P22" s="56">
        <v>0.66</v>
      </c>
      <c r="Q22" s="56">
        <v>9.7100000000000009</v>
      </c>
      <c r="R22" s="43"/>
      <c r="S22" s="43"/>
      <c r="T22" s="43"/>
      <c r="U22" s="43"/>
    </row>
    <row r="23" spans="1:21" s="11" customFormat="1" ht="15">
      <c r="A23" s="55" t="s">
        <v>172</v>
      </c>
      <c r="B23" s="56">
        <v>1.5</v>
      </c>
      <c r="C23" s="56">
        <v>53.38</v>
      </c>
      <c r="D23" s="56">
        <v>28.92</v>
      </c>
      <c r="E23" s="56">
        <v>1.79</v>
      </c>
      <c r="F23" s="56">
        <v>7.24</v>
      </c>
      <c r="G23" s="56">
        <v>48.65</v>
      </c>
      <c r="H23" s="56">
        <v>13.67</v>
      </c>
      <c r="I23" s="56">
        <v>7.02</v>
      </c>
      <c r="J23" s="56">
        <v>0.56000000000000005</v>
      </c>
      <c r="K23" s="56">
        <v>334.25</v>
      </c>
      <c r="L23" s="56">
        <v>39.770000000000003</v>
      </c>
      <c r="M23" s="56">
        <v>16.41</v>
      </c>
      <c r="N23" s="56">
        <v>686.90</v>
      </c>
      <c r="O23" s="56">
        <v>0</v>
      </c>
      <c r="P23" s="56">
        <v>0.59</v>
      </c>
      <c r="Q23" s="56">
        <v>9.7899999999999991</v>
      </c>
      <c r="R23" s="43"/>
      <c r="S23" s="43"/>
      <c r="T23" s="43"/>
      <c r="U23" s="43"/>
    </row>
    <row r="24" spans="1:21" s="11" customFormat="1" ht="15">
      <c r="A24" s="55" t="s">
        <v>173</v>
      </c>
      <c r="B24" s="56">
        <v>1.1599999999999999</v>
      </c>
      <c r="C24" s="56">
        <v>54.58</v>
      </c>
      <c r="D24" s="56">
        <v>29.37</v>
      </c>
      <c r="E24" s="56">
        <v>1.96</v>
      </c>
      <c r="F24" s="56">
        <v>8.5500000000000007</v>
      </c>
      <c r="G24" s="56">
        <v>45.39</v>
      </c>
      <c r="H24" s="56">
        <v>9.07</v>
      </c>
      <c r="I24" s="56">
        <v>5.78</v>
      </c>
      <c r="J24" s="56">
        <v>0.80</v>
      </c>
      <c r="K24" s="56">
        <v>266.32</v>
      </c>
      <c r="L24" s="56">
        <v>37.299999999999997</v>
      </c>
      <c r="M24" s="56">
        <v>15.38</v>
      </c>
      <c r="N24" s="56">
        <v>376.70</v>
      </c>
      <c r="O24" s="56">
        <v>0</v>
      </c>
      <c r="P24" s="56">
        <v>0.52</v>
      </c>
      <c r="Q24" s="56">
        <v>9.56</v>
      </c>
      <c r="R24" s="43"/>
      <c r="S24" s="43"/>
      <c r="T24" s="43"/>
      <c r="U24" s="43"/>
    </row>
    <row r="25" spans="1:21" s="11" customFormat="1" ht="15">
      <c r="A25" s="55" t="s">
        <v>174</v>
      </c>
      <c r="B25" s="56">
        <v>1.28</v>
      </c>
      <c r="C25" s="56">
        <v>53.22</v>
      </c>
      <c r="D25" s="56">
        <v>28.56</v>
      </c>
      <c r="E25" s="56">
        <v>1.1100000000000001</v>
      </c>
      <c r="F25" s="56">
        <v>8.9700000000000006</v>
      </c>
      <c r="G25" s="56">
        <v>46.41</v>
      </c>
      <c r="H25" s="56">
        <v>6.25</v>
      </c>
      <c r="I25" s="56">
        <v>5.26</v>
      </c>
      <c r="J25" s="56">
        <v>0.67</v>
      </c>
      <c r="K25" s="56">
        <v>327.22000000000003</v>
      </c>
      <c r="L25" s="56">
        <v>36.57</v>
      </c>
      <c r="M25" s="56">
        <v>14.96</v>
      </c>
      <c r="N25" s="56">
        <v>150.5</v>
      </c>
      <c r="O25" s="56">
        <v>0</v>
      </c>
      <c r="P25" s="56">
        <v>0.5</v>
      </c>
      <c r="Q25" s="56">
        <v>9.52</v>
      </c>
      <c r="R25" s="43"/>
      <c r="S25" s="43"/>
      <c r="T25" s="43"/>
      <c r="U25" s="43"/>
    </row>
    <row r="26" spans="1:21" s="11" customFormat="1" ht="15">
      <c r="A26" s="55" t="s">
        <v>175</v>
      </c>
      <c r="B26" s="56">
        <v>1.94</v>
      </c>
      <c r="C26" s="56">
        <v>53.89</v>
      </c>
      <c r="D26" s="56">
        <v>29.63</v>
      </c>
      <c r="E26" s="56">
        <v>0.95</v>
      </c>
      <c r="F26" s="56">
        <v>6.59</v>
      </c>
      <c r="G26" s="56">
        <v>45.31</v>
      </c>
      <c r="H26" s="56">
        <v>4.37</v>
      </c>
      <c r="I26" s="56">
        <v>4.4400000000000004</v>
      </c>
      <c r="J26" s="56">
        <v>0.63</v>
      </c>
      <c r="K26" s="56">
        <v>312.83</v>
      </c>
      <c r="L26" s="56">
        <v>35.32</v>
      </c>
      <c r="M26" s="56">
        <v>18.55</v>
      </c>
      <c r="N26" s="56">
        <v>72.80</v>
      </c>
      <c r="O26" s="56">
        <v>0</v>
      </c>
      <c r="P26" s="56">
        <v>0.51</v>
      </c>
      <c r="Q26" s="56">
        <v>9.5</v>
      </c>
      <c r="R26" s="43"/>
      <c r="S26" s="43"/>
      <c r="T26" s="43"/>
      <c r="U26" s="43"/>
    </row>
    <row r="27" spans="1:21" s="11" customFormat="1" ht="15">
      <c r="A27" s="55" t="s">
        <v>176</v>
      </c>
      <c r="B27" s="56">
        <v>3.38</v>
      </c>
      <c r="C27" s="56">
        <v>55.38</v>
      </c>
      <c r="D27" s="56">
        <v>31.57</v>
      </c>
      <c r="E27" s="56">
        <v>0.94</v>
      </c>
      <c r="F27" s="56">
        <v>4.8600000000000003</v>
      </c>
      <c r="G27" s="56">
        <v>48.98</v>
      </c>
      <c r="H27" s="56">
        <v>3.06</v>
      </c>
      <c r="I27" s="56">
        <v>5.22</v>
      </c>
      <c r="J27" s="56">
        <v>0.67</v>
      </c>
      <c r="K27" s="56">
        <v>324.87</v>
      </c>
      <c r="L27" s="56">
        <v>32.630000000000003</v>
      </c>
      <c r="M27" s="56">
        <v>22.24</v>
      </c>
      <c r="N27" s="56">
        <v>20.90</v>
      </c>
      <c r="O27" s="56">
        <v>0</v>
      </c>
      <c r="P27" s="56">
        <v>0.62</v>
      </c>
      <c r="Q27" s="56">
        <v>9.6300000000000008</v>
      </c>
      <c r="R27" s="43"/>
      <c r="S27" s="43"/>
      <c r="T27" s="43"/>
      <c r="U27" s="43"/>
    </row>
    <row r="28" spans="1:21" s="11" customFormat="1" ht="15">
      <c r="A28" s="55" t="s">
        <v>177</v>
      </c>
      <c r="B28" s="56">
        <v>7.17</v>
      </c>
      <c r="C28" s="56">
        <v>60.37</v>
      </c>
      <c r="D28" s="56">
        <v>37.21</v>
      </c>
      <c r="E28" s="56">
        <v>1.19</v>
      </c>
      <c r="F28" s="56">
        <v>3.91</v>
      </c>
      <c r="G28" s="56">
        <v>52.14</v>
      </c>
      <c r="H28" s="56">
        <v>2.14</v>
      </c>
      <c r="I28" s="56">
        <v>5.77</v>
      </c>
      <c r="J28" s="56">
        <v>0.52</v>
      </c>
      <c r="K28" s="56">
        <v>333.53</v>
      </c>
      <c r="L28" s="56">
        <v>30.77</v>
      </c>
      <c r="M28" s="56">
        <v>24.45</v>
      </c>
      <c r="N28" s="56">
        <v>17.20</v>
      </c>
      <c r="O28" s="56">
        <v>0</v>
      </c>
      <c r="P28" s="56">
        <v>0.86</v>
      </c>
      <c r="Q28" s="56">
        <v>9.68</v>
      </c>
      <c r="R28" s="43"/>
      <c r="S28" s="43"/>
      <c r="T28" s="43"/>
      <c r="U28" s="43"/>
    </row>
    <row r="29" spans="1:21" s="11" customFormat="1" ht="15">
      <c r="A29" s="55" t="s">
        <v>178</v>
      </c>
      <c r="B29" s="56">
        <v>15.16</v>
      </c>
      <c r="C29" s="56">
        <v>64.09</v>
      </c>
      <c r="D29" s="56">
        <v>43.75</v>
      </c>
      <c r="E29" s="56">
        <v>0.65</v>
      </c>
      <c r="F29" s="56">
        <v>3.58</v>
      </c>
      <c r="G29" s="56">
        <v>55.33</v>
      </c>
      <c r="H29" s="56">
        <v>1.5</v>
      </c>
      <c r="I29" s="56">
        <v>5.85</v>
      </c>
      <c r="J29" s="56">
        <v>0.37</v>
      </c>
      <c r="K29" s="56">
        <v>333.32</v>
      </c>
      <c r="L29" s="56">
        <v>29.71</v>
      </c>
      <c r="M29" s="56">
        <v>26.22</v>
      </c>
      <c r="N29" s="56">
        <v>17.399999999999999</v>
      </c>
      <c r="O29" s="56">
        <v>0</v>
      </c>
      <c r="P29" s="56">
        <v>1.1399999999999999</v>
      </c>
      <c r="Q29" s="56">
        <v>9.77</v>
      </c>
      <c r="R29" s="43"/>
      <c r="S29" s="43"/>
      <c r="T29" s="43"/>
      <c r="U29" s="43"/>
    </row>
    <row r="30" spans="1:21" s="11" customFormat="1" ht="15">
      <c r="A30" s="55" t="s">
        <v>179</v>
      </c>
      <c r="B30" s="56">
        <v>26.85</v>
      </c>
      <c r="C30" s="56">
        <v>67.06</v>
      </c>
      <c r="D30" s="56">
        <v>55.40</v>
      </c>
      <c r="E30" s="56">
        <v>0.80</v>
      </c>
      <c r="F30" s="56">
        <v>3.33</v>
      </c>
      <c r="G30" s="56">
        <v>63.75</v>
      </c>
      <c r="H30" s="56">
        <v>64.88</v>
      </c>
      <c r="I30" s="56">
        <v>7.06</v>
      </c>
      <c r="J30" s="56">
        <v>0.15</v>
      </c>
      <c r="K30" s="56">
        <v>264.36</v>
      </c>
      <c r="L30" s="56">
        <v>28.59</v>
      </c>
      <c r="M30" s="56">
        <v>29.63</v>
      </c>
      <c r="N30" s="56">
        <v>17.30</v>
      </c>
      <c r="O30" s="56">
        <v>0</v>
      </c>
      <c r="P30" s="56">
        <v>1.43</v>
      </c>
      <c r="Q30" s="56">
        <v>9.8699999999999992</v>
      </c>
      <c r="R30" s="43"/>
      <c r="S30" s="43"/>
      <c r="T30" s="43"/>
      <c r="U30" s="43"/>
    </row>
    <row r="31" spans="1:21" s="11" customFormat="1" ht="15">
      <c r="A31" s="55" t="s">
        <v>180</v>
      </c>
      <c r="B31" s="56">
        <v>38.76</v>
      </c>
      <c r="C31" s="56">
        <v>64.709999999999994</v>
      </c>
      <c r="D31" s="56">
        <v>64.709999999999994</v>
      </c>
      <c r="E31" s="56">
        <v>0.90</v>
      </c>
      <c r="F31" s="56">
        <v>3.29</v>
      </c>
      <c r="G31" s="56">
        <v>75.55</v>
      </c>
      <c r="H31" s="56">
        <v>27.06</v>
      </c>
      <c r="I31" s="56">
        <v>7.65</v>
      </c>
      <c r="J31" s="56">
        <v>0.21</v>
      </c>
      <c r="K31" s="56">
        <v>291.63</v>
      </c>
      <c r="L31" s="56">
        <v>27.17</v>
      </c>
      <c r="M31" s="56">
        <v>37.299999999999997</v>
      </c>
      <c r="N31" s="56">
        <v>17.5</v>
      </c>
      <c r="O31" s="56">
        <v>0</v>
      </c>
      <c r="P31" s="56">
        <v>1.40</v>
      </c>
      <c r="Q31" s="56">
        <v>10.18</v>
      </c>
      <c r="R31" s="43"/>
      <c r="S31" s="43"/>
      <c r="T31" s="43"/>
      <c r="U31" s="43"/>
    </row>
    <row r="32" spans="1:21" s="11" customFormat="1" ht="15">
      <c r="A32" s="55" t="s">
        <v>181</v>
      </c>
      <c r="B32" s="56">
        <v>60.44</v>
      </c>
      <c r="C32" s="56">
        <v>67.25</v>
      </c>
      <c r="D32" s="56">
        <v>83.53</v>
      </c>
      <c r="E32" s="56">
        <v>2.90</v>
      </c>
      <c r="F32" s="56">
        <v>3.58</v>
      </c>
      <c r="G32" s="56">
        <v>87.87</v>
      </c>
      <c r="H32" s="56">
        <v>81.48</v>
      </c>
      <c r="I32" s="56">
        <v>8.67</v>
      </c>
      <c r="J32" s="56">
        <v>0.18</v>
      </c>
      <c r="K32" s="56">
        <v>253.51</v>
      </c>
      <c r="L32" s="56">
        <v>26.09</v>
      </c>
      <c r="M32" s="56">
        <v>43.86</v>
      </c>
      <c r="N32" s="56">
        <v>17.399999999999999</v>
      </c>
      <c r="O32" s="56">
        <v>0</v>
      </c>
      <c r="P32" s="56">
        <v>1.37</v>
      </c>
      <c r="Q32" s="56">
        <v>10.52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1.1599999999999999</v>
      </c>
      <c r="C34" s="28">
        <f t="shared" si="0"/>
        <v>46.32</v>
      </c>
      <c r="D34" s="28">
        <f t="shared" si="0"/>
        <v>28.559999999999999</v>
      </c>
      <c r="E34" s="28">
        <f t="shared" si="0"/>
        <v>0.65000000000000002</v>
      </c>
      <c r="F34" s="28">
        <f t="shared" si="0"/>
        <v>3.29</v>
      </c>
      <c r="G34" s="28">
        <f t="shared" si="0"/>
        <v>45.310000000000002</v>
      </c>
      <c r="H34" s="28">
        <f t="shared" si="0"/>
        <v>1.5</v>
      </c>
      <c r="I34" s="28">
        <f t="shared" si="0"/>
        <v>4.4400000000000004</v>
      </c>
      <c r="J34" s="28">
        <f t="shared" si="0"/>
        <v>0.14000000000000001</v>
      </c>
      <c r="K34" s="28">
        <f t="shared" si="0"/>
        <v>207.06</v>
      </c>
      <c r="L34" s="28">
        <f t="shared" si="0"/>
        <v>23.890000000000001</v>
      </c>
      <c r="M34" s="28">
        <f t="shared" si="0"/>
        <v>14.039999999999999</v>
      </c>
      <c r="N34" s="28">
        <f t="shared" si="0"/>
        <v>17.199999999999999</v>
      </c>
      <c r="O34" s="28">
        <f t="shared" si="0"/>
        <v>0</v>
      </c>
      <c r="P34" s="28">
        <f t="shared" si="0"/>
        <v>0.5</v>
      </c>
      <c r="Q34" s="28">
        <f t="shared" si="0"/>
        <v>9.5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60.439999999999998</v>
      </c>
      <c r="C35" s="29">
        <f t="shared" si="1"/>
        <v>76.200000000000003</v>
      </c>
      <c r="D35" s="29">
        <f t="shared" si="1"/>
        <v>83.530000000000001</v>
      </c>
      <c r="E35" s="29">
        <f t="shared" si="1"/>
        <v>2.8999999999999999</v>
      </c>
      <c r="F35" s="29">
        <f t="shared" si="1"/>
        <v>8.9700000000000006</v>
      </c>
      <c r="G35" s="29">
        <f t="shared" si="1"/>
        <v>94.109999999999999</v>
      </c>
      <c r="H35" s="29">
        <f t="shared" si="1"/>
        <v>81.480000000000004</v>
      </c>
      <c r="I35" s="29">
        <f t="shared" si="1"/>
        <v>9.5600000000000005</v>
      </c>
      <c r="J35" s="29">
        <f t="shared" si="1"/>
        <v>1.3100000000000001</v>
      </c>
      <c r="K35" s="29">
        <f t="shared" si="1"/>
        <v>351.32999999999998</v>
      </c>
      <c r="L35" s="29">
        <f t="shared" si="1"/>
        <v>41.439999999999998</v>
      </c>
      <c r="M35" s="29">
        <f t="shared" si="1"/>
        <v>57.399999999999999</v>
      </c>
      <c r="N35" s="29">
        <f t="shared" si="1"/>
        <v>943.20000000000005</v>
      </c>
      <c r="O35" s="29">
        <f t="shared" si="1"/>
        <v>0</v>
      </c>
      <c r="P35" s="29">
        <f t="shared" si="1"/>
        <v>1.4299999999999999</v>
      </c>
      <c r="Q35" s="29">
        <f t="shared" si="1"/>
        <v>10.52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12.728333333333333</v>
      </c>
      <c r="C36" s="28">
        <f t="shared" si="2"/>
        <v>59.802916666666675</v>
      </c>
      <c r="D36" s="28">
        <f t="shared" si="2"/>
        <v>40.847499999999997</v>
      </c>
      <c r="E36" s="28">
        <f t="shared" si="2"/>
        <v>1.6470833333333328</v>
      </c>
      <c r="F36" s="28">
        <f t="shared" si="2"/>
        <v>4.8787500000000001</v>
      </c>
      <c r="G36" s="28">
        <f t="shared" si="2"/>
        <v>67.773333333333355</v>
      </c>
      <c r="H36" s="28">
        <f t="shared" si="2"/>
        <v>23.658750000000001</v>
      </c>
      <c r="I36" s="28">
        <f t="shared" si="2"/>
        <v>7.537916666666665</v>
      </c>
      <c r="J36" s="28">
        <f t="shared" si="2"/>
        <v>0.55458333333333343</v>
      </c>
      <c r="K36" s="28">
        <f t="shared" si="2"/>
        <v>312.40958333333333</v>
      </c>
      <c r="L36" s="28">
        <f t="shared" si="2"/>
        <v>32.166666666666671</v>
      </c>
      <c r="M36" s="28">
        <f t="shared" si="2"/>
        <v>32.374166666666667</v>
      </c>
      <c r="N36" s="28">
        <f t="shared" si="2"/>
        <v>292.21249999999992</v>
      </c>
      <c r="O36" s="28">
        <f t="shared" si="2"/>
        <v>0</v>
      </c>
      <c r="P36" s="28">
        <f t="shared" si="2"/>
        <v>0.87124999999999997</v>
      </c>
      <c r="Q36" s="28">
        <f t="shared" si="2"/>
        <v>9.8375000000000021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13.753179447950798</v>
      </c>
      <c r="C37" s="28">
        <f t="shared" si="3" ref="C37:Q37">STDEV(C9:C32)</f>
        <v>7.3655765022260375</v>
      </c>
      <c r="D37" s="28">
        <f t="shared" si="3"/>
        <v>12.731846838265209</v>
      </c>
      <c r="E37" s="28">
        <f t="shared" si="3"/>
        <v>0.60550000299189954</v>
      </c>
      <c r="F37" s="28">
        <f t="shared" si="3"/>
        <v>1.6294312491333198</v>
      </c>
      <c r="G37" s="28">
        <f t="shared" si="3"/>
        <v>14.920467315990225</v>
      </c>
      <c r="H37" s="28">
        <f t="shared" si="3"/>
        <v>18.437649881483644</v>
      </c>
      <c r="I37" s="28">
        <f t="shared" si="3"/>
        <v>1.4849651706255664</v>
      </c>
      <c r="J37" s="28">
        <f t="shared" si="3"/>
        <v>0.36512033950307488</v>
      </c>
      <c r="K37" s="28">
        <f t="shared" si="3"/>
        <v>34.536780076894011</v>
      </c>
      <c r="L37" s="28">
        <f t="shared" si="3"/>
        <v>6.2032604797565822</v>
      </c>
      <c r="M37" s="28">
        <f t="shared" si="3"/>
        <v>15.119784308522132</v>
      </c>
      <c r="N37" s="28">
        <f t="shared" si="3"/>
        <v>360.59965071783711</v>
      </c>
      <c r="O37" s="28">
        <f t="shared" si="3"/>
        <v>0</v>
      </c>
      <c r="P37" s="28">
        <f t="shared" si="3"/>
        <v>0.27206636818183222</v>
      </c>
      <c r="Q37" s="28">
        <f t="shared" si="3"/>
        <v>0.21706040032969179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b43ee1-345d-4d02-8f48-54233b6de4a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38" sqref="D38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182</v>
      </c>
      <c r="B9" s="56">
        <v>62.32</v>
      </c>
      <c r="C9" s="56">
        <v>66.66</v>
      </c>
      <c r="D9" s="56">
        <v>84.56</v>
      </c>
      <c r="E9" s="56">
        <v>2.86</v>
      </c>
      <c r="F9" s="56">
        <v>3.58</v>
      </c>
      <c r="G9" s="56">
        <v>92.96</v>
      </c>
      <c r="H9" s="56">
        <v>55.40</v>
      </c>
      <c r="I9" s="56">
        <v>9.0500000000000007</v>
      </c>
      <c r="J9" s="56">
        <v>0.71</v>
      </c>
      <c r="K9" s="56">
        <v>353.57</v>
      </c>
      <c r="L9" s="56">
        <v>25.58</v>
      </c>
      <c r="M9" s="56">
        <v>52.03</v>
      </c>
      <c r="N9" s="56">
        <v>17.100000000000001</v>
      </c>
      <c r="O9" s="56">
        <v>0</v>
      </c>
      <c r="P9" s="56">
        <v>1.36</v>
      </c>
      <c r="Q9" s="56">
        <v>10.72</v>
      </c>
      <c r="R9" s="43"/>
      <c r="S9" s="43"/>
      <c r="T9" s="43"/>
      <c r="U9" s="43"/>
    </row>
    <row r="10" spans="1:21" s="11" customFormat="1" ht="15">
      <c r="A10" s="55" t="s">
        <v>183</v>
      </c>
      <c r="B10" s="56">
        <v>56.91</v>
      </c>
      <c r="C10" s="56">
        <v>63.15</v>
      </c>
      <c r="D10" s="56">
        <v>78.55</v>
      </c>
      <c r="E10" s="56">
        <v>2.59</v>
      </c>
      <c r="F10" s="56">
        <v>3.77</v>
      </c>
      <c r="G10" s="56">
        <v>97.78</v>
      </c>
      <c r="H10" s="56">
        <v>33.409999999999997</v>
      </c>
      <c r="I10" s="56">
        <v>9.57</v>
      </c>
      <c r="J10" s="56">
        <v>0.76</v>
      </c>
      <c r="K10" s="56">
        <v>342.34</v>
      </c>
      <c r="L10" s="56">
        <v>26.21</v>
      </c>
      <c r="M10" s="56">
        <v>35.479999999999997</v>
      </c>
      <c r="N10" s="56">
        <v>17.399999999999999</v>
      </c>
      <c r="O10" s="56">
        <v>0</v>
      </c>
      <c r="P10" s="56">
        <v>1.18</v>
      </c>
      <c r="Q10" s="56">
        <v>10.37</v>
      </c>
      <c r="R10" s="43"/>
      <c r="S10" s="43"/>
      <c r="T10" s="43"/>
      <c r="U10" s="43"/>
    </row>
    <row r="11" spans="1:21" s="11" customFormat="1" ht="15">
      <c r="A11" s="55" t="s">
        <v>184</v>
      </c>
      <c r="B11" s="56">
        <v>43.72</v>
      </c>
      <c r="C11" s="56">
        <v>57.28</v>
      </c>
      <c r="D11" s="56">
        <v>64.69</v>
      </c>
      <c r="E11" s="56">
        <v>2.5099999999999998</v>
      </c>
      <c r="F11" s="56">
        <v>3.58</v>
      </c>
      <c r="G11" s="56">
        <v>82.60</v>
      </c>
      <c r="H11" s="56">
        <v>26.16</v>
      </c>
      <c r="I11" s="56">
        <v>7.36</v>
      </c>
      <c r="J11" s="56">
        <v>0.55000000000000004</v>
      </c>
      <c r="K11" s="56">
        <v>245.86</v>
      </c>
      <c r="L11" s="56">
        <v>25.98</v>
      </c>
      <c r="M11" s="56">
        <v>44.55</v>
      </c>
      <c r="N11" s="56">
        <v>17.70</v>
      </c>
      <c r="O11" s="56">
        <v>0</v>
      </c>
      <c r="P11" s="56">
        <v>0.96</v>
      </c>
      <c r="Q11" s="56">
        <v>10.10</v>
      </c>
      <c r="R11" s="43"/>
      <c r="S11" s="43"/>
      <c r="T11" s="43"/>
      <c r="U11" s="43"/>
    </row>
    <row r="12" spans="1:21" s="11" customFormat="1" ht="15">
      <c r="A12" s="55" t="s">
        <v>185</v>
      </c>
      <c r="B12" s="56">
        <v>37.15</v>
      </c>
      <c r="C12" s="56">
        <v>55.19</v>
      </c>
      <c r="D12" s="56">
        <v>58.55</v>
      </c>
      <c r="E12" s="56">
        <v>2.44</v>
      </c>
      <c r="F12" s="56">
        <v>3.46</v>
      </c>
      <c r="G12" s="56">
        <v>76.08</v>
      </c>
      <c r="H12" s="56">
        <v>33.450000000000003</v>
      </c>
      <c r="I12" s="56">
        <v>8.23</v>
      </c>
      <c r="J12" s="56">
        <v>0.14000000000000001</v>
      </c>
      <c r="K12" s="56">
        <v>350.45</v>
      </c>
      <c r="L12" s="56">
        <v>23.90</v>
      </c>
      <c r="M12" s="56">
        <v>50.77</v>
      </c>
      <c r="N12" s="56">
        <v>17.70</v>
      </c>
      <c r="O12" s="56">
        <v>0</v>
      </c>
      <c r="P12" s="56">
        <v>0.92</v>
      </c>
      <c r="Q12" s="56">
        <v>10.199999999999999</v>
      </c>
      <c r="R12" s="43"/>
      <c r="S12" s="43"/>
      <c r="T12" s="43"/>
      <c r="U12" s="43"/>
    </row>
    <row r="13" spans="1:21" s="11" customFormat="1" ht="15">
      <c r="A13" s="55" t="s">
        <v>186</v>
      </c>
      <c r="B13" s="56">
        <v>34.86</v>
      </c>
      <c r="C13" s="56">
        <v>54.19</v>
      </c>
      <c r="D13" s="56">
        <v>56.18</v>
      </c>
      <c r="E13" s="56">
        <v>1.76</v>
      </c>
      <c r="F13" s="56">
        <v>3.34</v>
      </c>
      <c r="G13" s="56">
        <v>72.989999999999995</v>
      </c>
      <c r="H13" s="56">
        <v>30.87</v>
      </c>
      <c r="I13" s="56">
        <v>10.09</v>
      </c>
      <c r="J13" s="56">
        <v>0.12</v>
      </c>
      <c r="K13" s="56">
        <v>280.83999999999997</v>
      </c>
      <c r="L13" s="56">
        <v>23.11</v>
      </c>
      <c r="M13" s="56">
        <v>53.37</v>
      </c>
      <c r="N13" s="56">
        <v>17.20</v>
      </c>
      <c r="O13" s="56">
        <v>0</v>
      </c>
      <c r="P13" s="56">
        <v>0.88</v>
      </c>
      <c r="Q13" s="56">
        <v>10.130000000000001</v>
      </c>
      <c r="R13" s="43"/>
      <c r="S13" s="43"/>
      <c r="T13" s="43"/>
      <c r="U13" s="43"/>
    </row>
    <row r="14" spans="1:21" s="11" customFormat="1" ht="15">
      <c r="A14" s="55" t="s">
        <v>187</v>
      </c>
      <c r="B14" s="56">
        <v>40.729999999999997</v>
      </c>
      <c r="C14" s="56">
        <v>55.06</v>
      </c>
      <c r="D14" s="56">
        <v>61.35</v>
      </c>
      <c r="E14" s="56">
        <v>1.71</v>
      </c>
      <c r="F14" s="56">
        <v>3.22</v>
      </c>
      <c r="G14" s="56">
        <v>81.290000000000006</v>
      </c>
      <c r="H14" s="56">
        <v>30.45</v>
      </c>
      <c r="I14" s="56">
        <v>10.050000000000001</v>
      </c>
      <c r="J14" s="56">
        <v>0.21</v>
      </c>
      <c r="K14" s="56">
        <v>291.39</v>
      </c>
      <c r="L14" s="56">
        <v>23.39</v>
      </c>
      <c r="M14" s="56">
        <v>53.03</v>
      </c>
      <c r="N14" s="56">
        <v>27.10</v>
      </c>
      <c r="O14" s="56">
        <v>0</v>
      </c>
      <c r="P14" s="56">
        <v>0.87</v>
      </c>
      <c r="Q14" s="56">
        <v>10.41</v>
      </c>
      <c r="R14" s="43"/>
      <c r="S14" s="43"/>
      <c r="T14" s="43"/>
      <c r="U14" s="43"/>
    </row>
    <row r="15" spans="1:21" s="11" customFormat="1" ht="15">
      <c r="A15" s="55" t="s">
        <v>188</v>
      </c>
      <c r="B15" s="56">
        <v>14.74</v>
      </c>
      <c r="C15" s="56">
        <v>42.40</v>
      </c>
      <c r="D15" s="56">
        <v>33.90</v>
      </c>
      <c r="E15" s="56">
        <v>1.83</v>
      </c>
      <c r="F15" s="56">
        <v>3.57</v>
      </c>
      <c r="G15" s="56">
        <v>95.16</v>
      </c>
      <c r="H15" s="56">
        <v>26.89</v>
      </c>
      <c r="I15" s="56">
        <v>10.130000000000001</v>
      </c>
      <c r="J15" s="56">
        <v>0.73</v>
      </c>
      <c r="K15" s="56">
        <v>329.69</v>
      </c>
      <c r="L15" s="56">
        <v>24.82</v>
      </c>
      <c r="M15" s="56">
        <v>53.27</v>
      </c>
      <c r="N15" s="56">
        <v>156.10</v>
      </c>
      <c r="O15" s="56">
        <v>0</v>
      </c>
      <c r="P15" s="56">
        <v>0.88</v>
      </c>
      <c r="Q15" s="56">
        <v>10.41</v>
      </c>
      <c r="R15" s="43"/>
      <c r="S15" s="43"/>
      <c r="T15" s="43"/>
      <c r="U15" s="43"/>
    </row>
    <row r="16" spans="1:21" s="11" customFormat="1" ht="15">
      <c r="A16" s="55" t="s">
        <v>189</v>
      </c>
      <c r="B16" s="56">
        <v>0.10</v>
      </c>
      <c r="C16" s="56">
        <v>31.14</v>
      </c>
      <c r="D16" s="56">
        <v>16.27</v>
      </c>
      <c r="E16" s="56">
        <v>1.63</v>
      </c>
      <c r="F16" s="56">
        <v>3.37</v>
      </c>
      <c r="G16" s="56">
        <v>95.16</v>
      </c>
      <c r="H16" s="56">
        <v>29.38</v>
      </c>
      <c r="I16" s="56">
        <v>10.57</v>
      </c>
      <c r="J16" s="56">
        <v>0.90</v>
      </c>
      <c r="K16" s="56">
        <v>182.89</v>
      </c>
      <c r="L16" s="56">
        <v>27.86</v>
      </c>
      <c r="M16" s="56">
        <v>46.36</v>
      </c>
      <c r="N16" s="56">
        <v>358.5</v>
      </c>
      <c r="O16" s="56">
        <v>0</v>
      </c>
      <c r="P16" s="56">
        <v>0.86</v>
      </c>
      <c r="Q16" s="56">
        <v>10.39</v>
      </c>
      <c r="R16" s="43"/>
      <c r="S16" s="43"/>
      <c r="T16" s="43"/>
      <c r="U16" s="43"/>
    </row>
    <row r="17" spans="1:21" s="11" customFormat="1" ht="15">
      <c r="A17" s="55" t="s">
        <v>190</v>
      </c>
      <c r="B17" s="56">
        <v>0.10</v>
      </c>
      <c r="C17" s="56">
        <v>21</v>
      </c>
      <c r="D17" s="56">
        <v>10.97</v>
      </c>
      <c r="E17" s="56">
        <v>1.86</v>
      </c>
      <c r="F17" s="56">
        <v>3.86</v>
      </c>
      <c r="G17" s="56">
        <v>93.41</v>
      </c>
      <c r="H17" s="56">
        <v>40.630000000000003</v>
      </c>
      <c r="I17" s="56">
        <v>10.96</v>
      </c>
      <c r="J17" s="56">
        <v>0.74</v>
      </c>
      <c r="K17" s="56">
        <v>173.65</v>
      </c>
      <c r="L17" s="56">
        <v>30.30</v>
      </c>
      <c r="M17" s="56">
        <v>38.22</v>
      </c>
      <c r="N17" s="56">
        <v>519.20000000000005</v>
      </c>
      <c r="O17" s="56">
        <v>0</v>
      </c>
      <c r="P17" s="56">
        <v>0.86</v>
      </c>
      <c r="Q17" s="56">
        <v>10.26</v>
      </c>
      <c r="R17" s="43"/>
      <c r="S17" s="43"/>
      <c r="T17" s="43"/>
      <c r="U17" s="43"/>
    </row>
    <row r="18" spans="1:21" s="11" customFormat="1" ht="15">
      <c r="A18" s="55" t="s">
        <v>191</v>
      </c>
      <c r="B18" s="56">
        <v>0.10</v>
      </c>
      <c r="C18" s="56">
        <v>8.0399999999999991</v>
      </c>
      <c r="D18" s="56">
        <v>4.20</v>
      </c>
      <c r="E18" s="56">
        <v>1.89</v>
      </c>
      <c r="F18" s="56">
        <v>4.29</v>
      </c>
      <c r="G18" s="56">
        <v>95.38</v>
      </c>
      <c r="H18" s="56">
        <v>37.369999999999997</v>
      </c>
      <c r="I18" s="56">
        <v>10.89</v>
      </c>
      <c r="J18" s="56">
        <v>0.19</v>
      </c>
      <c r="K18" s="56">
        <v>345.67</v>
      </c>
      <c r="L18" s="56">
        <v>35.46</v>
      </c>
      <c r="M18" s="56">
        <v>35.79</v>
      </c>
      <c r="N18" s="56">
        <v>734.80</v>
      </c>
      <c r="O18" s="56">
        <v>0</v>
      </c>
      <c r="P18" s="56">
        <v>0.85</v>
      </c>
      <c r="Q18" s="56">
        <v>9.9700000000000006</v>
      </c>
      <c r="R18" s="43"/>
      <c r="S18" s="43"/>
      <c r="T18" s="43"/>
      <c r="U18" s="43"/>
    </row>
    <row r="19" spans="1:21" s="11" customFormat="1" ht="15">
      <c r="A19" s="55" t="s">
        <v>192</v>
      </c>
      <c r="B19" s="57" t="s">
        <v>14</v>
      </c>
      <c r="C19" s="57" t="s">
        <v>14</v>
      </c>
      <c r="D19" s="57" t="s">
        <v>14</v>
      </c>
      <c r="E19" s="56">
        <v>1.66</v>
      </c>
      <c r="F19" s="56">
        <v>5.47</v>
      </c>
      <c r="G19" s="56">
        <v>86.75</v>
      </c>
      <c r="H19" s="56">
        <v>33.44</v>
      </c>
      <c r="I19" s="56">
        <v>9.85</v>
      </c>
      <c r="J19" s="56">
        <v>0.44</v>
      </c>
      <c r="K19" s="56">
        <v>357.67</v>
      </c>
      <c r="L19" s="56">
        <v>38.60</v>
      </c>
      <c r="M19" s="56">
        <v>21.37</v>
      </c>
      <c r="N19" s="56">
        <v>870</v>
      </c>
      <c r="O19" s="56">
        <v>0</v>
      </c>
      <c r="P19" s="56">
        <v>0.81</v>
      </c>
      <c r="Q19" s="56">
        <v>9.9700000000000006</v>
      </c>
      <c r="R19" s="43"/>
      <c r="S19" s="43"/>
      <c r="T19" s="43"/>
      <c r="U19" s="43"/>
    </row>
    <row r="20" spans="1:21" s="11" customFormat="1" ht="15">
      <c r="A20" s="55" t="s">
        <v>193</v>
      </c>
      <c r="B20" s="57" t="s">
        <v>14</v>
      </c>
      <c r="C20" s="57" t="s">
        <v>14</v>
      </c>
      <c r="D20" s="57" t="s">
        <v>14</v>
      </c>
      <c r="E20" s="56">
        <v>1.58</v>
      </c>
      <c r="F20" s="56">
        <v>5.52</v>
      </c>
      <c r="G20" s="56">
        <v>79.400000000000006</v>
      </c>
      <c r="H20" s="56">
        <v>18.510000000000002</v>
      </c>
      <c r="I20" s="56">
        <v>10.30</v>
      </c>
      <c r="J20" s="56">
        <v>0.94</v>
      </c>
      <c r="K20" s="56">
        <v>346.41</v>
      </c>
      <c r="L20" s="56">
        <v>40.61</v>
      </c>
      <c r="M20" s="56">
        <v>18.36</v>
      </c>
      <c r="N20" s="56">
        <v>870</v>
      </c>
      <c r="O20" s="56">
        <v>0</v>
      </c>
      <c r="P20" s="56">
        <v>0.76</v>
      </c>
      <c r="Q20" s="56">
        <v>9.7100000000000009</v>
      </c>
      <c r="R20" s="43"/>
      <c r="S20" s="43"/>
      <c r="T20" s="43"/>
      <c r="U20" s="43"/>
    </row>
    <row r="21" spans="1:21" s="11" customFormat="1" ht="15">
      <c r="A21" s="55" t="s">
        <v>194</v>
      </c>
      <c r="B21" s="57" t="s">
        <v>14</v>
      </c>
      <c r="C21" s="57" t="s">
        <v>14</v>
      </c>
      <c r="D21" s="57" t="s">
        <v>14</v>
      </c>
      <c r="E21" s="56">
        <v>1.08</v>
      </c>
      <c r="F21" s="56">
        <v>5.54</v>
      </c>
      <c r="G21" s="56">
        <v>73.760000000000005</v>
      </c>
      <c r="H21" s="56">
        <v>6.60</v>
      </c>
      <c r="I21" s="56">
        <v>10.83</v>
      </c>
      <c r="J21" s="56">
        <v>1.0900000000000001</v>
      </c>
      <c r="K21" s="56">
        <v>344.15</v>
      </c>
      <c r="L21" s="56">
        <v>40.880000000000003</v>
      </c>
      <c r="M21" s="56">
        <v>18.23</v>
      </c>
      <c r="N21" s="56">
        <v>866.90</v>
      </c>
      <c r="O21" s="56">
        <v>0</v>
      </c>
      <c r="P21" s="56">
        <v>0.73</v>
      </c>
      <c r="Q21" s="56">
        <v>9.84</v>
      </c>
      <c r="R21" s="43"/>
      <c r="S21" s="43"/>
      <c r="T21" s="43"/>
      <c r="U21" s="43"/>
    </row>
    <row r="22" spans="1:21" s="11" customFormat="1" ht="15">
      <c r="A22" s="55" t="s">
        <v>195</v>
      </c>
      <c r="B22" s="57" t="s">
        <v>14</v>
      </c>
      <c r="C22" s="57" t="s">
        <v>14</v>
      </c>
      <c r="D22" s="57" t="s">
        <v>14</v>
      </c>
      <c r="E22" s="56">
        <v>1.27</v>
      </c>
      <c r="F22" s="56">
        <v>7.21</v>
      </c>
      <c r="G22" s="56">
        <v>66.709999999999994</v>
      </c>
      <c r="H22" s="56">
        <v>40.65</v>
      </c>
      <c r="I22" s="56">
        <v>10.87</v>
      </c>
      <c r="J22" s="56">
        <v>0.56000000000000005</v>
      </c>
      <c r="K22" s="56">
        <v>326.89999999999998</v>
      </c>
      <c r="L22" s="56">
        <v>40.67</v>
      </c>
      <c r="M22" s="56">
        <v>13.59</v>
      </c>
      <c r="N22" s="56">
        <v>831.70</v>
      </c>
      <c r="O22" s="56">
        <v>0</v>
      </c>
      <c r="P22" s="56">
        <v>0.65</v>
      </c>
      <c r="Q22" s="56">
        <v>9.77</v>
      </c>
      <c r="R22" s="43"/>
      <c r="S22" s="43"/>
      <c r="T22" s="43"/>
      <c r="U22" s="43"/>
    </row>
    <row r="23" spans="1:21" s="11" customFormat="1" ht="15">
      <c r="A23" s="55" t="s">
        <v>196</v>
      </c>
      <c r="B23" s="57" t="s">
        <v>14</v>
      </c>
      <c r="C23" s="57" t="s">
        <v>14</v>
      </c>
      <c r="D23" s="57" t="s">
        <v>14</v>
      </c>
      <c r="E23" s="56">
        <v>0.86</v>
      </c>
      <c r="F23" s="56">
        <v>6.79</v>
      </c>
      <c r="G23" s="56">
        <v>56.05</v>
      </c>
      <c r="H23" s="56">
        <v>25.13</v>
      </c>
      <c r="I23" s="56">
        <v>8.99</v>
      </c>
      <c r="J23" s="56">
        <v>0.95</v>
      </c>
      <c r="K23" s="56">
        <v>330.10</v>
      </c>
      <c r="L23" s="56">
        <v>40.32</v>
      </c>
      <c r="M23" s="56">
        <v>14.21</v>
      </c>
      <c r="N23" s="56">
        <v>588.60</v>
      </c>
      <c r="O23" s="56">
        <v>0</v>
      </c>
      <c r="P23" s="56">
        <v>0.56999999999999995</v>
      </c>
      <c r="Q23" s="56">
        <v>9.65</v>
      </c>
      <c r="R23" s="43"/>
      <c r="S23" s="43"/>
      <c r="T23" s="43"/>
      <c r="U23" s="43"/>
    </row>
    <row r="24" spans="1:21" s="11" customFormat="1" ht="15">
      <c r="A24" s="55" t="s">
        <v>197</v>
      </c>
      <c r="B24" s="57" t="s">
        <v>14</v>
      </c>
      <c r="C24" s="57" t="s">
        <v>14</v>
      </c>
      <c r="D24" s="57" t="s">
        <v>14</v>
      </c>
      <c r="E24" s="56">
        <v>0.98</v>
      </c>
      <c r="F24" s="56">
        <v>6.5</v>
      </c>
      <c r="G24" s="56">
        <v>49.58</v>
      </c>
      <c r="H24" s="56">
        <v>23.61</v>
      </c>
      <c r="I24" s="56">
        <v>7.47</v>
      </c>
      <c r="J24" s="56">
        <v>0.57999999999999996</v>
      </c>
      <c r="K24" s="56">
        <v>327.70</v>
      </c>
      <c r="L24" s="56">
        <v>38.96</v>
      </c>
      <c r="M24" s="56">
        <v>14.93</v>
      </c>
      <c r="N24" s="56">
        <v>378.20</v>
      </c>
      <c r="O24" s="56">
        <v>0</v>
      </c>
      <c r="P24" s="56">
        <v>0.51</v>
      </c>
      <c r="Q24" s="56">
        <v>9.61</v>
      </c>
      <c r="R24" s="43"/>
      <c r="S24" s="43"/>
      <c r="T24" s="43"/>
      <c r="U24" s="43"/>
    </row>
    <row r="25" spans="1:21" s="11" customFormat="1" ht="15">
      <c r="A25" s="55" t="s">
        <v>198</v>
      </c>
      <c r="B25" s="57" t="s">
        <v>14</v>
      </c>
      <c r="C25" s="57" t="s">
        <v>14</v>
      </c>
      <c r="D25" s="57" t="s">
        <v>14</v>
      </c>
      <c r="E25" s="56">
        <v>1.42</v>
      </c>
      <c r="F25" s="56">
        <v>5.76</v>
      </c>
      <c r="G25" s="56">
        <v>45.64</v>
      </c>
      <c r="H25" s="56">
        <v>19.190000000000001</v>
      </c>
      <c r="I25" s="56">
        <v>6.28</v>
      </c>
      <c r="J25" s="56">
        <v>0.51</v>
      </c>
      <c r="K25" s="56">
        <v>340.10</v>
      </c>
      <c r="L25" s="56">
        <v>36.520000000000003</v>
      </c>
      <c r="M25" s="56">
        <v>21.66</v>
      </c>
      <c r="N25" s="56">
        <v>161.69999999999999</v>
      </c>
      <c r="O25" s="56">
        <v>0</v>
      </c>
      <c r="P25" s="56">
        <v>0.46</v>
      </c>
      <c r="Q25" s="56">
        <v>9.65</v>
      </c>
      <c r="R25" s="43"/>
      <c r="S25" s="43"/>
      <c r="T25" s="43"/>
      <c r="U25" s="43"/>
    </row>
    <row r="26" spans="1:21" s="11" customFormat="1" ht="15">
      <c r="A26" s="55" t="s">
        <v>199</v>
      </c>
      <c r="B26" s="56">
        <v>2.3199999999999998</v>
      </c>
      <c r="C26" s="56">
        <v>60.22</v>
      </c>
      <c r="D26" s="56">
        <v>33.25</v>
      </c>
      <c r="E26" s="56">
        <v>1.44</v>
      </c>
      <c r="F26" s="56">
        <v>4.67</v>
      </c>
      <c r="G26" s="56">
        <v>45.90</v>
      </c>
      <c r="H26" s="56">
        <v>19.5</v>
      </c>
      <c r="I26" s="56">
        <v>6.85</v>
      </c>
      <c r="J26" s="56">
        <v>0.18</v>
      </c>
      <c r="K26" s="56">
        <v>358.87</v>
      </c>
      <c r="L26" s="56">
        <v>34.35</v>
      </c>
      <c r="M26" s="56">
        <v>29.20</v>
      </c>
      <c r="N26" s="56">
        <v>61.90</v>
      </c>
      <c r="O26" s="56">
        <v>0</v>
      </c>
      <c r="P26" s="56">
        <v>0.80</v>
      </c>
      <c r="Q26" s="56">
        <v>9.67</v>
      </c>
      <c r="R26" s="43"/>
      <c r="S26" s="43"/>
      <c r="T26" s="43"/>
      <c r="U26" s="43"/>
    </row>
    <row r="27" spans="1:21" s="11" customFormat="1" ht="15">
      <c r="A27" s="55" t="s">
        <v>200</v>
      </c>
      <c r="B27" s="56">
        <v>15.84</v>
      </c>
      <c r="C27" s="56">
        <v>69.98</v>
      </c>
      <c r="D27" s="56">
        <v>49.19</v>
      </c>
      <c r="E27" s="56">
        <v>1.96</v>
      </c>
      <c r="F27" s="56">
        <v>3.83</v>
      </c>
      <c r="G27" s="56">
        <v>58.54</v>
      </c>
      <c r="H27" s="56">
        <v>22.86</v>
      </c>
      <c r="I27" s="56">
        <v>8.9499999999999993</v>
      </c>
      <c r="J27" s="56">
        <v>0.41</v>
      </c>
      <c r="K27" s="56">
        <v>351.43</v>
      </c>
      <c r="L27" s="56">
        <v>31.92</v>
      </c>
      <c r="M27" s="56">
        <v>35.07</v>
      </c>
      <c r="N27" s="56">
        <v>23</v>
      </c>
      <c r="O27" s="56">
        <v>0</v>
      </c>
      <c r="P27" s="56">
        <v>1.33</v>
      </c>
      <c r="Q27" s="56">
        <v>10.06</v>
      </c>
      <c r="R27" s="43"/>
      <c r="S27" s="43"/>
      <c r="T27" s="43"/>
      <c r="U27" s="43"/>
    </row>
    <row r="28" spans="1:21" s="11" customFormat="1" ht="15">
      <c r="A28" s="55" t="s">
        <v>201</v>
      </c>
      <c r="B28" s="56">
        <v>15.85</v>
      </c>
      <c r="C28" s="56">
        <v>70.33</v>
      </c>
      <c r="D28" s="56">
        <v>49.37</v>
      </c>
      <c r="E28" s="56">
        <v>1.93</v>
      </c>
      <c r="F28" s="56">
        <v>3.74</v>
      </c>
      <c r="G28" s="56">
        <v>84.51</v>
      </c>
      <c r="H28" s="56">
        <v>28.11</v>
      </c>
      <c r="I28" s="56">
        <v>9.3000000000000007</v>
      </c>
      <c r="J28" s="56">
        <v>0.98</v>
      </c>
      <c r="K28" s="56">
        <v>329.49</v>
      </c>
      <c r="L28" s="56">
        <v>31.13</v>
      </c>
      <c r="M28" s="56">
        <v>24.99</v>
      </c>
      <c r="N28" s="56">
        <v>20.5</v>
      </c>
      <c r="O28" s="56">
        <v>0</v>
      </c>
      <c r="P28" s="56">
        <v>1.1200000000000001</v>
      </c>
      <c r="Q28" s="56">
        <v>10.119999999999999</v>
      </c>
      <c r="R28" s="43"/>
      <c r="S28" s="43"/>
      <c r="T28" s="43"/>
      <c r="U28" s="43"/>
    </row>
    <row r="29" spans="1:21" s="11" customFormat="1" ht="15">
      <c r="A29" s="55" t="s">
        <v>202</v>
      </c>
      <c r="B29" s="56">
        <v>11.48</v>
      </c>
      <c r="C29" s="56">
        <v>64.48</v>
      </c>
      <c r="D29" s="56">
        <v>42.82</v>
      </c>
      <c r="E29" s="56">
        <v>1.81</v>
      </c>
      <c r="F29" s="56">
        <v>3.73</v>
      </c>
      <c r="G29" s="56">
        <v>75.77</v>
      </c>
      <c r="H29" s="56">
        <v>23.52</v>
      </c>
      <c r="I29" s="56">
        <v>8.5299999999999994</v>
      </c>
      <c r="J29" s="56">
        <v>1.70</v>
      </c>
      <c r="K29" s="56">
        <v>343.49</v>
      </c>
      <c r="L29" s="56">
        <v>30.33</v>
      </c>
      <c r="M29" s="56">
        <v>27.02</v>
      </c>
      <c r="N29" s="56">
        <v>20.399999999999999</v>
      </c>
      <c r="O29" s="56">
        <v>0</v>
      </c>
      <c r="P29" s="56">
        <v>1.08</v>
      </c>
      <c r="Q29" s="56">
        <v>9.9700000000000006</v>
      </c>
      <c r="R29" s="43"/>
      <c r="S29" s="43"/>
      <c r="T29" s="43"/>
      <c r="U29" s="43"/>
    </row>
    <row r="30" spans="1:21" s="11" customFormat="1" ht="15">
      <c r="A30" s="55" t="s">
        <v>203</v>
      </c>
      <c r="B30" s="56">
        <v>11.13</v>
      </c>
      <c r="C30" s="56">
        <v>62.77</v>
      </c>
      <c r="D30" s="56">
        <v>39.93</v>
      </c>
      <c r="E30" s="56">
        <v>1.67</v>
      </c>
      <c r="F30" s="56">
        <v>3.86</v>
      </c>
      <c r="G30" s="56">
        <v>69.31</v>
      </c>
      <c r="H30" s="56">
        <v>20.96</v>
      </c>
      <c r="I30" s="56">
        <v>8.17</v>
      </c>
      <c r="J30" s="56">
        <v>0.87</v>
      </c>
      <c r="K30" s="56">
        <v>355.73</v>
      </c>
      <c r="L30" s="56">
        <v>29.47</v>
      </c>
      <c r="M30" s="56">
        <v>30.53</v>
      </c>
      <c r="N30" s="56">
        <v>21</v>
      </c>
      <c r="O30" s="56">
        <v>0</v>
      </c>
      <c r="P30" s="56">
        <v>1.1399999999999999</v>
      </c>
      <c r="Q30" s="56">
        <v>9.94</v>
      </c>
      <c r="R30" s="43"/>
      <c r="S30" s="43"/>
      <c r="T30" s="43"/>
      <c r="U30" s="43"/>
    </row>
    <row r="31" spans="1:21" s="11" customFormat="1" ht="15">
      <c r="A31" s="55" t="s">
        <v>204</v>
      </c>
      <c r="B31" s="56">
        <v>27.90</v>
      </c>
      <c r="C31" s="56">
        <v>66.84</v>
      </c>
      <c r="D31" s="56">
        <v>57.22</v>
      </c>
      <c r="E31" s="56">
        <v>2.1800000000000002</v>
      </c>
      <c r="F31" s="56">
        <v>3.78</v>
      </c>
      <c r="G31" s="56">
        <v>84.02</v>
      </c>
      <c r="H31" s="56">
        <v>32.36</v>
      </c>
      <c r="I31" s="56">
        <v>7.89</v>
      </c>
      <c r="J31" s="56">
        <v>0.15</v>
      </c>
      <c r="K31" s="56">
        <v>282.44</v>
      </c>
      <c r="L31" s="56">
        <v>28.19</v>
      </c>
      <c r="M31" s="56">
        <v>38.58</v>
      </c>
      <c r="N31" s="56">
        <v>21</v>
      </c>
      <c r="O31" s="56">
        <v>0</v>
      </c>
      <c r="P31" s="56">
        <v>1.26</v>
      </c>
      <c r="Q31" s="56">
        <v>10.06</v>
      </c>
      <c r="R31" s="43"/>
      <c r="S31" s="43"/>
      <c r="T31" s="43"/>
      <c r="U31" s="43"/>
    </row>
    <row r="32" spans="1:21" s="11" customFormat="1" ht="15">
      <c r="A32" s="55" t="s">
        <v>205</v>
      </c>
      <c r="B32" s="56">
        <v>41.91</v>
      </c>
      <c r="C32" s="56">
        <v>68.97</v>
      </c>
      <c r="D32" s="56">
        <v>69.260000000000005</v>
      </c>
      <c r="E32" s="56">
        <v>2.38</v>
      </c>
      <c r="F32" s="56">
        <v>3.47</v>
      </c>
      <c r="G32" s="56">
        <v>97.5</v>
      </c>
      <c r="H32" s="56">
        <v>33.15</v>
      </c>
      <c r="I32" s="56">
        <v>8.85</v>
      </c>
      <c r="J32" s="56">
        <v>0.22</v>
      </c>
      <c r="K32" s="56">
        <v>357.21</v>
      </c>
      <c r="L32" s="56">
        <v>26.66</v>
      </c>
      <c r="M32" s="56">
        <v>42.83</v>
      </c>
      <c r="N32" s="56">
        <v>20.90</v>
      </c>
      <c r="O32" s="56">
        <v>0</v>
      </c>
      <c r="P32" s="56">
        <v>1.40</v>
      </c>
      <c r="Q32" s="56">
        <v>10.48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8.0399999999999991</v>
      </c>
      <c r="D34" s="28">
        <f t="shared" si="0"/>
        <v>4.2000000000000002</v>
      </c>
      <c r="E34" s="28">
        <f t="shared" si="0"/>
        <v>0.85999999999999999</v>
      </c>
      <c r="F34" s="28">
        <f t="shared" si="0"/>
        <v>3.2200000000000002</v>
      </c>
      <c r="G34" s="28">
        <f t="shared" si="0"/>
        <v>45.640000000000001</v>
      </c>
      <c r="H34" s="28">
        <f t="shared" si="0"/>
        <v>6.5999999999999996</v>
      </c>
      <c r="I34" s="28">
        <f t="shared" si="0"/>
        <v>6.2800000000000002</v>
      </c>
      <c r="J34" s="28">
        <f t="shared" si="0"/>
        <v>0.12</v>
      </c>
      <c r="K34" s="28">
        <f t="shared" si="0"/>
        <v>173.65000000000001</v>
      </c>
      <c r="L34" s="28">
        <f t="shared" si="0"/>
        <v>23.109999999999999</v>
      </c>
      <c r="M34" s="28">
        <f t="shared" si="0"/>
        <v>13.59</v>
      </c>
      <c r="N34" s="28">
        <f t="shared" si="0"/>
        <v>17.100000000000001</v>
      </c>
      <c r="O34" s="28">
        <f t="shared" si="0"/>
        <v>0</v>
      </c>
      <c r="P34" s="28">
        <f t="shared" si="0"/>
        <v>0.46000000000000002</v>
      </c>
      <c r="Q34" s="28">
        <f t="shared" si="0"/>
        <v>9.6099999999999994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62.32</v>
      </c>
      <c r="C35" s="29">
        <f t="shared" si="1"/>
        <v>70.329999999999998</v>
      </c>
      <c r="D35" s="29">
        <f t="shared" si="1"/>
        <v>84.560000000000002</v>
      </c>
      <c r="E35" s="29">
        <f t="shared" si="1"/>
        <v>2.8599999999999999</v>
      </c>
      <c r="F35" s="29">
        <f t="shared" si="1"/>
        <v>7.21</v>
      </c>
      <c r="G35" s="29">
        <f t="shared" si="1"/>
        <v>97.780000000000001</v>
      </c>
      <c r="H35" s="29">
        <f t="shared" si="1"/>
        <v>55.399999999999999</v>
      </c>
      <c r="I35" s="29">
        <f t="shared" si="1"/>
        <v>10.960000000000001</v>
      </c>
      <c r="J35" s="29">
        <f t="shared" si="1"/>
        <v>1.7</v>
      </c>
      <c r="K35" s="29">
        <f t="shared" si="1"/>
        <v>358.87</v>
      </c>
      <c r="L35" s="29">
        <f t="shared" si="1"/>
        <v>40.880000000000003</v>
      </c>
      <c r="M35" s="29">
        <f t="shared" si="1"/>
        <v>53.369999999999997</v>
      </c>
      <c r="N35" s="29">
        <f t="shared" si="1"/>
        <v>870</v>
      </c>
      <c r="O35" s="29">
        <f t="shared" si="1"/>
        <v>0</v>
      </c>
      <c r="P35" s="29">
        <f t="shared" si="1"/>
        <v>1.3999999999999999</v>
      </c>
      <c r="Q35" s="29">
        <f t="shared" si="1"/>
        <v>10.720000000000001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24.538823529411768</v>
      </c>
      <c r="C36" s="28">
        <f t="shared" si="2"/>
        <v>53.98235294117648</v>
      </c>
      <c r="D36" s="28">
        <f t="shared" si="2"/>
        <v>47.662352941176479</v>
      </c>
      <c r="E36" s="28">
        <f t="shared" si="2"/>
        <v>1.8041666666666669</v>
      </c>
      <c r="F36" s="28">
        <f t="shared" si="2"/>
        <v>4.4129166666666668</v>
      </c>
      <c r="G36" s="28">
        <f t="shared" si="2"/>
        <v>77.34375</v>
      </c>
      <c r="H36" s="28">
        <f t="shared" si="2"/>
        <v>28.816666666666666</v>
      </c>
      <c r="I36" s="28">
        <f t="shared" si="2"/>
        <v>9.1679166666666649</v>
      </c>
      <c r="J36" s="28">
        <f t="shared" si="2"/>
        <v>0.60958333333333337</v>
      </c>
      <c r="K36" s="28">
        <f t="shared" si="2"/>
        <v>318.66833333333329</v>
      </c>
      <c r="L36" s="28">
        <f t="shared" si="2"/>
        <v>31.467500000000001</v>
      </c>
      <c r="M36" s="28">
        <f t="shared" si="2"/>
        <v>33.893333333333338</v>
      </c>
      <c r="N36" s="28">
        <f t="shared" si="2"/>
        <v>276.60833333333329</v>
      </c>
      <c r="O36" s="28">
        <f t="shared" si="2"/>
        <v>0</v>
      </c>
      <c r="P36" s="28">
        <f t="shared" si="2"/>
        <v>0.92666666666666686</v>
      </c>
      <c r="Q36" s="28">
        <f t="shared" si="2"/>
        <v>10.060833333333335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20.259198183279896</v>
      </c>
      <c r="C37" s="28">
        <f t="shared" si="3" ref="C37:Q37">STDEV(C9:C32)</f>
        <v>18.118042985312911</v>
      </c>
      <c r="D37" s="28">
        <f t="shared" si="3"/>
        <v>22.704713312826616</v>
      </c>
      <c r="E37" s="28">
        <f t="shared" si="3"/>
        <v>0.50861206423369187</v>
      </c>
      <c r="F37" s="28">
        <f t="shared" si="3"/>
        <v>1.2083171163329529</v>
      </c>
      <c r="G37" s="28">
        <f t="shared" si="3"/>
        <v>16.554313981951761</v>
      </c>
      <c r="H37" s="28">
        <f t="shared" si="3"/>
        <v>9.5971153576689776</v>
      </c>
      <c r="I37" s="28">
        <f t="shared" si="3"/>
        <v>1.3554462739073476</v>
      </c>
      <c r="J37" s="28">
        <f t="shared" si="3"/>
        <v>0.38602184176396109</v>
      </c>
      <c r="K37" s="28">
        <f t="shared" si="3"/>
        <v>51.858902188842158</v>
      </c>
      <c r="L37" s="28">
        <f t="shared" si="3"/>
        <v>6.1673066843744886</v>
      </c>
      <c r="M37" s="28">
        <f t="shared" si="3"/>
        <v>13.583926136259786</v>
      </c>
      <c r="N37" s="28">
        <f t="shared" si="3"/>
        <v>336.70639244027575</v>
      </c>
      <c r="O37" s="28">
        <f t="shared" si="3"/>
        <v>0</v>
      </c>
      <c r="P37" s="28">
        <f t="shared" si="3"/>
        <v>0.26134545964175815</v>
      </c>
      <c r="Q37" s="28">
        <f t="shared" si="3"/>
        <v>0.30332815730565199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COUNT(B9:B32)+7</f>
        <v>24</v>
      </c>
      <c r="C38" s="32">
        <f>COUNT(C9:C32)+7</f>
        <v>24</v>
      </c>
      <c r="D38" s="32">
        <f>COUNT(D9:D32)+7</f>
        <v>24</v>
      </c>
      <c r="E38" s="32">
        <f t="shared" si="4" ref="E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3b111e-64d0-48e6-8c48-0b6860d65ad6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206</v>
      </c>
      <c r="B9" s="56">
        <v>41.47</v>
      </c>
      <c r="C9" s="56">
        <v>67.55</v>
      </c>
      <c r="D9" s="56">
        <v>68.47</v>
      </c>
      <c r="E9" s="56">
        <v>1.65</v>
      </c>
      <c r="F9" s="56">
        <v>3.62</v>
      </c>
      <c r="G9" s="56">
        <v>114.76</v>
      </c>
      <c r="H9" s="56">
        <v>41.05</v>
      </c>
      <c r="I9" s="56">
        <v>8.35</v>
      </c>
      <c r="J9" s="56">
        <v>0.54</v>
      </c>
      <c r="K9" s="56">
        <v>348.85</v>
      </c>
      <c r="L9" s="56">
        <v>26.92</v>
      </c>
      <c r="M9" s="56">
        <v>37.15</v>
      </c>
      <c r="N9" s="56">
        <v>20.70</v>
      </c>
      <c r="O9" s="56">
        <v>0</v>
      </c>
      <c r="P9" s="56">
        <v>1.37</v>
      </c>
      <c r="Q9" s="56">
        <v>10.44</v>
      </c>
      <c r="R9" s="43"/>
      <c r="S9" s="43"/>
      <c r="T9" s="43"/>
      <c r="U9" s="43"/>
    </row>
    <row r="10" spans="1:21" s="11" customFormat="1" ht="15">
      <c r="A10" s="55" t="s">
        <v>207</v>
      </c>
      <c r="B10" s="56">
        <v>34.65</v>
      </c>
      <c r="C10" s="56">
        <v>60.93</v>
      </c>
      <c r="D10" s="56">
        <v>59.54</v>
      </c>
      <c r="E10" s="56">
        <v>1.49</v>
      </c>
      <c r="F10" s="56">
        <v>3.33</v>
      </c>
      <c r="G10" s="56">
        <v>126.90</v>
      </c>
      <c r="H10" s="56">
        <v>47.91</v>
      </c>
      <c r="I10" s="56">
        <v>6.38</v>
      </c>
      <c r="J10" s="56">
        <v>0.24</v>
      </c>
      <c r="K10" s="56">
        <v>280.98</v>
      </c>
      <c r="L10" s="56">
        <v>25.95</v>
      </c>
      <c r="M10" s="56">
        <v>41.39</v>
      </c>
      <c r="N10" s="56">
        <v>20.90</v>
      </c>
      <c r="O10" s="56">
        <v>0</v>
      </c>
      <c r="P10" s="56">
        <v>1.1399999999999999</v>
      </c>
      <c r="Q10" s="56">
        <v>10.25</v>
      </c>
      <c r="R10" s="43"/>
      <c r="S10" s="43"/>
      <c r="T10" s="43"/>
      <c r="U10" s="43"/>
    </row>
    <row r="11" spans="1:21" s="11" customFormat="1" ht="15">
      <c r="A11" s="55" t="s">
        <v>208</v>
      </c>
      <c r="B11" s="56">
        <v>30.96</v>
      </c>
      <c r="C11" s="56">
        <v>56.70</v>
      </c>
      <c r="D11" s="56">
        <v>54.37</v>
      </c>
      <c r="E11" s="56">
        <v>1.32</v>
      </c>
      <c r="F11" s="56">
        <v>3.38</v>
      </c>
      <c r="G11" s="56">
        <v>109.68</v>
      </c>
      <c r="H11" s="56">
        <v>43.64</v>
      </c>
      <c r="I11" s="56">
        <v>8.07</v>
      </c>
      <c r="J11" s="56">
        <v>0.23</v>
      </c>
      <c r="K11" s="56">
        <v>330.45</v>
      </c>
      <c r="L11" s="56">
        <v>25.17</v>
      </c>
      <c r="M11" s="56">
        <v>55.05</v>
      </c>
      <c r="N11" s="56">
        <v>21</v>
      </c>
      <c r="O11" s="56">
        <v>0</v>
      </c>
      <c r="P11" s="56">
        <v>1.08</v>
      </c>
      <c r="Q11" s="56">
        <v>10.220000000000001</v>
      </c>
      <c r="R11" s="43"/>
      <c r="S11" s="43"/>
      <c r="T11" s="43"/>
      <c r="U11" s="43"/>
    </row>
    <row r="12" spans="1:21" s="11" customFormat="1" ht="15">
      <c r="A12" s="55" t="s">
        <v>209</v>
      </c>
      <c r="B12" s="56">
        <v>29.04</v>
      </c>
      <c r="C12" s="56">
        <v>50.84</v>
      </c>
      <c r="D12" s="56">
        <v>49.54</v>
      </c>
      <c r="E12" s="56">
        <v>1.43</v>
      </c>
      <c r="F12" s="56">
        <v>3.54</v>
      </c>
      <c r="G12" s="56">
        <v>98.73</v>
      </c>
      <c r="H12" s="56">
        <v>37.200000000000003</v>
      </c>
      <c r="I12" s="56">
        <v>9.3699999999999992</v>
      </c>
      <c r="J12" s="56">
        <v>0.62</v>
      </c>
      <c r="K12" s="56">
        <v>223.03</v>
      </c>
      <c r="L12" s="56">
        <v>24.71</v>
      </c>
      <c r="M12" s="56">
        <v>53.59</v>
      </c>
      <c r="N12" s="56">
        <v>20.60</v>
      </c>
      <c r="O12" s="56">
        <v>0</v>
      </c>
      <c r="P12" s="56">
        <v>0.99</v>
      </c>
      <c r="Q12" s="56">
        <v>10.27</v>
      </c>
      <c r="R12" s="43"/>
      <c r="S12" s="43"/>
      <c r="T12" s="43"/>
      <c r="U12" s="43"/>
    </row>
    <row r="13" spans="1:21" s="11" customFormat="1" ht="15">
      <c r="A13" s="55" t="s">
        <v>210</v>
      </c>
      <c r="B13" s="56">
        <v>22.57</v>
      </c>
      <c r="C13" s="56">
        <v>50.99</v>
      </c>
      <c r="D13" s="56">
        <v>44.66</v>
      </c>
      <c r="E13" s="56">
        <v>2.19</v>
      </c>
      <c r="F13" s="56">
        <v>3.38</v>
      </c>
      <c r="G13" s="56">
        <v>77.180000000000007</v>
      </c>
      <c r="H13" s="56">
        <v>32.85</v>
      </c>
      <c r="I13" s="56">
        <v>9</v>
      </c>
      <c r="J13" s="56">
        <v>0.31</v>
      </c>
      <c r="K13" s="56">
        <v>330.80</v>
      </c>
      <c r="L13" s="56">
        <v>23.56</v>
      </c>
      <c r="M13" s="56">
        <v>57.28</v>
      </c>
      <c r="N13" s="56">
        <v>21</v>
      </c>
      <c r="O13" s="56">
        <v>0</v>
      </c>
      <c r="P13" s="56">
        <v>0.84</v>
      </c>
      <c r="Q13" s="56">
        <v>10.25</v>
      </c>
      <c r="R13" s="43"/>
      <c r="S13" s="43"/>
      <c r="T13" s="43"/>
      <c r="U13" s="43"/>
    </row>
    <row r="14" spans="1:21" s="11" customFormat="1" ht="15">
      <c r="A14" s="55" t="s">
        <v>211</v>
      </c>
      <c r="B14" s="56">
        <v>18.850000000000001</v>
      </c>
      <c r="C14" s="56">
        <v>49.96</v>
      </c>
      <c r="D14" s="56">
        <v>41.11</v>
      </c>
      <c r="E14" s="56">
        <v>2.08</v>
      </c>
      <c r="F14" s="56">
        <v>3.32</v>
      </c>
      <c r="G14" s="56">
        <v>59.21</v>
      </c>
      <c r="H14" s="56">
        <v>27.81</v>
      </c>
      <c r="I14" s="56">
        <v>8.19</v>
      </c>
      <c r="J14" s="56">
        <v>0.51</v>
      </c>
      <c r="K14" s="56">
        <v>318.62</v>
      </c>
      <c r="L14" s="56">
        <v>23.15</v>
      </c>
      <c r="M14" s="56">
        <v>55.70</v>
      </c>
      <c r="N14" s="56">
        <v>30.40</v>
      </c>
      <c r="O14" s="56">
        <v>0</v>
      </c>
      <c r="P14" s="56">
        <v>0.75</v>
      </c>
      <c r="Q14" s="56">
        <v>10.06</v>
      </c>
      <c r="R14" s="43"/>
      <c r="S14" s="43"/>
      <c r="T14" s="43"/>
      <c r="U14" s="43"/>
    </row>
    <row r="15" spans="1:21" s="11" customFormat="1" ht="15">
      <c r="A15" s="55" t="s">
        <v>212</v>
      </c>
      <c r="B15" s="56">
        <v>23.56</v>
      </c>
      <c r="C15" s="56">
        <v>50.17</v>
      </c>
      <c r="D15" s="56">
        <v>45.03</v>
      </c>
      <c r="E15" s="56">
        <v>2.2000000000000002</v>
      </c>
      <c r="F15" s="56">
        <v>3.33</v>
      </c>
      <c r="G15" s="56">
        <v>54.78</v>
      </c>
      <c r="H15" s="56">
        <v>23.28</v>
      </c>
      <c r="I15" s="56">
        <v>7.65</v>
      </c>
      <c r="J15" s="56">
        <v>0.19</v>
      </c>
      <c r="K15" s="56">
        <v>344.27</v>
      </c>
      <c r="L15" s="56">
        <v>25.52</v>
      </c>
      <c r="M15" s="56">
        <v>53.44</v>
      </c>
      <c r="N15" s="56">
        <v>150.69999999999999</v>
      </c>
      <c r="O15" s="56">
        <v>0</v>
      </c>
      <c r="P15" s="56">
        <v>0.79</v>
      </c>
      <c r="Q15" s="56">
        <v>10.08</v>
      </c>
      <c r="R15" s="43"/>
      <c r="S15" s="43"/>
      <c r="T15" s="43"/>
      <c r="U15" s="43"/>
    </row>
    <row r="16" spans="1:21" s="11" customFormat="1" ht="15">
      <c r="A16" s="55" t="s">
        <v>213</v>
      </c>
      <c r="B16" s="56">
        <v>25.06</v>
      </c>
      <c r="C16" s="56">
        <v>53.01</v>
      </c>
      <c r="D16" s="56">
        <v>46.53</v>
      </c>
      <c r="E16" s="56">
        <v>2.5</v>
      </c>
      <c r="F16" s="56">
        <v>3.40</v>
      </c>
      <c r="G16" s="56">
        <v>83.85</v>
      </c>
      <c r="H16" s="56">
        <v>24.15</v>
      </c>
      <c r="I16" s="56">
        <v>9.43</v>
      </c>
      <c r="J16" s="56">
        <v>0.63</v>
      </c>
      <c r="K16" s="56">
        <v>303.10000000000002</v>
      </c>
      <c r="L16" s="56">
        <v>29.19</v>
      </c>
      <c r="M16" s="56">
        <v>45.67</v>
      </c>
      <c r="N16" s="56">
        <v>230.60</v>
      </c>
      <c r="O16" s="56">
        <v>0</v>
      </c>
      <c r="P16" s="56">
        <v>0.88</v>
      </c>
      <c r="Q16" s="56">
        <v>10.11</v>
      </c>
      <c r="R16" s="43"/>
      <c r="S16" s="43"/>
      <c r="T16" s="43"/>
      <c r="U16" s="43"/>
    </row>
    <row r="17" spans="1:21" s="11" customFormat="1" ht="15">
      <c r="A17" s="55" t="s">
        <v>214</v>
      </c>
      <c r="B17" s="56">
        <v>21.58</v>
      </c>
      <c r="C17" s="56">
        <v>58.63</v>
      </c>
      <c r="D17" s="56">
        <v>45.95</v>
      </c>
      <c r="E17" s="56">
        <v>1.51</v>
      </c>
      <c r="F17" s="56">
        <v>3.54</v>
      </c>
      <c r="G17" s="56">
        <v>80.17</v>
      </c>
      <c r="H17" s="56">
        <v>24.28</v>
      </c>
      <c r="I17" s="56">
        <v>9.52</v>
      </c>
      <c r="J17" s="56">
        <v>1.55</v>
      </c>
      <c r="K17" s="56">
        <v>309.39999999999998</v>
      </c>
      <c r="L17" s="56">
        <v>26.13</v>
      </c>
      <c r="M17" s="56">
        <v>49.18</v>
      </c>
      <c r="N17" s="56">
        <v>139.80000000000001</v>
      </c>
      <c r="O17" s="56">
        <v>0</v>
      </c>
      <c r="P17" s="56">
        <v>0.87</v>
      </c>
      <c r="Q17" s="56">
        <v>10.02</v>
      </c>
      <c r="R17" s="43"/>
      <c r="S17" s="43"/>
      <c r="T17" s="43"/>
      <c r="U17" s="43"/>
    </row>
    <row r="18" spans="1:21" s="11" customFormat="1" ht="15">
      <c r="A18" s="55" t="s">
        <v>215</v>
      </c>
      <c r="B18" s="56">
        <v>11.58</v>
      </c>
      <c r="C18" s="56">
        <v>58.93</v>
      </c>
      <c r="D18" s="56">
        <v>39.909999999999997</v>
      </c>
      <c r="E18" s="56">
        <v>1.08</v>
      </c>
      <c r="F18" s="56">
        <v>3.60</v>
      </c>
      <c r="G18" s="56">
        <v>91.74</v>
      </c>
      <c r="H18" s="56">
        <v>26.92</v>
      </c>
      <c r="I18" s="56">
        <v>8.60</v>
      </c>
      <c r="J18" s="56">
        <v>0.93</v>
      </c>
      <c r="K18" s="56">
        <v>335.57</v>
      </c>
      <c r="L18" s="56">
        <v>29.80</v>
      </c>
      <c r="M18" s="56">
        <v>40.18</v>
      </c>
      <c r="N18" s="56">
        <v>314.10000000000002</v>
      </c>
      <c r="O18" s="56">
        <v>0</v>
      </c>
      <c r="P18" s="56">
        <v>0.88</v>
      </c>
      <c r="Q18" s="56">
        <v>9.99</v>
      </c>
      <c r="R18" s="43"/>
      <c r="S18" s="43"/>
      <c r="T18" s="43"/>
      <c r="U18" s="43"/>
    </row>
    <row r="19" spans="1:21" s="11" customFormat="1" ht="15">
      <c r="A19" s="55" t="s">
        <v>216</v>
      </c>
      <c r="B19" s="56">
        <v>11.90</v>
      </c>
      <c r="C19" s="56">
        <v>59.57</v>
      </c>
      <c r="D19" s="56">
        <v>40.590000000000003</v>
      </c>
      <c r="E19" s="56">
        <v>0.85</v>
      </c>
      <c r="F19" s="56">
        <v>3.35</v>
      </c>
      <c r="G19" s="56">
        <v>87.03</v>
      </c>
      <c r="H19" s="56">
        <v>27.96</v>
      </c>
      <c r="I19" s="56">
        <v>9.66</v>
      </c>
      <c r="J19" s="56">
        <v>1.21</v>
      </c>
      <c r="K19" s="56">
        <v>358.99</v>
      </c>
      <c r="L19" s="56">
        <v>29.43</v>
      </c>
      <c r="M19" s="56">
        <v>36.79</v>
      </c>
      <c r="N19" s="56">
        <v>120.90</v>
      </c>
      <c r="O19" s="56">
        <v>0</v>
      </c>
      <c r="P19" s="56">
        <v>0.95</v>
      </c>
      <c r="Q19" s="56">
        <v>9.81</v>
      </c>
      <c r="R19" s="43"/>
      <c r="S19" s="43"/>
      <c r="T19" s="43"/>
      <c r="U19" s="43"/>
    </row>
    <row r="20" spans="1:21" s="11" customFormat="1" ht="15">
      <c r="A20" s="55" t="s">
        <v>217</v>
      </c>
      <c r="B20" s="56">
        <v>11.93</v>
      </c>
      <c r="C20" s="56">
        <v>60.76</v>
      </c>
      <c r="D20" s="56">
        <v>41</v>
      </c>
      <c r="E20" s="56">
        <v>2.0099999999999998</v>
      </c>
      <c r="F20" s="56">
        <v>3.48</v>
      </c>
      <c r="G20" s="56">
        <v>89.19</v>
      </c>
      <c r="H20" s="56">
        <v>27.20</v>
      </c>
      <c r="I20" s="56">
        <v>10.48</v>
      </c>
      <c r="J20" s="56">
        <v>1.24</v>
      </c>
      <c r="K20" s="56">
        <v>358.89</v>
      </c>
      <c r="L20" s="56">
        <v>28.03</v>
      </c>
      <c r="M20" s="56">
        <v>34.68</v>
      </c>
      <c r="N20" s="56">
        <v>205</v>
      </c>
      <c r="O20" s="56">
        <v>0</v>
      </c>
      <c r="P20" s="56">
        <v>1.02</v>
      </c>
      <c r="Q20" s="56">
        <v>9.8800000000000008</v>
      </c>
      <c r="R20" s="43"/>
      <c r="S20" s="43"/>
      <c r="T20" s="43"/>
      <c r="U20" s="43"/>
    </row>
    <row r="21" spans="1:21" s="11" customFormat="1" ht="15">
      <c r="A21" s="55" t="s">
        <v>218</v>
      </c>
      <c r="B21" s="56">
        <v>12.5</v>
      </c>
      <c r="C21" s="56">
        <v>65.03</v>
      </c>
      <c r="D21" s="56">
        <v>43.58</v>
      </c>
      <c r="E21" s="56">
        <v>2.64</v>
      </c>
      <c r="F21" s="56">
        <v>3.60</v>
      </c>
      <c r="G21" s="56">
        <v>106.37</v>
      </c>
      <c r="H21" s="56">
        <v>29.98</v>
      </c>
      <c r="I21" s="56">
        <v>10.95</v>
      </c>
      <c r="J21" s="56">
        <v>1.18</v>
      </c>
      <c r="K21" s="56">
        <v>58.40</v>
      </c>
      <c r="L21" s="56">
        <v>28.49</v>
      </c>
      <c r="M21" s="56">
        <v>36.35</v>
      </c>
      <c r="N21" s="56">
        <v>347.90</v>
      </c>
      <c r="O21" s="56">
        <v>0</v>
      </c>
      <c r="P21" s="56">
        <v>1.08</v>
      </c>
      <c r="Q21" s="56">
        <v>9.83</v>
      </c>
      <c r="R21" s="43"/>
      <c r="S21" s="43"/>
      <c r="T21" s="43"/>
      <c r="U21" s="43"/>
    </row>
    <row r="22" spans="1:21" s="11" customFormat="1" ht="15">
      <c r="A22" s="55" t="s">
        <v>219</v>
      </c>
      <c r="B22" s="56">
        <v>10.82</v>
      </c>
      <c r="C22" s="56">
        <v>64.47</v>
      </c>
      <c r="D22" s="56">
        <v>42.28</v>
      </c>
      <c r="E22" s="56">
        <v>2.5499999999999998</v>
      </c>
      <c r="F22" s="56">
        <v>4.1100000000000003</v>
      </c>
      <c r="G22" s="56">
        <v>100.68</v>
      </c>
      <c r="H22" s="56">
        <v>29.28</v>
      </c>
      <c r="I22" s="56">
        <v>10.34</v>
      </c>
      <c r="J22" s="56">
        <v>1.1399999999999999</v>
      </c>
      <c r="K22" s="56">
        <v>57.98</v>
      </c>
      <c r="L22" s="56">
        <v>29.84</v>
      </c>
      <c r="M22" s="56">
        <v>34.24</v>
      </c>
      <c r="N22" s="56">
        <v>639</v>
      </c>
      <c r="O22" s="56">
        <v>0</v>
      </c>
      <c r="P22" s="56">
        <v>0.99</v>
      </c>
      <c r="Q22" s="56">
        <v>9.8699999999999992</v>
      </c>
      <c r="R22" s="43"/>
      <c r="S22" s="43"/>
      <c r="T22" s="43"/>
      <c r="U22" s="43"/>
    </row>
    <row r="23" spans="1:21" s="11" customFormat="1" ht="15">
      <c r="A23" s="55" t="s">
        <v>220</v>
      </c>
      <c r="B23" s="56">
        <v>4.79</v>
      </c>
      <c r="C23" s="56">
        <v>61.77</v>
      </c>
      <c r="D23" s="56">
        <v>36.03</v>
      </c>
      <c r="E23" s="56">
        <v>2.40</v>
      </c>
      <c r="F23" s="56">
        <v>4.4400000000000004</v>
      </c>
      <c r="G23" s="56">
        <v>79.52</v>
      </c>
      <c r="H23" s="56">
        <v>25.80</v>
      </c>
      <c r="I23" s="56">
        <v>9.81</v>
      </c>
      <c r="J23" s="56">
        <v>1.48</v>
      </c>
      <c r="K23" s="56">
        <v>39.979999999999997</v>
      </c>
      <c r="L23" s="56">
        <v>31.41</v>
      </c>
      <c r="M23" s="56">
        <v>28.55</v>
      </c>
      <c r="N23" s="56">
        <v>674.40</v>
      </c>
      <c r="O23" s="56">
        <v>0</v>
      </c>
      <c r="P23" s="56">
        <v>0.86</v>
      </c>
      <c r="Q23" s="56">
        <v>9.75</v>
      </c>
      <c r="R23" s="43"/>
      <c r="S23" s="43"/>
      <c r="T23" s="43"/>
      <c r="U23" s="43"/>
    </row>
    <row r="24" spans="1:21" s="11" customFormat="1" ht="15">
      <c r="A24" s="55" t="s">
        <v>221</v>
      </c>
      <c r="B24" s="56">
        <v>1.08</v>
      </c>
      <c r="C24" s="56">
        <v>59.91</v>
      </c>
      <c r="D24" s="56">
        <v>32.090000000000003</v>
      </c>
      <c r="E24" s="56">
        <v>2.08</v>
      </c>
      <c r="F24" s="56">
        <v>5.14</v>
      </c>
      <c r="G24" s="56">
        <v>65.06</v>
      </c>
      <c r="H24" s="56">
        <v>22.53</v>
      </c>
      <c r="I24" s="56">
        <v>8.94</v>
      </c>
      <c r="J24" s="56">
        <v>3.05</v>
      </c>
      <c r="K24" s="56">
        <v>43.25</v>
      </c>
      <c r="L24" s="56">
        <v>30.92</v>
      </c>
      <c r="M24" s="56">
        <v>28.87</v>
      </c>
      <c r="N24" s="56">
        <v>349.80</v>
      </c>
      <c r="O24" s="56">
        <v>0</v>
      </c>
      <c r="P24" s="56">
        <v>0.68</v>
      </c>
      <c r="Q24" s="56">
        <v>9.64</v>
      </c>
      <c r="R24" s="43"/>
      <c r="S24" s="43"/>
      <c r="T24" s="43"/>
      <c r="U24" s="43"/>
    </row>
    <row r="25" spans="1:21" s="11" customFormat="1" ht="15">
      <c r="A25" s="55" t="s">
        <v>222</v>
      </c>
      <c r="B25" s="56">
        <v>0.11</v>
      </c>
      <c r="C25" s="56">
        <v>54.47</v>
      </c>
      <c r="D25" s="56">
        <v>28.47</v>
      </c>
      <c r="E25" s="56">
        <v>1.21</v>
      </c>
      <c r="F25" s="56">
        <v>6.18</v>
      </c>
      <c r="G25" s="56">
        <v>58.05</v>
      </c>
      <c r="H25" s="56">
        <v>19.38</v>
      </c>
      <c r="I25" s="56">
        <v>8.69</v>
      </c>
      <c r="J25" s="56">
        <v>2.99</v>
      </c>
      <c r="K25" s="56">
        <v>359.47</v>
      </c>
      <c r="L25" s="56">
        <v>29.14</v>
      </c>
      <c r="M25" s="56">
        <v>33.33</v>
      </c>
      <c r="N25" s="56">
        <v>170.90</v>
      </c>
      <c r="O25" s="56">
        <v>0</v>
      </c>
      <c r="P25" s="56">
        <v>0.54</v>
      </c>
      <c r="Q25" s="56">
        <v>9.5299999999999994</v>
      </c>
      <c r="R25" s="43"/>
      <c r="S25" s="43"/>
      <c r="T25" s="43"/>
      <c r="U25" s="43"/>
    </row>
    <row r="26" spans="1:21" s="11" customFormat="1" ht="15">
      <c r="A26" s="55" t="s">
        <v>223</v>
      </c>
      <c r="B26" s="56">
        <v>0.39</v>
      </c>
      <c r="C26" s="56">
        <v>52.43</v>
      </c>
      <c r="D26" s="56">
        <v>27.60</v>
      </c>
      <c r="E26" s="56">
        <v>1.34</v>
      </c>
      <c r="F26" s="56">
        <v>5.01</v>
      </c>
      <c r="G26" s="56">
        <v>58.36</v>
      </c>
      <c r="H26" s="56">
        <v>17.350000000000001</v>
      </c>
      <c r="I26" s="56">
        <v>7.06</v>
      </c>
      <c r="J26" s="56">
        <v>1.93</v>
      </c>
      <c r="K26" s="56">
        <v>3.28</v>
      </c>
      <c r="L26" s="56">
        <v>27.57</v>
      </c>
      <c r="M26" s="56">
        <v>38.03</v>
      </c>
      <c r="N26" s="56">
        <v>85.70</v>
      </c>
      <c r="O26" s="56">
        <v>0</v>
      </c>
      <c r="P26" s="56">
        <v>0.48</v>
      </c>
      <c r="Q26" s="56">
        <v>9.48</v>
      </c>
      <c r="R26" s="43"/>
      <c r="S26" s="43"/>
      <c r="T26" s="43"/>
      <c r="U26" s="43"/>
    </row>
    <row r="27" spans="1:21" s="11" customFormat="1" ht="15">
      <c r="A27" s="55" t="s">
        <v>224</v>
      </c>
      <c r="B27" s="56">
        <v>1.30</v>
      </c>
      <c r="C27" s="56">
        <v>53.78</v>
      </c>
      <c r="D27" s="56">
        <v>29.06</v>
      </c>
      <c r="E27" s="56">
        <v>1.29</v>
      </c>
      <c r="F27" s="56">
        <v>4.28</v>
      </c>
      <c r="G27" s="56">
        <v>52.23</v>
      </c>
      <c r="H27" s="56">
        <v>15.36</v>
      </c>
      <c r="I27" s="56">
        <v>6.24</v>
      </c>
      <c r="J27" s="56">
        <v>0.98</v>
      </c>
      <c r="K27" s="56">
        <v>358.64</v>
      </c>
      <c r="L27" s="56">
        <v>25.47</v>
      </c>
      <c r="M27" s="56">
        <v>43.59</v>
      </c>
      <c r="N27" s="56">
        <v>24.80</v>
      </c>
      <c r="O27" s="56">
        <v>0</v>
      </c>
      <c r="P27" s="56">
        <v>0.53</v>
      </c>
      <c r="Q27" s="56">
        <v>9.75</v>
      </c>
      <c r="R27" s="43"/>
      <c r="S27" s="43"/>
      <c r="T27" s="43"/>
      <c r="U27" s="43"/>
    </row>
    <row r="28" spans="1:21" s="11" customFormat="1" ht="15">
      <c r="A28" s="55" t="s">
        <v>225</v>
      </c>
      <c r="B28" s="56">
        <v>2.17</v>
      </c>
      <c r="C28" s="56">
        <v>53.34</v>
      </c>
      <c r="D28" s="56">
        <v>29.02</v>
      </c>
      <c r="E28" s="56">
        <v>1.28</v>
      </c>
      <c r="F28" s="56">
        <v>3.92</v>
      </c>
      <c r="G28" s="56">
        <v>48.35</v>
      </c>
      <c r="H28" s="56">
        <v>13.92</v>
      </c>
      <c r="I28" s="56">
        <v>6.52</v>
      </c>
      <c r="J28" s="56">
        <v>0.76</v>
      </c>
      <c r="K28" s="56">
        <v>82.40</v>
      </c>
      <c r="L28" s="56">
        <v>24.67</v>
      </c>
      <c r="M28" s="56">
        <v>45.37</v>
      </c>
      <c r="N28" s="56">
        <v>21.60</v>
      </c>
      <c r="O28" s="56">
        <v>0</v>
      </c>
      <c r="P28" s="56">
        <v>0.54</v>
      </c>
      <c r="Q28" s="56">
        <v>9.56</v>
      </c>
      <c r="R28" s="43"/>
      <c r="S28" s="43"/>
      <c r="T28" s="43"/>
      <c r="U28" s="43"/>
    </row>
    <row r="29" spans="1:21" s="11" customFormat="1" ht="15">
      <c r="A29" s="55" t="s">
        <v>226</v>
      </c>
      <c r="B29" s="56">
        <v>2.69</v>
      </c>
      <c r="C29" s="56">
        <v>51.87</v>
      </c>
      <c r="D29" s="56">
        <v>28.98</v>
      </c>
      <c r="E29" s="56">
        <v>2</v>
      </c>
      <c r="F29" s="56">
        <v>3.53</v>
      </c>
      <c r="G29" s="56">
        <v>41.88</v>
      </c>
      <c r="H29" s="56">
        <v>12.97</v>
      </c>
      <c r="I29" s="56">
        <v>7.31</v>
      </c>
      <c r="J29" s="56">
        <v>2.06</v>
      </c>
      <c r="K29" s="56">
        <v>101.62</v>
      </c>
      <c r="L29" s="56">
        <v>24.25</v>
      </c>
      <c r="M29" s="56">
        <v>46.29</v>
      </c>
      <c r="N29" s="56">
        <v>21.40</v>
      </c>
      <c r="O29" s="56">
        <v>0</v>
      </c>
      <c r="P29" s="56">
        <v>0.54</v>
      </c>
      <c r="Q29" s="56">
        <v>9.65</v>
      </c>
      <c r="R29" s="43"/>
      <c r="S29" s="43"/>
      <c r="T29" s="43"/>
      <c r="U29" s="43"/>
    </row>
    <row r="30" spans="1:21" s="11" customFormat="1" ht="15">
      <c r="A30" s="55" t="s">
        <v>227</v>
      </c>
      <c r="B30" s="56">
        <v>1.97</v>
      </c>
      <c r="C30" s="56">
        <v>48.70</v>
      </c>
      <c r="D30" s="56">
        <v>26.73</v>
      </c>
      <c r="E30" s="56">
        <v>1.88</v>
      </c>
      <c r="F30" s="56">
        <v>4.04</v>
      </c>
      <c r="G30" s="56">
        <v>39.61</v>
      </c>
      <c r="H30" s="56">
        <v>11.43</v>
      </c>
      <c r="I30" s="56">
        <v>8.5399999999999991</v>
      </c>
      <c r="J30" s="56">
        <v>2.21</v>
      </c>
      <c r="K30" s="56">
        <v>106.61</v>
      </c>
      <c r="L30" s="56">
        <v>24.29</v>
      </c>
      <c r="M30" s="56">
        <v>44.61</v>
      </c>
      <c r="N30" s="56">
        <v>21.60</v>
      </c>
      <c r="O30" s="56">
        <v>0</v>
      </c>
      <c r="P30" s="56">
        <v>0.5</v>
      </c>
      <c r="Q30" s="56">
        <v>9.76</v>
      </c>
      <c r="R30" s="43"/>
      <c r="S30" s="43"/>
      <c r="T30" s="43"/>
      <c r="U30" s="43"/>
    </row>
    <row r="31" spans="1:21" s="11" customFormat="1" ht="15">
      <c r="A31" s="55" t="s">
        <v>228</v>
      </c>
      <c r="B31" s="56">
        <v>1.06</v>
      </c>
      <c r="C31" s="56">
        <v>48.29</v>
      </c>
      <c r="D31" s="56">
        <v>25.88</v>
      </c>
      <c r="E31" s="56">
        <v>1.88</v>
      </c>
      <c r="F31" s="56">
        <v>3.95</v>
      </c>
      <c r="G31" s="56">
        <v>37.659999999999997</v>
      </c>
      <c r="H31" s="56">
        <v>11.13</v>
      </c>
      <c r="I31" s="56">
        <v>8.31</v>
      </c>
      <c r="J31" s="56">
        <v>1.03</v>
      </c>
      <c r="K31" s="56">
        <v>99.96</v>
      </c>
      <c r="L31" s="56">
        <v>24.29</v>
      </c>
      <c r="M31" s="56">
        <v>44.96</v>
      </c>
      <c r="N31" s="56">
        <v>21.90</v>
      </c>
      <c r="O31" s="56">
        <v>0</v>
      </c>
      <c r="P31" s="56">
        <v>0.43</v>
      </c>
      <c r="Q31" s="56">
        <v>9.59</v>
      </c>
      <c r="R31" s="43"/>
      <c r="S31" s="43"/>
      <c r="T31" s="43"/>
      <c r="U31" s="43"/>
    </row>
    <row r="32" spans="1:21" s="11" customFormat="1" ht="15">
      <c r="A32" s="55" t="s">
        <v>229</v>
      </c>
      <c r="B32" s="56">
        <v>1.45</v>
      </c>
      <c r="C32" s="56">
        <v>48.62</v>
      </c>
      <c r="D32" s="56">
        <v>26.39</v>
      </c>
      <c r="E32" s="56">
        <v>1.94</v>
      </c>
      <c r="F32" s="56">
        <v>3.68</v>
      </c>
      <c r="G32" s="56">
        <v>33.159999999999997</v>
      </c>
      <c r="H32" s="56">
        <v>11.65</v>
      </c>
      <c r="I32" s="56">
        <v>7.76</v>
      </c>
      <c r="J32" s="56">
        <v>1.32</v>
      </c>
      <c r="K32" s="56">
        <v>96.11</v>
      </c>
      <c r="L32" s="56">
        <v>24.12</v>
      </c>
      <c r="M32" s="56">
        <v>46.38</v>
      </c>
      <c r="N32" s="56">
        <v>22.20</v>
      </c>
      <c r="O32" s="56">
        <v>0</v>
      </c>
      <c r="P32" s="56">
        <v>0.42</v>
      </c>
      <c r="Q32" s="56">
        <v>9.67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0.11</v>
      </c>
      <c r="C34" s="28">
        <f t="shared" si="0"/>
        <v>48.289999999999999</v>
      </c>
      <c r="D34" s="28">
        <f t="shared" si="0"/>
        <v>25.879999999999999</v>
      </c>
      <c r="E34" s="28">
        <f t="shared" si="0"/>
        <v>0.84999999999999998</v>
      </c>
      <c r="F34" s="28">
        <f t="shared" si="0"/>
        <v>3.3199999999999998</v>
      </c>
      <c r="G34" s="28">
        <f t="shared" si="0"/>
        <v>33.159999999999997</v>
      </c>
      <c r="H34" s="28">
        <f t="shared" si="0"/>
        <v>11.130000000000001</v>
      </c>
      <c r="I34" s="28">
        <f t="shared" si="0"/>
        <v>6.2400000000000002</v>
      </c>
      <c r="J34" s="28">
        <f t="shared" si="0"/>
        <v>0.19</v>
      </c>
      <c r="K34" s="28">
        <f t="shared" si="0"/>
        <v>3.2799999999999998</v>
      </c>
      <c r="L34" s="28">
        <f t="shared" si="0"/>
        <v>23.149999999999999</v>
      </c>
      <c r="M34" s="28">
        <f t="shared" si="0"/>
        <v>28.550000000000001</v>
      </c>
      <c r="N34" s="28">
        <f t="shared" si="0"/>
        <v>20.600000000000001</v>
      </c>
      <c r="O34" s="28">
        <f t="shared" si="0"/>
        <v>0</v>
      </c>
      <c r="P34" s="28">
        <f t="shared" si="0"/>
        <v>0.41999999999999998</v>
      </c>
      <c r="Q34" s="28">
        <f t="shared" si="0"/>
        <v>9.4800000000000004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41.469999999999999</v>
      </c>
      <c r="C35" s="29">
        <f t="shared" si="1"/>
        <v>67.549999999999997</v>
      </c>
      <c r="D35" s="29">
        <f t="shared" si="1"/>
        <v>68.469999999999999</v>
      </c>
      <c r="E35" s="29">
        <f t="shared" si="1"/>
        <v>2.6400000000000001</v>
      </c>
      <c r="F35" s="29">
        <f t="shared" si="1"/>
        <v>6.1799999999999997</v>
      </c>
      <c r="G35" s="29">
        <f t="shared" si="1"/>
        <v>126.90000000000001</v>
      </c>
      <c r="H35" s="29">
        <f t="shared" si="1"/>
        <v>47.909999999999997</v>
      </c>
      <c r="I35" s="29">
        <f t="shared" si="1"/>
        <v>10.949999999999999</v>
      </c>
      <c r="J35" s="29">
        <f t="shared" si="1"/>
        <v>3.0499999999999998</v>
      </c>
      <c r="K35" s="29">
        <f t="shared" si="1"/>
        <v>359.47000000000003</v>
      </c>
      <c r="L35" s="29">
        <f t="shared" si="1"/>
        <v>31.41</v>
      </c>
      <c r="M35" s="29">
        <f t="shared" si="1"/>
        <v>57.280000000000001</v>
      </c>
      <c r="N35" s="29">
        <f t="shared" si="1"/>
        <v>674.39999999999998</v>
      </c>
      <c r="O35" s="29">
        <f t="shared" si="1"/>
        <v>0</v>
      </c>
      <c r="P35" s="29">
        <f t="shared" si="1"/>
        <v>1.3700000000000001</v>
      </c>
      <c r="Q35" s="29">
        <f t="shared" si="1"/>
        <v>10.44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13.478333333333333</v>
      </c>
      <c r="C36" s="28">
        <f t="shared" si="2"/>
        <v>55.863333333333316</v>
      </c>
      <c r="D36" s="28">
        <f t="shared" si="2"/>
        <v>39.700416666666669</v>
      </c>
      <c r="E36" s="28">
        <f t="shared" si="2"/>
        <v>1.7833333333333339</v>
      </c>
      <c r="F36" s="28">
        <f t="shared" si="2"/>
        <v>3.881250000000001</v>
      </c>
      <c r="G36" s="28">
        <f t="shared" si="2"/>
        <v>74.756250000000009</v>
      </c>
      <c r="H36" s="28">
        <f t="shared" si="2"/>
        <v>25.209583333333331</v>
      </c>
      <c r="I36" s="28">
        <f t="shared" si="2"/>
        <v>8.5487500000000001</v>
      </c>
      <c r="J36" s="28">
        <f t="shared" si="2"/>
        <v>1.1804166666666667</v>
      </c>
      <c r="K36" s="28">
        <f t="shared" si="2"/>
        <v>218.77708333333331</v>
      </c>
      <c r="L36" s="28">
        <f t="shared" si="2"/>
        <v>26.750833333333333</v>
      </c>
      <c r="M36" s="28">
        <f t="shared" si="2"/>
        <v>42.944583333333334</v>
      </c>
      <c r="N36" s="28">
        <f t="shared" si="2"/>
        <v>154.03749999999999</v>
      </c>
      <c r="O36" s="28">
        <f t="shared" si="2"/>
        <v>0</v>
      </c>
      <c r="P36" s="28">
        <f t="shared" si="2"/>
        <v>0.79791666666666661</v>
      </c>
      <c r="Q36" s="28">
        <f t="shared" si="2"/>
        <v>9.8941666666666652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12.5319187838813</v>
      </c>
      <c r="C37" s="28">
        <f t="shared" si="3" ref="C37:Q37">STDEV(C9:C32)</f>
        <v>5.7218032021435929</v>
      </c>
      <c r="D37" s="28">
        <f t="shared" si="3"/>
        <v>11.269010403359054</v>
      </c>
      <c r="E37" s="28">
        <f t="shared" si="3"/>
        <v>0.50121302133286749</v>
      </c>
      <c r="F37" s="28">
        <f t="shared" si="3"/>
        <v>0.70467576571257329</v>
      </c>
      <c r="G37" s="28">
        <f t="shared" si="3"/>
        <v>26.77039763757557</v>
      </c>
      <c r="H37" s="28">
        <f t="shared" si="3"/>
        <v>10.265687244478535</v>
      </c>
      <c r="I37" s="28">
        <f t="shared" si="3"/>
        <v>1.2868644484543261</v>
      </c>
      <c r="J37" s="28">
        <f t="shared" si="3"/>
        <v>0.80006781868336219</v>
      </c>
      <c r="K37" s="28">
        <f t="shared" si="3"/>
        <v>134.16707632420139</v>
      </c>
      <c r="L37" s="28">
        <f t="shared" si="3"/>
        <v>2.5172170911659544</v>
      </c>
      <c r="M37" s="28">
        <f t="shared" si="3"/>
        <v>8.3708349690881665</v>
      </c>
      <c r="N37" s="28">
        <f t="shared" si="3"/>
        <v>190.01450473811093</v>
      </c>
      <c r="O37" s="28">
        <f t="shared" si="3"/>
        <v>0</v>
      </c>
      <c r="P37" s="28">
        <f t="shared" si="3"/>
        <v>0.25788401785815812</v>
      </c>
      <c r="Q37" s="28">
        <f t="shared" si="3"/>
        <v>0.27079459031701308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c1258a-aa42-4afa-a18e-8d7d5b70409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230</v>
      </c>
      <c r="B9" s="56">
        <v>1.87</v>
      </c>
      <c r="C9" s="56">
        <v>47.11</v>
      </c>
      <c r="D9" s="56">
        <v>25.84</v>
      </c>
      <c r="E9" s="56">
        <v>1.94</v>
      </c>
      <c r="F9" s="56">
        <v>3.79</v>
      </c>
      <c r="G9" s="56">
        <v>33.229999999999997</v>
      </c>
      <c r="H9" s="56">
        <v>9.43</v>
      </c>
      <c r="I9" s="56">
        <v>7.52</v>
      </c>
      <c r="J9" s="56">
        <v>1.35</v>
      </c>
      <c r="K9" s="56">
        <v>119.96</v>
      </c>
      <c r="L9" s="56">
        <v>23.38</v>
      </c>
      <c r="M9" s="56">
        <v>59.70</v>
      </c>
      <c r="N9" s="56">
        <v>23</v>
      </c>
      <c r="O9" s="56">
        <v>0</v>
      </c>
      <c r="P9" s="56">
        <v>0.38</v>
      </c>
      <c r="Q9" s="56">
        <v>9.58</v>
      </c>
      <c r="R9" s="43"/>
      <c r="S9" s="43"/>
      <c r="T9" s="43"/>
      <c r="U9" s="43"/>
    </row>
    <row r="10" spans="1:21" s="11" customFormat="1" ht="15">
      <c r="A10" s="55" t="s">
        <v>231</v>
      </c>
      <c r="B10" s="56">
        <v>2.08</v>
      </c>
      <c r="C10" s="56">
        <v>46</v>
      </c>
      <c r="D10" s="56">
        <v>25.51</v>
      </c>
      <c r="E10" s="56">
        <v>1.88</v>
      </c>
      <c r="F10" s="56">
        <v>3.76</v>
      </c>
      <c r="G10" s="56">
        <v>33.450000000000003</v>
      </c>
      <c r="H10" s="56">
        <v>12.08</v>
      </c>
      <c r="I10" s="56">
        <v>7.79</v>
      </c>
      <c r="J10" s="56">
        <v>1.22</v>
      </c>
      <c r="K10" s="56">
        <v>269.58</v>
      </c>
      <c r="L10" s="56">
        <v>21.55</v>
      </c>
      <c r="M10" s="56">
        <v>89.58</v>
      </c>
      <c r="N10" s="56">
        <v>22.80</v>
      </c>
      <c r="O10" s="56">
        <v>0.60</v>
      </c>
      <c r="P10" s="56">
        <v>0.41</v>
      </c>
      <c r="Q10" s="56">
        <v>9.59</v>
      </c>
      <c r="R10" s="43"/>
      <c r="S10" s="43"/>
      <c r="T10" s="43"/>
      <c r="U10" s="43"/>
    </row>
    <row r="11" spans="1:21" s="11" customFormat="1" ht="15">
      <c r="A11" s="55" t="s">
        <v>232</v>
      </c>
      <c r="B11" s="56">
        <v>1.48</v>
      </c>
      <c r="C11" s="56">
        <v>44.65</v>
      </c>
      <c r="D11" s="56">
        <v>24.40</v>
      </c>
      <c r="E11" s="56">
        <v>2.1800000000000002</v>
      </c>
      <c r="F11" s="56">
        <v>4.1399999999999997</v>
      </c>
      <c r="G11" s="56">
        <v>33.450000000000003</v>
      </c>
      <c r="H11" s="56">
        <v>25.16</v>
      </c>
      <c r="I11" s="56">
        <v>7.29</v>
      </c>
      <c r="J11" s="56">
        <v>1.54</v>
      </c>
      <c r="K11" s="56">
        <v>162.59</v>
      </c>
      <c r="L11" s="56">
        <v>18.989999999999998</v>
      </c>
      <c r="M11" s="56">
        <v>100.31</v>
      </c>
      <c r="N11" s="56">
        <v>22</v>
      </c>
      <c r="O11" s="56">
        <v>0.40</v>
      </c>
      <c r="P11" s="56">
        <v>0.38</v>
      </c>
      <c r="Q11" s="56">
        <v>9.6199999999999992</v>
      </c>
      <c r="R11" s="43"/>
      <c r="S11" s="43"/>
      <c r="T11" s="43"/>
      <c r="U11" s="43"/>
    </row>
    <row r="12" spans="1:21" s="11" customFormat="1" ht="15">
      <c r="A12" s="55" t="s">
        <v>233</v>
      </c>
      <c r="B12" s="56">
        <v>0.14000000000000001</v>
      </c>
      <c r="C12" s="56">
        <v>43.98</v>
      </c>
      <c r="D12" s="56">
        <v>23.01</v>
      </c>
      <c r="E12" s="56">
        <v>1.99</v>
      </c>
      <c r="F12" s="56">
        <v>5.77</v>
      </c>
      <c r="G12" s="56">
        <v>38.5</v>
      </c>
      <c r="H12" s="56">
        <v>19.59</v>
      </c>
      <c r="I12" s="56">
        <v>6.59</v>
      </c>
      <c r="J12" s="56">
        <v>2.87</v>
      </c>
      <c r="K12" s="56">
        <v>163.47</v>
      </c>
      <c r="L12" s="56">
        <v>18.07</v>
      </c>
      <c r="M12" s="56">
        <v>102.51</v>
      </c>
      <c r="N12" s="56">
        <v>22.30</v>
      </c>
      <c r="O12" s="56">
        <v>0.40</v>
      </c>
      <c r="P12" s="56">
        <v>0.34</v>
      </c>
      <c r="Q12" s="56">
        <v>9.58</v>
      </c>
      <c r="R12" s="43"/>
      <c r="S12" s="43"/>
      <c r="T12" s="43"/>
      <c r="U12" s="43"/>
    </row>
    <row r="13" spans="1:21" s="11" customFormat="1" ht="15">
      <c r="A13" s="55" t="s">
        <v>234</v>
      </c>
      <c r="B13" s="56">
        <v>0.10</v>
      </c>
      <c r="C13" s="56">
        <v>37.17</v>
      </c>
      <c r="D13" s="56">
        <v>19.420000000000002</v>
      </c>
      <c r="E13" s="56">
        <v>1.40</v>
      </c>
      <c r="F13" s="56">
        <v>7.21</v>
      </c>
      <c r="G13" s="56">
        <v>31.32</v>
      </c>
      <c r="H13" s="56">
        <v>15.74</v>
      </c>
      <c r="I13" s="56">
        <v>5.32</v>
      </c>
      <c r="J13" s="56">
        <v>3.07</v>
      </c>
      <c r="K13" s="56">
        <v>165.42</v>
      </c>
      <c r="L13" s="56">
        <v>18.690000000000001</v>
      </c>
      <c r="M13" s="56">
        <v>95.70</v>
      </c>
      <c r="N13" s="56">
        <v>22.70</v>
      </c>
      <c r="O13" s="56">
        <v>0.20</v>
      </c>
      <c r="P13" s="56">
        <v>0.31</v>
      </c>
      <c r="Q13" s="56">
        <v>9.61</v>
      </c>
      <c r="R13" s="43"/>
      <c r="S13" s="43"/>
      <c r="T13" s="43"/>
      <c r="U13" s="43"/>
    </row>
    <row r="14" spans="1:21" s="11" customFormat="1" ht="15">
      <c r="A14" s="55" t="s">
        <v>235</v>
      </c>
      <c r="B14" s="56">
        <v>0.10</v>
      </c>
      <c r="C14" s="56">
        <v>36.96</v>
      </c>
      <c r="D14" s="56">
        <v>19.309999999999999</v>
      </c>
      <c r="E14" s="56">
        <v>1.45</v>
      </c>
      <c r="F14" s="56">
        <v>7.43</v>
      </c>
      <c r="G14" s="56">
        <v>25.38</v>
      </c>
      <c r="H14" s="56">
        <v>11.07</v>
      </c>
      <c r="I14" s="56">
        <v>3.69</v>
      </c>
      <c r="J14" s="56">
        <v>3.08</v>
      </c>
      <c r="K14" s="56">
        <v>162.06</v>
      </c>
      <c r="L14" s="56">
        <v>18.45</v>
      </c>
      <c r="M14" s="56">
        <v>97.56</v>
      </c>
      <c r="N14" s="56">
        <v>23.10</v>
      </c>
      <c r="O14" s="56">
        <v>0.20</v>
      </c>
      <c r="P14" s="56">
        <v>0.28000000000000003</v>
      </c>
      <c r="Q14" s="56">
        <v>9.57</v>
      </c>
      <c r="R14" s="43"/>
      <c r="S14" s="43"/>
      <c r="T14" s="43"/>
      <c r="U14" s="43"/>
    </row>
    <row r="15" spans="1:21" s="11" customFormat="1" ht="15">
      <c r="A15" s="55" t="s">
        <v>236</v>
      </c>
      <c r="B15" s="56">
        <v>0.10</v>
      </c>
      <c r="C15" s="56">
        <v>37.369999999999997</v>
      </c>
      <c r="D15" s="56">
        <v>19.52</v>
      </c>
      <c r="E15" s="56">
        <v>1.59</v>
      </c>
      <c r="F15" s="56">
        <v>6.90</v>
      </c>
      <c r="G15" s="56">
        <v>19.68</v>
      </c>
      <c r="H15" s="56">
        <v>7.66</v>
      </c>
      <c r="I15" s="56">
        <v>2.77</v>
      </c>
      <c r="J15" s="56">
        <v>2.08</v>
      </c>
      <c r="K15" s="56">
        <v>165.36</v>
      </c>
      <c r="L15" s="56">
        <v>18.62</v>
      </c>
      <c r="M15" s="56">
        <v>95.80</v>
      </c>
      <c r="N15" s="56">
        <v>43.70</v>
      </c>
      <c r="O15" s="56">
        <v>0</v>
      </c>
      <c r="P15" s="56">
        <v>0.27</v>
      </c>
      <c r="Q15" s="56">
        <v>9.58</v>
      </c>
      <c r="R15" s="43"/>
      <c r="S15" s="43"/>
      <c r="T15" s="43"/>
      <c r="U15" s="43"/>
    </row>
    <row r="16" spans="1:21" s="11" customFormat="1" ht="15">
      <c r="A16" s="55" t="s">
        <v>237</v>
      </c>
      <c r="B16" s="56">
        <v>0.10</v>
      </c>
      <c r="C16" s="56">
        <v>37.619999999999997</v>
      </c>
      <c r="D16" s="56">
        <v>19.649999999999999</v>
      </c>
      <c r="E16" s="56">
        <v>1.66</v>
      </c>
      <c r="F16" s="56">
        <v>6.65</v>
      </c>
      <c r="G16" s="56">
        <v>16.760000000000002</v>
      </c>
      <c r="H16" s="56">
        <v>6.82</v>
      </c>
      <c r="I16" s="56">
        <v>2.4900000000000002</v>
      </c>
      <c r="J16" s="56">
        <v>2.36</v>
      </c>
      <c r="K16" s="56">
        <v>166.04</v>
      </c>
      <c r="L16" s="56">
        <v>18.68</v>
      </c>
      <c r="M16" s="56">
        <v>96.16</v>
      </c>
      <c r="N16" s="56">
        <v>113.5</v>
      </c>
      <c r="O16" s="56">
        <v>0</v>
      </c>
      <c r="P16" s="56">
        <v>0.27</v>
      </c>
      <c r="Q16" s="56">
        <v>9.5500000000000007</v>
      </c>
      <c r="R16" s="43"/>
      <c r="S16" s="43"/>
      <c r="T16" s="43"/>
      <c r="U16" s="43"/>
    </row>
    <row r="17" spans="1:21" s="11" customFormat="1" ht="15">
      <c r="A17" s="55" t="s">
        <v>238</v>
      </c>
      <c r="B17" s="56">
        <v>0.10</v>
      </c>
      <c r="C17" s="56">
        <v>38.18</v>
      </c>
      <c r="D17" s="56">
        <v>19.95</v>
      </c>
      <c r="E17" s="56">
        <v>1.81</v>
      </c>
      <c r="F17" s="56">
        <v>5.38</v>
      </c>
      <c r="G17" s="56">
        <v>15.64</v>
      </c>
      <c r="H17" s="56">
        <v>6.10</v>
      </c>
      <c r="I17" s="56">
        <v>2.3199999999999998</v>
      </c>
      <c r="J17" s="56">
        <v>1.54</v>
      </c>
      <c r="K17" s="56">
        <v>166.88</v>
      </c>
      <c r="L17" s="56">
        <v>21.29</v>
      </c>
      <c r="M17" s="56">
        <v>94.60</v>
      </c>
      <c r="N17" s="56">
        <v>565.79999999999995</v>
      </c>
      <c r="O17" s="56">
        <v>0</v>
      </c>
      <c r="P17" s="56">
        <v>0.28000000000000003</v>
      </c>
      <c r="Q17" s="56">
        <v>9.41</v>
      </c>
      <c r="R17" s="43"/>
      <c r="S17" s="43"/>
      <c r="T17" s="43"/>
      <c r="U17" s="43"/>
    </row>
    <row r="18" spans="1:21" s="11" customFormat="1" ht="15">
      <c r="A18" s="55" t="s">
        <v>239</v>
      </c>
      <c r="B18" s="56">
        <v>0.10</v>
      </c>
      <c r="C18" s="56">
        <v>38.43</v>
      </c>
      <c r="D18" s="56">
        <v>20.079999999999998</v>
      </c>
      <c r="E18" s="56">
        <v>1.87</v>
      </c>
      <c r="F18" s="56">
        <v>4.95</v>
      </c>
      <c r="G18" s="56">
        <v>16.12</v>
      </c>
      <c r="H18" s="56">
        <v>8.15</v>
      </c>
      <c r="I18" s="56">
        <v>2.68</v>
      </c>
      <c r="J18" s="56">
        <v>1.24</v>
      </c>
      <c r="K18" s="56">
        <v>163.47999999999999</v>
      </c>
      <c r="L18" s="56">
        <v>23.03</v>
      </c>
      <c r="M18" s="56">
        <v>76.87</v>
      </c>
      <c r="N18" s="56">
        <v>662</v>
      </c>
      <c r="O18" s="56">
        <v>0</v>
      </c>
      <c r="P18" s="56">
        <v>0.28999999999999998</v>
      </c>
      <c r="Q18" s="56">
        <v>9.44</v>
      </c>
      <c r="R18" s="43"/>
      <c r="S18" s="43"/>
      <c r="T18" s="43"/>
      <c r="U18" s="43"/>
    </row>
    <row r="19" spans="1:21" s="11" customFormat="1" ht="15">
      <c r="A19" s="55" t="s">
        <v>240</v>
      </c>
      <c r="B19" s="56">
        <v>0.10</v>
      </c>
      <c r="C19" s="56">
        <v>39.86</v>
      </c>
      <c r="D19" s="56">
        <v>20.83</v>
      </c>
      <c r="E19" s="56">
        <v>1.74</v>
      </c>
      <c r="F19" s="56">
        <v>4.37</v>
      </c>
      <c r="G19" s="56">
        <v>15.87</v>
      </c>
      <c r="H19" s="56">
        <v>6.59</v>
      </c>
      <c r="I19" s="56">
        <v>3.38</v>
      </c>
      <c r="J19" s="56">
        <v>0.91</v>
      </c>
      <c r="K19" s="56">
        <v>207.55</v>
      </c>
      <c r="L19" s="56">
        <v>22.57</v>
      </c>
      <c r="M19" s="56">
        <v>74.30</v>
      </c>
      <c r="N19" s="56">
        <v>408.80</v>
      </c>
      <c r="O19" s="56">
        <v>0</v>
      </c>
      <c r="P19" s="56">
        <v>0.31</v>
      </c>
      <c r="Q19" s="56">
        <v>9.4600000000000009</v>
      </c>
      <c r="R19" s="43"/>
      <c r="S19" s="43"/>
      <c r="T19" s="43"/>
      <c r="U19" s="43"/>
    </row>
    <row r="20" spans="1:21" s="11" customFormat="1" ht="15">
      <c r="A20" s="55" t="s">
        <v>241</v>
      </c>
      <c r="B20" s="56">
        <v>0.10</v>
      </c>
      <c r="C20" s="56">
        <v>41.66</v>
      </c>
      <c r="D20" s="56">
        <v>21.77</v>
      </c>
      <c r="E20" s="56">
        <v>1.96</v>
      </c>
      <c r="F20" s="56">
        <v>4.87</v>
      </c>
      <c r="G20" s="56">
        <v>17.079999999999998</v>
      </c>
      <c r="H20" s="56">
        <v>7.12</v>
      </c>
      <c r="I20" s="56">
        <v>3.69</v>
      </c>
      <c r="J20" s="56">
        <v>1.1200000000000001</v>
      </c>
      <c r="K20" s="56">
        <v>167.64</v>
      </c>
      <c r="L20" s="56">
        <v>24.96</v>
      </c>
      <c r="M20" s="56">
        <v>67.39</v>
      </c>
      <c r="N20" s="56">
        <v>900.60</v>
      </c>
      <c r="O20" s="56">
        <v>0</v>
      </c>
      <c r="P20" s="56">
        <v>0.32</v>
      </c>
      <c r="Q20" s="56">
        <v>9.59</v>
      </c>
      <c r="R20" s="43"/>
      <c r="S20" s="43"/>
      <c r="T20" s="43"/>
      <c r="U20" s="43"/>
    </row>
    <row r="21" spans="1:21" s="11" customFormat="1" ht="15">
      <c r="A21" s="55" t="s">
        <v>242</v>
      </c>
      <c r="B21" s="56">
        <v>0.10</v>
      </c>
      <c r="C21" s="56">
        <v>41.11</v>
      </c>
      <c r="D21" s="56">
        <v>21.48</v>
      </c>
      <c r="E21" s="56">
        <v>1.93</v>
      </c>
      <c r="F21" s="56">
        <v>4.95</v>
      </c>
      <c r="G21" s="56">
        <v>16.62</v>
      </c>
      <c r="H21" s="56">
        <v>7.54</v>
      </c>
      <c r="I21" s="56">
        <v>4.3499999999999996</v>
      </c>
      <c r="J21" s="56">
        <v>0.92</v>
      </c>
      <c r="K21" s="56">
        <v>154.66</v>
      </c>
      <c r="L21" s="56">
        <v>26.70</v>
      </c>
      <c r="M21" s="56">
        <v>58.87</v>
      </c>
      <c r="N21" s="56">
        <v>771.30</v>
      </c>
      <c r="O21" s="56">
        <v>0</v>
      </c>
      <c r="P21" s="56">
        <v>0.34</v>
      </c>
      <c r="Q21" s="56">
        <v>9.52</v>
      </c>
      <c r="R21" s="43"/>
      <c r="S21" s="43"/>
      <c r="T21" s="43"/>
      <c r="U21" s="43"/>
    </row>
    <row r="22" spans="1:21" s="11" customFormat="1" ht="15">
      <c r="A22" s="55" t="s">
        <v>243</v>
      </c>
      <c r="B22" s="56">
        <v>0.10</v>
      </c>
      <c r="C22" s="56">
        <v>41.89</v>
      </c>
      <c r="D22" s="56">
        <v>21.88</v>
      </c>
      <c r="E22" s="56">
        <v>1.92</v>
      </c>
      <c r="F22" s="56">
        <v>4.8600000000000003</v>
      </c>
      <c r="G22" s="56">
        <v>18.41</v>
      </c>
      <c r="H22" s="56">
        <v>8.85</v>
      </c>
      <c r="I22" s="56">
        <v>4.43</v>
      </c>
      <c r="J22" s="56">
        <v>1.69</v>
      </c>
      <c r="K22" s="56">
        <v>220.16</v>
      </c>
      <c r="L22" s="56">
        <v>25.24</v>
      </c>
      <c r="M22" s="56">
        <v>63.04</v>
      </c>
      <c r="N22" s="56">
        <v>298.39999999999998</v>
      </c>
      <c r="O22" s="56">
        <v>0</v>
      </c>
      <c r="P22" s="56">
        <v>0.35</v>
      </c>
      <c r="Q22" s="56">
        <v>9.43</v>
      </c>
      <c r="R22" s="43"/>
      <c r="S22" s="43"/>
      <c r="T22" s="43"/>
      <c r="U22" s="43"/>
    </row>
    <row r="23" spans="1:21" s="11" customFormat="1" ht="15">
      <c r="A23" s="55" t="s">
        <v>244</v>
      </c>
      <c r="B23" s="56">
        <v>0.10</v>
      </c>
      <c r="C23" s="56">
        <v>42.71</v>
      </c>
      <c r="D23" s="56">
        <v>22.32</v>
      </c>
      <c r="E23" s="56">
        <v>1.92</v>
      </c>
      <c r="F23" s="56">
        <v>4.3600000000000003</v>
      </c>
      <c r="G23" s="56">
        <v>22.74</v>
      </c>
      <c r="H23" s="56">
        <v>9.99</v>
      </c>
      <c r="I23" s="56">
        <v>6.47</v>
      </c>
      <c r="J23" s="56">
        <v>1.52</v>
      </c>
      <c r="K23" s="56">
        <v>102.25</v>
      </c>
      <c r="L23" s="56">
        <v>25.78</v>
      </c>
      <c r="M23" s="56">
        <v>60.65</v>
      </c>
      <c r="N23" s="56">
        <v>427.30</v>
      </c>
      <c r="O23" s="56">
        <v>0</v>
      </c>
      <c r="P23" s="56">
        <v>0.36</v>
      </c>
      <c r="Q23" s="56">
        <v>9.58</v>
      </c>
      <c r="R23" s="43"/>
      <c r="S23" s="43"/>
      <c r="T23" s="43"/>
      <c r="U23" s="43"/>
    </row>
    <row r="24" spans="1:21" s="11" customFormat="1" ht="15">
      <c r="A24" s="55" t="s">
        <v>245</v>
      </c>
      <c r="B24" s="56">
        <v>0.14000000000000001</v>
      </c>
      <c r="C24" s="56">
        <v>44.85</v>
      </c>
      <c r="D24" s="56">
        <v>23.44</v>
      </c>
      <c r="E24" s="56">
        <v>1.97</v>
      </c>
      <c r="F24" s="56">
        <v>4.47</v>
      </c>
      <c r="G24" s="56">
        <v>21.48</v>
      </c>
      <c r="H24" s="56">
        <v>9.17</v>
      </c>
      <c r="I24" s="56">
        <v>6.84</v>
      </c>
      <c r="J24" s="56">
        <v>1.1599999999999999</v>
      </c>
      <c r="K24" s="56">
        <v>99.24</v>
      </c>
      <c r="L24" s="56">
        <v>25.57</v>
      </c>
      <c r="M24" s="56">
        <v>58.49</v>
      </c>
      <c r="N24" s="56">
        <v>209.30</v>
      </c>
      <c r="O24" s="56">
        <v>0</v>
      </c>
      <c r="P24" s="56">
        <v>0.38</v>
      </c>
      <c r="Q24" s="56">
        <v>9.59</v>
      </c>
      <c r="R24" s="43"/>
      <c r="S24" s="43"/>
      <c r="T24" s="43"/>
      <c r="U24" s="43"/>
    </row>
    <row r="25" spans="1:21" s="11" customFormat="1" ht="15">
      <c r="A25" s="55" t="s">
        <v>246</v>
      </c>
      <c r="B25" s="56">
        <v>0.10</v>
      </c>
      <c r="C25" s="56">
        <v>45.08</v>
      </c>
      <c r="D25" s="56">
        <v>23.55</v>
      </c>
      <c r="E25" s="56">
        <v>1.69</v>
      </c>
      <c r="F25" s="56">
        <v>4.4400000000000004</v>
      </c>
      <c r="G25" s="56">
        <v>21.91</v>
      </c>
      <c r="H25" s="56">
        <v>9.33</v>
      </c>
      <c r="I25" s="56">
        <v>6.75</v>
      </c>
      <c r="J25" s="56">
        <v>1.21</v>
      </c>
      <c r="K25" s="56">
        <v>102.26</v>
      </c>
      <c r="L25" s="56">
        <v>24.92</v>
      </c>
      <c r="M25" s="56">
        <v>62.99</v>
      </c>
      <c r="N25" s="56">
        <v>149.80000000000001</v>
      </c>
      <c r="O25" s="56">
        <v>0</v>
      </c>
      <c r="P25" s="56">
        <v>0.37</v>
      </c>
      <c r="Q25" s="56">
        <v>9.5</v>
      </c>
      <c r="R25" s="43"/>
      <c r="S25" s="43"/>
      <c r="T25" s="43"/>
      <c r="U25" s="43"/>
    </row>
    <row r="26" spans="1:21" s="11" customFormat="1" ht="15">
      <c r="A26" s="55" t="s">
        <v>247</v>
      </c>
      <c r="B26" s="56">
        <v>0.10</v>
      </c>
      <c r="C26" s="56">
        <v>45.98</v>
      </c>
      <c r="D26" s="56">
        <v>24.02</v>
      </c>
      <c r="E26" s="56">
        <v>1.67</v>
      </c>
      <c r="F26" s="56">
        <v>4.25</v>
      </c>
      <c r="G26" s="56">
        <v>21.86</v>
      </c>
      <c r="H26" s="56">
        <v>9.3000000000000007</v>
      </c>
      <c r="I26" s="56">
        <v>6.74</v>
      </c>
      <c r="J26" s="56">
        <v>1.59</v>
      </c>
      <c r="K26" s="56">
        <v>102.02</v>
      </c>
      <c r="L26" s="56">
        <v>24.36</v>
      </c>
      <c r="M26" s="56">
        <v>70.77</v>
      </c>
      <c r="N26" s="56">
        <v>54.5</v>
      </c>
      <c r="O26" s="56">
        <v>0</v>
      </c>
      <c r="P26" s="56">
        <v>0.37</v>
      </c>
      <c r="Q26" s="56">
        <v>9.4700000000000006</v>
      </c>
      <c r="R26" s="43"/>
      <c r="S26" s="43"/>
      <c r="T26" s="43"/>
      <c r="U26" s="43"/>
    </row>
    <row r="27" spans="1:21" s="11" customFormat="1" ht="15">
      <c r="A27" s="55" t="s">
        <v>248</v>
      </c>
      <c r="B27" s="56">
        <v>2.33</v>
      </c>
      <c r="C27" s="56">
        <v>44.91</v>
      </c>
      <c r="D27" s="56">
        <v>25.33</v>
      </c>
      <c r="E27" s="56">
        <v>1.84</v>
      </c>
      <c r="F27" s="56">
        <v>4.1900000000000004</v>
      </c>
      <c r="G27" s="56">
        <v>23.03</v>
      </c>
      <c r="H27" s="56">
        <v>8.33</v>
      </c>
      <c r="I27" s="56">
        <v>7.64</v>
      </c>
      <c r="J27" s="56">
        <v>0.59</v>
      </c>
      <c r="K27" s="56">
        <v>358.52</v>
      </c>
      <c r="L27" s="56">
        <v>23.44</v>
      </c>
      <c r="M27" s="56">
        <v>76.05</v>
      </c>
      <c r="N27" s="56">
        <v>18.20</v>
      </c>
      <c r="O27" s="56">
        <v>0</v>
      </c>
      <c r="P27" s="56">
        <v>0.45</v>
      </c>
      <c r="Q27" s="56">
        <v>9.52</v>
      </c>
      <c r="R27" s="43"/>
      <c r="S27" s="43"/>
      <c r="T27" s="43"/>
      <c r="U27" s="43"/>
    </row>
    <row r="28" spans="1:21" s="11" customFormat="1" ht="15">
      <c r="A28" s="55" t="s">
        <v>249</v>
      </c>
      <c r="B28" s="56">
        <v>5.21</v>
      </c>
      <c r="C28" s="56">
        <v>47.83</v>
      </c>
      <c r="D28" s="56">
        <v>29.09</v>
      </c>
      <c r="E28" s="56">
        <v>1.67</v>
      </c>
      <c r="F28" s="56">
        <v>3.47</v>
      </c>
      <c r="G28" s="56">
        <v>27.91</v>
      </c>
      <c r="H28" s="56">
        <v>9.6199999999999992</v>
      </c>
      <c r="I28" s="56">
        <v>8.0299999999999994</v>
      </c>
      <c r="J28" s="56">
        <v>1.26</v>
      </c>
      <c r="K28" s="56">
        <v>350.33</v>
      </c>
      <c r="L28" s="56">
        <v>23</v>
      </c>
      <c r="M28" s="56">
        <v>92.60</v>
      </c>
      <c r="N28" s="56">
        <v>19.80</v>
      </c>
      <c r="O28" s="56">
        <v>0.40</v>
      </c>
      <c r="P28" s="56">
        <v>0.55000000000000004</v>
      </c>
      <c r="Q28" s="56">
        <v>9.5399999999999991</v>
      </c>
      <c r="R28" s="43"/>
      <c r="S28" s="43"/>
      <c r="T28" s="43"/>
      <c r="U28" s="43"/>
    </row>
    <row r="29" spans="1:21" s="11" customFormat="1" ht="15">
      <c r="A29" s="55" t="s">
        <v>250</v>
      </c>
      <c r="B29" s="56">
        <v>5.44</v>
      </c>
      <c r="C29" s="56">
        <v>48.54</v>
      </c>
      <c r="D29" s="56">
        <v>29.27</v>
      </c>
      <c r="E29" s="56">
        <v>1.91</v>
      </c>
      <c r="F29" s="56">
        <v>3.67</v>
      </c>
      <c r="G29" s="56">
        <v>31.56</v>
      </c>
      <c r="H29" s="56">
        <v>11.91</v>
      </c>
      <c r="I29" s="56">
        <v>8.43</v>
      </c>
      <c r="J29" s="56">
        <v>0.73</v>
      </c>
      <c r="K29" s="56">
        <v>78.02</v>
      </c>
      <c r="L29" s="56">
        <v>21.44</v>
      </c>
      <c r="M29" s="56">
        <v>91.37</v>
      </c>
      <c r="N29" s="56">
        <v>16.5</v>
      </c>
      <c r="O29" s="56">
        <v>0</v>
      </c>
      <c r="P29" s="56">
        <v>0.61</v>
      </c>
      <c r="Q29" s="56">
        <v>9.60</v>
      </c>
      <c r="R29" s="43"/>
      <c r="S29" s="43"/>
      <c r="T29" s="43"/>
      <c r="U29" s="43"/>
    </row>
    <row r="30" spans="1:21" s="11" customFormat="1" ht="15">
      <c r="A30" s="55" t="s">
        <v>251</v>
      </c>
      <c r="B30" s="56">
        <v>5.82</v>
      </c>
      <c r="C30" s="56">
        <v>47.40</v>
      </c>
      <c r="D30" s="56">
        <v>29.33</v>
      </c>
      <c r="E30" s="56">
        <v>1.91</v>
      </c>
      <c r="F30" s="56">
        <v>3.49</v>
      </c>
      <c r="G30" s="56">
        <v>29.09</v>
      </c>
      <c r="H30" s="56">
        <v>12.18</v>
      </c>
      <c r="I30" s="56">
        <v>8.16</v>
      </c>
      <c r="J30" s="56">
        <v>1.1200000000000001</v>
      </c>
      <c r="K30" s="56">
        <v>77.790000000000006</v>
      </c>
      <c r="L30" s="56">
        <v>21.25</v>
      </c>
      <c r="M30" s="56">
        <v>88.93</v>
      </c>
      <c r="N30" s="56">
        <v>16.600000000000001</v>
      </c>
      <c r="O30" s="56">
        <v>0</v>
      </c>
      <c r="P30" s="56">
        <v>0.63</v>
      </c>
      <c r="Q30" s="56">
        <v>9.74</v>
      </c>
      <c r="R30" s="43"/>
      <c r="S30" s="43"/>
      <c r="T30" s="43"/>
      <c r="U30" s="43"/>
    </row>
    <row r="31" spans="1:21" s="11" customFormat="1" ht="15">
      <c r="A31" s="55" t="s">
        <v>252</v>
      </c>
      <c r="B31" s="56">
        <v>6.62</v>
      </c>
      <c r="C31" s="56">
        <v>46.29</v>
      </c>
      <c r="D31" s="56">
        <v>28.91</v>
      </c>
      <c r="E31" s="56">
        <v>1.96</v>
      </c>
      <c r="F31" s="56">
        <v>3.63</v>
      </c>
      <c r="G31" s="56">
        <v>30.40</v>
      </c>
      <c r="H31" s="56">
        <v>11.99</v>
      </c>
      <c r="I31" s="56">
        <v>7.67</v>
      </c>
      <c r="J31" s="56">
        <v>1.44</v>
      </c>
      <c r="K31" s="56">
        <v>359.20</v>
      </c>
      <c r="L31" s="56">
        <v>21.05</v>
      </c>
      <c r="M31" s="56">
        <v>85.16</v>
      </c>
      <c r="N31" s="56">
        <v>20.5</v>
      </c>
      <c r="O31" s="56">
        <v>0.80</v>
      </c>
      <c r="P31" s="56">
        <v>0.63</v>
      </c>
      <c r="Q31" s="56">
        <v>9.6999999999999993</v>
      </c>
      <c r="R31" s="43"/>
      <c r="S31" s="43"/>
      <c r="T31" s="43"/>
      <c r="U31" s="43"/>
    </row>
    <row r="32" spans="1:21" s="11" customFormat="1" ht="15">
      <c r="A32" s="55" t="s">
        <v>253</v>
      </c>
      <c r="B32" s="56">
        <v>6.67</v>
      </c>
      <c r="C32" s="56">
        <v>46.07</v>
      </c>
      <c r="D32" s="56">
        <v>29.16</v>
      </c>
      <c r="E32" s="56">
        <v>1.58</v>
      </c>
      <c r="F32" s="56">
        <v>3.84</v>
      </c>
      <c r="G32" s="56">
        <v>31.35</v>
      </c>
      <c r="H32" s="56">
        <v>11.19</v>
      </c>
      <c r="I32" s="56">
        <v>7.16</v>
      </c>
      <c r="J32" s="56">
        <v>1.33</v>
      </c>
      <c r="K32" s="56">
        <v>55.16</v>
      </c>
      <c r="L32" s="56">
        <v>19.05</v>
      </c>
      <c r="M32" s="56">
        <v>95.01</v>
      </c>
      <c r="N32" s="56">
        <v>18.600000000000001</v>
      </c>
      <c r="O32" s="56">
        <v>0.20</v>
      </c>
      <c r="P32" s="56">
        <v>0.56999999999999995</v>
      </c>
      <c r="Q32" s="56">
        <v>9.58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36.960000000000001</v>
      </c>
      <c r="D34" s="28">
        <f t="shared" si="0"/>
        <v>19.309999999999999</v>
      </c>
      <c r="E34" s="28">
        <f t="shared" si="0"/>
        <v>1.3999999999999999</v>
      </c>
      <c r="F34" s="28">
        <f t="shared" si="0"/>
        <v>3.4700000000000002</v>
      </c>
      <c r="G34" s="28">
        <f t="shared" si="0"/>
        <v>15.640000000000001</v>
      </c>
      <c r="H34" s="28">
        <f t="shared" si="0"/>
        <v>6.0999999999999996</v>
      </c>
      <c r="I34" s="28">
        <f t="shared" si="0"/>
        <v>2.3199999999999998</v>
      </c>
      <c r="J34" s="28">
        <f t="shared" si="0"/>
        <v>0.58999999999999997</v>
      </c>
      <c r="K34" s="28">
        <f t="shared" si="0"/>
        <v>55.159999999999997</v>
      </c>
      <c r="L34" s="28">
        <f t="shared" si="0"/>
        <v>18.07</v>
      </c>
      <c r="M34" s="28">
        <f t="shared" si="0"/>
        <v>58.490000000000002</v>
      </c>
      <c r="N34" s="28">
        <f t="shared" si="0"/>
        <v>16.5</v>
      </c>
      <c r="O34" s="28">
        <f t="shared" si="0"/>
        <v>0</v>
      </c>
      <c r="P34" s="28">
        <f t="shared" si="0"/>
        <v>0.27000000000000002</v>
      </c>
      <c r="Q34" s="28">
        <f t="shared" si="0"/>
        <v>9.4100000000000001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6.6699999999999999</v>
      </c>
      <c r="C35" s="29">
        <f t="shared" si="1"/>
        <v>48.539999999999999</v>
      </c>
      <c r="D35" s="29">
        <f t="shared" si="1"/>
        <v>29.329999999999998</v>
      </c>
      <c r="E35" s="29">
        <f t="shared" si="1"/>
        <v>2.1800000000000002</v>
      </c>
      <c r="F35" s="29">
        <f t="shared" si="1"/>
        <v>7.4299999999999997</v>
      </c>
      <c r="G35" s="29">
        <f t="shared" si="1"/>
        <v>38.5</v>
      </c>
      <c r="H35" s="29">
        <f t="shared" si="1"/>
        <v>25.16</v>
      </c>
      <c r="I35" s="29">
        <f t="shared" si="1"/>
        <v>8.4299999999999997</v>
      </c>
      <c r="J35" s="29">
        <f t="shared" si="1"/>
        <v>3.0800000000000001</v>
      </c>
      <c r="K35" s="29">
        <f t="shared" si="1"/>
        <v>359.19999999999999</v>
      </c>
      <c r="L35" s="29">
        <f t="shared" si="1"/>
        <v>26.699999999999999</v>
      </c>
      <c r="M35" s="29">
        <f t="shared" si="1"/>
        <v>102.51000000000001</v>
      </c>
      <c r="N35" s="29">
        <f t="shared" si="1"/>
        <v>900.60000000000002</v>
      </c>
      <c r="O35" s="29">
        <f t="shared" si="1"/>
        <v>0.80000000000000004</v>
      </c>
      <c r="P35" s="29">
        <f t="shared" si="1"/>
        <v>0.63</v>
      </c>
      <c r="Q35" s="29">
        <f t="shared" si="1"/>
        <v>9.7400000000000002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1.6291666666666664</v>
      </c>
      <c r="C36" s="28">
        <f t="shared" si="2"/>
        <v>42.985416666666673</v>
      </c>
      <c r="D36" s="28">
        <f t="shared" si="2"/>
        <v>23.62791666666666</v>
      </c>
      <c r="E36" s="28">
        <f t="shared" si="2"/>
        <v>1.8099999999999998</v>
      </c>
      <c r="F36" s="28">
        <f t="shared" si="2"/>
        <v>4.7849999999999993</v>
      </c>
      <c r="G36" s="28">
        <f t="shared" si="2"/>
        <v>24.701666666666672</v>
      </c>
      <c r="H36" s="28">
        <f t="shared" si="2"/>
        <v>10.621250000000002</v>
      </c>
      <c r="I36" s="28">
        <f t="shared" si="2"/>
        <v>5.7583333333333329</v>
      </c>
      <c r="J36" s="28">
        <f t="shared" si="2"/>
        <v>1.5391666666666663</v>
      </c>
      <c r="K36" s="28">
        <f t="shared" si="2"/>
        <v>172.48499999999999</v>
      </c>
      <c r="L36" s="28">
        <f t="shared" si="2"/>
        <v>22.08666666666667</v>
      </c>
      <c r="M36" s="28">
        <f t="shared" si="2"/>
        <v>81.433750000000003</v>
      </c>
      <c r="N36" s="28">
        <f t="shared" si="2"/>
        <v>202.12916666666672</v>
      </c>
      <c r="O36" s="28">
        <f t="shared" si="2"/>
        <v>0.13333333333333333</v>
      </c>
      <c r="P36" s="28">
        <f t="shared" si="2"/>
        <v>0.39375000000000004</v>
      </c>
      <c r="Q36" s="28">
        <f t="shared" si="2"/>
        <v>9.5562500000000004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2.3850511190705559</v>
      </c>
      <c r="C37" s="28">
        <f t="shared" si="3" ref="C37:Q37">STDEV(C9:C32)</f>
        <v>3.8178607476446289</v>
      </c>
      <c r="D37" s="28">
        <f t="shared" si="3"/>
        <v>3.4954342632076916</v>
      </c>
      <c r="E37" s="28">
        <f t="shared" si="3"/>
        <v>0.18705962778704038</v>
      </c>
      <c r="F37" s="28">
        <f t="shared" si="3"/>
        <v>1.1935369431997536</v>
      </c>
      <c r="G37" s="28">
        <f t="shared" si="3"/>
        <v>7.0143868718802098</v>
      </c>
      <c r="H37" s="28">
        <f t="shared" si="3"/>
        <v>4.3295228299181616</v>
      </c>
      <c r="I37" s="28">
        <f t="shared" si="3"/>
        <v>2.0870338149937906</v>
      </c>
      <c r="J37" s="28">
        <f t="shared" si="3"/>
        <v>0.68454311431955817</v>
      </c>
      <c r="K37" s="28">
        <f t="shared" si="3"/>
        <v>85.852124736311197</v>
      </c>
      <c r="L37" s="28">
        <f t="shared" si="3"/>
        <v>2.7215735005398094</v>
      </c>
      <c r="M37" s="28">
        <f t="shared" si="3"/>
        <v>15.3720236603072</v>
      </c>
      <c r="N37" s="28">
        <f t="shared" si="3"/>
        <v>272.80182563326184</v>
      </c>
      <c r="O37" s="28">
        <f t="shared" si="3"/>
        <v>0.22586388102931199</v>
      </c>
      <c r="P37" s="28">
        <f t="shared" si="3"/>
        <v>0.11694712666321731</v>
      </c>
      <c r="Q37" s="28">
        <f t="shared" si="3"/>
        <v>0.078950314590336038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d0c192-014c-4c52-96a1-3df8eb6abc7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254</v>
      </c>
      <c r="B9" s="56">
        <v>6.70</v>
      </c>
      <c r="C9" s="56">
        <v>46.86</v>
      </c>
      <c r="D9" s="56">
        <v>29.77</v>
      </c>
      <c r="E9" s="56">
        <v>1.31</v>
      </c>
      <c r="F9" s="56">
        <v>3.58</v>
      </c>
      <c r="G9" s="56">
        <v>30.94</v>
      </c>
      <c r="H9" s="56">
        <v>13.16</v>
      </c>
      <c r="I9" s="56">
        <v>7.10</v>
      </c>
      <c r="J9" s="56">
        <v>1.48</v>
      </c>
      <c r="K9" s="56">
        <v>162.16999999999999</v>
      </c>
      <c r="L9" s="56">
        <v>18.989999999999998</v>
      </c>
      <c r="M9" s="56">
        <v>89.12</v>
      </c>
      <c r="N9" s="56">
        <v>17</v>
      </c>
      <c r="O9" s="56">
        <v>0</v>
      </c>
      <c r="P9" s="56">
        <v>0.57999999999999996</v>
      </c>
      <c r="Q9" s="56">
        <v>9.59</v>
      </c>
      <c r="R9" s="43"/>
      <c r="S9" s="43"/>
      <c r="T9" s="43"/>
      <c r="U9" s="43"/>
    </row>
    <row r="10" spans="1:21" s="11" customFormat="1" ht="15">
      <c r="A10" s="55" t="s">
        <v>255</v>
      </c>
      <c r="B10" s="56">
        <v>4.78</v>
      </c>
      <c r="C10" s="56">
        <v>44.36</v>
      </c>
      <c r="D10" s="56">
        <v>26.93</v>
      </c>
      <c r="E10" s="56">
        <v>1.1299999999999999</v>
      </c>
      <c r="F10" s="56">
        <v>3.57</v>
      </c>
      <c r="G10" s="56">
        <v>26.48</v>
      </c>
      <c r="H10" s="56">
        <v>12.09</v>
      </c>
      <c r="I10" s="56">
        <v>7.20</v>
      </c>
      <c r="J10" s="56">
        <v>0.68</v>
      </c>
      <c r="K10" s="56">
        <v>152.66</v>
      </c>
      <c r="L10" s="56">
        <v>18.600000000000001</v>
      </c>
      <c r="M10" s="56">
        <v>97.78</v>
      </c>
      <c r="N10" s="56">
        <v>17.5</v>
      </c>
      <c r="O10" s="56">
        <v>6.80</v>
      </c>
      <c r="P10" s="56">
        <v>0.44</v>
      </c>
      <c r="Q10" s="56">
        <v>9.6300000000000008</v>
      </c>
      <c r="R10" s="43"/>
      <c r="S10" s="43"/>
      <c r="T10" s="43"/>
      <c r="U10" s="43"/>
    </row>
    <row r="11" spans="1:21" s="11" customFormat="1" ht="15">
      <c r="A11" s="55" t="s">
        <v>256</v>
      </c>
      <c r="B11" s="56">
        <v>3.46</v>
      </c>
      <c r="C11" s="56">
        <v>41.54</v>
      </c>
      <c r="D11" s="56">
        <v>24.40</v>
      </c>
      <c r="E11" s="56">
        <v>1.39</v>
      </c>
      <c r="F11" s="56">
        <v>4.32</v>
      </c>
      <c r="G11" s="56">
        <v>24.72</v>
      </c>
      <c r="H11" s="56">
        <v>9.24</v>
      </c>
      <c r="I11" s="56">
        <v>6.32</v>
      </c>
      <c r="J11" s="56">
        <v>1.66</v>
      </c>
      <c r="K11" s="56">
        <v>313.89999999999998</v>
      </c>
      <c r="L11" s="56">
        <v>18.190000000000001</v>
      </c>
      <c r="M11" s="56">
        <v>97.76</v>
      </c>
      <c r="N11" s="56">
        <v>18.70</v>
      </c>
      <c r="O11" s="56">
        <v>0.20</v>
      </c>
      <c r="P11" s="56">
        <v>0.40</v>
      </c>
      <c r="Q11" s="56">
        <v>9.57</v>
      </c>
      <c r="R11" s="43"/>
      <c r="S11" s="43"/>
      <c r="T11" s="43"/>
      <c r="U11" s="43"/>
    </row>
    <row r="12" spans="1:21" s="11" customFormat="1" ht="15">
      <c r="A12" s="55" t="s">
        <v>257</v>
      </c>
      <c r="B12" s="56">
        <v>0.74</v>
      </c>
      <c r="C12" s="56">
        <v>41.13</v>
      </c>
      <c r="D12" s="56">
        <v>21.79</v>
      </c>
      <c r="E12" s="56">
        <v>1.38</v>
      </c>
      <c r="F12" s="56">
        <v>4.84</v>
      </c>
      <c r="G12" s="56">
        <v>21.65</v>
      </c>
      <c r="H12" s="56">
        <v>7.75</v>
      </c>
      <c r="I12" s="56">
        <v>5.33</v>
      </c>
      <c r="J12" s="56">
        <v>2.52</v>
      </c>
      <c r="K12" s="56">
        <v>174.33</v>
      </c>
      <c r="L12" s="56">
        <v>18.84</v>
      </c>
      <c r="M12" s="56">
        <v>91.22</v>
      </c>
      <c r="N12" s="56">
        <v>20.30</v>
      </c>
      <c r="O12" s="56">
        <v>2.80</v>
      </c>
      <c r="P12" s="56">
        <v>0.33</v>
      </c>
      <c r="Q12" s="56">
        <v>9.57</v>
      </c>
      <c r="R12" s="43"/>
      <c r="S12" s="43"/>
      <c r="T12" s="43"/>
      <c r="U12" s="43"/>
    </row>
    <row r="13" spans="1:21" s="11" customFormat="1" ht="15">
      <c r="A13" s="55" t="s">
        <v>258</v>
      </c>
      <c r="B13" s="56">
        <v>0.10</v>
      </c>
      <c r="C13" s="56">
        <v>41.10</v>
      </c>
      <c r="D13" s="56">
        <v>21.47</v>
      </c>
      <c r="E13" s="56">
        <v>1.1399999999999999</v>
      </c>
      <c r="F13" s="56">
        <v>4.1900000000000004</v>
      </c>
      <c r="G13" s="56">
        <v>20</v>
      </c>
      <c r="H13" s="56">
        <v>11.40</v>
      </c>
      <c r="I13" s="56">
        <v>5.51</v>
      </c>
      <c r="J13" s="56">
        <v>1.92</v>
      </c>
      <c r="K13" s="56">
        <v>184.36</v>
      </c>
      <c r="L13" s="56">
        <v>19.13</v>
      </c>
      <c r="M13" s="56">
        <v>83.61</v>
      </c>
      <c r="N13" s="56">
        <v>18.5</v>
      </c>
      <c r="O13" s="56">
        <v>0</v>
      </c>
      <c r="P13" s="56">
        <v>0.28999999999999998</v>
      </c>
      <c r="Q13" s="56">
        <v>9.40</v>
      </c>
      <c r="R13" s="43"/>
      <c r="S13" s="43"/>
      <c r="T13" s="43"/>
      <c r="U13" s="43"/>
    </row>
    <row r="14" spans="1:21" s="11" customFormat="1" ht="15">
      <c r="A14" s="55" t="s">
        <v>259</v>
      </c>
      <c r="B14" s="56">
        <v>0.74</v>
      </c>
      <c r="C14" s="56">
        <v>39.74</v>
      </c>
      <c r="D14" s="56">
        <v>21.20</v>
      </c>
      <c r="E14" s="56">
        <v>1.25</v>
      </c>
      <c r="F14" s="56">
        <v>4.34</v>
      </c>
      <c r="G14" s="56">
        <v>19.100000000000001</v>
      </c>
      <c r="H14" s="56">
        <v>9.11</v>
      </c>
      <c r="I14" s="56">
        <v>4.5999999999999996</v>
      </c>
      <c r="J14" s="56">
        <v>1.86</v>
      </c>
      <c r="K14" s="56">
        <v>350.73</v>
      </c>
      <c r="L14" s="56">
        <v>18.79</v>
      </c>
      <c r="M14" s="56">
        <v>91.63</v>
      </c>
      <c r="N14" s="56">
        <v>20.399999999999999</v>
      </c>
      <c r="O14" s="56">
        <v>0</v>
      </c>
      <c r="P14" s="56">
        <v>0.27</v>
      </c>
      <c r="Q14" s="56">
        <v>9.43</v>
      </c>
      <c r="R14" s="43"/>
      <c r="S14" s="43"/>
      <c r="T14" s="43"/>
      <c r="U14" s="43"/>
    </row>
    <row r="15" spans="1:21" s="11" customFormat="1" ht="15">
      <c r="A15" s="55" t="s">
        <v>260</v>
      </c>
      <c r="B15" s="56">
        <v>1.04</v>
      </c>
      <c r="C15" s="56">
        <v>39.81</v>
      </c>
      <c r="D15" s="56">
        <v>21.48</v>
      </c>
      <c r="E15" s="56">
        <v>1.21</v>
      </c>
      <c r="F15" s="56">
        <v>7.36</v>
      </c>
      <c r="G15" s="56">
        <v>21.37</v>
      </c>
      <c r="H15" s="56">
        <v>8.68</v>
      </c>
      <c r="I15" s="56">
        <v>3.92</v>
      </c>
      <c r="J15" s="56">
        <v>1.59</v>
      </c>
      <c r="K15" s="56">
        <v>182</v>
      </c>
      <c r="L15" s="56">
        <v>19.079999999999998</v>
      </c>
      <c r="M15" s="56">
        <v>97.80</v>
      </c>
      <c r="N15" s="56">
        <v>23.70</v>
      </c>
      <c r="O15" s="56">
        <v>8</v>
      </c>
      <c r="P15" s="56">
        <v>0.27</v>
      </c>
      <c r="Q15" s="56">
        <v>9.43</v>
      </c>
      <c r="R15" s="43"/>
      <c r="S15" s="43"/>
      <c r="T15" s="43"/>
      <c r="U15" s="43"/>
    </row>
    <row r="16" spans="1:21" s="11" customFormat="1" ht="15">
      <c r="A16" s="55" t="s">
        <v>261</v>
      </c>
      <c r="B16" s="56">
        <v>0.10</v>
      </c>
      <c r="C16" s="56">
        <v>41.96</v>
      </c>
      <c r="D16" s="56">
        <v>21.92</v>
      </c>
      <c r="E16" s="56">
        <v>1.34</v>
      </c>
      <c r="F16" s="56">
        <v>4.75</v>
      </c>
      <c r="G16" s="56">
        <v>20.170000000000002</v>
      </c>
      <c r="H16" s="56">
        <v>8</v>
      </c>
      <c r="I16" s="56">
        <v>3.93</v>
      </c>
      <c r="J16" s="56">
        <v>1.1499999999999999</v>
      </c>
      <c r="K16" s="56">
        <v>231.29</v>
      </c>
      <c r="L16" s="56">
        <v>17.57</v>
      </c>
      <c r="M16" s="56">
        <v>97.83</v>
      </c>
      <c r="N16" s="56">
        <v>77.30</v>
      </c>
      <c r="O16" s="56">
        <v>0</v>
      </c>
      <c r="P16" s="56">
        <v>0.28999999999999998</v>
      </c>
      <c r="Q16" s="56">
        <v>9.40</v>
      </c>
      <c r="R16" s="43"/>
      <c r="S16" s="43"/>
      <c r="T16" s="43"/>
      <c r="U16" s="43"/>
    </row>
    <row r="17" spans="1:21" s="11" customFormat="1" ht="15">
      <c r="A17" s="55" t="s">
        <v>262</v>
      </c>
      <c r="B17" s="56">
        <v>0.19</v>
      </c>
      <c r="C17" s="56">
        <v>44.17</v>
      </c>
      <c r="D17" s="56">
        <v>23.11</v>
      </c>
      <c r="E17" s="56">
        <v>1.57</v>
      </c>
      <c r="F17" s="56">
        <v>4.30</v>
      </c>
      <c r="G17" s="56">
        <v>20.52</v>
      </c>
      <c r="H17" s="56">
        <v>11.05</v>
      </c>
      <c r="I17" s="56">
        <v>3.98</v>
      </c>
      <c r="J17" s="56">
        <v>1.78</v>
      </c>
      <c r="K17" s="56">
        <v>165.30</v>
      </c>
      <c r="L17" s="56">
        <v>19.09</v>
      </c>
      <c r="M17" s="56">
        <v>97.49</v>
      </c>
      <c r="N17" s="56">
        <v>207.80</v>
      </c>
      <c r="O17" s="56">
        <v>0</v>
      </c>
      <c r="P17" s="56">
        <v>0.28999999999999998</v>
      </c>
      <c r="Q17" s="56">
        <v>9.40</v>
      </c>
      <c r="R17" s="43"/>
      <c r="S17" s="43"/>
      <c r="T17" s="43"/>
      <c r="U17" s="43"/>
    </row>
    <row r="18" spans="1:21" s="11" customFormat="1" ht="15">
      <c r="A18" s="55" t="s">
        <v>263</v>
      </c>
      <c r="B18" s="56">
        <v>0.10</v>
      </c>
      <c r="C18" s="56">
        <v>43.35</v>
      </c>
      <c r="D18" s="56">
        <v>22.65</v>
      </c>
      <c r="E18" s="56">
        <v>1.42</v>
      </c>
      <c r="F18" s="56">
        <v>4.7699999999999996</v>
      </c>
      <c r="G18" s="56">
        <v>20.57</v>
      </c>
      <c r="H18" s="56">
        <v>10.39</v>
      </c>
      <c r="I18" s="56">
        <v>3.92</v>
      </c>
      <c r="J18" s="56">
        <v>1.60</v>
      </c>
      <c r="K18" s="56">
        <v>161.76</v>
      </c>
      <c r="L18" s="56">
        <v>21.60</v>
      </c>
      <c r="M18" s="56">
        <v>88.09</v>
      </c>
      <c r="N18" s="56">
        <v>361.80</v>
      </c>
      <c r="O18" s="56">
        <v>0</v>
      </c>
      <c r="P18" s="56">
        <v>0.30</v>
      </c>
      <c r="Q18" s="56">
        <v>9.36</v>
      </c>
      <c r="R18" s="43"/>
      <c r="S18" s="43"/>
      <c r="T18" s="43"/>
      <c r="U18" s="43"/>
    </row>
    <row r="19" spans="1:21" s="11" customFormat="1" ht="15">
      <c r="A19" s="55" t="s">
        <v>264</v>
      </c>
      <c r="B19" s="56">
        <v>0.10</v>
      </c>
      <c r="C19" s="56">
        <v>39.49</v>
      </c>
      <c r="D19" s="56">
        <v>20.63</v>
      </c>
      <c r="E19" s="56">
        <v>1.43</v>
      </c>
      <c r="F19" s="56">
        <v>10.34</v>
      </c>
      <c r="G19" s="56">
        <v>21.12</v>
      </c>
      <c r="H19" s="56">
        <v>17.59</v>
      </c>
      <c r="I19" s="56">
        <v>3.79</v>
      </c>
      <c r="J19" s="56">
        <v>1.48</v>
      </c>
      <c r="K19" s="56">
        <v>161.91999999999999</v>
      </c>
      <c r="L19" s="56">
        <v>24.21</v>
      </c>
      <c r="M19" s="56">
        <v>77.86</v>
      </c>
      <c r="N19" s="56">
        <v>827.30</v>
      </c>
      <c r="O19" s="56">
        <v>0.20</v>
      </c>
      <c r="P19" s="56">
        <v>0.31</v>
      </c>
      <c r="Q19" s="56">
        <v>9.49</v>
      </c>
      <c r="R19" s="43"/>
      <c r="S19" s="43"/>
      <c r="T19" s="43"/>
      <c r="U19" s="43"/>
    </row>
    <row r="20" spans="1:21" s="11" customFormat="1" ht="15">
      <c r="A20" s="55" t="s">
        <v>265</v>
      </c>
      <c r="B20" s="56">
        <v>0.10</v>
      </c>
      <c r="C20" s="56">
        <v>38.22</v>
      </c>
      <c r="D20" s="56">
        <v>19.97</v>
      </c>
      <c r="E20" s="56">
        <v>7.82</v>
      </c>
      <c r="F20" s="56">
        <v>7.52</v>
      </c>
      <c r="G20" s="58" t="s">
        <v>12</v>
      </c>
      <c r="H20" s="58" t="s">
        <v>12</v>
      </c>
      <c r="I20" s="56">
        <v>6.99</v>
      </c>
      <c r="J20" s="56">
        <v>1.23</v>
      </c>
      <c r="K20" s="56">
        <v>166.03</v>
      </c>
      <c r="L20" s="56">
        <v>26.35</v>
      </c>
      <c r="M20" s="56">
        <v>61</v>
      </c>
      <c r="N20" s="56">
        <v>894.10</v>
      </c>
      <c r="O20" s="56">
        <v>0</v>
      </c>
      <c r="P20" s="56">
        <v>0.28999999999999998</v>
      </c>
      <c r="Q20" s="56">
        <v>9.3699999999999992</v>
      </c>
      <c r="R20" s="43"/>
      <c r="S20" s="43"/>
      <c r="T20" s="43"/>
      <c r="U20" s="43"/>
    </row>
    <row r="21" spans="1:21" s="11" customFormat="1" ht="15">
      <c r="A21" s="55" t="s">
        <v>266</v>
      </c>
      <c r="B21" s="56">
        <v>0.11</v>
      </c>
      <c r="C21" s="56">
        <v>30.52</v>
      </c>
      <c r="D21" s="56">
        <v>15.94</v>
      </c>
      <c r="E21" s="56">
        <v>3.34</v>
      </c>
      <c r="F21" s="56">
        <v>7.77</v>
      </c>
      <c r="G21" s="58" t="s">
        <v>12</v>
      </c>
      <c r="H21" s="58" t="s">
        <v>12</v>
      </c>
      <c r="I21" s="56">
        <v>12.59</v>
      </c>
      <c r="J21" s="56">
        <v>0.45</v>
      </c>
      <c r="K21" s="56">
        <v>331.59</v>
      </c>
      <c r="L21" s="56">
        <v>28.21</v>
      </c>
      <c r="M21" s="56">
        <v>59</v>
      </c>
      <c r="N21" s="56">
        <v>739.80</v>
      </c>
      <c r="O21" s="56">
        <v>0</v>
      </c>
      <c r="P21" s="56">
        <v>0.30</v>
      </c>
      <c r="Q21" s="56">
        <v>9.33</v>
      </c>
      <c r="R21" s="43"/>
      <c r="S21" s="43"/>
      <c r="T21" s="43"/>
      <c r="U21" s="43"/>
    </row>
    <row r="22" spans="1:21" s="11" customFormat="1" ht="15">
      <c r="A22" s="55" t="s">
        <v>267</v>
      </c>
      <c r="B22" s="56">
        <v>0.10</v>
      </c>
      <c r="C22" s="56">
        <v>28.87</v>
      </c>
      <c r="D22" s="56">
        <v>15.08</v>
      </c>
      <c r="E22" s="56">
        <v>3.76</v>
      </c>
      <c r="F22" s="56">
        <v>7.43</v>
      </c>
      <c r="G22" s="58" t="s">
        <v>12</v>
      </c>
      <c r="H22" s="58" t="s">
        <v>12</v>
      </c>
      <c r="I22" s="56">
        <v>13.78</v>
      </c>
      <c r="J22" s="56">
        <v>0.78</v>
      </c>
      <c r="K22" s="56">
        <v>142.16</v>
      </c>
      <c r="L22" s="56">
        <v>28.66</v>
      </c>
      <c r="M22" s="56">
        <v>56.05</v>
      </c>
      <c r="N22" s="56">
        <v>700.40</v>
      </c>
      <c r="O22" s="56">
        <v>0</v>
      </c>
      <c r="P22" s="56">
        <v>0.31</v>
      </c>
      <c r="Q22" s="56">
        <v>9.2899999999999991</v>
      </c>
      <c r="R22" s="43"/>
      <c r="S22" s="43"/>
      <c r="T22" s="43"/>
      <c r="U22" s="43"/>
    </row>
    <row r="23" spans="1:21" s="11" customFormat="1" ht="15">
      <c r="A23" s="55" t="s">
        <v>268</v>
      </c>
      <c r="B23" s="56">
        <v>0.10</v>
      </c>
      <c r="C23" s="56">
        <v>32.60</v>
      </c>
      <c r="D23" s="56">
        <v>17.03</v>
      </c>
      <c r="E23" s="56">
        <v>3.30</v>
      </c>
      <c r="F23" s="56">
        <v>4.88</v>
      </c>
      <c r="G23" s="58" t="s">
        <v>12</v>
      </c>
      <c r="H23" s="58" t="s">
        <v>12</v>
      </c>
      <c r="I23" s="56">
        <v>10.210000000000001</v>
      </c>
      <c r="J23" s="56">
        <v>0.53</v>
      </c>
      <c r="K23" s="56">
        <v>175.56</v>
      </c>
      <c r="L23" s="56">
        <v>28.27</v>
      </c>
      <c r="M23" s="56">
        <v>55.02</v>
      </c>
      <c r="N23" s="56">
        <v>578.90</v>
      </c>
      <c r="O23" s="56">
        <v>0</v>
      </c>
      <c r="P23" s="56">
        <v>0.30</v>
      </c>
      <c r="Q23" s="56">
        <v>9.25</v>
      </c>
      <c r="R23" s="43"/>
      <c r="S23" s="43"/>
      <c r="T23" s="43"/>
      <c r="U23" s="43"/>
    </row>
    <row r="24" spans="1:21" s="11" customFormat="1" ht="15">
      <c r="A24" s="55" t="s">
        <v>269</v>
      </c>
      <c r="B24" s="56">
        <v>0.10</v>
      </c>
      <c r="C24" s="56">
        <v>30.81</v>
      </c>
      <c r="D24" s="56">
        <v>16.100000000000001</v>
      </c>
      <c r="E24" s="56">
        <v>3.61</v>
      </c>
      <c r="F24" s="56">
        <v>8.3800000000000008</v>
      </c>
      <c r="G24" s="56">
        <v>32.11</v>
      </c>
      <c r="H24" s="56">
        <v>5.56</v>
      </c>
      <c r="I24" s="56">
        <v>9.09</v>
      </c>
      <c r="J24" s="56">
        <v>1.24</v>
      </c>
      <c r="K24" s="56">
        <v>173.69</v>
      </c>
      <c r="L24" s="56">
        <v>28.27</v>
      </c>
      <c r="M24" s="56">
        <v>47.76</v>
      </c>
      <c r="N24" s="56">
        <v>434.40</v>
      </c>
      <c r="O24" s="56">
        <v>0</v>
      </c>
      <c r="P24" s="56">
        <v>0.28000000000000003</v>
      </c>
      <c r="Q24" s="56">
        <v>9.32</v>
      </c>
      <c r="R24" s="43"/>
      <c r="S24" s="43"/>
      <c r="T24" s="43"/>
      <c r="U24" s="43"/>
    </row>
    <row r="25" spans="1:21" s="11" customFormat="1" ht="15">
      <c r="A25" s="55" t="s">
        <v>270</v>
      </c>
      <c r="B25" s="56">
        <v>0.10</v>
      </c>
      <c r="C25" s="56">
        <v>30.07</v>
      </c>
      <c r="D25" s="56">
        <v>15.71</v>
      </c>
      <c r="E25" s="56">
        <v>0.94</v>
      </c>
      <c r="F25" s="56">
        <v>6.87</v>
      </c>
      <c r="G25" s="56">
        <v>28.21</v>
      </c>
      <c r="H25" s="56">
        <v>4.07</v>
      </c>
      <c r="I25" s="56">
        <v>6.65</v>
      </c>
      <c r="J25" s="56">
        <v>1.47</v>
      </c>
      <c r="K25" s="56">
        <v>169.91</v>
      </c>
      <c r="L25" s="56">
        <v>27.70</v>
      </c>
      <c r="M25" s="56">
        <v>49.44</v>
      </c>
      <c r="N25" s="56">
        <v>228.10</v>
      </c>
      <c r="O25" s="56">
        <v>0</v>
      </c>
      <c r="P25" s="56">
        <v>0.25</v>
      </c>
      <c r="Q25" s="56">
        <v>9.26</v>
      </c>
      <c r="R25" s="43"/>
      <c r="S25" s="43"/>
      <c r="T25" s="43"/>
      <c r="U25" s="43"/>
    </row>
    <row r="26" spans="1:21" s="11" customFormat="1" ht="15">
      <c r="A26" s="55" t="s">
        <v>271</v>
      </c>
      <c r="B26" s="56">
        <v>0.49</v>
      </c>
      <c r="C26" s="56">
        <v>32.79</v>
      </c>
      <c r="D26" s="56">
        <v>17.45</v>
      </c>
      <c r="E26" s="56">
        <v>0.80</v>
      </c>
      <c r="F26" s="56">
        <v>4.41</v>
      </c>
      <c r="G26" s="56">
        <v>28.26</v>
      </c>
      <c r="H26" s="56">
        <v>6.59</v>
      </c>
      <c r="I26" s="56">
        <v>5.66</v>
      </c>
      <c r="J26" s="56">
        <v>0.87</v>
      </c>
      <c r="K26" s="56">
        <v>166.19</v>
      </c>
      <c r="L26" s="56">
        <v>26.71</v>
      </c>
      <c r="M26" s="56">
        <v>55.84</v>
      </c>
      <c r="N26" s="56">
        <v>79.30</v>
      </c>
      <c r="O26" s="56">
        <v>0</v>
      </c>
      <c r="P26" s="56">
        <v>0.27</v>
      </c>
      <c r="Q26" s="56">
        <v>9.39</v>
      </c>
      <c r="R26" s="43"/>
      <c r="S26" s="43"/>
      <c r="T26" s="43"/>
      <c r="U26" s="43"/>
    </row>
    <row r="27" spans="1:21" s="11" customFormat="1" ht="15">
      <c r="A27" s="55" t="s">
        <v>272</v>
      </c>
      <c r="B27" s="56">
        <v>1.84</v>
      </c>
      <c r="C27" s="56">
        <v>34.83</v>
      </c>
      <c r="D27" s="56">
        <v>19.59</v>
      </c>
      <c r="E27" s="56">
        <v>0.92</v>
      </c>
      <c r="F27" s="56">
        <v>3.70</v>
      </c>
      <c r="G27" s="56">
        <v>23.33</v>
      </c>
      <c r="H27" s="56">
        <v>5.21</v>
      </c>
      <c r="I27" s="56">
        <v>6.35</v>
      </c>
      <c r="J27" s="56">
        <v>0.80</v>
      </c>
      <c r="K27" s="56">
        <v>308.35000000000002</v>
      </c>
      <c r="L27" s="56">
        <v>25.46</v>
      </c>
      <c r="M27" s="56">
        <v>66.209999999999994</v>
      </c>
      <c r="N27" s="56">
        <v>23.5</v>
      </c>
      <c r="O27" s="56">
        <v>0</v>
      </c>
      <c r="P27" s="56">
        <v>0.34</v>
      </c>
      <c r="Q27" s="56">
        <v>9.34</v>
      </c>
      <c r="R27" s="43"/>
      <c r="S27" s="43"/>
      <c r="T27" s="43"/>
      <c r="U27" s="43"/>
    </row>
    <row r="28" spans="1:21" s="11" customFormat="1" ht="15">
      <c r="A28" s="55" t="s">
        <v>273</v>
      </c>
      <c r="B28" s="56">
        <v>7.20</v>
      </c>
      <c r="C28" s="56">
        <v>37.07</v>
      </c>
      <c r="D28" s="56">
        <v>24.99</v>
      </c>
      <c r="E28" s="56">
        <v>1.1000000000000001</v>
      </c>
      <c r="F28" s="56">
        <v>3.60</v>
      </c>
      <c r="G28" s="56">
        <v>37.659999999999997</v>
      </c>
      <c r="H28" s="56">
        <v>9.31</v>
      </c>
      <c r="I28" s="56">
        <v>6.81</v>
      </c>
      <c r="J28" s="56">
        <v>0.14000000000000001</v>
      </c>
      <c r="K28" s="56">
        <v>311.69</v>
      </c>
      <c r="L28" s="56">
        <v>24.34</v>
      </c>
      <c r="M28" s="56">
        <v>68.44</v>
      </c>
      <c r="N28" s="56">
        <v>21</v>
      </c>
      <c r="O28" s="56">
        <v>0</v>
      </c>
      <c r="P28" s="56">
        <v>0.51</v>
      </c>
      <c r="Q28" s="56">
        <v>9.36</v>
      </c>
      <c r="R28" s="43"/>
      <c r="S28" s="43"/>
      <c r="T28" s="43"/>
      <c r="U28" s="43"/>
    </row>
    <row r="29" spans="1:21" s="11" customFormat="1" ht="15">
      <c r="A29" s="55" t="s">
        <v>274</v>
      </c>
      <c r="B29" s="56">
        <v>11</v>
      </c>
      <c r="C29" s="56">
        <v>37.46</v>
      </c>
      <c r="D29" s="56">
        <v>28.32</v>
      </c>
      <c r="E29" s="56">
        <v>1.5</v>
      </c>
      <c r="F29" s="56">
        <v>3.88</v>
      </c>
      <c r="G29" s="56">
        <v>42.80</v>
      </c>
      <c r="H29" s="56">
        <v>12.82</v>
      </c>
      <c r="I29" s="56">
        <v>6.88</v>
      </c>
      <c r="J29" s="56">
        <v>0.47</v>
      </c>
      <c r="K29" s="56">
        <v>293.43</v>
      </c>
      <c r="L29" s="56">
        <v>23.98</v>
      </c>
      <c r="M29" s="56">
        <v>73.900000000000006</v>
      </c>
      <c r="N29" s="56">
        <v>21.40</v>
      </c>
      <c r="O29" s="56">
        <v>0</v>
      </c>
      <c r="P29" s="56">
        <v>0.61</v>
      </c>
      <c r="Q29" s="56">
        <v>9.52</v>
      </c>
      <c r="R29" s="43"/>
      <c r="S29" s="43"/>
      <c r="T29" s="43"/>
      <c r="U29" s="43"/>
    </row>
    <row r="30" spans="1:21" s="11" customFormat="1" ht="15">
      <c r="A30" s="55" t="s">
        <v>275</v>
      </c>
      <c r="B30" s="56">
        <v>22.54</v>
      </c>
      <c r="C30" s="56">
        <v>39.22</v>
      </c>
      <c r="D30" s="56">
        <v>38.24</v>
      </c>
      <c r="E30" s="56">
        <v>1.47</v>
      </c>
      <c r="F30" s="56">
        <v>3.54</v>
      </c>
      <c r="G30" s="56">
        <v>46.55</v>
      </c>
      <c r="H30" s="56">
        <v>12.81</v>
      </c>
      <c r="I30" s="56">
        <v>7.24</v>
      </c>
      <c r="J30" s="56">
        <v>0.20</v>
      </c>
      <c r="K30" s="56">
        <v>347.15</v>
      </c>
      <c r="L30" s="56">
        <v>22.5</v>
      </c>
      <c r="M30" s="56">
        <v>84.30</v>
      </c>
      <c r="N30" s="56">
        <v>21.20</v>
      </c>
      <c r="O30" s="56">
        <v>0</v>
      </c>
      <c r="P30" s="56">
        <v>0.82</v>
      </c>
      <c r="Q30" s="56">
        <v>9.5399999999999991</v>
      </c>
      <c r="R30" s="43"/>
      <c r="S30" s="43"/>
      <c r="T30" s="43"/>
      <c r="U30" s="43"/>
    </row>
    <row r="31" spans="1:21" s="11" customFormat="1" ht="15">
      <c r="A31" s="55" t="s">
        <v>276</v>
      </c>
      <c r="B31" s="56">
        <v>35.659999999999997</v>
      </c>
      <c r="C31" s="56">
        <v>38.5</v>
      </c>
      <c r="D31" s="56">
        <v>47.91</v>
      </c>
      <c r="E31" s="56">
        <v>1.77</v>
      </c>
      <c r="F31" s="56">
        <v>3.54</v>
      </c>
      <c r="G31" s="56">
        <v>58.69</v>
      </c>
      <c r="H31" s="56">
        <v>19.149999999999999</v>
      </c>
      <c r="I31" s="56">
        <v>8.31</v>
      </c>
      <c r="J31" s="56">
        <v>0.20</v>
      </c>
      <c r="K31" s="56">
        <v>329.55</v>
      </c>
      <c r="L31" s="56">
        <v>21.66</v>
      </c>
      <c r="M31" s="56">
        <v>95.07</v>
      </c>
      <c r="N31" s="56">
        <v>21.20</v>
      </c>
      <c r="O31" s="56">
        <v>0</v>
      </c>
      <c r="P31" s="56">
        <v>0.99</v>
      </c>
      <c r="Q31" s="56">
        <v>9.67</v>
      </c>
      <c r="R31" s="43"/>
      <c r="S31" s="43"/>
      <c r="T31" s="43"/>
      <c r="U31" s="43"/>
    </row>
    <row r="32" spans="1:21" s="11" customFormat="1" ht="15">
      <c r="A32" s="55" t="s">
        <v>277</v>
      </c>
      <c r="B32" s="56">
        <v>53.52</v>
      </c>
      <c r="C32" s="56">
        <v>38.119999999999997</v>
      </c>
      <c r="D32" s="56">
        <v>62.76</v>
      </c>
      <c r="E32" s="56">
        <v>2.3199999999999998</v>
      </c>
      <c r="F32" s="56">
        <v>3.37</v>
      </c>
      <c r="G32" s="56">
        <v>69.94</v>
      </c>
      <c r="H32" s="56">
        <v>21.46</v>
      </c>
      <c r="I32" s="56">
        <v>9.2899999999999991</v>
      </c>
      <c r="J32" s="56">
        <v>0.14000000000000001</v>
      </c>
      <c r="K32" s="56">
        <v>326.26</v>
      </c>
      <c r="L32" s="56">
        <v>21.56</v>
      </c>
      <c r="M32" s="56">
        <v>96.78</v>
      </c>
      <c r="N32" s="56">
        <v>21.40</v>
      </c>
      <c r="O32" s="56">
        <v>0</v>
      </c>
      <c r="P32" s="56">
        <v>1.27</v>
      </c>
      <c r="Q32" s="56">
        <v>9.92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28.870000000000001</v>
      </c>
      <c r="D34" s="28">
        <f t="shared" si="0"/>
        <v>15.08</v>
      </c>
      <c r="E34" s="28">
        <f t="shared" si="0"/>
        <v>0.80000000000000004</v>
      </c>
      <c r="F34" s="28">
        <f t="shared" si="0"/>
        <v>3.3700000000000001</v>
      </c>
      <c r="G34" s="28">
        <f t="shared" si="0"/>
        <v>19.100000000000001</v>
      </c>
      <c r="H34" s="28">
        <f t="shared" si="0"/>
        <v>4.0700000000000003</v>
      </c>
      <c r="I34" s="28">
        <f t="shared" si="0"/>
        <v>3.79</v>
      </c>
      <c r="J34" s="28">
        <f t="shared" si="0"/>
        <v>0.14000000000000001</v>
      </c>
      <c r="K34" s="28">
        <f t="shared" si="0"/>
        <v>142.16</v>
      </c>
      <c r="L34" s="28">
        <f t="shared" si="0"/>
        <v>17.57</v>
      </c>
      <c r="M34" s="28">
        <f t="shared" si="0"/>
        <v>47.759999999999998</v>
      </c>
      <c r="N34" s="28">
        <f t="shared" si="0"/>
        <v>17</v>
      </c>
      <c r="O34" s="28">
        <f t="shared" si="0"/>
        <v>0</v>
      </c>
      <c r="P34" s="28">
        <f t="shared" si="0"/>
        <v>0.25</v>
      </c>
      <c r="Q34" s="28">
        <f t="shared" si="0"/>
        <v>9.25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53.520000000000003</v>
      </c>
      <c r="C35" s="29">
        <f t="shared" si="1"/>
        <v>46.859999999999999</v>
      </c>
      <c r="D35" s="29">
        <f t="shared" si="1"/>
        <v>62.759999999999998</v>
      </c>
      <c r="E35" s="29">
        <f t="shared" si="1"/>
        <v>7.8200000000000003</v>
      </c>
      <c r="F35" s="29">
        <f t="shared" si="1"/>
        <v>10.34</v>
      </c>
      <c r="G35" s="29">
        <f t="shared" si="1"/>
        <v>69.939999999999998</v>
      </c>
      <c r="H35" s="29">
        <f t="shared" si="1"/>
        <v>21.460000000000001</v>
      </c>
      <c r="I35" s="29">
        <f t="shared" si="1"/>
        <v>13.779999999999999</v>
      </c>
      <c r="J35" s="29">
        <f t="shared" si="1"/>
        <v>2.52</v>
      </c>
      <c r="K35" s="29">
        <f t="shared" si="1"/>
        <v>350.73000000000002</v>
      </c>
      <c r="L35" s="29">
        <f t="shared" si="1"/>
        <v>28.66</v>
      </c>
      <c r="M35" s="29">
        <f t="shared" si="1"/>
        <v>97.829999999999998</v>
      </c>
      <c r="N35" s="29">
        <f t="shared" si="1"/>
        <v>894.10000000000002</v>
      </c>
      <c r="O35" s="29">
        <f t="shared" si="1"/>
        <v>8</v>
      </c>
      <c r="P35" s="29">
        <f t="shared" si="1"/>
        <v>1.27</v>
      </c>
      <c r="Q35" s="29">
        <f t="shared" si="1"/>
        <v>9.9199999999999999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6.2879166666666677</v>
      </c>
      <c r="C36" s="28">
        <f t="shared" si="2"/>
        <v>38.024583333333339</v>
      </c>
      <c r="D36" s="28">
        <f t="shared" si="2"/>
        <v>24.768333333333331</v>
      </c>
      <c r="E36" s="28">
        <f t="shared" si="2"/>
        <v>1.9675</v>
      </c>
      <c r="F36" s="28">
        <f t="shared" si="2"/>
        <v>5.2187499999999991</v>
      </c>
      <c r="G36" s="28">
        <f t="shared" si="2"/>
        <v>30.709500000000002</v>
      </c>
      <c r="H36" s="28">
        <f t="shared" si="2"/>
        <v>10.772000000000002</v>
      </c>
      <c r="I36" s="28">
        <f t="shared" si="2"/>
        <v>6.8937500000000007</v>
      </c>
      <c r="J36" s="28">
        <f t="shared" si="2"/>
        <v>1.0933333333333333</v>
      </c>
      <c r="K36" s="28">
        <f t="shared" si="2"/>
        <v>228.41583333333335</v>
      </c>
      <c r="L36" s="28">
        <f t="shared" si="2"/>
        <v>22.823333333333327</v>
      </c>
      <c r="M36" s="28">
        <f t="shared" si="2"/>
        <v>78.291666666666671</v>
      </c>
      <c r="N36" s="28">
        <f t="shared" si="2"/>
        <v>224.79166666666663</v>
      </c>
      <c r="O36" s="28">
        <f t="shared" si="2"/>
        <v>0.75</v>
      </c>
      <c r="P36" s="28">
        <f t="shared" si="2"/>
        <v>0.42958333333333326</v>
      </c>
      <c r="Q36" s="28">
        <f t="shared" si="2"/>
        <v>9.4512499999999999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13.110995710261397</v>
      </c>
      <c r="C37" s="28">
        <f t="shared" si="3" ref="C37:Q37">STDEV(C9:C32)</f>
        <v>4.9561950510505488</v>
      </c>
      <c r="D37" s="28">
        <f t="shared" si="3"/>
        <v>10.976111082380392</v>
      </c>
      <c r="E37" s="28">
        <f t="shared" si="3"/>
        <v>1.5243822697564497</v>
      </c>
      <c r="F37" s="28">
        <f t="shared" si="3"/>
        <v>1.9361510732019029</v>
      </c>
      <c r="G37" s="28">
        <f t="shared" si="3"/>
        <v>13.989249810592327</v>
      </c>
      <c r="H37" s="28">
        <f t="shared" si="3"/>
        <v>4.5668180791904813</v>
      </c>
      <c r="I37" s="28">
        <f t="shared" si="3"/>
        <v>2.6385961558967348</v>
      </c>
      <c r="J37" s="28">
        <f t="shared" si="3"/>
        <v>0.66021516036138905</v>
      </c>
      <c r="K37" s="28">
        <f t="shared" si="3"/>
        <v>77.679346083569726</v>
      </c>
      <c r="L37" s="28">
        <f t="shared" si="3"/>
        <v>3.8792992046039565</v>
      </c>
      <c r="M37" s="28">
        <f t="shared" si="3"/>
        <v>17.905966376715273</v>
      </c>
      <c r="N37" s="28">
        <f t="shared" si="3"/>
        <v>300.48080878697624</v>
      </c>
      <c r="O37" s="28">
        <f t="shared" si="3"/>
        <v>2.1331748129510379</v>
      </c>
      <c r="P37" s="28">
        <f t="shared" si="3"/>
        <v>0.25886842665501075</v>
      </c>
      <c r="Q37" s="28">
        <f t="shared" si="3"/>
        <v>0.15382973365557151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7c5244-566b-4970-b8ef-ab66baabbff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278</v>
      </c>
      <c r="B9" s="56">
        <v>56.07</v>
      </c>
      <c r="C9" s="56">
        <v>37.69</v>
      </c>
      <c r="D9" s="56">
        <v>64.510000000000005</v>
      </c>
      <c r="E9" s="56">
        <v>2.31</v>
      </c>
      <c r="F9" s="56">
        <v>3.58</v>
      </c>
      <c r="G9" s="56">
        <v>76.73</v>
      </c>
      <c r="H9" s="56">
        <v>24.48</v>
      </c>
      <c r="I9" s="56">
        <v>9.8699999999999992</v>
      </c>
      <c r="J9" s="56">
        <v>0.31</v>
      </c>
      <c r="K9" s="56">
        <v>329.20</v>
      </c>
      <c r="L9" s="56">
        <v>22.29</v>
      </c>
      <c r="M9" s="56">
        <v>90.98</v>
      </c>
      <c r="N9" s="56">
        <v>21.5</v>
      </c>
      <c r="O9" s="56">
        <v>0</v>
      </c>
      <c r="P9" s="56">
        <v>1.34</v>
      </c>
      <c r="Q9" s="56">
        <v>10.07</v>
      </c>
      <c r="R9" s="43"/>
      <c r="S9" s="43"/>
      <c r="T9" s="43"/>
      <c r="U9" s="43"/>
    </row>
    <row r="10" spans="1:21" s="11" customFormat="1" ht="15">
      <c r="A10" s="55" t="s">
        <v>279</v>
      </c>
      <c r="B10" s="56">
        <v>51.45</v>
      </c>
      <c r="C10" s="56">
        <v>37.51</v>
      </c>
      <c r="D10" s="56">
        <v>59.56</v>
      </c>
      <c r="E10" s="56">
        <v>2.10</v>
      </c>
      <c r="F10" s="56">
        <v>3.22</v>
      </c>
      <c r="G10" s="56">
        <v>76.83</v>
      </c>
      <c r="H10" s="56">
        <v>26.07</v>
      </c>
      <c r="I10" s="56">
        <v>9.81</v>
      </c>
      <c r="J10" s="56">
        <v>0.51</v>
      </c>
      <c r="K10" s="56">
        <v>319.20999999999998</v>
      </c>
      <c r="L10" s="56">
        <v>22.02</v>
      </c>
      <c r="M10" s="56">
        <v>88.65</v>
      </c>
      <c r="N10" s="56">
        <v>21.5</v>
      </c>
      <c r="O10" s="56">
        <v>0.20</v>
      </c>
      <c r="P10" s="56">
        <v>1.1399999999999999</v>
      </c>
      <c r="Q10" s="56">
        <v>9.94</v>
      </c>
      <c r="R10" s="43"/>
      <c r="S10" s="43"/>
      <c r="T10" s="43"/>
      <c r="U10" s="43"/>
    </row>
    <row r="11" spans="1:21" s="11" customFormat="1" ht="15">
      <c r="A11" s="55" t="s">
        <v>280</v>
      </c>
      <c r="B11" s="56">
        <v>38.32</v>
      </c>
      <c r="C11" s="56">
        <v>44.80</v>
      </c>
      <c r="D11" s="56">
        <v>52.69</v>
      </c>
      <c r="E11" s="56">
        <v>2.0699999999999998</v>
      </c>
      <c r="F11" s="56">
        <v>3.5</v>
      </c>
      <c r="G11" s="56">
        <v>61.29</v>
      </c>
      <c r="H11" s="56">
        <v>19.25</v>
      </c>
      <c r="I11" s="56">
        <v>8.40</v>
      </c>
      <c r="J11" s="56">
        <v>1.69</v>
      </c>
      <c r="K11" s="56">
        <v>323.56</v>
      </c>
      <c r="L11" s="56">
        <v>20.86</v>
      </c>
      <c r="M11" s="56">
        <v>97.22</v>
      </c>
      <c r="N11" s="56">
        <v>21.30</v>
      </c>
      <c r="O11" s="56">
        <v>0</v>
      </c>
      <c r="P11" s="56">
        <v>0.97</v>
      </c>
      <c r="Q11" s="56">
        <v>9.7200000000000006</v>
      </c>
      <c r="R11" s="43"/>
      <c r="S11" s="43"/>
      <c r="T11" s="43"/>
      <c r="U11" s="43"/>
    </row>
    <row r="12" spans="1:21" s="11" customFormat="1" ht="15">
      <c r="A12" s="55" t="s">
        <v>281</v>
      </c>
      <c r="B12" s="56">
        <v>18.80</v>
      </c>
      <c r="C12" s="56">
        <v>43.45</v>
      </c>
      <c r="D12" s="56">
        <v>37.69</v>
      </c>
      <c r="E12" s="56">
        <v>2.02</v>
      </c>
      <c r="F12" s="56">
        <v>3.35</v>
      </c>
      <c r="G12" s="56">
        <v>45.60</v>
      </c>
      <c r="H12" s="56">
        <v>17.82</v>
      </c>
      <c r="I12" s="56">
        <v>7.09</v>
      </c>
      <c r="J12" s="56">
        <v>0.70</v>
      </c>
      <c r="K12" s="56">
        <v>314.77999999999997</v>
      </c>
      <c r="L12" s="56">
        <v>20</v>
      </c>
      <c r="M12" s="56">
        <v>97.34</v>
      </c>
      <c r="N12" s="56">
        <v>21.5</v>
      </c>
      <c r="O12" s="56">
        <v>0</v>
      </c>
      <c r="P12" s="56">
        <v>0.71</v>
      </c>
      <c r="Q12" s="56">
        <v>9.51</v>
      </c>
      <c r="R12" s="43"/>
      <c r="S12" s="43"/>
      <c r="T12" s="43"/>
      <c r="U12" s="43"/>
    </row>
    <row r="13" spans="1:21" s="11" customFormat="1" ht="15">
      <c r="A13" s="55" t="s">
        <v>282</v>
      </c>
      <c r="B13" s="56">
        <v>15.90</v>
      </c>
      <c r="C13" s="56">
        <v>35.07</v>
      </c>
      <c r="D13" s="56">
        <v>30.99</v>
      </c>
      <c r="E13" s="56">
        <v>2.2000000000000002</v>
      </c>
      <c r="F13" s="56">
        <v>3.39</v>
      </c>
      <c r="G13" s="56">
        <v>34.65</v>
      </c>
      <c r="H13" s="56">
        <v>16.75</v>
      </c>
      <c r="I13" s="56">
        <v>6.74</v>
      </c>
      <c r="J13" s="56">
        <v>0.78</v>
      </c>
      <c r="K13" s="56">
        <v>165.91</v>
      </c>
      <c r="L13" s="56">
        <v>20.329999999999998</v>
      </c>
      <c r="M13" s="56">
        <v>91.64</v>
      </c>
      <c r="N13" s="56">
        <v>21.40</v>
      </c>
      <c r="O13" s="56">
        <v>0</v>
      </c>
      <c r="P13" s="56">
        <v>0.62</v>
      </c>
      <c r="Q13" s="56">
        <v>9.52</v>
      </c>
      <c r="R13" s="43"/>
      <c r="S13" s="43"/>
      <c r="T13" s="43"/>
      <c r="U13" s="43"/>
    </row>
    <row r="14" spans="1:21" s="11" customFormat="1" ht="15">
      <c r="A14" s="55" t="s">
        <v>283</v>
      </c>
      <c r="B14" s="56">
        <v>12.51</v>
      </c>
      <c r="C14" s="56">
        <v>32.659999999999997</v>
      </c>
      <c r="D14" s="56">
        <v>27.02</v>
      </c>
      <c r="E14" s="56">
        <v>2.0499999999999998</v>
      </c>
      <c r="F14" s="56">
        <v>3.39</v>
      </c>
      <c r="G14" s="56">
        <v>29.08</v>
      </c>
      <c r="H14" s="56">
        <v>14.63</v>
      </c>
      <c r="I14" s="56">
        <v>6.71</v>
      </c>
      <c r="J14" s="56">
        <v>0.46</v>
      </c>
      <c r="K14" s="56">
        <v>174.56</v>
      </c>
      <c r="L14" s="56">
        <v>19.91</v>
      </c>
      <c r="M14" s="56">
        <v>97.02</v>
      </c>
      <c r="N14" s="56">
        <v>34.10</v>
      </c>
      <c r="O14" s="56">
        <v>0</v>
      </c>
      <c r="P14" s="56">
        <v>0.54</v>
      </c>
      <c r="Q14" s="56">
        <v>9.48</v>
      </c>
      <c r="R14" s="43"/>
      <c r="S14" s="43"/>
      <c r="T14" s="43"/>
      <c r="U14" s="43"/>
    </row>
    <row r="15" spans="1:21" s="11" customFormat="1" ht="15">
      <c r="A15" s="55" t="s">
        <v>284</v>
      </c>
      <c r="B15" s="56">
        <v>10.77</v>
      </c>
      <c r="C15" s="56">
        <v>34.08</v>
      </c>
      <c r="D15" s="56">
        <v>26.31</v>
      </c>
      <c r="E15" s="56">
        <v>1.95</v>
      </c>
      <c r="F15" s="56">
        <v>3.54</v>
      </c>
      <c r="G15" s="56">
        <v>26.46</v>
      </c>
      <c r="H15" s="56">
        <v>14.09</v>
      </c>
      <c r="I15" s="56">
        <v>6.15</v>
      </c>
      <c r="J15" s="56">
        <v>1.0900000000000001</v>
      </c>
      <c r="K15" s="56">
        <v>176.65</v>
      </c>
      <c r="L15" s="56">
        <v>20.76</v>
      </c>
      <c r="M15" s="56">
        <v>96.63</v>
      </c>
      <c r="N15" s="56">
        <v>164.60</v>
      </c>
      <c r="O15" s="56">
        <v>0</v>
      </c>
      <c r="P15" s="56">
        <v>0.49</v>
      </c>
      <c r="Q15" s="56">
        <v>9.44</v>
      </c>
      <c r="R15" s="43"/>
      <c r="S15" s="43"/>
      <c r="T15" s="43"/>
      <c r="U15" s="43"/>
    </row>
    <row r="16" spans="1:21" s="11" customFormat="1" ht="15">
      <c r="A16" s="55" t="s">
        <v>285</v>
      </c>
      <c r="B16" s="56">
        <v>10.69</v>
      </c>
      <c r="C16" s="56">
        <v>34.94</v>
      </c>
      <c r="D16" s="56">
        <v>26.75</v>
      </c>
      <c r="E16" s="56">
        <v>1.82</v>
      </c>
      <c r="F16" s="56">
        <v>3.30</v>
      </c>
      <c r="G16" s="56">
        <v>36.39</v>
      </c>
      <c r="H16" s="56">
        <v>15.76</v>
      </c>
      <c r="I16" s="56">
        <v>5.73</v>
      </c>
      <c r="J16" s="56">
        <v>1.1200000000000001</v>
      </c>
      <c r="K16" s="56">
        <v>173.97</v>
      </c>
      <c r="L16" s="56">
        <v>22.94</v>
      </c>
      <c r="M16" s="56">
        <v>90.26</v>
      </c>
      <c r="N16" s="56">
        <v>375.20</v>
      </c>
      <c r="O16" s="56">
        <v>0</v>
      </c>
      <c r="P16" s="56">
        <v>0.59</v>
      </c>
      <c r="Q16" s="56">
        <v>9.41</v>
      </c>
      <c r="R16" s="43"/>
      <c r="S16" s="43"/>
      <c r="T16" s="43"/>
      <c r="U16" s="43"/>
    </row>
    <row r="17" spans="1:21" s="11" customFormat="1" ht="15">
      <c r="A17" s="55" t="s">
        <v>286</v>
      </c>
      <c r="B17" s="56">
        <v>9.56</v>
      </c>
      <c r="C17" s="56">
        <v>34.119999999999997</v>
      </c>
      <c r="D17" s="56">
        <v>25.31</v>
      </c>
      <c r="E17" s="56">
        <v>1.47</v>
      </c>
      <c r="F17" s="56">
        <v>4</v>
      </c>
      <c r="G17" s="56">
        <v>37.69</v>
      </c>
      <c r="H17" s="56">
        <v>14.76</v>
      </c>
      <c r="I17" s="56">
        <v>5.64</v>
      </c>
      <c r="J17" s="56">
        <v>1.41</v>
      </c>
      <c r="K17" s="56">
        <v>180.09</v>
      </c>
      <c r="L17" s="56">
        <v>25.36</v>
      </c>
      <c r="M17" s="56">
        <v>76.5</v>
      </c>
      <c r="N17" s="56">
        <v>611.70000000000005</v>
      </c>
      <c r="O17" s="56">
        <v>0</v>
      </c>
      <c r="P17" s="56">
        <v>0.56000000000000005</v>
      </c>
      <c r="Q17" s="56">
        <v>9.41</v>
      </c>
      <c r="R17" s="43"/>
      <c r="S17" s="43"/>
      <c r="T17" s="43"/>
      <c r="U17" s="43"/>
    </row>
    <row r="18" spans="1:21" s="11" customFormat="1" ht="15">
      <c r="A18" s="55" t="s">
        <v>287</v>
      </c>
      <c r="B18" s="56">
        <v>5.76</v>
      </c>
      <c r="C18" s="56">
        <v>31.91</v>
      </c>
      <c r="D18" s="56">
        <v>20.57</v>
      </c>
      <c r="E18" s="56">
        <v>1.47</v>
      </c>
      <c r="F18" s="56">
        <v>4.0599999999999996</v>
      </c>
      <c r="G18" s="56">
        <v>36.03</v>
      </c>
      <c r="H18" s="56">
        <v>15.11</v>
      </c>
      <c r="I18" s="56">
        <v>5.42</v>
      </c>
      <c r="J18" s="56">
        <v>0.51</v>
      </c>
      <c r="K18" s="56">
        <v>351.16</v>
      </c>
      <c r="L18" s="56">
        <v>31.45</v>
      </c>
      <c r="M18" s="56">
        <v>61.42</v>
      </c>
      <c r="N18" s="56">
        <v>792.30</v>
      </c>
      <c r="O18" s="56">
        <v>0</v>
      </c>
      <c r="P18" s="56">
        <v>0.57999999999999996</v>
      </c>
      <c r="Q18" s="56">
        <v>9.42</v>
      </c>
      <c r="R18" s="43"/>
      <c r="S18" s="43"/>
      <c r="T18" s="43"/>
      <c r="U18" s="43"/>
    </row>
    <row r="19" spans="1:21" s="11" customFormat="1" ht="15">
      <c r="A19" s="55" t="s">
        <v>288</v>
      </c>
      <c r="B19" s="56">
        <v>4.1100000000000003</v>
      </c>
      <c r="C19" s="56">
        <v>32.29</v>
      </c>
      <c r="D19" s="56">
        <v>20.059999999999999</v>
      </c>
      <c r="E19" s="56">
        <v>1.31</v>
      </c>
      <c r="F19" s="56">
        <v>4.3099999999999996</v>
      </c>
      <c r="G19" s="56">
        <v>34.89</v>
      </c>
      <c r="H19" s="56">
        <v>15.76</v>
      </c>
      <c r="I19" s="56">
        <v>5.65</v>
      </c>
      <c r="J19" s="56">
        <v>0.63</v>
      </c>
      <c r="K19" s="56">
        <v>349.42</v>
      </c>
      <c r="L19" s="56">
        <v>32.44</v>
      </c>
      <c r="M19" s="56">
        <v>51.12</v>
      </c>
      <c r="N19" s="56">
        <v>918.70</v>
      </c>
      <c r="O19" s="56">
        <v>0</v>
      </c>
      <c r="P19" s="56">
        <v>0.59</v>
      </c>
      <c r="Q19" s="56">
        <v>9.34</v>
      </c>
      <c r="R19" s="43"/>
      <c r="S19" s="43"/>
      <c r="T19" s="43"/>
      <c r="U19" s="43"/>
    </row>
    <row r="20" spans="1:21" s="11" customFormat="1" ht="15">
      <c r="A20" s="55" t="s">
        <v>289</v>
      </c>
      <c r="B20" s="56">
        <v>0.72</v>
      </c>
      <c r="C20" s="56">
        <v>35.78</v>
      </c>
      <c r="D20" s="56">
        <v>19.12</v>
      </c>
      <c r="E20" s="56">
        <v>1.62</v>
      </c>
      <c r="F20" s="56">
        <v>4.57</v>
      </c>
      <c r="G20" s="56">
        <v>35.770000000000003</v>
      </c>
      <c r="H20" s="56">
        <v>17.98</v>
      </c>
      <c r="I20" s="56">
        <v>6.25</v>
      </c>
      <c r="J20" s="56">
        <v>0.86</v>
      </c>
      <c r="K20" s="56">
        <v>359.39</v>
      </c>
      <c r="L20" s="56">
        <v>33.270000000000003</v>
      </c>
      <c r="M20" s="56">
        <v>39.880000000000003</v>
      </c>
      <c r="N20" s="56">
        <v>972.5</v>
      </c>
      <c r="O20" s="56">
        <v>0</v>
      </c>
      <c r="P20" s="56">
        <v>0.60</v>
      </c>
      <c r="Q20" s="56">
        <v>9.32</v>
      </c>
      <c r="R20" s="43"/>
      <c r="S20" s="43"/>
      <c r="T20" s="43"/>
      <c r="U20" s="43"/>
    </row>
    <row r="21" spans="1:21" s="11" customFormat="1" ht="15">
      <c r="A21" s="55" t="s">
        <v>290</v>
      </c>
      <c r="B21" s="56">
        <v>0.31</v>
      </c>
      <c r="C21" s="56">
        <v>34.909999999999997</v>
      </c>
      <c r="D21" s="56">
        <v>18.41</v>
      </c>
      <c r="E21" s="56">
        <v>1.41</v>
      </c>
      <c r="F21" s="56">
        <v>5.43</v>
      </c>
      <c r="G21" s="56">
        <v>34.799999999999997</v>
      </c>
      <c r="H21" s="56">
        <v>18.55</v>
      </c>
      <c r="I21" s="56">
        <v>7.29</v>
      </c>
      <c r="J21" s="56">
        <v>1.1299999999999999</v>
      </c>
      <c r="K21" s="56">
        <v>180.21</v>
      </c>
      <c r="L21" s="56">
        <v>32.299999999999997</v>
      </c>
      <c r="M21" s="56">
        <v>34.380000000000003</v>
      </c>
      <c r="N21" s="56">
        <v>969</v>
      </c>
      <c r="O21" s="56">
        <v>0</v>
      </c>
      <c r="P21" s="56">
        <v>0.60</v>
      </c>
      <c r="Q21" s="56">
        <v>9.32</v>
      </c>
      <c r="R21" s="43"/>
      <c r="S21" s="43"/>
      <c r="T21" s="43"/>
      <c r="U21" s="43"/>
    </row>
    <row r="22" spans="1:21" s="11" customFormat="1" ht="15">
      <c r="A22" s="55" t="s">
        <v>291</v>
      </c>
      <c r="B22" s="56">
        <v>0.10</v>
      </c>
      <c r="C22" s="56">
        <v>39.25</v>
      </c>
      <c r="D22" s="56">
        <v>20.51</v>
      </c>
      <c r="E22" s="56">
        <v>1.45</v>
      </c>
      <c r="F22" s="56">
        <v>5.79</v>
      </c>
      <c r="G22" s="56">
        <v>29.70</v>
      </c>
      <c r="H22" s="56">
        <v>13.41</v>
      </c>
      <c r="I22" s="56">
        <v>7.11</v>
      </c>
      <c r="J22" s="56">
        <v>1.29</v>
      </c>
      <c r="K22" s="56">
        <v>169.59</v>
      </c>
      <c r="L22" s="56">
        <v>32.03</v>
      </c>
      <c r="M22" s="56">
        <v>34</v>
      </c>
      <c r="N22" s="56">
        <v>869.60</v>
      </c>
      <c r="O22" s="56">
        <v>0</v>
      </c>
      <c r="P22" s="56">
        <v>0.49</v>
      </c>
      <c r="Q22" s="56">
        <v>9.33</v>
      </c>
      <c r="R22" s="43"/>
      <c r="S22" s="43"/>
      <c r="T22" s="43"/>
      <c r="U22" s="43"/>
    </row>
    <row r="23" spans="1:21" s="11" customFormat="1" ht="15">
      <c r="A23" s="55" t="s">
        <v>292</v>
      </c>
      <c r="B23" s="56">
        <v>0.10</v>
      </c>
      <c r="C23" s="56">
        <v>40.97</v>
      </c>
      <c r="D23" s="56">
        <v>21.40</v>
      </c>
      <c r="E23" s="56">
        <v>1.47</v>
      </c>
      <c r="F23" s="56">
        <v>6</v>
      </c>
      <c r="G23" s="56">
        <v>29.63</v>
      </c>
      <c r="H23" s="56">
        <v>17.02</v>
      </c>
      <c r="I23" s="56">
        <v>6.5</v>
      </c>
      <c r="J23" s="56">
        <v>1.1200000000000001</v>
      </c>
      <c r="K23" s="56">
        <v>161.78</v>
      </c>
      <c r="L23" s="56">
        <v>33.04</v>
      </c>
      <c r="M23" s="56">
        <v>32.71</v>
      </c>
      <c r="N23" s="56">
        <v>724.20</v>
      </c>
      <c r="O23" s="56">
        <v>0</v>
      </c>
      <c r="P23" s="56">
        <v>0.49</v>
      </c>
      <c r="Q23" s="56">
        <v>9.41</v>
      </c>
      <c r="R23" s="43"/>
      <c r="S23" s="43"/>
      <c r="T23" s="43"/>
      <c r="U23" s="43"/>
    </row>
    <row r="24" spans="1:21" s="11" customFormat="1" ht="15">
      <c r="A24" s="55" t="s">
        <v>293</v>
      </c>
      <c r="B24" s="56">
        <v>0.10</v>
      </c>
      <c r="C24" s="56">
        <v>39.65</v>
      </c>
      <c r="D24" s="56">
        <v>20.71</v>
      </c>
      <c r="E24" s="56">
        <v>1.44</v>
      </c>
      <c r="F24" s="56">
        <v>5.35</v>
      </c>
      <c r="G24" s="56">
        <v>29.99</v>
      </c>
      <c r="H24" s="56">
        <v>14.95</v>
      </c>
      <c r="I24" s="56">
        <v>6.46</v>
      </c>
      <c r="J24" s="56">
        <v>1.19</v>
      </c>
      <c r="K24" s="56">
        <v>156.19</v>
      </c>
      <c r="L24" s="56">
        <v>31.23</v>
      </c>
      <c r="M24" s="56">
        <v>32.53</v>
      </c>
      <c r="N24" s="56">
        <v>252.90</v>
      </c>
      <c r="O24" s="56">
        <v>0</v>
      </c>
      <c r="P24" s="56">
        <v>0.48</v>
      </c>
      <c r="Q24" s="56">
        <v>9.49</v>
      </c>
      <c r="R24" s="43"/>
      <c r="S24" s="43"/>
      <c r="T24" s="43"/>
      <c r="U24" s="43"/>
    </row>
    <row r="25" spans="1:21" s="11" customFormat="1" ht="15">
      <c r="A25" s="55" t="s">
        <v>294</v>
      </c>
      <c r="B25" s="56">
        <v>0.10</v>
      </c>
      <c r="C25" s="56">
        <v>30.89</v>
      </c>
      <c r="D25" s="56">
        <v>16.14</v>
      </c>
      <c r="E25" s="56">
        <v>1.1200000000000001</v>
      </c>
      <c r="F25" s="56">
        <v>4.74</v>
      </c>
      <c r="G25" s="56">
        <v>29.69</v>
      </c>
      <c r="H25" s="56">
        <v>14.70</v>
      </c>
      <c r="I25" s="56">
        <v>6.47</v>
      </c>
      <c r="J25" s="56">
        <v>1.1100000000000001</v>
      </c>
      <c r="K25" s="56">
        <v>156.57</v>
      </c>
      <c r="L25" s="56">
        <v>30.93</v>
      </c>
      <c r="M25" s="56">
        <v>33.020000000000003</v>
      </c>
      <c r="N25" s="56">
        <v>174.20</v>
      </c>
      <c r="O25" s="56">
        <v>0</v>
      </c>
      <c r="P25" s="56">
        <v>0.47</v>
      </c>
      <c r="Q25" s="56">
        <v>9.39</v>
      </c>
      <c r="R25" s="43"/>
      <c r="S25" s="43"/>
      <c r="T25" s="43"/>
      <c r="U25" s="43"/>
    </row>
    <row r="26" spans="1:21" s="11" customFormat="1" ht="15">
      <c r="A26" s="55" t="s">
        <v>295</v>
      </c>
      <c r="B26" s="56">
        <v>0.18</v>
      </c>
      <c r="C26" s="56">
        <v>38.64</v>
      </c>
      <c r="D26" s="56">
        <v>20.25</v>
      </c>
      <c r="E26" s="56">
        <v>1.49</v>
      </c>
      <c r="F26" s="56">
        <v>4.38</v>
      </c>
      <c r="G26" s="56">
        <v>32.96</v>
      </c>
      <c r="H26" s="56">
        <v>11.20</v>
      </c>
      <c r="I26" s="56">
        <v>6.61</v>
      </c>
      <c r="J26" s="56">
        <v>1.30</v>
      </c>
      <c r="K26" s="56">
        <v>329.88</v>
      </c>
      <c r="L26" s="56">
        <v>30.34</v>
      </c>
      <c r="M26" s="56">
        <v>41.23</v>
      </c>
      <c r="N26" s="56">
        <v>70.70</v>
      </c>
      <c r="O26" s="56">
        <v>0</v>
      </c>
      <c r="P26" s="56">
        <v>0.53</v>
      </c>
      <c r="Q26" s="56">
        <v>9.3800000000000008</v>
      </c>
      <c r="R26" s="43"/>
      <c r="S26" s="43"/>
      <c r="T26" s="43"/>
      <c r="U26" s="43"/>
    </row>
    <row r="27" spans="1:21" s="11" customFormat="1" ht="15">
      <c r="A27" s="55" t="s">
        <v>296</v>
      </c>
      <c r="B27" s="56">
        <v>6.05</v>
      </c>
      <c r="C27" s="56">
        <v>44.44</v>
      </c>
      <c r="D27" s="56">
        <v>27.99</v>
      </c>
      <c r="E27" s="56">
        <v>1.66</v>
      </c>
      <c r="F27" s="56">
        <v>3.89</v>
      </c>
      <c r="G27" s="56">
        <v>43.78</v>
      </c>
      <c r="H27" s="56">
        <v>14.04</v>
      </c>
      <c r="I27" s="56">
        <v>7.01</v>
      </c>
      <c r="J27" s="56">
        <v>0.36</v>
      </c>
      <c r="K27" s="56">
        <v>270.91000000000003</v>
      </c>
      <c r="L27" s="56">
        <v>28.55</v>
      </c>
      <c r="M27" s="56">
        <v>57.52</v>
      </c>
      <c r="N27" s="56">
        <v>18.5</v>
      </c>
      <c r="O27" s="56">
        <v>0</v>
      </c>
      <c r="P27" s="56">
        <v>0.81</v>
      </c>
      <c r="Q27" s="56">
        <v>9.4499999999999993</v>
      </c>
      <c r="R27" s="43"/>
      <c r="S27" s="43"/>
      <c r="T27" s="43"/>
      <c r="U27" s="43"/>
    </row>
    <row r="28" spans="1:21" s="11" customFormat="1" ht="15">
      <c r="A28" s="55" t="s">
        <v>297</v>
      </c>
      <c r="B28" s="56">
        <v>15.67</v>
      </c>
      <c r="C28" s="56">
        <v>47.04</v>
      </c>
      <c r="D28" s="56">
        <v>37.06</v>
      </c>
      <c r="E28" s="56">
        <v>1.67</v>
      </c>
      <c r="F28" s="56">
        <v>3.65</v>
      </c>
      <c r="G28" s="56">
        <v>58.14</v>
      </c>
      <c r="H28" s="56">
        <v>16.559999999999999</v>
      </c>
      <c r="I28" s="56">
        <v>7.63</v>
      </c>
      <c r="J28" s="56">
        <v>0.45</v>
      </c>
      <c r="K28" s="56">
        <v>193.28</v>
      </c>
      <c r="L28" s="56">
        <v>28.05</v>
      </c>
      <c r="M28" s="56">
        <v>58.65</v>
      </c>
      <c r="N28" s="56">
        <v>17</v>
      </c>
      <c r="O28" s="56">
        <v>0</v>
      </c>
      <c r="P28" s="56">
        <v>1.19</v>
      </c>
      <c r="Q28" s="56">
        <v>9.48</v>
      </c>
      <c r="R28" s="43"/>
      <c r="S28" s="43"/>
      <c r="T28" s="43"/>
      <c r="U28" s="43"/>
    </row>
    <row r="29" spans="1:21" s="11" customFormat="1" ht="15">
      <c r="A29" s="55" t="s">
        <v>298</v>
      </c>
      <c r="B29" s="56">
        <v>21.39</v>
      </c>
      <c r="C29" s="56">
        <v>56.18</v>
      </c>
      <c r="D29" s="56">
        <v>43.67</v>
      </c>
      <c r="E29" s="56">
        <v>0.56999999999999995</v>
      </c>
      <c r="F29" s="56">
        <v>4.3099999999999996</v>
      </c>
      <c r="G29" s="56">
        <v>80.19</v>
      </c>
      <c r="H29" s="56">
        <v>25.42</v>
      </c>
      <c r="I29" s="56">
        <v>9.7200000000000006</v>
      </c>
      <c r="J29" s="56">
        <v>3.94</v>
      </c>
      <c r="K29" s="56">
        <v>349.57</v>
      </c>
      <c r="L29" s="56">
        <v>26.96</v>
      </c>
      <c r="M29" s="56">
        <v>60.42</v>
      </c>
      <c r="N29" s="56">
        <v>19.100000000000001</v>
      </c>
      <c r="O29" s="56">
        <v>0</v>
      </c>
      <c r="P29" s="56">
        <v>1.35</v>
      </c>
      <c r="Q29" s="56">
        <v>9.57</v>
      </c>
      <c r="R29" s="43"/>
      <c r="S29" s="43"/>
      <c r="T29" s="43"/>
      <c r="U29" s="43"/>
    </row>
    <row r="30" spans="1:21" s="11" customFormat="1" ht="15">
      <c r="A30" s="55" t="s">
        <v>299</v>
      </c>
      <c r="B30" s="56">
        <v>5.07</v>
      </c>
      <c r="C30" s="56">
        <v>56.42</v>
      </c>
      <c r="D30" s="56">
        <v>33.46</v>
      </c>
      <c r="E30" s="56">
        <v>0.21</v>
      </c>
      <c r="F30" s="56">
        <v>5.28</v>
      </c>
      <c r="G30" s="56">
        <v>92.71</v>
      </c>
      <c r="H30" s="56">
        <v>21.81</v>
      </c>
      <c r="I30" s="56">
        <v>9.2200000000000006</v>
      </c>
      <c r="J30" s="56">
        <v>3.31</v>
      </c>
      <c r="K30" s="56">
        <v>5.17</v>
      </c>
      <c r="L30" s="56">
        <v>22.95</v>
      </c>
      <c r="M30" s="56">
        <v>59.56</v>
      </c>
      <c r="N30" s="56">
        <v>17.5</v>
      </c>
      <c r="O30" s="56">
        <v>0</v>
      </c>
      <c r="P30" s="56">
        <v>0.94</v>
      </c>
      <c r="Q30" s="56">
        <v>9.4600000000000009</v>
      </c>
      <c r="R30" s="43"/>
      <c r="S30" s="43"/>
      <c r="T30" s="43"/>
      <c r="U30" s="43"/>
    </row>
    <row r="31" spans="1:21" s="11" customFormat="1" ht="15">
      <c r="A31" s="55" t="s">
        <v>300</v>
      </c>
      <c r="B31" s="56">
        <v>0.10</v>
      </c>
      <c r="C31" s="56">
        <v>46.58</v>
      </c>
      <c r="D31" s="56">
        <v>24.34</v>
      </c>
      <c r="E31" s="56">
        <v>0.35</v>
      </c>
      <c r="F31" s="56">
        <v>6.03</v>
      </c>
      <c r="G31" s="56">
        <v>59.69</v>
      </c>
      <c r="H31" s="56">
        <v>18.75</v>
      </c>
      <c r="I31" s="56">
        <v>6.98</v>
      </c>
      <c r="J31" s="56">
        <v>2.72</v>
      </c>
      <c r="K31" s="56">
        <v>352.98</v>
      </c>
      <c r="L31" s="56">
        <v>22.64</v>
      </c>
      <c r="M31" s="56">
        <v>60.70</v>
      </c>
      <c r="N31" s="56">
        <v>17.100000000000001</v>
      </c>
      <c r="O31" s="56">
        <v>0</v>
      </c>
      <c r="P31" s="56">
        <v>0.63</v>
      </c>
      <c r="Q31" s="56">
        <v>9.39</v>
      </c>
      <c r="R31" s="43"/>
      <c r="S31" s="43"/>
      <c r="T31" s="43"/>
      <c r="U31" s="43"/>
    </row>
    <row r="32" spans="1:21" s="11" customFormat="1" ht="15">
      <c r="A32" s="55" t="s">
        <v>301</v>
      </c>
      <c r="B32" s="56">
        <v>0.10</v>
      </c>
      <c r="C32" s="56">
        <v>35.28</v>
      </c>
      <c r="D32" s="56">
        <v>18.43</v>
      </c>
      <c r="E32" s="56">
        <v>1.85</v>
      </c>
      <c r="F32" s="56">
        <v>6.03</v>
      </c>
      <c r="G32" s="56">
        <v>35.43</v>
      </c>
      <c r="H32" s="56">
        <v>15.17</v>
      </c>
      <c r="I32" s="56">
        <v>5.97</v>
      </c>
      <c r="J32" s="56">
        <v>2.38</v>
      </c>
      <c r="K32" s="56">
        <v>352.69</v>
      </c>
      <c r="L32" s="56">
        <v>21.57</v>
      </c>
      <c r="M32" s="56">
        <v>75.86</v>
      </c>
      <c r="N32" s="56">
        <v>17.899999999999999</v>
      </c>
      <c r="O32" s="56">
        <v>0</v>
      </c>
      <c r="P32" s="56">
        <v>0.48</v>
      </c>
      <c r="Q32" s="56">
        <v>9.32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30.890000000000001</v>
      </c>
      <c r="D34" s="28">
        <f t="shared" si="0"/>
        <v>16.140000000000001</v>
      </c>
      <c r="E34" s="28">
        <f t="shared" si="0"/>
        <v>0.20999999999999999</v>
      </c>
      <c r="F34" s="28">
        <f t="shared" si="0"/>
        <v>3.2200000000000002</v>
      </c>
      <c r="G34" s="28">
        <f t="shared" si="0"/>
        <v>26.460000000000001</v>
      </c>
      <c r="H34" s="28">
        <f t="shared" si="0"/>
        <v>11.199999999999999</v>
      </c>
      <c r="I34" s="28">
        <f t="shared" si="0"/>
        <v>5.4199999999999999</v>
      </c>
      <c r="J34" s="28">
        <f t="shared" si="0"/>
        <v>0.31</v>
      </c>
      <c r="K34" s="28">
        <f t="shared" si="0"/>
        <v>5.1699999999999999</v>
      </c>
      <c r="L34" s="28">
        <f t="shared" si="0"/>
        <v>19.91</v>
      </c>
      <c r="M34" s="28">
        <f t="shared" si="0"/>
        <v>32.530000000000001</v>
      </c>
      <c r="N34" s="28">
        <f t="shared" si="0"/>
        <v>17</v>
      </c>
      <c r="O34" s="28">
        <f t="shared" si="0"/>
        <v>0</v>
      </c>
      <c r="P34" s="28">
        <f t="shared" si="0"/>
        <v>0.46999999999999997</v>
      </c>
      <c r="Q34" s="28">
        <f t="shared" si="0"/>
        <v>9.3200000000000003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56.07</v>
      </c>
      <c r="C35" s="29">
        <f t="shared" si="1"/>
        <v>56.420000000000002</v>
      </c>
      <c r="D35" s="29">
        <f t="shared" si="1"/>
        <v>64.510000000000005</v>
      </c>
      <c r="E35" s="29">
        <f t="shared" si="1"/>
        <v>2.3100000000000001</v>
      </c>
      <c r="F35" s="29">
        <f t="shared" si="1"/>
        <v>6.0300000000000002</v>
      </c>
      <c r="G35" s="29">
        <f t="shared" si="1"/>
        <v>92.709999999999994</v>
      </c>
      <c r="H35" s="29">
        <f t="shared" si="1"/>
        <v>26.07</v>
      </c>
      <c r="I35" s="29">
        <f t="shared" si="1"/>
        <v>9.8699999999999992</v>
      </c>
      <c r="J35" s="29">
        <f t="shared" si="1"/>
        <v>3.9399999999999999</v>
      </c>
      <c r="K35" s="29">
        <f t="shared" si="1"/>
        <v>359.38999999999999</v>
      </c>
      <c r="L35" s="29">
        <f t="shared" si="1"/>
        <v>33.270000000000003</v>
      </c>
      <c r="M35" s="29">
        <f t="shared" si="1"/>
        <v>97.340000000000003</v>
      </c>
      <c r="N35" s="29">
        <f t="shared" si="1"/>
        <v>972.5</v>
      </c>
      <c r="O35" s="29">
        <f t="shared" si="1"/>
        <v>0.20000000000000001</v>
      </c>
      <c r="P35" s="29">
        <f t="shared" si="1"/>
        <v>1.3500000000000001</v>
      </c>
      <c r="Q35" s="29">
        <f t="shared" si="1"/>
        <v>10.07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11.83041666666667</v>
      </c>
      <c r="C36" s="28">
        <f t="shared" si="2"/>
        <v>39.356249999999996</v>
      </c>
      <c r="D36" s="28">
        <f t="shared" si="2"/>
        <v>29.706249999999997</v>
      </c>
      <c r="E36" s="28">
        <f t="shared" si="2"/>
        <v>1.5449999999999999</v>
      </c>
      <c r="F36" s="28">
        <f t="shared" si="2"/>
        <v>4.3787500000000001</v>
      </c>
      <c r="G36" s="28">
        <f t="shared" si="2"/>
        <v>45.338333333333338</v>
      </c>
      <c r="H36" s="28">
        <f t="shared" si="2"/>
        <v>17.251666666666665</v>
      </c>
      <c r="I36" s="28">
        <f t="shared" si="2"/>
        <v>7.1012499999999994</v>
      </c>
      <c r="J36" s="28">
        <f t="shared" si="2"/>
        <v>1.2654166666666664</v>
      </c>
      <c r="K36" s="28">
        <f t="shared" si="2"/>
        <v>245.69666666666669</v>
      </c>
      <c r="L36" s="28">
        <f t="shared" si="2"/>
        <v>26.342500000000001</v>
      </c>
      <c r="M36" s="28">
        <f t="shared" si="2"/>
        <v>64.968333333333334</v>
      </c>
      <c r="N36" s="28">
        <f t="shared" si="2"/>
        <v>297.66666666666669</v>
      </c>
      <c r="O36" s="28">
        <f t="shared" si="2"/>
        <v>0.0083333333333333332</v>
      </c>
      <c r="P36" s="28">
        <f t="shared" si="2"/>
        <v>0.71625000000000005</v>
      </c>
      <c r="Q36" s="28">
        <f t="shared" si="2"/>
        <v>9.4820833333333301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15.881267740209912</v>
      </c>
      <c r="C37" s="28">
        <f t="shared" si="3" ref="C37:Q37">STDEV(C9:C32)</f>
        <v>7.0132568955235914</v>
      </c>
      <c r="D37" s="28">
        <f t="shared" si="3"/>
        <v>13.33386039945575</v>
      </c>
      <c r="E37" s="28">
        <f t="shared" si="3"/>
        <v>0.54774637101173196</v>
      </c>
      <c r="F37" s="28">
        <f t="shared" si="3"/>
        <v>0.97265353096791196</v>
      </c>
      <c r="G37" s="28">
        <f t="shared" si="3"/>
        <v>19.289315733049595</v>
      </c>
      <c r="H37" s="28">
        <f t="shared" si="3"/>
        <v>3.8279608224185133</v>
      </c>
      <c r="I37" s="28">
        <f t="shared" si="3"/>
        <v>1.3501861787884324</v>
      </c>
      <c r="J37" s="28">
        <f t="shared" si="3"/>
        <v>0.94009703091554997</v>
      </c>
      <c r="K37" s="28">
        <f t="shared" si="3"/>
        <v>97.537060500173425</v>
      </c>
      <c r="L37" s="28">
        <f t="shared" si="3"/>
        <v>4.9679627965420412</v>
      </c>
      <c r="M37" s="28">
        <f t="shared" si="3"/>
        <v>24.251425537062964</v>
      </c>
      <c r="N37" s="28">
        <f t="shared" si="3"/>
        <v>370.50666445530646</v>
      </c>
      <c r="O37" s="28">
        <f t="shared" si="3"/>
        <v>0.040824829046386311</v>
      </c>
      <c r="P37" s="28">
        <f t="shared" si="3"/>
        <v>0.28193142089337331</v>
      </c>
      <c r="Q37" s="28">
        <f t="shared" si="3"/>
        <v>0.18582317838003309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e897d2-0f50-4b55-800e-6d56460209b3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302</v>
      </c>
      <c r="B9" s="56">
        <v>0.10</v>
      </c>
      <c r="C9" s="56">
        <v>32.409999999999997</v>
      </c>
      <c r="D9" s="56">
        <v>16.93</v>
      </c>
      <c r="E9" s="56">
        <v>1.87</v>
      </c>
      <c r="F9" s="56">
        <v>8</v>
      </c>
      <c r="G9" s="56">
        <v>34.619999999999997</v>
      </c>
      <c r="H9" s="56">
        <v>13.23</v>
      </c>
      <c r="I9" s="56">
        <v>4.67</v>
      </c>
      <c r="J9" s="56">
        <v>3.85</v>
      </c>
      <c r="K9" s="56">
        <v>351.26</v>
      </c>
      <c r="L9" s="56">
        <v>20.37</v>
      </c>
      <c r="M9" s="56">
        <v>79.989999999999995</v>
      </c>
      <c r="N9" s="56">
        <v>17.899999999999999</v>
      </c>
      <c r="O9" s="56">
        <v>0</v>
      </c>
      <c r="P9" s="56">
        <v>0.39</v>
      </c>
      <c r="Q9" s="56">
        <v>9.26</v>
      </c>
      <c r="R9" s="43"/>
      <c r="S9" s="43"/>
      <c r="T9" s="43"/>
      <c r="U9" s="43"/>
    </row>
    <row r="10" spans="1:21" s="11" customFormat="1" ht="15">
      <c r="A10" s="55" t="s">
        <v>303</v>
      </c>
      <c r="B10" s="56">
        <v>0.10</v>
      </c>
      <c r="C10" s="56">
        <v>33.82</v>
      </c>
      <c r="D10" s="56">
        <v>17.670000000000002</v>
      </c>
      <c r="E10" s="56">
        <v>1.57</v>
      </c>
      <c r="F10" s="56">
        <v>7.11</v>
      </c>
      <c r="G10" s="56">
        <v>34.14</v>
      </c>
      <c r="H10" s="56">
        <v>11.38</v>
      </c>
      <c r="I10" s="56">
        <v>3.37</v>
      </c>
      <c r="J10" s="56">
        <v>3.15</v>
      </c>
      <c r="K10" s="56">
        <v>348.98</v>
      </c>
      <c r="L10" s="56">
        <v>18.97</v>
      </c>
      <c r="M10" s="56">
        <v>97.78</v>
      </c>
      <c r="N10" s="56">
        <v>17.5</v>
      </c>
      <c r="O10" s="56">
        <v>0.80</v>
      </c>
      <c r="P10" s="56">
        <v>0.28999999999999998</v>
      </c>
      <c r="Q10" s="56">
        <v>9.32</v>
      </c>
      <c r="R10" s="43"/>
      <c r="S10" s="43"/>
      <c r="T10" s="43"/>
      <c r="U10" s="43"/>
    </row>
    <row r="11" spans="1:21" s="11" customFormat="1" ht="15">
      <c r="A11" s="55" t="s">
        <v>304</v>
      </c>
      <c r="B11" s="56">
        <v>0.10</v>
      </c>
      <c r="C11" s="56">
        <v>32.86</v>
      </c>
      <c r="D11" s="56">
        <v>17.170000000000002</v>
      </c>
      <c r="E11" s="56">
        <v>1.81</v>
      </c>
      <c r="F11" s="56">
        <v>4.18</v>
      </c>
      <c r="G11" s="56">
        <v>29.52</v>
      </c>
      <c r="H11" s="56">
        <v>9.5500000000000007</v>
      </c>
      <c r="I11" s="56">
        <v>3.31</v>
      </c>
      <c r="J11" s="56">
        <v>1.93</v>
      </c>
      <c r="K11" s="56">
        <v>113.01</v>
      </c>
      <c r="L11" s="56">
        <v>17.440000000000001</v>
      </c>
      <c r="M11" s="56">
        <v>97.80</v>
      </c>
      <c r="N11" s="56">
        <v>17.899999999999999</v>
      </c>
      <c r="O11" s="56">
        <v>1</v>
      </c>
      <c r="P11" s="56">
        <v>0.28000000000000003</v>
      </c>
      <c r="Q11" s="56">
        <v>9.2899999999999991</v>
      </c>
      <c r="R11" s="43"/>
      <c r="S11" s="43"/>
      <c r="T11" s="43"/>
      <c r="U11" s="43"/>
    </row>
    <row r="12" spans="1:21" s="11" customFormat="1" ht="15">
      <c r="A12" s="55" t="s">
        <v>305</v>
      </c>
      <c r="B12" s="56">
        <v>0.21</v>
      </c>
      <c r="C12" s="56">
        <v>30.66</v>
      </c>
      <c r="D12" s="56">
        <v>16.02</v>
      </c>
      <c r="E12" s="56">
        <v>1.84</v>
      </c>
      <c r="F12" s="56">
        <v>4.3899999999999997</v>
      </c>
      <c r="G12" s="56">
        <v>14.91</v>
      </c>
      <c r="H12" s="56">
        <v>8.33</v>
      </c>
      <c r="I12" s="56">
        <v>4.74</v>
      </c>
      <c r="J12" s="56">
        <v>0.5</v>
      </c>
      <c r="K12" s="56">
        <v>334.02</v>
      </c>
      <c r="L12" s="56">
        <v>17.75</v>
      </c>
      <c r="M12" s="56">
        <v>97.82</v>
      </c>
      <c r="N12" s="56">
        <v>17.80</v>
      </c>
      <c r="O12" s="56">
        <v>0.60</v>
      </c>
      <c r="P12" s="56">
        <v>0.27</v>
      </c>
      <c r="Q12" s="56">
        <v>9.31</v>
      </c>
      <c r="R12" s="43"/>
      <c r="S12" s="43"/>
      <c r="T12" s="43"/>
      <c r="U12" s="43"/>
    </row>
    <row r="13" spans="1:21" s="11" customFormat="1" ht="15">
      <c r="A13" s="55" t="s">
        <v>306</v>
      </c>
      <c r="B13" s="56">
        <v>0.10</v>
      </c>
      <c r="C13" s="56">
        <v>28.49</v>
      </c>
      <c r="D13" s="56">
        <v>14.89</v>
      </c>
      <c r="E13" s="56">
        <v>2.17</v>
      </c>
      <c r="F13" s="56">
        <v>4.29</v>
      </c>
      <c r="G13" s="56">
        <v>16.510000000000002</v>
      </c>
      <c r="H13" s="56">
        <v>7.88</v>
      </c>
      <c r="I13" s="56">
        <v>4.34</v>
      </c>
      <c r="J13" s="56">
        <v>1.85</v>
      </c>
      <c r="K13" s="56">
        <v>190.25</v>
      </c>
      <c r="L13" s="56">
        <v>17.28</v>
      </c>
      <c r="M13" s="56">
        <v>97.83</v>
      </c>
      <c r="N13" s="56">
        <v>17.399999999999999</v>
      </c>
      <c r="O13" s="56">
        <v>0.40</v>
      </c>
      <c r="P13" s="56">
        <v>0.24</v>
      </c>
      <c r="Q13" s="56">
        <v>9.2799999999999994</v>
      </c>
      <c r="R13" s="43"/>
      <c r="S13" s="43"/>
      <c r="T13" s="43"/>
      <c r="U13" s="43"/>
    </row>
    <row r="14" spans="1:21" s="11" customFormat="1" ht="15">
      <c r="A14" s="55" t="s">
        <v>307</v>
      </c>
      <c r="B14" s="56">
        <v>0.10</v>
      </c>
      <c r="C14" s="56">
        <v>28.30</v>
      </c>
      <c r="D14" s="56">
        <v>14.79</v>
      </c>
      <c r="E14" s="56">
        <v>2.0699999999999998</v>
      </c>
      <c r="F14" s="56">
        <v>7.10</v>
      </c>
      <c r="G14" s="56">
        <v>11.85</v>
      </c>
      <c r="H14" s="56">
        <v>5.62</v>
      </c>
      <c r="I14" s="56">
        <v>3.21</v>
      </c>
      <c r="J14" s="56">
        <v>3.68</v>
      </c>
      <c r="K14" s="56">
        <v>221.10</v>
      </c>
      <c r="L14" s="56">
        <v>17.29</v>
      </c>
      <c r="M14" s="56">
        <v>97.84</v>
      </c>
      <c r="N14" s="56">
        <v>22.90</v>
      </c>
      <c r="O14" s="56">
        <v>0.40</v>
      </c>
      <c r="P14" s="56">
        <v>0.26</v>
      </c>
      <c r="Q14" s="56">
        <v>9.25</v>
      </c>
      <c r="R14" s="43"/>
      <c r="S14" s="43"/>
      <c r="T14" s="43"/>
      <c r="U14" s="43"/>
    </row>
    <row r="15" spans="1:21" s="11" customFormat="1" ht="15">
      <c r="A15" s="55" t="s">
        <v>308</v>
      </c>
      <c r="B15" s="56">
        <v>0.10</v>
      </c>
      <c r="C15" s="56">
        <v>31.54</v>
      </c>
      <c r="D15" s="56">
        <v>16.48</v>
      </c>
      <c r="E15" s="56">
        <v>2.10</v>
      </c>
      <c r="F15" s="56">
        <v>4.66</v>
      </c>
      <c r="G15" s="56">
        <v>8.73</v>
      </c>
      <c r="H15" s="56">
        <v>5.09</v>
      </c>
      <c r="I15" s="56">
        <v>2.5</v>
      </c>
      <c r="J15" s="56">
        <v>0.24</v>
      </c>
      <c r="K15" s="56">
        <v>355.55</v>
      </c>
      <c r="L15" s="56">
        <v>17.489999999999998</v>
      </c>
      <c r="M15" s="56">
        <v>97.83</v>
      </c>
      <c r="N15" s="56">
        <v>48.60</v>
      </c>
      <c r="O15" s="56">
        <v>0</v>
      </c>
      <c r="P15" s="56">
        <v>0.28000000000000003</v>
      </c>
      <c r="Q15" s="56">
        <v>9.23</v>
      </c>
      <c r="R15" s="43"/>
      <c r="S15" s="43"/>
      <c r="T15" s="43"/>
      <c r="U15" s="43"/>
    </row>
    <row r="16" spans="1:21" s="11" customFormat="1" ht="15">
      <c r="A16" s="55" t="s">
        <v>309</v>
      </c>
      <c r="B16" s="56">
        <v>1.68</v>
      </c>
      <c r="C16" s="56">
        <v>33.869999999999997</v>
      </c>
      <c r="D16" s="56">
        <v>18.39</v>
      </c>
      <c r="E16" s="56">
        <v>2.0699999999999998</v>
      </c>
      <c r="F16" s="56">
        <v>3.89</v>
      </c>
      <c r="G16" s="56">
        <v>11.93</v>
      </c>
      <c r="H16" s="56">
        <v>6.08</v>
      </c>
      <c r="I16" s="56">
        <v>2.80</v>
      </c>
      <c r="J16" s="56">
        <v>0.80</v>
      </c>
      <c r="K16" s="56">
        <v>349.02</v>
      </c>
      <c r="L16" s="56">
        <v>18.579999999999998</v>
      </c>
      <c r="M16" s="56">
        <v>97.82</v>
      </c>
      <c r="N16" s="56">
        <v>131.5</v>
      </c>
      <c r="O16" s="56">
        <v>0</v>
      </c>
      <c r="P16" s="56">
        <v>0.32</v>
      </c>
      <c r="Q16" s="56">
        <v>9.32</v>
      </c>
      <c r="R16" s="43"/>
      <c r="S16" s="43"/>
      <c r="T16" s="43"/>
      <c r="U16" s="43"/>
    </row>
    <row r="17" spans="1:21" s="11" customFormat="1" ht="15">
      <c r="A17" s="55" t="s">
        <v>310</v>
      </c>
      <c r="B17" s="56">
        <v>2.62</v>
      </c>
      <c r="C17" s="56">
        <v>32.94</v>
      </c>
      <c r="D17" s="56">
        <v>19.04</v>
      </c>
      <c r="E17" s="56">
        <v>2.2200000000000002</v>
      </c>
      <c r="F17" s="56">
        <v>3.93</v>
      </c>
      <c r="G17" s="56">
        <v>7.45</v>
      </c>
      <c r="H17" s="56">
        <v>4.5999999999999996</v>
      </c>
      <c r="I17" s="56">
        <v>3.27</v>
      </c>
      <c r="J17" s="56">
        <v>0.90</v>
      </c>
      <c r="K17" s="56">
        <v>321.13</v>
      </c>
      <c r="L17" s="56">
        <v>19.940000000000001</v>
      </c>
      <c r="M17" s="56">
        <v>97.76</v>
      </c>
      <c r="N17" s="56">
        <v>244.10</v>
      </c>
      <c r="O17" s="56">
        <v>0</v>
      </c>
      <c r="P17" s="56">
        <v>0.35</v>
      </c>
      <c r="Q17" s="56">
        <v>9.25</v>
      </c>
      <c r="R17" s="43"/>
      <c r="S17" s="43"/>
      <c r="T17" s="43"/>
      <c r="U17" s="43"/>
    </row>
    <row r="18" spans="1:21" s="11" customFormat="1" ht="15">
      <c r="A18" s="55" t="s">
        <v>311</v>
      </c>
      <c r="B18" s="56">
        <v>1.92</v>
      </c>
      <c r="C18" s="56">
        <v>33.64</v>
      </c>
      <c r="D18" s="56">
        <v>18.62</v>
      </c>
      <c r="E18" s="56">
        <v>2.08</v>
      </c>
      <c r="F18" s="56">
        <v>4.87</v>
      </c>
      <c r="G18" s="56">
        <v>12.12</v>
      </c>
      <c r="H18" s="56">
        <v>6.11</v>
      </c>
      <c r="I18" s="56">
        <v>2.85</v>
      </c>
      <c r="J18" s="56">
        <v>0.24</v>
      </c>
      <c r="K18" s="56">
        <v>347.37</v>
      </c>
      <c r="L18" s="56">
        <v>20.54</v>
      </c>
      <c r="M18" s="56">
        <v>92.39</v>
      </c>
      <c r="N18" s="56">
        <v>311</v>
      </c>
      <c r="O18" s="56">
        <v>0</v>
      </c>
      <c r="P18" s="56">
        <v>0.39</v>
      </c>
      <c r="Q18" s="56">
        <v>9.3000000000000007</v>
      </c>
      <c r="R18" s="43"/>
      <c r="S18" s="43"/>
      <c r="T18" s="43"/>
      <c r="U18" s="43"/>
    </row>
    <row r="19" spans="1:21" s="11" customFormat="1" ht="15">
      <c r="A19" s="55" t="s">
        <v>312</v>
      </c>
      <c r="B19" s="56">
        <v>0.12</v>
      </c>
      <c r="C19" s="56">
        <v>33.74</v>
      </c>
      <c r="D19" s="56">
        <v>17.63</v>
      </c>
      <c r="E19" s="56">
        <v>2.10</v>
      </c>
      <c r="F19" s="56">
        <v>6.92</v>
      </c>
      <c r="G19" s="56">
        <v>18.53</v>
      </c>
      <c r="H19" s="56">
        <v>4.3899999999999997</v>
      </c>
      <c r="I19" s="56">
        <v>2.79</v>
      </c>
      <c r="J19" s="56">
        <v>0.40</v>
      </c>
      <c r="K19" s="56">
        <v>317.91000000000003</v>
      </c>
      <c r="L19" s="56">
        <v>20.350000000000001</v>
      </c>
      <c r="M19" s="56">
        <v>90.45</v>
      </c>
      <c r="N19" s="56">
        <v>172.60</v>
      </c>
      <c r="O19" s="56">
        <v>0</v>
      </c>
      <c r="P19" s="56">
        <v>0.42</v>
      </c>
      <c r="Q19" s="56">
        <v>9.25</v>
      </c>
      <c r="R19" s="43"/>
      <c r="S19" s="43"/>
      <c r="T19" s="43"/>
      <c r="U19" s="43"/>
    </row>
    <row r="20" spans="1:21" s="11" customFormat="1" ht="15">
      <c r="A20" s="55" t="s">
        <v>313</v>
      </c>
      <c r="B20" s="56">
        <v>0.10</v>
      </c>
      <c r="C20" s="56">
        <v>29.88</v>
      </c>
      <c r="D20" s="56">
        <v>15.61</v>
      </c>
      <c r="E20" s="56">
        <v>2.09</v>
      </c>
      <c r="F20" s="56">
        <v>4.8099999999999996</v>
      </c>
      <c r="G20" s="56">
        <v>12.39</v>
      </c>
      <c r="H20" s="56">
        <v>5.0199999999999996</v>
      </c>
      <c r="I20" s="56">
        <v>2.99</v>
      </c>
      <c r="J20" s="56">
        <v>1.26</v>
      </c>
      <c r="K20" s="56">
        <v>337.32</v>
      </c>
      <c r="L20" s="56">
        <v>20.62</v>
      </c>
      <c r="M20" s="56">
        <v>89.71</v>
      </c>
      <c r="N20" s="56">
        <v>150.10</v>
      </c>
      <c r="O20" s="56">
        <v>0</v>
      </c>
      <c r="P20" s="56">
        <v>0.39</v>
      </c>
      <c r="Q20" s="56">
        <v>9.24</v>
      </c>
      <c r="R20" s="43"/>
      <c r="S20" s="43"/>
      <c r="T20" s="43"/>
      <c r="U20" s="43"/>
    </row>
    <row r="21" spans="1:21" s="11" customFormat="1" ht="15">
      <c r="A21" s="55" t="s">
        <v>314</v>
      </c>
      <c r="B21" s="56">
        <v>0.66</v>
      </c>
      <c r="C21" s="56">
        <v>28.49</v>
      </c>
      <c r="D21" s="56">
        <v>15.13</v>
      </c>
      <c r="E21" s="56">
        <v>1.51</v>
      </c>
      <c r="F21" s="56">
        <v>5.36</v>
      </c>
      <c r="G21" s="56">
        <v>19.86</v>
      </c>
      <c r="H21" s="56">
        <v>5.27</v>
      </c>
      <c r="I21" s="56">
        <v>3.21</v>
      </c>
      <c r="J21" s="56">
        <v>1.70</v>
      </c>
      <c r="K21" s="56">
        <v>203.92</v>
      </c>
      <c r="L21" s="56">
        <v>20.5</v>
      </c>
      <c r="M21" s="56">
        <v>91.06</v>
      </c>
      <c r="N21" s="56">
        <v>154.30000000000001</v>
      </c>
      <c r="O21" s="56">
        <v>0</v>
      </c>
      <c r="P21" s="56">
        <v>0.38</v>
      </c>
      <c r="Q21" s="56">
        <v>9.23</v>
      </c>
      <c r="R21" s="43"/>
      <c r="S21" s="43"/>
      <c r="T21" s="43"/>
      <c r="U21" s="43"/>
    </row>
    <row r="22" spans="1:21" s="11" customFormat="1" ht="15">
      <c r="A22" s="55" t="s">
        <v>315</v>
      </c>
      <c r="B22" s="56">
        <v>0.10</v>
      </c>
      <c r="C22" s="56">
        <v>26.20</v>
      </c>
      <c r="D22" s="56">
        <v>13.69</v>
      </c>
      <c r="E22" s="56">
        <v>1.45</v>
      </c>
      <c r="F22" s="56">
        <v>5.36</v>
      </c>
      <c r="G22" s="56">
        <v>17.059999999999999</v>
      </c>
      <c r="H22" s="56">
        <v>4.6399999999999997</v>
      </c>
      <c r="I22" s="56">
        <v>3.08</v>
      </c>
      <c r="J22" s="56">
        <v>2.27</v>
      </c>
      <c r="K22" s="56">
        <v>169.61</v>
      </c>
      <c r="L22" s="56">
        <v>19.899999999999999</v>
      </c>
      <c r="M22" s="56">
        <v>97.68</v>
      </c>
      <c r="N22" s="56">
        <v>127</v>
      </c>
      <c r="O22" s="56">
        <v>0</v>
      </c>
      <c r="P22" s="56">
        <v>0.34</v>
      </c>
      <c r="Q22" s="56">
        <v>9.2100000000000009</v>
      </c>
      <c r="R22" s="43"/>
      <c r="S22" s="43"/>
      <c r="T22" s="43"/>
      <c r="U22" s="43"/>
    </row>
    <row r="23" spans="1:21" s="11" customFormat="1" ht="15">
      <c r="A23" s="55" t="s">
        <v>316</v>
      </c>
      <c r="B23" s="56">
        <v>0.10</v>
      </c>
      <c r="C23" s="56">
        <v>26.87</v>
      </c>
      <c r="D23" s="56">
        <v>14.04</v>
      </c>
      <c r="E23" s="56">
        <v>1.52</v>
      </c>
      <c r="F23" s="56">
        <v>5.28</v>
      </c>
      <c r="G23" s="56">
        <v>15.59</v>
      </c>
      <c r="H23" s="56">
        <v>3.99</v>
      </c>
      <c r="I23" s="56">
        <v>2.2400000000000002</v>
      </c>
      <c r="J23" s="56">
        <v>2.15</v>
      </c>
      <c r="K23" s="56">
        <v>161.11000000000001</v>
      </c>
      <c r="L23" s="56">
        <v>20.07</v>
      </c>
      <c r="M23" s="56">
        <v>97.77</v>
      </c>
      <c r="N23" s="56">
        <v>189.40</v>
      </c>
      <c r="O23" s="56">
        <v>0.20</v>
      </c>
      <c r="P23" s="56">
        <v>0.31</v>
      </c>
      <c r="Q23" s="56">
        <v>9.2100000000000009</v>
      </c>
      <c r="R23" s="43"/>
      <c r="S23" s="43"/>
      <c r="T23" s="43"/>
      <c r="U23" s="43"/>
    </row>
    <row r="24" spans="1:21" s="11" customFormat="1" ht="15">
      <c r="A24" s="55" t="s">
        <v>317</v>
      </c>
      <c r="B24" s="56">
        <v>0.64</v>
      </c>
      <c r="C24" s="56">
        <v>28.74</v>
      </c>
      <c r="D24" s="56">
        <v>15.40</v>
      </c>
      <c r="E24" s="56">
        <v>1.28</v>
      </c>
      <c r="F24" s="56">
        <v>7.05</v>
      </c>
      <c r="G24" s="56">
        <v>17.34</v>
      </c>
      <c r="H24" s="56">
        <v>5.86</v>
      </c>
      <c r="I24" s="56">
        <v>2.27</v>
      </c>
      <c r="J24" s="56">
        <v>2.0099999999999998</v>
      </c>
      <c r="K24" s="56">
        <v>358.45</v>
      </c>
      <c r="L24" s="56">
        <v>20.88</v>
      </c>
      <c r="M24" s="56">
        <v>94.83</v>
      </c>
      <c r="N24" s="56">
        <v>230.80</v>
      </c>
      <c r="O24" s="56">
        <v>0</v>
      </c>
      <c r="P24" s="56">
        <v>0.37</v>
      </c>
      <c r="Q24" s="56">
        <v>9.2100000000000009</v>
      </c>
      <c r="R24" s="43"/>
      <c r="S24" s="43"/>
      <c r="T24" s="43"/>
      <c r="U24" s="43"/>
    </row>
    <row r="25" spans="1:21" s="11" customFormat="1" ht="15">
      <c r="A25" s="55" t="s">
        <v>318</v>
      </c>
      <c r="B25" s="56">
        <v>0.22</v>
      </c>
      <c r="C25" s="56">
        <v>29.17</v>
      </c>
      <c r="D25" s="56">
        <v>15.34</v>
      </c>
      <c r="E25" s="56">
        <v>1.70</v>
      </c>
      <c r="F25" s="56">
        <v>4.6500000000000004</v>
      </c>
      <c r="G25" s="56">
        <v>12.53</v>
      </c>
      <c r="H25" s="56">
        <v>6.59</v>
      </c>
      <c r="I25" s="56">
        <v>3.96</v>
      </c>
      <c r="J25" s="56">
        <v>1.63</v>
      </c>
      <c r="K25" s="56">
        <v>104.93</v>
      </c>
      <c r="L25" s="56">
        <v>20.78</v>
      </c>
      <c r="M25" s="56">
        <v>87.91</v>
      </c>
      <c r="N25" s="56">
        <v>188.30</v>
      </c>
      <c r="O25" s="56">
        <v>0</v>
      </c>
      <c r="P25" s="56">
        <v>0.38</v>
      </c>
      <c r="Q25" s="56">
        <v>9.23</v>
      </c>
      <c r="R25" s="43"/>
      <c r="S25" s="43"/>
      <c r="T25" s="43"/>
      <c r="U25" s="43"/>
    </row>
    <row r="26" spans="1:21" s="11" customFormat="1" ht="15">
      <c r="A26" s="55" t="s">
        <v>319</v>
      </c>
      <c r="B26" s="56">
        <v>0.10</v>
      </c>
      <c r="C26" s="56">
        <v>27.38</v>
      </c>
      <c r="D26" s="56">
        <v>14.30</v>
      </c>
      <c r="E26" s="56">
        <v>1.58</v>
      </c>
      <c r="F26" s="56">
        <v>4.88</v>
      </c>
      <c r="G26" s="56">
        <v>9.9600000000000009</v>
      </c>
      <c r="H26" s="56">
        <v>5.04</v>
      </c>
      <c r="I26" s="56">
        <v>4.16</v>
      </c>
      <c r="J26" s="56">
        <v>0.96</v>
      </c>
      <c r="K26" s="56">
        <v>100.15</v>
      </c>
      <c r="L26" s="56">
        <v>20.55</v>
      </c>
      <c r="M26" s="56">
        <v>88.65</v>
      </c>
      <c r="N26" s="56">
        <v>98.90</v>
      </c>
      <c r="O26" s="56">
        <v>0</v>
      </c>
      <c r="P26" s="56">
        <v>0.35</v>
      </c>
      <c r="Q26" s="56">
        <v>9.24</v>
      </c>
      <c r="R26" s="43"/>
      <c r="S26" s="43"/>
      <c r="T26" s="43"/>
      <c r="U26" s="43"/>
    </row>
    <row r="27" spans="1:21" s="11" customFormat="1" ht="15">
      <c r="A27" s="55" t="s">
        <v>320</v>
      </c>
      <c r="B27" s="56">
        <v>0.10</v>
      </c>
      <c r="C27" s="56">
        <v>25.80</v>
      </c>
      <c r="D27" s="56">
        <v>13.48</v>
      </c>
      <c r="E27" s="56">
        <v>1.73</v>
      </c>
      <c r="F27" s="56">
        <v>4.2699999999999996</v>
      </c>
      <c r="G27" s="56">
        <v>25.28</v>
      </c>
      <c r="H27" s="56">
        <v>8.5299999999999994</v>
      </c>
      <c r="I27" s="56">
        <v>4.59</v>
      </c>
      <c r="J27" s="56">
        <v>1.35</v>
      </c>
      <c r="K27" s="56">
        <v>101.43</v>
      </c>
      <c r="L27" s="56">
        <v>20.09</v>
      </c>
      <c r="M27" s="56">
        <v>90.95</v>
      </c>
      <c r="N27" s="56">
        <v>21.20</v>
      </c>
      <c r="O27" s="56">
        <v>0</v>
      </c>
      <c r="P27" s="56">
        <v>0.35</v>
      </c>
      <c r="Q27" s="56">
        <v>9.23</v>
      </c>
      <c r="R27" s="43"/>
      <c r="S27" s="43"/>
      <c r="T27" s="43"/>
      <c r="U27" s="43"/>
    </row>
    <row r="28" spans="1:21" s="11" customFormat="1" ht="15">
      <c r="A28" s="55" t="s">
        <v>321</v>
      </c>
      <c r="B28" s="56">
        <v>1.08</v>
      </c>
      <c r="C28" s="56">
        <v>25.68</v>
      </c>
      <c r="D28" s="56">
        <v>14.20</v>
      </c>
      <c r="E28" s="56">
        <v>2.0299999999999998</v>
      </c>
      <c r="F28" s="56">
        <v>3.80</v>
      </c>
      <c r="G28" s="56">
        <v>25.14</v>
      </c>
      <c r="H28" s="56">
        <v>8.43</v>
      </c>
      <c r="I28" s="56">
        <v>5.21</v>
      </c>
      <c r="J28" s="56">
        <v>1.1100000000000001</v>
      </c>
      <c r="K28" s="56">
        <v>100.08</v>
      </c>
      <c r="L28" s="56">
        <v>19.809999999999999</v>
      </c>
      <c r="M28" s="56">
        <v>94.40</v>
      </c>
      <c r="N28" s="56">
        <v>16.80</v>
      </c>
      <c r="O28" s="56">
        <v>0</v>
      </c>
      <c r="P28" s="56">
        <v>0.36</v>
      </c>
      <c r="Q28" s="56">
        <v>9.2200000000000006</v>
      </c>
      <c r="R28" s="43"/>
      <c r="S28" s="43"/>
      <c r="T28" s="43"/>
      <c r="U28" s="43"/>
    </row>
    <row r="29" spans="1:21" s="11" customFormat="1" ht="15">
      <c r="A29" s="55" t="s">
        <v>322</v>
      </c>
      <c r="B29" s="56">
        <v>3</v>
      </c>
      <c r="C29" s="56">
        <v>25.94</v>
      </c>
      <c r="D29" s="56">
        <v>15.58</v>
      </c>
      <c r="E29" s="56">
        <v>1.74</v>
      </c>
      <c r="F29" s="56">
        <v>3.31</v>
      </c>
      <c r="G29" s="56">
        <v>24.17</v>
      </c>
      <c r="H29" s="56">
        <v>7.59</v>
      </c>
      <c r="I29" s="56">
        <v>5.84</v>
      </c>
      <c r="J29" s="56">
        <v>0.88</v>
      </c>
      <c r="K29" s="56">
        <v>101.88</v>
      </c>
      <c r="L29" s="56">
        <v>19.47</v>
      </c>
      <c r="M29" s="56">
        <v>95.87</v>
      </c>
      <c r="N29" s="56">
        <v>16.80</v>
      </c>
      <c r="O29" s="56">
        <v>0</v>
      </c>
      <c r="P29" s="56">
        <v>0.41</v>
      </c>
      <c r="Q29" s="56">
        <v>9.2899999999999991</v>
      </c>
      <c r="R29" s="43"/>
      <c r="S29" s="43"/>
      <c r="T29" s="43"/>
      <c r="U29" s="43"/>
    </row>
    <row r="30" spans="1:21" s="11" customFormat="1" ht="15">
      <c r="A30" s="55" t="s">
        <v>323</v>
      </c>
      <c r="B30" s="56">
        <v>5.1100000000000003</v>
      </c>
      <c r="C30" s="56">
        <v>27.02</v>
      </c>
      <c r="D30" s="56">
        <v>18.13</v>
      </c>
      <c r="E30" s="56">
        <v>2.09</v>
      </c>
      <c r="F30" s="56">
        <v>3.66</v>
      </c>
      <c r="G30" s="56">
        <v>28.53</v>
      </c>
      <c r="H30" s="56">
        <v>8.40</v>
      </c>
      <c r="I30" s="56">
        <v>6.54</v>
      </c>
      <c r="J30" s="56">
        <v>0.30</v>
      </c>
      <c r="K30" s="56">
        <v>209.14</v>
      </c>
      <c r="L30" s="56">
        <v>19.100000000000001</v>
      </c>
      <c r="M30" s="56">
        <v>97.83</v>
      </c>
      <c r="N30" s="56">
        <v>16.70</v>
      </c>
      <c r="O30" s="56">
        <v>0</v>
      </c>
      <c r="P30" s="56">
        <v>0.46</v>
      </c>
      <c r="Q30" s="56">
        <v>9.2799999999999994</v>
      </c>
      <c r="R30" s="43"/>
      <c r="S30" s="43"/>
      <c r="T30" s="43"/>
      <c r="U30" s="43"/>
    </row>
    <row r="31" spans="1:21" s="11" customFormat="1" ht="15">
      <c r="A31" s="55" t="s">
        <v>324</v>
      </c>
      <c r="B31" s="56">
        <v>10.68</v>
      </c>
      <c r="C31" s="56">
        <v>28.12</v>
      </c>
      <c r="D31" s="56">
        <v>23.17</v>
      </c>
      <c r="E31" s="56">
        <v>1.98</v>
      </c>
      <c r="F31" s="56">
        <v>3.72</v>
      </c>
      <c r="G31" s="56">
        <v>29.07</v>
      </c>
      <c r="H31" s="56">
        <v>7.75</v>
      </c>
      <c r="I31" s="56">
        <v>6.25</v>
      </c>
      <c r="J31" s="56">
        <v>0.23</v>
      </c>
      <c r="K31" s="56">
        <v>249.60</v>
      </c>
      <c r="L31" s="56">
        <v>18.72</v>
      </c>
      <c r="M31" s="56">
        <v>97.87</v>
      </c>
      <c r="N31" s="56">
        <v>16.80</v>
      </c>
      <c r="O31" s="56">
        <v>0</v>
      </c>
      <c r="P31" s="56">
        <v>0.53</v>
      </c>
      <c r="Q31" s="56">
        <v>9.36</v>
      </c>
      <c r="R31" s="43"/>
      <c r="S31" s="43"/>
      <c r="T31" s="43"/>
      <c r="U31" s="43"/>
    </row>
    <row r="32" spans="1:21" s="11" customFormat="1" ht="15">
      <c r="A32" s="55" t="s">
        <v>325</v>
      </c>
      <c r="B32" s="56">
        <v>11.23</v>
      </c>
      <c r="C32" s="56">
        <v>30.25</v>
      </c>
      <c r="D32" s="56">
        <v>24.02</v>
      </c>
      <c r="E32" s="56">
        <v>2.02</v>
      </c>
      <c r="F32" s="56">
        <v>3.31</v>
      </c>
      <c r="G32" s="56">
        <v>31.75</v>
      </c>
      <c r="H32" s="56">
        <v>9.91</v>
      </c>
      <c r="I32" s="56">
        <v>5.79</v>
      </c>
      <c r="J32" s="56">
        <v>0.74</v>
      </c>
      <c r="K32" s="56">
        <v>215.33</v>
      </c>
      <c r="L32" s="56">
        <v>18.48</v>
      </c>
      <c r="M32" s="56">
        <v>97.83</v>
      </c>
      <c r="N32" s="56">
        <v>16.5</v>
      </c>
      <c r="O32" s="56">
        <v>0</v>
      </c>
      <c r="P32" s="56">
        <v>0.52</v>
      </c>
      <c r="Q32" s="56">
        <v>9.36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25.68</v>
      </c>
      <c r="D34" s="28">
        <f t="shared" si="0"/>
        <v>13.48</v>
      </c>
      <c r="E34" s="28">
        <f t="shared" si="0"/>
        <v>1.28</v>
      </c>
      <c r="F34" s="28">
        <f t="shared" si="0"/>
        <v>3.3100000000000001</v>
      </c>
      <c r="G34" s="28">
        <f t="shared" si="0"/>
        <v>7.4500000000000002</v>
      </c>
      <c r="H34" s="28">
        <f t="shared" si="0"/>
        <v>3.9900000000000002</v>
      </c>
      <c r="I34" s="28">
        <f t="shared" si="0"/>
        <v>2.2400000000000002</v>
      </c>
      <c r="J34" s="28">
        <f t="shared" si="0"/>
        <v>0.23000000000000001</v>
      </c>
      <c r="K34" s="28">
        <f t="shared" si="0"/>
        <v>100.08</v>
      </c>
      <c r="L34" s="28">
        <f t="shared" si="0"/>
        <v>17.280000000000001</v>
      </c>
      <c r="M34" s="28">
        <f t="shared" si="0"/>
        <v>79.989999999999995</v>
      </c>
      <c r="N34" s="28">
        <f t="shared" si="0"/>
        <v>16.5</v>
      </c>
      <c r="O34" s="28">
        <f t="shared" si="0"/>
        <v>0</v>
      </c>
      <c r="P34" s="28">
        <f t="shared" si="0"/>
        <v>0.23999999999999999</v>
      </c>
      <c r="Q34" s="28">
        <f t="shared" si="0"/>
        <v>9.2100000000000009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11.23</v>
      </c>
      <c r="C35" s="29">
        <f t="shared" si="1"/>
        <v>33.869999999999997</v>
      </c>
      <c r="D35" s="29">
        <f t="shared" si="1"/>
        <v>24.02</v>
      </c>
      <c r="E35" s="29">
        <f t="shared" si="1"/>
        <v>2.2200000000000002</v>
      </c>
      <c r="F35" s="29">
        <f t="shared" si="1"/>
        <v>8</v>
      </c>
      <c r="G35" s="29">
        <f t="shared" si="1"/>
        <v>34.619999999999997</v>
      </c>
      <c r="H35" s="29">
        <f t="shared" si="1"/>
        <v>13.23</v>
      </c>
      <c r="I35" s="29">
        <f t="shared" si="1"/>
        <v>6.54</v>
      </c>
      <c r="J35" s="29">
        <f t="shared" si="1"/>
        <v>3.8500000000000001</v>
      </c>
      <c r="K35" s="29">
        <f t="shared" si="1"/>
        <v>358.44999999999999</v>
      </c>
      <c r="L35" s="29">
        <f t="shared" si="1"/>
        <v>20.879999999999999</v>
      </c>
      <c r="M35" s="29">
        <f t="shared" si="1"/>
        <v>97.870000000000005</v>
      </c>
      <c r="N35" s="29">
        <f t="shared" si="1"/>
        <v>311</v>
      </c>
      <c r="O35" s="29">
        <f t="shared" si="1"/>
        <v>1</v>
      </c>
      <c r="P35" s="29">
        <f t="shared" si="1"/>
        <v>0.53000000000000003</v>
      </c>
      <c r="Q35" s="29">
        <f t="shared" si="1"/>
        <v>9.3599999999999994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1.6779166666666665</v>
      </c>
      <c r="C36" s="28">
        <f t="shared" si="2"/>
        <v>29.658749999999998</v>
      </c>
      <c r="D36" s="28">
        <f t="shared" si="2"/>
        <v>16.654999999999998</v>
      </c>
      <c r="E36" s="28">
        <f t="shared" si="2"/>
        <v>1.8591666666666669</v>
      </c>
      <c r="F36" s="28">
        <f t="shared" si="2"/>
        <v>4.9500000000000002</v>
      </c>
      <c r="G36" s="28">
        <f t="shared" si="2"/>
        <v>19.540833333333332</v>
      </c>
      <c r="H36" s="28">
        <f t="shared" si="2"/>
        <v>7.0533333333333337</v>
      </c>
      <c r="I36" s="28">
        <f t="shared" si="2"/>
        <v>3.9158333333333339</v>
      </c>
      <c r="J36" s="28">
        <f t="shared" si="2"/>
        <v>1.4220833333333329</v>
      </c>
      <c r="K36" s="28">
        <f t="shared" si="2"/>
        <v>235.93958333333333</v>
      </c>
      <c r="L36" s="28">
        <f t="shared" si="2"/>
        <v>19.373750000000001</v>
      </c>
      <c r="M36" s="28">
        <f t="shared" si="2"/>
        <v>94.486249999999998</v>
      </c>
      <c r="N36" s="28">
        <f t="shared" si="2"/>
        <v>94.283333333333346</v>
      </c>
      <c r="O36" s="28">
        <f t="shared" si="2"/>
        <v>0.14166666666666666</v>
      </c>
      <c r="P36" s="28">
        <f t="shared" si="2"/>
        <v>0.35999999999999993</v>
      </c>
      <c r="Q36" s="28">
        <f t="shared" si="2"/>
        <v>9.2654166666666669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3.1160133101890564</v>
      </c>
      <c r="C37" s="28">
        <f t="shared" si="3" ref="C37:Q37">STDEV(C9:C32)</f>
        <v>2.8403602228682874</v>
      </c>
      <c r="D37" s="28">
        <f t="shared" si="3"/>
        <v>2.68598132014613</v>
      </c>
      <c r="E37" s="28">
        <f t="shared" si="3"/>
        <v>0.26516470134725617</v>
      </c>
      <c r="F37" s="28">
        <f t="shared" si="3"/>
        <v>1.3412972306202542</v>
      </c>
      <c r="G37" s="28">
        <f t="shared" si="3"/>
        <v>8.4239239625922711</v>
      </c>
      <c r="H37" s="28">
        <f t="shared" si="3"/>
        <v>2.3711557751748238</v>
      </c>
      <c r="I37" s="28">
        <f t="shared" si="3"/>
        <v>1.2849121663998309</v>
      </c>
      <c r="J37" s="28">
        <f t="shared" si="3"/>
        <v>1.0480913466938337</v>
      </c>
      <c r="K37" s="28">
        <f t="shared" si="3"/>
        <v>100.94529626956019</v>
      </c>
      <c r="L37" s="28">
        <f t="shared" si="3"/>
        <v>1.2211285318524734</v>
      </c>
      <c r="M37" s="28">
        <f t="shared" si="3"/>
        <v>4.6644397701721774</v>
      </c>
      <c r="N37" s="28">
        <f t="shared" si="3"/>
        <v>91.649481920149924</v>
      </c>
      <c r="O37" s="28">
        <f t="shared" si="3"/>
        <v>0.28577380332470415</v>
      </c>
      <c r="P37" s="28">
        <f t="shared" si="3"/>
        <v>0.074949258197448923</v>
      </c>
      <c r="Q37" s="28">
        <f t="shared" si="3"/>
        <v>0.045202843953110368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d36b12-cfcb-4086-85bc-170f9461737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326</v>
      </c>
      <c r="B9" s="56">
        <v>10.45</v>
      </c>
      <c r="C9" s="56">
        <v>31.61</v>
      </c>
      <c r="D9" s="56">
        <v>24.68</v>
      </c>
      <c r="E9" s="56">
        <v>1.29</v>
      </c>
      <c r="F9" s="56">
        <v>3.31</v>
      </c>
      <c r="G9" s="56">
        <v>27.34</v>
      </c>
      <c r="H9" s="56">
        <v>9.82</v>
      </c>
      <c r="I9" s="56">
        <v>5.43</v>
      </c>
      <c r="J9" s="56">
        <v>0.20</v>
      </c>
      <c r="K9" s="56">
        <v>334.59</v>
      </c>
      <c r="L9" s="56">
        <v>18.420000000000002</v>
      </c>
      <c r="M9" s="56">
        <v>97.86</v>
      </c>
      <c r="N9" s="56">
        <v>16.80</v>
      </c>
      <c r="O9" s="56">
        <v>0</v>
      </c>
      <c r="P9" s="56">
        <v>0.49</v>
      </c>
      <c r="Q9" s="56">
        <v>9.3699999999999992</v>
      </c>
      <c r="R9" s="43"/>
      <c r="S9" s="43"/>
      <c r="T9" s="43"/>
      <c r="U9" s="43"/>
    </row>
    <row r="10" spans="1:21" s="11" customFormat="1" ht="15">
      <c r="A10" s="55" t="s">
        <v>327</v>
      </c>
      <c r="B10" s="56">
        <v>10.71</v>
      </c>
      <c r="C10" s="56">
        <v>29.5</v>
      </c>
      <c r="D10" s="56">
        <v>23.81</v>
      </c>
      <c r="E10" s="56">
        <v>1.41</v>
      </c>
      <c r="F10" s="56">
        <v>3.61</v>
      </c>
      <c r="G10" s="56">
        <v>22.63</v>
      </c>
      <c r="H10" s="56">
        <v>6.98</v>
      </c>
      <c r="I10" s="56">
        <v>5.46</v>
      </c>
      <c r="J10" s="56">
        <v>0.14000000000000001</v>
      </c>
      <c r="K10" s="56">
        <v>347.26</v>
      </c>
      <c r="L10" s="56">
        <v>18.16</v>
      </c>
      <c r="M10" s="56">
        <v>97.88</v>
      </c>
      <c r="N10" s="56">
        <v>17.100000000000001</v>
      </c>
      <c r="O10" s="56">
        <v>0</v>
      </c>
      <c r="P10" s="56">
        <v>0.46</v>
      </c>
      <c r="Q10" s="56">
        <v>9.35</v>
      </c>
      <c r="R10" s="43"/>
      <c r="S10" s="43"/>
      <c r="T10" s="43"/>
      <c r="U10" s="43"/>
    </row>
    <row r="11" spans="1:21" s="11" customFormat="1" ht="15">
      <c r="A11" s="55" t="s">
        <v>328</v>
      </c>
      <c r="B11" s="56">
        <v>10.49</v>
      </c>
      <c r="C11" s="56">
        <v>24.95</v>
      </c>
      <c r="D11" s="56">
        <v>21.37</v>
      </c>
      <c r="E11" s="56">
        <v>1.36</v>
      </c>
      <c r="F11" s="56">
        <v>3.5</v>
      </c>
      <c r="G11" s="56">
        <v>24.62</v>
      </c>
      <c r="H11" s="56">
        <v>8.09</v>
      </c>
      <c r="I11" s="56">
        <v>5.27</v>
      </c>
      <c r="J11" s="56">
        <v>0.20</v>
      </c>
      <c r="K11" s="56">
        <v>214.57</v>
      </c>
      <c r="L11" s="56">
        <v>17.91</v>
      </c>
      <c r="M11" s="56">
        <v>97.88</v>
      </c>
      <c r="N11" s="56">
        <v>16.899999999999999</v>
      </c>
      <c r="O11" s="56">
        <v>0</v>
      </c>
      <c r="P11" s="56">
        <v>0.45</v>
      </c>
      <c r="Q11" s="56">
        <v>9.39</v>
      </c>
      <c r="R11" s="43"/>
      <c r="S11" s="43"/>
      <c r="T11" s="43"/>
      <c r="U11" s="43"/>
    </row>
    <row r="12" spans="1:21" s="11" customFormat="1" ht="15">
      <c r="A12" s="55" t="s">
        <v>329</v>
      </c>
      <c r="B12" s="56">
        <v>10.08</v>
      </c>
      <c r="C12" s="56">
        <v>24.21</v>
      </c>
      <c r="D12" s="56">
        <v>20.63</v>
      </c>
      <c r="E12" s="56">
        <v>1.75</v>
      </c>
      <c r="F12" s="56">
        <v>3.17</v>
      </c>
      <c r="G12" s="56">
        <v>25.5</v>
      </c>
      <c r="H12" s="56">
        <v>8.39</v>
      </c>
      <c r="I12" s="56">
        <v>4.8899999999999997</v>
      </c>
      <c r="J12" s="56">
        <v>0.31</v>
      </c>
      <c r="K12" s="56">
        <v>280.83</v>
      </c>
      <c r="L12" s="56">
        <v>18.07</v>
      </c>
      <c r="M12" s="56">
        <v>97.88</v>
      </c>
      <c r="N12" s="56">
        <v>17</v>
      </c>
      <c r="O12" s="56">
        <v>0</v>
      </c>
      <c r="P12" s="56">
        <v>0.43</v>
      </c>
      <c r="Q12" s="56">
        <v>9.41</v>
      </c>
      <c r="R12" s="43"/>
      <c r="S12" s="43"/>
      <c r="T12" s="43"/>
      <c r="U12" s="43"/>
    </row>
    <row r="13" spans="1:21" s="11" customFormat="1" ht="15">
      <c r="A13" s="55" t="s">
        <v>330</v>
      </c>
      <c r="B13" s="56">
        <v>10.41</v>
      </c>
      <c r="C13" s="56">
        <v>25.08</v>
      </c>
      <c r="D13" s="56">
        <v>21.37</v>
      </c>
      <c r="E13" s="56">
        <v>1.88</v>
      </c>
      <c r="F13" s="56">
        <v>3.43</v>
      </c>
      <c r="G13" s="56">
        <v>27.05</v>
      </c>
      <c r="H13" s="56">
        <v>9.16</v>
      </c>
      <c r="I13" s="56">
        <v>4.5199999999999996</v>
      </c>
      <c r="J13" s="56">
        <v>0.30</v>
      </c>
      <c r="K13" s="56">
        <v>329.91</v>
      </c>
      <c r="L13" s="56">
        <v>17.93</v>
      </c>
      <c r="M13" s="56">
        <v>97.88</v>
      </c>
      <c r="N13" s="56">
        <v>17</v>
      </c>
      <c r="O13" s="56">
        <v>0</v>
      </c>
      <c r="P13" s="56">
        <v>0.41</v>
      </c>
      <c r="Q13" s="56">
        <v>9.34</v>
      </c>
      <c r="R13" s="43"/>
      <c r="S13" s="43"/>
      <c r="T13" s="43"/>
      <c r="U13" s="43"/>
    </row>
    <row r="14" spans="1:21" s="11" customFormat="1" ht="15">
      <c r="A14" s="55" t="s">
        <v>331</v>
      </c>
      <c r="B14" s="56">
        <v>12.67</v>
      </c>
      <c r="C14" s="56">
        <v>26.26</v>
      </c>
      <c r="D14" s="56">
        <v>23.76</v>
      </c>
      <c r="E14" s="56">
        <v>2.2400000000000002</v>
      </c>
      <c r="F14" s="56">
        <v>4.03</v>
      </c>
      <c r="G14" s="56">
        <v>27.47</v>
      </c>
      <c r="H14" s="56">
        <v>7.20</v>
      </c>
      <c r="I14" s="56">
        <v>4.6500000000000004</v>
      </c>
      <c r="J14" s="56">
        <v>0.47</v>
      </c>
      <c r="K14" s="56">
        <v>356.72</v>
      </c>
      <c r="L14" s="56">
        <v>18.59</v>
      </c>
      <c r="M14" s="56">
        <v>97.88</v>
      </c>
      <c r="N14" s="56">
        <v>19.80</v>
      </c>
      <c r="O14" s="56">
        <v>0</v>
      </c>
      <c r="P14" s="56">
        <v>0.40</v>
      </c>
      <c r="Q14" s="56">
        <v>9.36</v>
      </c>
      <c r="R14" s="43"/>
      <c r="S14" s="43"/>
      <c r="T14" s="43"/>
      <c r="U14" s="43"/>
    </row>
    <row r="15" spans="1:21" s="11" customFormat="1" ht="15">
      <c r="A15" s="55" t="s">
        <v>332</v>
      </c>
      <c r="B15" s="56">
        <v>19.690000000000001</v>
      </c>
      <c r="C15" s="56">
        <v>26.51</v>
      </c>
      <c r="D15" s="56">
        <v>28.76</v>
      </c>
      <c r="E15" s="56">
        <v>2.34</v>
      </c>
      <c r="F15" s="56">
        <v>3.36</v>
      </c>
      <c r="G15" s="56">
        <v>35.11</v>
      </c>
      <c r="H15" s="56">
        <v>10.77</v>
      </c>
      <c r="I15" s="56">
        <v>5.42</v>
      </c>
      <c r="J15" s="56">
        <v>0.38</v>
      </c>
      <c r="K15" s="56">
        <v>346.12</v>
      </c>
      <c r="L15" s="56">
        <v>18.78</v>
      </c>
      <c r="M15" s="56">
        <v>97.88</v>
      </c>
      <c r="N15" s="56">
        <v>54.60</v>
      </c>
      <c r="O15" s="56">
        <v>0</v>
      </c>
      <c r="P15" s="56">
        <v>0.56999999999999995</v>
      </c>
      <c r="Q15" s="56">
        <v>9.44</v>
      </c>
      <c r="R15" s="43"/>
      <c r="S15" s="43"/>
      <c r="T15" s="43"/>
      <c r="U15" s="43"/>
    </row>
    <row r="16" spans="1:21" s="11" customFormat="1" ht="15">
      <c r="A16" s="55" t="s">
        <v>333</v>
      </c>
      <c r="B16" s="56">
        <v>23.68</v>
      </c>
      <c r="C16" s="56">
        <v>25.38</v>
      </c>
      <c r="D16" s="56">
        <v>32.17</v>
      </c>
      <c r="E16" s="56">
        <v>2.44</v>
      </c>
      <c r="F16" s="56">
        <v>3.63</v>
      </c>
      <c r="G16" s="56">
        <v>152</v>
      </c>
      <c r="H16" s="56">
        <v>23.13</v>
      </c>
      <c r="I16" s="56">
        <v>5.98</v>
      </c>
      <c r="J16" s="56">
        <v>0.32</v>
      </c>
      <c r="K16" s="56">
        <v>326.62</v>
      </c>
      <c r="L16" s="56">
        <v>18.96</v>
      </c>
      <c r="M16" s="56">
        <v>97.88</v>
      </c>
      <c r="N16" s="56">
        <v>98</v>
      </c>
      <c r="O16" s="56">
        <v>0</v>
      </c>
      <c r="P16" s="56">
        <v>0.64</v>
      </c>
      <c r="Q16" s="56">
        <v>9.5299999999999994</v>
      </c>
      <c r="R16" s="43"/>
      <c r="S16" s="43"/>
      <c r="T16" s="43"/>
      <c r="U16" s="43"/>
    </row>
    <row r="17" spans="1:21" s="11" customFormat="1" ht="15">
      <c r="A17" s="55" t="s">
        <v>334</v>
      </c>
      <c r="B17" s="56">
        <v>24.43</v>
      </c>
      <c r="C17" s="56">
        <v>26.22</v>
      </c>
      <c r="D17" s="56">
        <v>32.770000000000003</v>
      </c>
      <c r="E17" s="56">
        <v>1.35</v>
      </c>
      <c r="F17" s="56">
        <v>3.63</v>
      </c>
      <c r="G17" s="56">
        <v>58.96</v>
      </c>
      <c r="H17" s="56">
        <v>23.30</v>
      </c>
      <c r="I17" s="56">
        <v>5.93</v>
      </c>
      <c r="J17" s="56">
        <v>0.56000000000000005</v>
      </c>
      <c r="K17" s="56">
        <v>298.08</v>
      </c>
      <c r="L17" s="56">
        <v>19.07</v>
      </c>
      <c r="M17" s="56">
        <v>97.88</v>
      </c>
      <c r="N17" s="56">
        <v>77.30</v>
      </c>
      <c r="O17" s="56">
        <v>0</v>
      </c>
      <c r="P17" s="56">
        <v>0.66</v>
      </c>
      <c r="Q17" s="56">
        <v>9.56</v>
      </c>
      <c r="R17" s="43"/>
      <c r="S17" s="43"/>
      <c r="T17" s="43"/>
      <c r="U17" s="43"/>
    </row>
    <row r="18" spans="1:21" s="11" customFormat="1" ht="15">
      <c r="A18" s="55" t="s">
        <v>335</v>
      </c>
      <c r="B18" s="56">
        <v>22.78</v>
      </c>
      <c r="C18" s="56">
        <v>29.69</v>
      </c>
      <c r="D18" s="56">
        <v>33.03</v>
      </c>
      <c r="E18" s="56">
        <v>1.29</v>
      </c>
      <c r="F18" s="56">
        <v>3.77</v>
      </c>
      <c r="G18" s="56">
        <v>58.41</v>
      </c>
      <c r="H18" s="56">
        <v>21.95</v>
      </c>
      <c r="I18" s="56">
        <v>5.65</v>
      </c>
      <c r="J18" s="56">
        <v>1.08</v>
      </c>
      <c r="K18" s="56">
        <v>308.70</v>
      </c>
      <c r="L18" s="56">
        <v>19.23</v>
      </c>
      <c r="M18" s="56">
        <v>97.91</v>
      </c>
      <c r="N18" s="56">
        <v>126.80</v>
      </c>
      <c r="O18" s="56">
        <v>0.20</v>
      </c>
      <c r="P18" s="56">
        <v>0.63</v>
      </c>
      <c r="Q18" s="56">
        <v>9.48</v>
      </c>
      <c r="R18" s="43"/>
      <c r="S18" s="43"/>
      <c r="T18" s="43"/>
      <c r="U18" s="43"/>
    </row>
    <row r="19" spans="1:21" s="11" customFormat="1" ht="15">
      <c r="A19" s="55" t="s">
        <v>336</v>
      </c>
      <c r="B19" s="56">
        <v>21.23</v>
      </c>
      <c r="C19" s="56">
        <v>29.48</v>
      </c>
      <c r="D19" s="56">
        <v>32.270000000000003</v>
      </c>
      <c r="E19" s="56">
        <v>1.1599999999999999</v>
      </c>
      <c r="F19" s="56">
        <v>3.51</v>
      </c>
      <c r="G19" s="56">
        <v>20.420000000000002</v>
      </c>
      <c r="H19" s="56">
        <v>20.75</v>
      </c>
      <c r="I19" s="56">
        <v>5.55</v>
      </c>
      <c r="J19" s="56">
        <v>0.30</v>
      </c>
      <c r="K19" s="56">
        <v>303.97000000000003</v>
      </c>
      <c r="L19" s="56">
        <v>21.35</v>
      </c>
      <c r="M19" s="56">
        <v>97.91</v>
      </c>
      <c r="N19" s="56">
        <v>462.10</v>
      </c>
      <c r="O19" s="56">
        <v>0</v>
      </c>
      <c r="P19" s="56">
        <v>0.63</v>
      </c>
      <c r="Q19" s="56">
        <v>9.5500000000000007</v>
      </c>
      <c r="R19" s="43"/>
      <c r="S19" s="43"/>
      <c r="T19" s="43"/>
      <c r="U19" s="43"/>
    </row>
    <row r="20" spans="1:21" s="11" customFormat="1" ht="15">
      <c r="A20" s="55" t="s">
        <v>337</v>
      </c>
      <c r="B20" s="56">
        <v>17.29</v>
      </c>
      <c r="C20" s="56">
        <v>29.12</v>
      </c>
      <c r="D20" s="56">
        <v>28.33</v>
      </c>
      <c r="E20" s="56">
        <v>1.46</v>
      </c>
      <c r="F20" s="56">
        <v>3.69</v>
      </c>
      <c r="G20" s="56">
        <v>17.649999999999999</v>
      </c>
      <c r="H20" s="56">
        <v>16.399999999999999</v>
      </c>
      <c r="I20" s="56">
        <v>5.40</v>
      </c>
      <c r="J20" s="56">
        <v>0.22</v>
      </c>
      <c r="K20" s="56">
        <v>319.95</v>
      </c>
      <c r="L20" s="56">
        <v>23.20</v>
      </c>
      <c r="M20" s="56">
        <v>86.81</v>
      </c>
      <c r="N20" s="56">
        <v>480.60</v>
      </c>
      <c r="O20" s="56">
        <v>0</v>
      </c>
      <c r="P20" s="56">
        <v>0.63</v>
      </c>
      <c r="Q20" s="56">
        <v>9.5399999999999991</v>
      </c>
      <c r="R20" s="43"/>
      <c r="S20" s="43"/>
      <c r="T20" s="43"/>
      <c r="U20" s="43"/>
    </row>
    <row r="21" spans="1:21" s="11" customFormat="1" ht="15">
      <c r="A21" s="55" t="s">
        <v>338</v>
      </c>
      <c r="B21" s="56">
        <v>9.57</v>
      </c>
      <c r="C21" s="56">
        <v>31.11</v>
      </c>
      <c r="D21" s="56">
        <v>23.35</v>
      </c>
      <c r="E21" s="56">
        <v>2.46</v>
      </c>
      <c r="F21" s="56">
        <v>4.1100000000000003</v>
      </c>
      <c r="G21" s="56">
        <v>33.630000000000003</v>
      </c>
      <c r="H21" s="56">
        <v>14.96</v>
      </c>
      <c r="I21" s="56">
        <v>4.63</v>
      </c>
      <c r="J21" s="56">
        <v>0.34</v>
      </c>
      <c r="K21" s="56">
        <v>350.87</v>
      </c>
      <c r="L21" s="56">
        <v>24.38</v>
      </c>
      <c r="M21" s="56">
        <v>74.84</v>
      </c>
      <c r="N21" s="56">
        <v>453.5</v>
      </c>
      <c r="O21" s="56">
        <v>0</v>
      </c>
      <c r="P21" s="56">
        <v>0.61</v>
      </c>
      <c r="Q21" s="56">
        <v>9.39</v>
      </c>
      <c r="R21" s="43"/>
      <c r="S21" s="43"/>
      <c r="T21" s="43"/>
      <c r="U21" s="43"/>
    </row>
    <row r="22" spans="1:21" s="11" customFormat="1" ht="15">
      <c r="A22" s="55" t="s">
        <v>339</v>
      </c>
      <c r="B22" s="56">
        <v>2.46</v>
      </c>
      <c r="C22" s="56">
        <v>30.97</v>
      </c>
      <c r="D22" s="56">
        <v>18.010000000000002</v>
      </c>
      <c r="E22" s="56">
        <v>2.38</v>
      </c>
      <c r="F22" s="56">
        <v>4.13</v>
      </c>
      <c r="G22" s="56">
        <v>27.92</v>
      </c>
      <c r="H22" s="56">
        <v>11.30</v>
      </c>
      <c r="I22" s="56">
        <v>4.13</v>
      </c>
      <c r="J22" s="56">
        <v>0.31</v>
      </c>
      <c r="K22" s="56">
        <v>311.89</v>
      </c>
      <c r="L22" s="56">
        <v>26.23</v>
      </c>
      <c r="M22" s="56">
        <v>65.80</v>
      </c>
      <c r="N22" s="56">
        <v>317.20</v>
      </c>
      <c r="O22" s="56">
        <v>0</v>
      </c>
      <c r="P22" s="56">
        <v>0.56999999999999995</v>
      </c>
      <c r="Q22" s="56">
        <v>9.27</v>
      </c>
      <c r="R22" s="43"/>
      <c r="S22" s="43"/>
      <c r="T22" s="43"/>
      <c r="U22" s="43"/>
    </row>
    <row r="23" spans="1:21" s="11" customFormat="1" ht="15">
      <c r="A23" s="55" t="s">
        <v>340</v>
      </c>
      <c r="B23" s="56">
        <v>1.95</v>
      </c>
      <c r="C23" s="56">
        <v>31.15</v>
      </c>
      <c r="D23" s="56">
        <v>17.760000000000002</v>
      </c>
      <c r="E23" s="56">
        <v>2.1800000000000002</v>
      </c>
      <c r="F23" s="56">
        <v>4.22</v>
      </c>
      <c r="G23" s="56">
        <v>35.5</v>
      </c>
      <c r="H23" s="56">
        <v>13.65</v>
      </c>
      <c r="I23" s="56">
        <v>4.5199999999999996</v>
      </c>
      <c r="J23" s="56">
        <v>0.83</v>
      </c>
      <c r="K23" s="56">
        <v>187.10</v>
      </c>
      <c r="L23" s="56">
        <v>26.60</v>
      </c>
      <c r="M23" s="56">
        <v>61.75</v>
      </c>
      <c r="N23" s="56">
        <v>698.30</v>
      </c>
      <c r="O23" s="56">
        <v>0</v>
      </c>
      <c r="P23" s="56">
        <v>0.55000000000000004</v>
      </c>
      <c r="Q23" s="56">
        <v>9.25</v>
      </c>
      <c r="R23" s="43"/>
      <c r="S23" s="43"/>
      <c r="T23" s="43"/>
      <c r="U23" s="43"/>
    </row>
    <row r="24" spans="1:21" s="11" customFormat="1" ht="15">
      <c r="A24" s="55" t="s">
        <v>341</v>
      </c>
      <c r="B24" s="56">
        <v>1.81</v>
      </c>
      <c r="C24" s="56">
        <v>29.15</v>
      </c>
      <c r="D24" s="56">
        <v>16.600000000000001</v>
      </c>
      <c r="E24" s="56">
        <v>2.2599999999999998</v>
      </c>
      <c r="F24" s="56">
        <v>4.21</v>
      </c>
      <c r="G24" s="56">
        <v>28.61</v>
      </c>
      <c r="H24" s="56">
        <v>15.74</v>
      </c>
      <c r="I24" s="56">
        <v>5.36</v>
      </c>
      <c r="J24" s="56">
        <v>0.57999999999999996</v>
      </c>
      <c r="K24" s="56">
        <v>173.47</v>
      </c>
      <c r="L24" s="56">
        <v>26.26</v>
      </c>
      <c r="M24" s="56">
        <v>57.63</v>
      </c>
      <c r="N24" s="56">
        <v>321.89999999999998</v>
      </c>
      <c r="O24" s="56">
        <v>0</v>
      </c>
      <c r="P24" s="56">
        <v>0.53</v>
      </c>
      <c r="Q24" s="56">
        <v>9.27</v>
      </c>
      <c r="R24" s="43"/>
      <c r="S24" s="43"/>
      <c r="T24" s="43"/>
      <c r="U24" s="43"/>
    </row>
    <row r="25" spans="1:21" s="11" customFormat="1" ht="15">
      <c r="A25" s="55" t="s">
        <v>342</v>
      </c>
      <c r="B25" s="56">
        <v>0.65</v>
      </c>
      <c r="C25" s="56">
        <v>26.47</v>
      </c>
      <c r="D25" s="56">
        <v>14.27</v>
      </c>
      <c r="E25" s="56">
        <v>1.23</v>
      </c>
      <c r="F25" s="56">
        <v>4.1100000000000003</v>
      </c>
      <c r="G25" s="56">
        <v>36.99</v>
      </c>
      <c r="H25" s="56">
        <v>11.38</v>
      </c>
      <c r="I25" s="56">
        <v>5.28</v>
      </c>
      <c r="J25" s="56">
        <v>0.68</v>
      </c>
      <c r="K25" s="56">
        <v>154.38</v>
      </c>
      <c r="L25" s="56">
        <v>25.52</v>
      </c>
      <c r="M25" s="56">
        <v>57.63</v>
      </c>
      <c r="N25" s="56">
        <v>228.90</v>
      </c>
      <c r="O25" s="56">
        <v>0</v>
      </c>
      <c r="P25" s="56">
        <v>0.5</v>
      </c>
      <c r="Q25" s="56">
        <v>9.26</v>
      </c>
      <c r="R25" s="43"/>
      <c r="S25" s="43"/>
      <c r="T25" s="43"/>
      <c r="U25" s="43"/>
    </row>
    <row r="26" spans="1:21" s="11" customFormat="1" ht="15">
      <c r="A26" s="55" t="s">
        <v>343</v>
      </c>
      <c r="B26" s="56">
        <v>0.10</v>
      </c>
      <c r="C26" s="56">
        <v>25.98</v>
      </c>
      <c r="D26" s="56">
        <v>13.58</v>
      </c>
      <c r="E26" s="56">
        <v>1.36</v>
      </c>
      <c r="F26" s="56">
        <v>4.1900000000000004</v>
      </c>
      <c r="G26" s="56">
        <v>21.12</v>
      </c>
      <c r="H26" s="56">
        <v>14.11</v>
      </c>
      <c r="I26" s="56">
        <v>5.29</v>
      </c>
      <c r="J26" s="56">
        <v>1.06</v>
      </c>
      <c r="K26" s="56">
        <v>161.15</v>
      </c>
      <c r="L26" s="56">
        <v>25.17</v>
      </c>
      <c r="M26" s="56">
        <v>62.13</v>
      </c>
      <c r="N26" s="56">
        <v>97.5</v>
      </c>
      <c r="O26" s="56">
        <v>0</v>
      </c>
      <c r="P26" s="56">
        <v>0.48</v>
      </c>
      <c r="Q26" s="56">
        <v>9.27</v>
      </c>
      <c r="R26" s="43"/>
      <c r="S26" s="43"/>
      <c r="T26" s="43"/>
      <c r="U26" s="43"/>
    </row>
    <row r="27" spans="1:21" s="11" customFormat="1" ht="15">
      <c r="A27" s="55" t="s">
        <v>344</v>
      </c>
      <c r="B27" s="56">
        <v>1.1599999999999999</v>
      </c>
      <c r="C27" s="56">
        <v>27.93</v>
      </c>
      <c r="D27" s="56">
        <v>15.03</v>
      </c>
      <c r="E27" s="56">
        <v>1.32</v>
      </c>
      <c r="F27" s="56">
        <v>3.66</v>
      </c>
      <c r="G27" s="56">
        <v>35.799999999999997</v>
      </c>
      <c r="H27" s="56">
        <v>14.39</v>
      </c>
      <c r="I27" s="56">
        <v>4.9800000000000004</v>
      </c>
      <c r="J27" s="56">
        <v>0.39</v>
      </c>
      <c r="K27" s="56">
        <v>235.72</v>
      </c>
      <c r="L27" s="56">
        <v>23.61</v>
      </c>
      <c r="M27" s="56">
        <v>86.10</v>
      </c>
      <c r="N27" s="56">
        <v>22.5</v>
      </c>
      <c r="O27" s="56">
        <v>0</v>
      </c>
      <c r="P27" s="56">
        <v>0.48</v>
      </c>
      <c r="Q27" s="56">
        <v>9.2799999999999994</v>
      </c>
      <c r="R27" s="43"/>
      <c r="S27" s="43"/>
      <c r="T27" s="43"/>
      <c r="U27" s="43"/>
    </row>
    <row r="28" spans="1:21" s="11" customFormat="1" ht="15">
      <c r="A28" s="55" t="s">
        <v>345</v>
      </c>
      <c r="B28" s="56">
        <v>3.26</v>
      </c>
      <c r="C28" s="56">
        <v>27.59</v>
      </c>
      <c r="D28" s="56">
        <v>16.95</v>
      </c>
      <c r="E28" s="56">
        <v>1.1499999999999999</v>
      </c>
      <c r="F28" s="56">
        <v>3.66</v>
      </c>
      <c r="G28" s="56">
        <v>41.87</v>
      </c>
      <c r="H28" s="56">
        <v>16.37</v>
      </c>
      <c r="I28" s="56">
        <v>5.52</v>
      </c>
      <c r="J28" s="56">
        <v>1.06</v>
      </c>
      <c r="K28" s="56">
        <v>166.51</v>
      </c>
      <c r="L28" s="56">
        <v>22.09</v>
      </c>
      <c r="M28" s="56">
        <v>84.41</v>
      </c>
      <c r="N28" s="56">
        <v>16.80</v>
      </c>
      <c r="O28" s="56">
        <v>0</v>
      </c>
      <c r="P28" s="56">
        <v>0.51</v>
      </c>
      <c r="Q28" s="56">
        <v>9.2899999999999991</v>
      </c>
      <c r="R28" s="43"/>
      <c r="S28" s="43"/>
      <c r="T28" s="43"/>
      <c r="U28" s="43"/>
    </row>
    <row r="29" spans="1:21" s="11" customFormat="1" ht="15">
      <c r="A29" s="55" t="s">
        <v>346</v>
      </c>
      <c r="B29" s="56">
        <v>5.18</v>
      </c>
      <c r="C29" s="56">
        <v>28.70</v>
      </c>
      <c r="D29" s="56">
        <v>18.899999999999999</v>
      </c>
      <c r="E29" s="56">
        <v>1.23</v>
      </c>
      <c r="F29" s="56">
        <v>3.80</v>
      </c>
      <c r="G29" s="56">
        <v>43.15</v>
      </c>
      <c r="H29" s="56">
        <v>17.420000000000002</v>
      </c>
      <c r="I29" s="56">
        <v>5.62</v>
      </c>
      <c r="J29" s="56">
        <v>0.86</v>
      </c>
      <c r="K29" s="56">
        <v>164.30</v>
      </c>
      <c r="L29" s="56">
        <v>21.56</v>
      </c>
      <c r="M29" s="56">
        <v>91.49</v>
      </c>
      <c r="N29" s="56">
        <v>17.100000000000001</v>
      </c>
      <c r="O29" s="56">
        <v>0</v>
      </c>
      <c r="P29" s="56">
        <v>0.56999999999999995</v>
      </c>
      <c r="Q29" s="56">
        <v>9.32</v>
      </c>
      <c r="R29" s="43"/>
      <c r="S29" s="43"/>
      <c r="T29" s="43"/>
      <c r="U29" s="43"/>
    </row>
    <row r="30" spans="1:21" s="11" customFormat="1" ht="15">
      <c r="A30" s="55" t="s">
        <v>347</v>
      </c>
      <c r="B30" s="56">
        <v>7.47</v>
      </c>
      <c r="C30" s="56">
        <v>28.53</v>
      </c>
      <c r="D30" s="56">
        <v>20.62</v>
      </c>
      <c r="E30" s="56">
        <v>1.1200000000000001</v>
      </c>
      <c r="F30" s="56">
        <v>3.77</v>
      </c>
      <c r="G30" s="56">
        <v>36.01</v>
      </c>
      <c r="H30" s="56">
        <v>14.74</v>
      </c>
      <c r="I30" s="56">
        <v>5.81</v>
      </c>
      <c r="J30" s="56">
        <v>0.40</v>
      </c>
      <c r="K30" s="56">
        <v>180.08</v>
      </c>
      <c r="L30" s="56">
        <v>20.90</v>
      </c>
      <c r="M30" s="56">
        <v>93.64</v>
      </c>
      <c r="N30" s="56">
        <v>16.70</v>
      </c>
      <c r="O30" s="56">
        <v>0</v>
      </c>
      <c r="P30" s="56">
        <v>0.61</v>
      </c>
      <c r="Q30" s="56">
        <v>9.3800000000000008</v>
      </c>
      <c r="R30" s="43"/>
      <c r="S30" s="43"/>
      <c r="T30" s="43"/>
      <c r="U30" s="43"/>
    </row>
    <row r="31" spans="1:21" s="11" customFormat="1" ht="15">
      <c r="A31" s="55" t="s">
        <v>348</v>
      </c>
      <c r="B31" s="56">
        <v>15.35</v>
      </c>
      <c r="C31" s="56">
        <v>29.37</v>
      </c>
      <c r="D31" s="56">
        <v>27.55</v>
      </c>
      <c r="E31" s="56">
        <v>1.25</v>
      </c>
      <c r="F31" s="56">
        <v>3.59</v>
      </c>
      <c r="G31" s="56">
        <v>40.42</v>
      </c>
      <c r="H31" s="56">
        <v>17.38</v>
      </c>
      <c r="I31" s="56">
        <v>5.94</v>
      </c>
      <c r="J31" s="56">
        <v>0.39</v>
      </c>
      <c r="K31" s="56">
        <v>91.92</v>
      </c>
      <c r="L31" s="56">
        <v>20.29</v>
      </c>
      <c r="M31" s="56">
        <v>93.63</v>
      </c>
      <c r="N31" s="56">
        <v>17.20</v>
      </c>
      <c r="O31" s="56">
        <v>0</v>
      </c>
      <c r="P31" s="56">
        <v>0.72</v>
      </c>
      <c r="Q31" s="56">
        <v>9.40</v>
      </c>
      <c r="R31" s="43"/>
      <c r="S31" s="43"/>
      <c r="T31" s="43"/>
      <c r="U31" s="43"/>
    </row>
    <row r="32" spans="1:21" s="11" customFormat="1" ht="15">
      <c r="A32" s="55" t="s">
        <v>349</v>
      </c>
      <c r="B32" s="56">
        <v>17.170000000000002</v>
      </c>
      <c r="C32" s="56">
        <v>30.07</v>
      </c>
      <c r="D32" s="56">
        <v>29.24</v>
      </c>
      <c r="E32" s="56">
        <v>1.30</v>
      </c>
      <c r="F32" s="56">
        <v>3.53</v>
      </c>
      <c r="G32" s="56">
        <v>54.34</v>
      </c>
      <c r="H32" s="56">
        <v>18.97</v>
      </c>
      <c r="I32" s="56">
        <v>6.41</v>
      </c>
      <c r="J32" s="56">
        <v>0.31</v>
      </c>
      <c r="K32" s="56">
        <v>247.59</v>
      </c>
      <c r="L32" s="56">
        <v>20.11</v>
      </c>
      <c r="M32" s="56">
        <v>93.32</v>
      </c>
      <c r="N32" s="56">
        <v>16.70</v>
      </c>
      <c r="O32" s="56">
        <v>0</v>
      </c>
      <c r="P32" s="56">
        <v>0.74</v>
      </c>
      <c r="Q32" s="56">
        <v>9.51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24.210000000000001</v>
      </c>
      <c r="D34" s="28">
        <f t="shared" si="0"/>
        <v>13.58</v>
      </c>
      <c r="E34" s="28">
        <f t="shared" si="0"/>
        <v>1.1200000000000001</v>
      </c>
      <c r="F34" s="28">
        <f t="shared" si="0"/>
        <v>3.1699999999999999</v>
      </c>
      <c r="G34" s="28">
        <f t="shared" si="0"/>
        <v>17.649999999999999</v>
      </c>
      <c r="H34" s="28">
        <f t="shared" si="0"/>
        <v>6.9800000000000004</v>
      </c>
      <c r="I34" s="28">
        <f t="shared" si="0"/>
        <v>4.1299999999999999</v>
      </c>
      <c r="J34" s="28">
        <f t="shared" si="0"/>
        <v>0.14000000000000001</v>
      </c>
      <c r="K34" s="28">
        <f t="shared" si="0"/>
        <v>91.920000000000002</v>
      </c>
      <c r="L34" s="28">
        <f t="shared" si="0"/>
        <v>17.91</v>
      </c>
      <c r="M34" s="28">
        <f t="shared" si="0"/>
        <v>57.630000000000003</v>
      </c>
      <c r="N34" s="28">
        <f t="shared" si="0"/>
        <v>16.699999999999999</v>
      </c>
      <c r="O34" s="28">
        <f t="shared" si="0"/>
        <v>0</v>
      </c>
      <c r="P34" s="28">
        <f t="shared" si="0"/>
        <v>0.40000000000000002</v>
      </c>
      <c r="Q34" s="28">
        <f t="shared" si="0"/>
        <v>9.25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24.43</v>
      </c>
      <c r="C35" s="29">
        <f t="shared" si="1"/>
        <v>31.609999999999999</v>
      </c>
      <c r="D35" s="29">
        <f t="shared" si="1"/>
        <v>33.030000000000001</v>
      </c>
      <c r="E35" s="29">
        <f t="shared" si="1"/>
        <v>2.46</v>
      </c>
      <c r="F35" s="29">
        <f t="shared" si="1"/>
        <v>4.2199999999999998</v>
      </c>
      <c r="G35" s="29">
        <f t="shared" si="1"/>
        <v>152</v>
      </c>
      <c r="H35" s="29">
        <f t="shared" si="1"/>
        <v>23.300000000000001</v>
      </c>
      <c r="I35" s="29">
        <f t="shared" si="1"/>
        <v>6.4100000000000001</v>
      </c>
      <c r="J35" s="29">
        <f t="shared" si="1"/>
        <v>1.0800000000000001</v>
      </c>
      <c r="K35" s="29">
        <f t="shared" si="1"/>
        <v>356.72000000000003</v>
      </c>
      <c r="L35" s="29">
        <f t="shared" si="1"/>
        <v>26.600000000000001</v>
      </c>
      <c r="M35" s="29">
        <f t="shared" si="1"/>
        <v>97.909999999999997</v>
      </c>
      <c r="N35" s="29">
        <f t="shared" si="1"/>
        <v>698.29999999999995</v>
      </c>
      <c r="O35" s="29">
        <f t="shared" si="1"/>
        <v>0.20000000000000001</v>
      </c>
      <c r="P35" s="29">
        <f t="shared" si="1"/>
        <v>0.73999999999999999</v>
      </c>
      <c r="Q35" s="29">
        <f t="shared" si="1"/>
        <v>9.5600000000000005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10.834999999999999</v>
      </c>
      <c r="C36" s="28">
        <f t="shared" si="2"/>
        <v>28.126250000000002</v>
      </c>
      <c r="D36" s="28">
        <f t="shared" si="2"/>
        <v>23.11708333333333</v>
      </c>
      <c r="E36" s="28">
        <f t="shared" si="2"/>
        <v>1.6337499999999994</v>
      </c>
      <c r="F36" s="28">
        <f t="shared" si="2"/>
        <v>3.7341666666666664</v>
      </c>
      <c r="G36" s="28">
        <f t="shared" si="2"/>
        <v>38.854999999999997</v>
      </c>
      <c r="H36" s="28">
        <f t="shared" si="2"/>
        <v>14.43125</v>
      </c>
      <c r="I36" s="28">
        <f t="shared" si="2"/>
        <v>5.3183333333333334</v>
      </c>
      <c r="J36" s="28">
        <f t="shared" si="2"/>
        <v>0.48708333333333337</v>
      </c>
      <c r="K36" s="28">
        <f t="shared" si="2"/>
        <v>258.01250000000005</v>
      </c>
      <c r="L36" s="28">
        <f t="shared" si="2"/>
        <v>21.349583333333332</v>
      </c>
      <c r="M36" s="28">
        <f t="shared" si="2"/>
        <v>86.912500000000023</v>
      </c>
      <c r="N36" s="28">
        <f t="shared" si="2"/>
        <v>151.17916666666665</v>
      </c>
      <c r="O36" s="28">
        <f t="shared" si="2"/>
        <v>0.0083333333333333332</v>
      </c>
      <c r="P36" s="28">
        <f t="shared" si="2"/>
        <v>0.55291666666666672</v>
      </c>
      <c r="Q36" s="28">
        <f t="shared" si="2"/>
        <v>9.3837499999999991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7.8876651088623984</v>
      </c>
      <c r="C37" s="28">
        <f t="shared" si="3" ref="C37:Q37">STDEV(C9:C32)</f>
        <v>2.2061077519113104</v>
      </c>
      <c r="D37" s="28">
        <f t="shared" si="3"/>
        <v>6.1958867696496043</v>
      </c>
      <c r="E37" s="28">
        <f t="shared" si="3"/>
        <v>0.48781511554740042</v>
      </c>
      <c r="F37" s="28">
        <f t="shared" si="3"/>
        <v>0.30589734945860292</v>
      </c>
      <c r="G37" s="28">
        <f t="shared" si="3"/>
        <v>26.626268330680347</v>
      </c>
      <c r="H37" s="28">
        <f t="shared" si="3"/>
        <v>4.9586834792942831</v>
      </c>
      <c r="I37" s="28">
        <f t="shared" si="3"/>
        <v>0.54725931113429482</v>
      </c>
      <c r="J37" s="28">
        <f t="shared" si="3"/>
        <v>0.2892490902870466</v>
      </c>
      <c r="K37" s="28">
        <f t="shared" si="3"/>
        <v>80.483945752634483</v>
      </c>
      <c r="L37" s="28">
        <f t="shared" si="3"/>
        <v>3.0310673671263002</v>
      </c>
      <c r="M37" s="28">
        <f t="shared" si="3"/>
        <v>14.798779694109143</v>
      </c>
      <c r="N37" s="28">
        <f t="shared" si="3"/>
        <v>197.13325437856511</v>
      </c>
      <c r="O37" s="28">
        <f t="shared" si="3"/>
        <v>0.040824829046386311</v>
      </c>
      <c r="P37" s="28">
        <f t="shared" si="3"/>
        <v>0.094430980853358951</v>
      </c>
      <c r="Q37" s="28">
        <f t="shared" si="3"/>
        <v>0.10072832596741869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d5d485-3fa8-4be6-90f4-010a5f721ebb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350</v>
      </c>
      <c r="B9" s="56">
        <v>16.899999999999999</v>
      </c>
      <c r="C9" s="56">
        <v>28.82</v>
      </c>
      <c r="D9" s="56">
        <v>28.53</v>
      </c>
      <c r="E9" s="56">
        <v>0.96</v>
      </c>
      <c r="F9" s="56">
        <v>3.60</v>
      </c>
      <c r="G9" s="56">
        <v>55.32</v>
      </c>
      <c r="H9" s="56">
        <v>19.23</v>
      </c>
      <c r="I9" s="56">
        <v>7.09</v>
      </c>
      <c r="J9" s="56">
        <v>0.30</v>
      </c>
      <c r="K9" s="56">
        <v>298.25</v>
      </c>
      <c r="L9" s="56">
        <v>20.12</v>
      </c>
      <c r="M9" s="56">
        <v>97.88</v>
      </c>
      <c r="N9" s="56">
        <v>17.100000000000001</v>
      </c>
      <c r="O9" s="56">
        <v>0</v>
      </c>
      <c r="P9" s="56">
        <v>0.72</v>
      </c>
      <c r="Q9" s="56">
        <v>9.51</v>
      </c>
      <c r="R9" s="43"/>
      <c r="S9" s="43"/>
      <c r="T9" s="43"/>
      <c r="U9" s="43"/>
    </row>
    <row r="10" spans="1:21" s="11" customFormat="1" ht="15">
      <c r="A10" s="55" t="s">
        <v>351</v>
      </c>
      <c r="B10" s="56">
        <v>16.100000000000001</v>
      </c>
      <c r="C10" s="56">
        <v>25.98</v>
      </c>
      <c r="D10" s="56">
        <v>26.41</v>
      </c>
      <c r="E10" s="56">
        <v>0.72</v>
      </c>
      <c r="F10" s="56">
        <v>3.86</v>
      </c>
      <c r="G10" s="56">
        <v>36.520000000000003</v>
      </c>
      <c r="H10" s="56">
        <v>18.809999999999999</v>
      </c>
      <c r="I10" s="56">
        <v>6.99</v>
      </c>
      <c r="J10" s="56">
        <v>0.18</v>
      </c>
      <c r="K10" s="56">
        <v>336.05</v>
      </c>
      <c r="L10" s="56">
        <v>18.66</v>
      </c>
      <c r="M10" s="56">
        <v>97.90</v>
      </c>
      <c r="N10" s="56">
        <v>16.80</v>
      </c>
      <c r="O10" s="56">
        <v>0</v>
      </c>
      <c r="P10" s="56">
        <v>0.62</v>
      </c>
      <c r="Q10" s="56">
        <v>9.4700000000000006</v>
      </c>
      <c r="R10" s="43"/>
      <c r="S10" s="43"/>
      <c r="T10" s="43"/>
      <c r="U10" s="43"/>
    </row>
    <row r="11" spans="1:21" s="11" customFormat="1" ht="15">
      <c r="A11" s="55" t="s">
        <v>352</v>
      </c>
      <c r="B11" s="56">
        <v>16.16</v>
      </c>
      <c r="C11" s="56">
        <v>24.73</v>
      </c>
      <c r="D11" s="56">
        <v>25.76</v>
      </c>
      <c r="E11" s="56">
        <v>0.85</v>
      </c>
      <c r="F11" s="56">
        <v>3.48</v>
      </c>
      <c r="G11" s="56">
        <v>43.95</v>
      </c>
      <c r="H11" s="56">
        <v>17.02</v>
      </c>
      <c r="I11" s="56">
        <v>6.38</v>
      </c>
      <c r="J11" s="56">
        <v>0.14000000000000001</v>
      </c>
      <c r="K11" s="56">
        <v>284.66000000000003</v>
      </c>
      <c r="L11" s="56">
        <v>18.12</v>
      </c>
      <c r="M11" s="56">
        <v>97.95</v>
      </c>
      <c r="N11" s="56">
        <v>16.70</v>
      </c>
      <c r="O11" s="56">
        <v>0</v>
      </c>
      <c r="P11" s="56">
        <v>0.59</v>
      </c>
      <c r="Q11" s="56">
        <v>9.5</v>
      </c>
      <c r="R11" s="43"/>
      <c r="S11" s="43"/>
      <c r="T11" s="43"/>
      <c r="U11" s="43"/>
    </row>
    <row r="12" spans="1:21" s="11" customFormat="1" ht="15">
      <c r="A12" s="55" t="s">
        <v>353</v>
      </c>
      <c r="B12" s="56">
        <v>17.75</v>
      </c>
      <c r="C12" s="56">
        <v>26.42</v>
      </c>
      <c r="D12" s="56">
        <v>27.96</v>
      </c>
      <c r="E12" s="56">
        <v>1.04</v>
      </c>
      <c r="F12" s="56">
        <v>3.56</v>
      </c>
      <c r="G12" s="56">
        <v>43.02</v>
      </c>
      <c r="H12" s="56">
        <v>17.059999999999999</v>
      </c>
      <c r="I12" s="56">
        <v>5.92</v>
      </c>
      <c r="J12" s="56">
        <v>0.32</v>
      </c>
      <c r="K12" s="56">
        <v>339.06</v>
      </c>
      <c r="L12" s="56">
        <v>18.59</v>
      </c>
      <c r="M12" s="56">
        <v>97.95</v>
      </c>
      <c r="N12" s="56">
        <v>16.70</v>
      </c>
      <c r="O12" s="56">
        <v>0</v>
      </c>
      <c r="P12" s="56">
        <v>0.55000000000000004</v>
      </c>
      <c r="Q12" s="56">
        <v>9.4499999999999993</v>
      </c>
      <c r="R12" s="43"/>
      <c r="S12" s="43"/>
      <c r="T12" s="43"/>
      <c r="U12" s="43"/>
    </row>
    <row r="13" spans="1:21" s="11" customFormat="1" ht="15">
      <c r="A13" s="55" t="s">
        <v>354</v>
      </c>
      <c r="B13" s="56">
        <v>19.25</v>
      </c>
      <c r="C13" s="56">
        <v>27.02</v>
      </c>
      <c r="D13" s="56">
        <v>29.14</v>
      </c>
      <c r="E13" s="56">
        <v>1.36</v>
      </c>
      <c r="F13" s="56">
        <v>3.39</v>
      </c>
      <c r="G13" s="56">
        <v>37.46</v>
      </c>
      <c r="H13" s="56">
        <v>17.39</v>
      </c>
      <c r="I13" s="56">
        <v>6.15</v>
      </c>
      <c r="J13" s="56">
        <v>0.34</v>
      </c>
      <c r="K13" s="56">
        <v>339.27</v>
      </c>
      <c r="L13" s="56">
        <v>19.02</v>
      </c>
      <c r="M13" s="56">
        <v>97.93</v>
      </c>
      <c r="N13" s="56">
        <v>16.600000000000001</v>
      </c>
      <c r="O13" s="56">
        <v>0</v>
      </c>
      <c r="P13" s="56">
        <v>0.53</v>
      </c>
      <c r="Q13" s="56">
        <v>9.5299999999999994</v>
      </c>
      <c r="R13" s="43"/>
      <c r="S13" s="43"/>
      <c r="T13" s="43"/>
      <c r="U13" s="43"/>
    </row>
    <row r="14" spans="1:21" s="11" customFormat="1" ht="15">
      <c r="A14" s="55" t="s">
        <v>355</v>
      </c>
      <c r="B14" s="56">
        <v>21.35</v>
      </c>
      <c r="C14" s="56">
        <v>24.90</v>
      </c>
      <c r="D14" s="56">
        <v>29.87</v>
      </c>
      <c r="E14" s="56">
        <v>1.61</v>
      </c>
      <c r="F14" s="56">
        <v>3.53</v>
      </c>
      <c r="G14" s="56">
        <v>43.22</v>
      </c>
      <c r="H14" s="56">
        <v>15.56</v>
      </c>
      <c r="I14" s="56">
        <v>6.28</v>
      </c>
      <c r="J14" s="56">
        <v>1.03</v>
      </c>
      <c r="K14" s="56">
        <v>358.38</v>
      </c>
      <c r="L14" s="56">
        <v>18.940000000000001</v>
      </c>
      <c r="M14" s="56">
        <v>97.94</v>
      </c>
      <c r="N14" s="56">
        <v>41.80</v>
      </c>
      <c r="O14" s="56">
        <v>0</v>
      </c>
      <c r="P14" s="56">
        <v>0.64</v>
      </c>
      <c r="Q14" s="56">
        <v>9.56</v>
      </c>
      <c r="R14" s="43"/>
      <c r="S14" s="43"/>
      <c r="T14" s="43"/>
      <c r="U14" s="43"/>
    </row>
    <row r="15" spans="1:21" s="11" customFormat="1" ht="15">
      <c r="A15" s="55" t="s">
        <v>356</v>
      </c>
      <c r="B15" s="56">
        <v>24.37</v>
      </c>
      <c r="C15" s="56">
        <v>25.48</v>
      </c>
      <c r="D15" s="56">
        <v>32.770000000000003</v>
      </c>
      <c r="E15" s="56">
        <v>1.63</v>
      </c>
      <c r="F15" s="56">
        <v>3.51</v>
      </c>
      <c r="G15" s="56">
        <v>144.5</v>
      </c>
      <c r="H15" s="56">
        <v>26.66</v>
      </c>
      <c r="I15" s="56">
        <v>6.68</v>
      </c>
      <c r="J15" s="56">
        <v>0.56999999999999995</v>
      </c>
      <c r="K15" s="56">
        <v>337.94</v>
      </c>
      <c r="L15" s="56">
        <v>20.37</v>
      </c>
      <c r="M15" s="56">
        <v>97.88</v>
      </c>
      <c r="N15" s="56">
        <v>159.80000000000001</v>
      </c>
      <c r="O15" s="56">
        <v>0</v>
      </c>
      <c r="P15" s="56">
        <v>0.76</v>
      </c>
      <c r="Q15" s="56">
        <v>9.60</v>
      </c>
      <c r="R15" s="43"/>
      <c r="S15" s="43"/>
      <c r="T15" s="43"/>
      <c r="U15" s="43"/>
    </row>
    <row r="16" spans="1:21" s="11" customFormat="1" ht="15">
      <c r="A16" s="55" t="s">
        <v>357</v>
      </c>
      <c r="B16" s="56">
        <v>26.36</v>
      </c>
      <c r="C16" s="56">
        <v>27.27</v>
      </c>
      <c r="D16" s="56">
        <v>35.299999999999997</v>
      </c>
      <c r="E16" s="56">
        <v>2.87</v>
      </c>
      <c r="F16" s="56">
        <v>3.25</v>
      </c>
      <c r="G16" s="56">
        <v>158.76</v>
      </c>
      <c r="H16" s="56">
        <v>41.47</v>
      </c>
      <c r="I16" s="56">
        <v>6.79</v>
      </c>
      <c r="J16" s="56">
        <v>1.1000000000000001</v>
      </c>
      <c r="K16" s="56">
        <v>350.26</v>
      </c>
      <c r="L16" s="56">
        <v>22.32</v>
      </c>
      <c r="M16" s="56">
        <v>97.44</v>
      </c>
      <c r="N16" s="56">
        <v>174.70</v>
      </c>
      <c r="O16" s="56">
        <v>0</v>
      </c>
      <c r="P16" s="56">
        <v>0.85</v>
      </c>
      <c r="Q16" s="56">
        <v>9.64</v>
      </c>
      <c r="R16" s="43"/>
      <c r="S16" s="43"/>
      <c r="T16" s="43"/>
      <c r="U16" s="43"/>
    </row>
    <row r="17" spans="1:21" s="11" customFormat="1" ht="15">
      <c r="A17" s="55" t="s">
        <v>358</v>
      </c>
      <c r="B17" s="56">
        <v>27.51</v>
      </c>
      <c r="C17" s="56">
        <v>30.56</v>
      </c>
      <c r="D17" s="56">
        <v>37.950000000000003</v>
      </c>
      <c r="E17" s="56">
        <v>2.60</v>
      </c>
      <c r="F17" s="56">
        <v>3.63</v>
      </c>
      <c r="G17" s="56">
        <v>124.99</v>
      </c>
      <c r="H17" s="56">
        <v>43.29</v>
      </c>
      <c r="I17" s="56">
        <v>7.55</v>
      </c>
      <c r="J17" s="56">
        <v>1.07</v>
      </c>
      <c r="K17" s="56">
        <v>358</v>
      </c>
      <c r="L17" s="56">
        <v>24.57</v>
      </c>
      <c r="M17" s="56">
        <v>80.87</v>
      </c>
      <c r="N17" s="56">
        <v>455.30</v>
      </c>
      <c r="O17" s="56">
        <v>0</v>
      </c>
      <c r="P17" s="56">
        <v>0.90</v>
      </c>
      <c r="Q17" s="56">
        <v>9.61</v>
      </c>
      <c r="R17" s="43"/>
      <c r="S17" s="43"/>
      <c r="T17" s="43"/>
      <c r="U17" s="43"/>
    </row>
    <row r="18" spans="1:21" s="11" customFormat="1" ht="15">
      <c r="A18" s="55" t="s">
        <v>359</v>
      </c>
      <c r="B18" s="56">
        <v>27.35</v>
      </c>
      <c r="C18" s="56">
        <v>33.01</v>
      </c>
      <c r="D18" s="56">
        <v>37.93</v>
      </c>
      <c r="E18" s="56">
        <v>2.76</v>
      </c>
      <c r="F18" s="56">
        <v>3.88</v>
      </c>
      <c r="G18" s="56">
        <v>150.15</v>
      </c>
      <c r="H18" s="56">
        <v>46.31</v>
      </c>
      <c r="I18" s="56">
        <v>9.8000000000000007</v>
      </c>
      <c r="J18" s="56">
        <v>0.63</v>
      </c>
      <c r="K18" s="56">
        <v>337.78</v>
      </c>
      <c r="L18" s="56">
        <v>26.65</v>
      </c>
      <c r="M18" s="56">
        <v>73.75</v>
      </c>
      <c r="N18" s="56">
        <v>357</v>
      </c>
      <c r="O18" s="56">
        <v>0</v>
      </c>
      <c r="P18" s="56">
        <v>0.99</v>
      </c>
      <c r="Q18" s="56">
        <v>9.64</v>
      </c>
      <c r="R18" s="43"/>
      <c r="S18" s="43"/>
      <c r="T18" s="43"/>
      <c r="U18" s="43"/>
    </row>
    <row r="19" spans="1:21" s="11" customFormat="1" ht="15">
      <c r="A19" s="55" t="s">
        <v>360</v>
      </c>
      <c r="B19" s="56">
        <v>23.76</v>
      </c>
      <c r="C19" s="56">
        <v>36.51</v>
      </c>
      <c r="D19" s="56">
        <v>36.450000000000003</v>
      </c>
      <c r="E19" s="56">
        <v>2.62</v>
      </c>
      <c r="F19" s="56">
        <v>3.73</v>
      </c>
      <c r="G19" s="56">
        <v>165.74</v>
      </c>
      <c r="H19" s="56">
        <v>52.05</v>
      </c>
      <c r="I19" s="56">
        <v>9.91</v>
      </c>
      <c r="J19" s="56">
        <v>0.55000000000000004</v>
      </c>
      <c r="K19" s="56">
        <v>349.18</v>
      </c>
      <c r="L19" s="56">
        <v>28.63</v>
      </c>
      <c r="M19" s="56">
        <v>61.08</v>
      </c>
      <c r="N19" s="56">
        <v>412.70</v>
      </c>
      <c r="O19" s="56">
        <v>0</v>
      </c>
      <c r="P19" s="56">
        <v>1.19</v>
      </c>
      <c r="Q19" s="56">
        <v>9.68</v>
      </c>
      <c r="R19" s="43"/>
      <c r="S19" s="43"/>
      <c r="T19" s="43"/>
      <c r="U19" s="43"/>
    </row>
    <row r="20" spans="1:21" s="11" customFormat="1" ht="15">
      <c r="A20" s="55" t="s">
        <v>361</v>
      </c>
      <c r="B20" s="56">
        <v>17.30</v>
      </c>
      <c r="C20" s="56">
        <v>41.73</v>
      </c>
      <c r="D20" s="56">
        <v>34.369999999999997</v>
      </c>
      <c r="E20" s="56">
        <v>2.59</v>
      </c>
      <c r="F20" s="56">
        <v>4.38</v>
      </c>
      <c r="G20" s="56">
        <v>139.10</v>
      </c>
      <c r="H20" s="56">
        <v>54.72</v>
      </c>
      <c r="I20" s="56">
        <v>10.14</v>
      </c>
      <c r="J20" s="56">
        <v>0.37</v>
      </c>
      <c r="K20" s="56">
        <v>352.55</v>
      </c>
      <c r="L20" s="56">
        <v>25.75</v>
      </c>
      <c r="M20" s="56">
        <v>68.67</v>
      </c>
      <c r="N20" s="56">
        <v>318.20</v>
      </c>
      <c r="O20" s="56">
        <v>0</v>
      </c>
      <c r="P20" s="56">
        <v>1.22</v>
      </c>
      <c r="Q20" s="56">
        <v>9.4700000000000006</v>
      </c>
      <c r="R20" s="43"/>
      <c r="S20" s="43"/>
      <c r="T20" s="43"/>
      <c r="U20" s="43"/>
    </row>
    <row r="21" spans="1:21" s="11" customFormat="1" ht="15">
      <c r="A21" s="55" t="s">
        <v>362</v>
      </c>
      <c r="B21" s="56">
        <v>3.26</v>
      </c>
      <c r="C21" s="56">
        <v>41.18</v>
      </c>
      <c r="D21" s="56">
        <v>24.04</v>
      </c>
      <c r="E21" s="56">
        <v>2.65</v>
      </c>
      <c r="F21" s="56">
        <v>5.54</v>
      </c>
      <c r="G21" s="56">
        <v>89.01</v>
      </c>
      <c r="H21" s="56">
        <v>46.81</v>
      </c>
      <c r="I21" s="56">
        <v>9.48</v>
      </c>
      <c r="J21" s="56">
        <v>0.44</v>
      </c>
      <c r="K21" s="56">
        <v>336.20</v>
      </c>
      <c r="L21" s="56">
        <v>24.30</v>
      </c>
      <c r="M21" s="56">
        <v>69.680000000000007</v>
      </c>
      <c r="N21" s="56">
        <v>406.80</v>
      </c>
      <c r="O21" s="56">
        <v>0</v>
      </c>
      <c r="P21" s="56">
        <v>1.05</v>
      </c>
      <c r="Q21" s="56">
        <v>9.33</v>
      </c>
      <c r="R21" s="43"/>
      <c r="S21" s="43"/>
      <c r="T21" s="43"/>
      <c r="U21" s="43"/>
    </row>
    <row r="22" spans="1:21" s="11" customFormat="1" ht="15">
      <c r="A22" s="55" t="s">
        <v>363</v>
      </c>
      <c r="B22" s="56">
        <v>0.10</v>
      </c>
      <c r="C22" s="56">
        <v>32.119999999999997</v>
      </c>
      <c r="D22" s="56">
        <v>16.78</v>
      </c>
      <c r="E22" s="56">
        <v>2.63</v>
      </c>
      <c r="F22" s="56">
        <v>5.68</v>
      </c>
      <c r="G22" s="56">
        <v>41.36</v>
      </c>
      <c r="H22" s="56">
        <v>37</v>
      </c>
      <c r="I22" s="56">
        <v>6.66</v>
      </c>
      <c r="J22" s="56">
        <v>0.40</v>
      </c>
      <c r="K22" s="56">
        <v>324.26</v>
      </c>
      <c r="L22" s="56">
        <v>26.09</v>
      </c>
      <c r="M22" s="56">
        <v>70.040000000000006</v>
      </c>
      <c r="N22" s="56">
        <v>410.30</v>
      </c>
      <c r="O22" s="56">
        <v>0</v>
      </c>
      <c r="P22" s="56">
        <v>0.70</v>
      </c>
      <c r="Q22" s="56">
        <v>9.1999999999999993</v>
      </c>
      <c r="R22" s="43"/>
      <c r="S22" s="43"/>
      <c r="T22" s="43"/>
      <c r="U22" s="43"/>
    </row>
    <row r="23" spans="1:21" s="11" customFormat="1" ht="15">
      <c r="A23" s="55" t="s">
        <v>364</v>
      </c>
      <c r="B23" s="56">
        <v>0.10</v>
      </c>
      <c r="C23" s="56">
        <v>29.11</v>
      </c>
      <c r="D23" s="56">
        <v>15.21</v>
      </c>
      <c r="E23" s="56">
        <v>2.27</v>
      </c>
      <c r="F23" s="56">
        <v>4.57</v>
      </c>
      <c r="G23" s="56">
        <v>25.22</v>
      </c>
      <c r="H23" s="56">
        <v>23.61</v>
      </c>
      <c r="I23" s="56">
        <v>4.74</v>
      </c>
      <c r="J23" s="56">
        <v>0.98</v>
      </c>
      <c r="K23" s="56">
        <v>198.20</v>
      </c>
      <c r="L23" s="56">
        <v>25</v>
      </c>
      <c r="M23" s="56">
        <v>69.959999999999994</v>
      </c>
      <c r="N23" s="56">
        <v>513.5</v>
      </c>
      <c r="O23" s="56">
        <v>0</v>
      </c>
      <c r="P23" s="56">
        <v>0.62</v>
      </c>
      <c r="Q23" s="56">
        <v>9.23</v>
      </c>
      <c r="R23" s="43"/>
      <c r="S23" s="43"/>
      <c r="T23" s="43"/>
      <c r="U23" s="43"/>
    </row>
    <row r="24" spans="1:21" s="11" customFormat="1" ht="15">
      <c r="A24" s="55" t="s">
        <v>365</v>
      </c>
      <c r="B24" s="56">
        <v>0.10</v>
      </c>
      <c r="C24" s="56">
        <v>24.82</v>
      </c>
      <c r="D24" s="56">
        <v>12.97</v>
      </c>
      <c r="E24" s="56">
        <v>2.09</v>
      </c>
      <c r="F24" s="56">
        <v>4.63</v>
      </c>
      <c r="G24" s="56">
        <v>24.98</v>
      </c>
      <c r="H24" s="56">
        <v>19.11</v>
      </c>
      <c r="I24" s="56">
        <v>4.34</v>
      </c>
      <c r="J24" s="56">
        <v>0.89</v>
      </c>
      <c r="K24" s="56">
        <v>192.24</v>
      </c>
      <c r="L24" s="56">
        <v>24.79</v>
      </c>
      <c r="M24" s="56">
        <v>69.400000000000006</v>
      </c>
      <c r="N24" s="56">
        <v>386.20</v>
      </c>
      <c r="O24" s="56">
        <v>0</v>
      </c>
      <c r="P24" s="56">
        <v>0.53</v>
      </c>
      <c r="Q24" s="56">
        <v>9.1999999999999993</v>
      </c>
      <c r="R24" s="43"/>
      <c r="S24" s="43"/>
      <c r="T24" s="43"/>
      <c r="U24" s="43"/>
    </row>
    <row r="25" spans="1:21" s="11" customFormat="1" ht="15">
      <c r="A25" s="55" t="s">
        <v>366</v>
      </c>
      <c r="B25" s="56">
        <v>0.10</v>
      </c>
      <c r="C25" s="56">
        <v>22.05</v>
      </c>
      <c r="D25" s="56">
        <v>11.52</v>
      </c>
      <c r="E25" s="56">
        <v>1.42</v>
      </c>
      <c r="F25" s="56">
        <v>5.1100000000000003</v>
      </c>
      <c r="G25" s="56">
        <v>23.26</v>
      </c>
      <c r="H25" s="56">
        <v>15.72</v>
      </c>
      <c r="I25" s="56">
        <v>3.88</v>
      </c>
      <c r="J25" s="56">
        <v>0.83</v>
      </c>
      <c r="K25" s="56">
        <v>202.13</v>
      </c>
      <c r="L25" s="56">
        <v>24.69</v>
      </c>
      <c r="M25" s="56">
        <v>68.62</v>
      </c>
      <c r="N25" s="56">
        <v>171.70</v>
      </c>
      <c r="O25" s="56">
        <v>0</v>
      </c>
      <c r="P25" s="56">
        <v>0.46</v>
      </c>
      <c r="Q25" s="56">
        <v>9.19</v>
      </c>
      <c r="R25" s="43"/>
      <c r="S25" s="43"/>
      <c r="T25" s="43"/>
      <c r="U25" s="43"/>
    </row>
    <row r="26" spans="1:21" s="11" customFormat="1" ht="15">
      <c r="A26" s="55" t="s">
        <v>367</v>
      </c>
      <c r="B26" s="56">
        <v>0.10</v>
      </c>
      <c r="C26" s="56">
        <v>24.48</v>
      </c>
      <c r="D26" s="56">
        <v>12.79</v>
      </c>
      <c r="E26" s="56">
        <v>1.66</v>
      </c>
      <c r="F26" s="56">
        <v>5.14</v>
      </c>
      <c r="G26" s="56">
        <v>27.86</v>
      </c>
      <c r="H26" s="56">
        <v>9.8000000000000007</v>
      </c>
      <c r="I26" s="56">
        <v>3.45</v>
      </c>
      <c r="J26" s="56">
        <v>1.03</v>
      </c>
      <c r="K26" s="56">
        <v>198.31</v>
      </c>
      <c r="L26" s="56">
        <v>23.70</v>
      </c>
      <c r="M26" s="56">
        <v>77.28</v>
      </c>
      <c r="N26" s="56">
        <v>113.30</v>
      </c>
      <c r="O26" s="56">
        <v>0</v>
      </c>
      <c r="P26" s="56">
        <v>0.40</v>
      </c>
      <c r="Q26" s="56">
        <v>9.17</v>
      </c>
      <c r="R26" s="43"/>
      <c r="S26" s="43"/>
      <c r="T26" s="43"/>
      <c r="U26" s="43"/>
    </row>
    <row r="27" spans="1:21" s="11" customFormat="1" ht="15">
      <c r="A27" s="55" t="s">
        <v>368</v>
      </c>
      <c r="B27" s="56">
        <v>0.25</v>
      </c>
      <c r="C27" s="56">
        <v>27.30</v>
      </c>
      <c r="D27" s="56">
        <v>14.38</v>
      </c>
      <c r="E27" s="56">
        <v>1.28</v>
      </c>
      <c r="F27" s="56">
        <v>4.0199999999999996</v>
      </c>
      <c r="G27" s="56">
        <v>21.74</v>
      </c>
      <c r="H27" s="56">
        <v>11.72</v>
      </c>
      <c r="I27" s="56">
        <v>3.54</v>
      </c>
      <c r="J27" s="56">
        <v>0.98</v>
      </c>
      <c r="K27" s="56">
        <v>187.90</v>
      </c>
      <c r="L27" s="56">
        <v>22.73</v>
      </c>
      <c r="M27" s="56">
        <v>77.25</v>
      </c>
      <c r="N27" s="56">
        <v>20.70</v>
      </c>
      <c r="O27" s="56">
        <v>0</v>
      </c>
      <c r="P27" s="56">
        <v>0.37</v>
      </c>
      <c r="Q27" s="56">
        <v>9.19</v>
      </c>
      <c r="R27" s="43"/>
      <c r="S27" s="43"/>
      <c r="T27" s="43"/>
      <c r="U27" s="43"/>
    </row>
    <row r="28" spans="1:21" s="11" customFormat="1" ht="15">
      <c r="A28" s="55" t="s">
        <v>369</v>
      </c>
      <c r="B28" s="56">
        <v>1.21</v>
      </c>
      <c r="C28" s="56">
        <v>26.42</v>
      </c>
      <c r="D28" s="56">
        <v>14.13</v>
      </c>
      <c r="E28" s="56">
        <v>1.25</v>
      </c>
      <c r="F28" s="56">
        <v>3.71</v>
      </c>
      <c r="G28" s="56">
        <v>21.71</v>
      </c>
      <c r="H28" s="56">
        <v>9.4499999999999993</v>
      </c>
      <c r="I28" s="56">
        <v>3.62</v>
      </c>
      <c r="J28" s="56">
        <v>1.02</v>
      </c>
      <c r="K28" s="56">
        <v>205.73</v>
      </c>
      <c r="L28" s="56">
        <v>22.20</v>
      </c>
      <c r="M28" s="56">
        <v>82.78</v>
      </c>
      <c r="N28" s="56">
        <v>16.5</v>
      </c>
      <c r="O28" s="56">
        <v>0</v>
      </c>
      <c r="P28" s="56">
        <v>0.44</v>
      </c>
      <c r="Q28" s="56">
        <v>9.2100000000000009</v>
      </c>
      <c r="R28" s="43"/>
      <c r="S28" s="43"/>
      <c r="T28" s="43"/>
      <c r="U28" s="43"/>
    </row>
    <row r="29" spans="1:21" s="11" customFormat="1" ht="15">
      <c r="A29" s="55" t="s">
        <v>370</v>
      </c>
      <c r="B29" s="56">
        <v>2.4300000000000002</v>
      </c>
      <c r="C29" s="56">
        <v>25.60</v>
      </c>
      <c r="D29" s="56">
        <v>15.24</v>
      </c>
      <c r="E29" s="56">
        <v>1.27</v>
      </c>
      <c r="F29" s="56">
        <v>3.64</v>
      </c>
      <c r="G29" s="56">
        <v>33.93</v>
      </c>
      <c r="H29" s="56">
        <v>12.40</v>
      </c>
      <c r="I29" s="56">
        <v>3.72</v>
      </c>
      <c r="J29" s="56">
        <v>0.52</v>
      </c>
      <c r="K29" s="56">
        <v>188.21</v>
      </c>
      <c r="L29" s="56">
        <v>21.71</v>
      </c>
      <c r="M29" s="56">
        <v>85.96</v>
      </c>
      <c r="N29" s="56">
        <v>16.5</v>
      </c>
      <c r="O29" s="56">
        <v>0</v>
      </c>
      <c r="P29" s="56">
        <v>0.45</v>
      </c>
      <c r="Q29" s="56">
        <v>9.2200000000000006</v>
      </c>
      <c r="R29" s="43"/>
      <c r="S29" s="43"/>
      <c r="T29" s="43"/>
      <c r="U29" s="43"/>
    </row>
    <row r="30" spans="1:21" s="11" customFormat="1" ht="15">
      <c r="A30" s="55" t="s">
        <v>371</v>
      </c>
      <c r="B30" s="56">
        <v>4.6100000000000003</v>
      </c>
      <c r="C30" s="56">
        <v>28</v>
      </c>
      <c r="D30" s="56">
        <v>18.239999999999998</v>
      </c>
      <c r="E30" s="56">
        <v>1.26</v>
      </c>
      <c r="F30" s="56">
        <v>3.54</v>
      </c>
      <c r="G30" s="56">
        <v>32.61</v>
      </c>
      <c r="H30" s="56">
        <v>10.54</v>
      </c>
      <c r="I30" s="56">
        <v>3.81</v>
      </c>
      <c r="J30" s="56">
        <v>0.65</v>
      </c>
      <c r="K30" s="56">
        <v>176.87</v>
      </c>
      <c r="L30" s="56">
        <v>21.11</v>
      </c>
      <c r="M30" s="56">
        <v>89.04</v>
      </c>
      <c r="N30" s="56">
        <v>16.30</v>
      </c>
      <c r="O30" s="56">
        <v>0</v>
      </c>
      <c r="P30" s="56">
        <v>0.46</v>
      </c>
      <c r="Q30" s="56">
        <v>9.24</v>
      </c>
      <c r="R30" s="43"/>
      <c r="S30" s="43"/>
      <c r="T30" s="43"/>
      <c r="U30" s="43"/>
    </row>
    <row r="31" spans="1:21" s="11" customFormat="1" ht="15">
      <c r="A31" s="55" t="s">
        <v>372</v>
      </c>
      <c r="B31" s="56">
        <v>6.98</v>
      </c>
      <c r="C31" s="56">
        <v>29.01</v>
      </c>
      <c r="D31" s="56">
        <v>20.010000000000002</v>
      </c>
      <c r="E31" s="56">
        <v>1.1499999999999999</v>
      </c>
      <c r="F31" s="56">
        <v>3.57</v>
      </c>
      <c r="G31" s="56">
        <v>27.52</v>
      </c>
      <c r="H31" s="56">
        <v>9.9600000000000009</v>
      </c>
      <c r="I31" s="56">
        <v>4.3600000000000003</v>
      </c>
      <c r="J31" s="56">
        <v>0.62</v>
      </c>
      <c r="K31" s="56">
        <v>199.09</v>
      </c>
      <c r="L31" s="56">
        <v>20.75</v>
      </c>
      <c r="M31" s="56">
        <v>89.62</v>
      </c>
      <c r="N31" s="56">
        <v>16.399999999999999</v>
      </c>
      <c r="O31" s="56">
        <v>0</v>
      </c>
      <c r="P31" s="56">
        <v>0.47</v>
      </c>
      <c r="Q31" s="56">
        <v>9.3000000000000007</v>
      </c>
      <c r="R31" s="43"/>
      <c r="S31" s="43"/>
      <c r="T31" s="43"/>
      <c r="U31" s="43"/>
    </row>
    <row r="32" spans="1:21" s="11" customFormat="1" ht="15">
      <c r="A32" s="55" t="s">
        <v>373</v>
      </c>
      <c r="B32" s="56">
        <v>7.45</v>
      </c>
      <c r="C32" s="56">
        <v>28.07</v>
      </c>
      <c r="D32" s="56">
        <v>20.45</v>
      </c>
      <c r="E32" s="56">
        <v>1.47</v>
      </c>
      <c r="F32" s="56">
        <v>3.74</v>
      </c>
      <c r="G32" s="56">
        <v>31.19</v>
      </c>
      <c r="H32" s="56">
        <v>10.80</v>
      </c>
      <c r="I32" s="56">
        <v>4.8099999999999996</v>
      </c>
      <c r="J32" s="56">
        <v>0.71</v>
      </c>
      <c r="K32" s="56">
        <v>265.70</v>
      </c>
      <c r="L32" s="56">
        <v>20.67</v>
      </c>
      <c r="M32" s="56">
        <v>90.80</v>
      </c>
      <c r="N32" s="56">
        <v>16.70</v>
      </c>
      <c r="O32" s="56">
        <v>0</v>
      </c>
      <c r="P32" s="56">
        <v>0.47</v>
      </c>
      <c r="Q32" s="56">
        <v>9.3800000000000008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22.050000000000001</v>
      </c>
      <c r="D34" s="28">
        <f t="shared" si="0"/>
        <v>11.52</v>
      </c>
      <c r="E34" s="28">
        <f t="shared" si="0"/>
        <v>0.71999999999999997</v>
      </c>
      <c r="F34" s="28">
        <f t="shared" si="0"/>
        <v>3.25</v>
      </c>
      <c r="G34" s="28">
        <f t="shared" si="0"/>
        <v>21.710000000000001</v>
      </c>
      <c r="H34" s="28">
        <f t="shared" si="0"/>
        <v>9.4499999999999993</v>
      </c>
      <c r="I34" s="28">
        <f t="shared" si="0"/>
        <v>3.4500000000000002</v>
      </c>
      <c r="J34" s="28">
        <f t="shared" si="0"/>
        <v>0.14000000000000001</v>
      </c>
      <c r="K34" s="28">
        <f t="shared" si="0"/>
        <v>176.87</v>
      </c>
      <c r="L34" s="28">
        <f t="shared" si="0"/>
        <v>18.120000000000001</v>
      </c>
      <c r="M34" s="28">
        <f t="shared" si="0"/>
        <v>61.079999999999998</v>
      </c>
      <c r="N34" s="28">
        <f t="shared" si="0"/>
        <v>16.300000000000001</v>
      </c>
      <c r="O34" s="28">
        <f t="shared" si="0"/>
        <v>0</v>
      </c>
      <c r="P34" s="28">
        <f t="shared" si="0"/>
        <v>0.37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27.510000000000002</v>
      </c>
      <c r="C35" s="29">
        <f t="shared" si="1"/>
        <v>41.729999999999997</v>
      </c>
      <c r="D35" s="29">
        <f t="shared" si="1"/>
        <v>37.950000000000003</v>
      </c>
      <c r="E35" s="29">
        <f t="shared" si="1"/>
        <v>2.8700000000000001</v>
      </c>
      <c r="F35" s="29">
        <f t="shared" si="1"/>
        <v>5.6799999999999997</v>
      </c>
      <c r="G35" s="29">
        <f t="shared" si="1"/>
        <v>165.74000000000001</v>
      </c>
      <c r="H35" s="29">
        <f t="shared" si="1"/>
        <v>54.719999999999999</v>
      </c>
      <c r="I35" s="29">
        <f t="shared" si="1"/>
        <v>10.140000000000001</v>
      </c>
      <c r="J35" s="29">
        <f t="shared" si="1"/>
        <v>1.1000000000000001</v>
      </c>
      <c r="K35" s="29">
        <f t="shared" si="1"/>
        <v>358.38</v>
      </c>
      <c r="L35" s="29">
        <f t="shared" si="1"/>
        <v>28.629999999999999</v>
      </c>
      <c r="M35" s="29">
        <f t="shared" si="1"/>
        <v>97.950000000000003</v>
      </c>
      <c r="N35" s="29">
        <f t="shared" si="1"/>
        <v>513.5</v>
      </c>
      <c r="O35" s="29">
        <f t="shared" si="1"/>
        <v>0</v>
      </c>
      <c r="P35" s="29">
        <f t="shared" si="1"/>
        <v>1.22</v>
      </c>
      <c r="Q35" s="29">
        <f t="shared" si="1"/>
        <v>9.6799999999999997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11.70208333333334</v>
      </c>
      <c r="C36" s="28">
        <f t="shared" si="2"/>
        <v>28.774583333333336</v>
      </c>
      <c r="D36" s="28">
        <f t="shared" si="2"/>
        <v>24.091666666666669</v>
      </c>
      <c r="E36" s="28">
        <f t="shared" si="2"/>
        <v>1.7504166666666663</v>
      </c>
      <c r="F36" s="28">
        <f t="shared" si="2"/>
        <v>4.0287499999999996</v>
      </c>
      <c r="G36" s="28">
        <f t="shared" si="2"/>
        <v>64.296666666666667</v>
      </c>
      <c r="H36" s="28">
        <f t="shared" si="2"/>
        <v>24.437083333333337</v>
      </c>
      <c r="I36" s="28">
        <f t="shared" si="2"/>
        <v>6.0870833333333332</v>
      </c>
      <c r="J36" s="28">
        <f t="shared" si="2"/>
        <v>0.65291666666666659</v>
      </c>
      <c r="K36" s="28">
        <f t="shared" si="2"/>
        <v>279.84249999999997</v>
      </c>
      <c r="L36" s="28">
        <f t="shared" si="2"/>
        <v>22.478333333333328</v>
      </c>
      <c r="M36" s="28">
        <f t="shared" si="2"/>
        <v>83.652916666666655</v>
      </c>
      <c r="N36" s="28">
        <f t="shared" si="2"/>
        <v>171.17916666666667</v>
      </c>
      <c r="O36" s="28">
        <f t="shared" si="2"/>
        <v>0</v>
      </c>
      <c r="P36" s="28">
        <f t="shared" si="2"/>
        <v>0.66583333333333339</v>
      </c>
      <c r="Q36" s="28">
        <f t="shared" si="2"/>
        <v>9.3966666666666665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10.34589562776368</v>
      </c>
      <c r="C37" s="28">
        <f t="shared" si="3" ref="C37:Q37">STDEV(C9:C32)</f>
        <v>4.9920745702055234</v>
      </c>
      <c r="D37" s="28">
        <f t="shared" si="3"/>
        <v>8.9014931168958888</v>
      </c>
      <c r="E37" s="28">
        <f t="shared" si="3"/>
        <v>0.69507259030773383</v>
      </c>
      <c r="F37" s="28">
        <f t="shared" si="3"/>
        <v>0.7075266933050165</v>
      </c>
      <c r="G37" s="28">
        <f t="shared" si="3"/>
        <v>51.245620017856076</v>
      </c>
      <c r="H37" s="28">
        <f t="shared" si="3"/>
        <v>15.040097270489872</v>
      </c>
      <c r="I37" s="28">
        <f t="shared" si="3"/>
        <v>2.1497916565720181</v>
      </c>
      <c r="J37" s="28">
        <f t="shared" si="3"/>
        <v>0.30530781568581022</v>
      </c>
      <c r="K37" s="28">
        <f t="shared" si="3"/>
        <v>71.159233825945989</v>
      </c>
      <c r="L37" s="28">
        <f t="shared" si="3"/>
        <v>2.9254515321001398</v>
      </c>
      <c r="M37" s="28">
        <f t="shared" si="3"/>
        <v>12.60620326221999</v>
      </c>
      <c r="N37" s="28">
        <f t="shared" si="3"/>
        <v>180.94497597255946</v>
      </c>
      <c r="O37" s="28">
        <f t="shared" si="3"/>
        <v>0</v>
      </c>
      <c r="P37" s="28">
        <f t="shared" si="3"/>
        <v>0.24798170806781705</v>
      </c>
      <c r="Q37" s="28">
        <f t="shared" si="3"/>
        <v>0.17615868998711925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6fd2e8-29a3-4e3a-9d80-6923ea41d143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374</v>
      </c>
      <c r="B9" s="56">
        <v>7.54</v>
      </c>
      <c r="C9" s="56">
        <v>24.93</v>
      </c>
      <c r="D9" s="56">
        <v>18.52</v>
      </c>
      <c r="E9" s="56">
        <v>2.29</v>
      </c>
      <c r="F9" s="56">
        <v>3.31</v>
      </c>
      <c r="G9" s="56">
        <v>31.93</v>
      </c>
      <c r="H9" s="56">
        <v>11.81</v>
      </c>
      <c r="I9" s="56">
        <v>4.7699999999999996</v>
      </c>
      <c r="J9" s="56">
        <v>0.22</v>
      </c>
      <c r="K9" s="56">
        <v>338.22</v>
      </c>
      <c r="L9" s="56">
        <v>19.91</v>
      </c>
      <c r="M9" s="56">
        <v>97.52</v>
      </c>
      <c r="N9" s="56">
        <v>16.600000000000001</v>
      </c>
      <c r="O9" s="56">
        <v>0</v>
      </c>
      <c r="P9" s="56">
        <v>0.46</v>
      </c>
      <c r="Q9" s="56">
        <v>9.33</v>
      </c>
      <c r="R9" s="43"/>
      <c r="S9" s="43"/>
      <c r="T9" s="43"/>
      <c r="U9" s="43"/>
    </row>
    <row r="10" spans="1:21" s="11" customFormat="1" ht="15">
      <c r="A10" s="55" t="s">
        <v>375</v>
      </c>
      <c r="B10" s="56">
        <v>9.39</v>
      </c>
      <c r="C10" s="56">
        <v>23.95</v>
      </c>
      <c r="D10" s="56">
        <v>19.96</v>
      </c>
      <c r="E10" s="56">
        <v>2.33</v>
      </c>
      <c r="F10" s="56">
        <v>3.19</v>
      </c>
      <c r="G10" s="56">
        <v>27.47</v>
      </c>
      <c r="H10" s="56">
        <v>9.02</v>
      </c>
      <c r="I10" s="56">
        <v>4.54</v>
      </c>
      <c r="J10" s="56">
        <v>0.12</v>
      </c>
      <c r="K10" s="56">
        <v>286.77999999999997</v>
      </c>
      <c r="L10" s="56">
        <v>19.28</v>
      </c>
      <c r="M10" s="56">
        <v>97.90</v>
      </c>
      <c r="N10" s="56">
        <v>16.600000000000001</v>
      </c>
      <c r="O10" s="56">
        <v>0</v>
      </c>
      <c r="P10" s="56">
        <v>0.45</v>
      </c>
      <c r="Q10" s="56">
        <v>9.34</v>
      </c>
      <c r="R10" s="43"/>
      <c r="S10" s="43"/>
      <c r="T10" s="43"/>
      <c r="U10" s="43"/>
    </row>
    <row r="11" spans="1:21" s="11" customFormat="1" ht="15">
      <c r="A11" s="55" t="s">
        <v>376</v>
      </c>
      <c r="B11" s="56">
        <v>11.71</v>
      </c>
      <c r="C11" s="56">
        <v>24.49</v>
      </c>
      <c r="D11" s="56">
        <v>21.53</v>
      </c>
      <c r="E11" s="56">
        <v>2.41</v>
      </c>
      <c r="F11" s="56">
        <v>3.25</v>
      </c>
      <c r="G11" s="56">
        <v>43.89</v>
      </c>
      <c r="H11" s="56">
        <v>10.31</v>
      </c>
      <c r="I11" s="56">
        <v>4.57</v>
      </c>
      <c r="J11" s="56">
        <v>0.15</v>
      </c>
      <c r="K11" s="56">
        <v>307.11</v>
      </c>
      <c r="L11" s="56">
        <v>19.309999999999999</v>
      </c>
      <c r="M11" s="56">
        <v>97.91</v>
      </c>
      <c r="N11" s="56">
        <v>16.70</v>
      </c>
      <c r="O11" s="56">
        <v>0</v>
      </c>
      <c r="P11" s="56">
        <v>0.45</v>
      </c>
      <c r="Q11" s="56">
        <v>9.35</v>
      </c>
      <c r="R11" s="43"/>
      <c r="S11" s="43"/>
      <c r="T11" s="43"/>
      <c r="U11" s="43"/>
    </row>
    <row r="12" spans="1:21" s="11" customFormat="1" ht="15">
      <c r="A12" s="55" t="s">
        <v>377</v>
      </c>
      <c r="B12" s="56">
        <v>13.51</v>
      </c>
      <c r="C12" s="56">
        <v>23.81</v>
      </c>
      <c r="D12" s="56">
        <v>23.14</v>
      </c>
      <c r="E12" s="56">
        <v>2.15</v>
      </c>
      <c r="F12" s="56">
        <v>3.41</v>
      </c>
      <c r="G12" s="56">
        <v>41.66</v>
      </c>
      <c r="H12" s="56">
        <v>13.32</v>
      </c>
      <c r="I12" s="56">
        <v>5.01</v>
      </c>
      <c r="J12" s="56">
        <v>0.19</v>
      </c>
      <c r="K12" s="56">
        <v>298.39999999999998</v>
      </c>
      <c r="L12" s="56">
        <v>19.010000000000002</v>
      </c>
      <c r="M12" s="56">
        <v>97.93</v>
      </c>
      <c r="N12" s="56">
        <v>16.600000000000001</v>
      </c>
      <c r="O12" s="56">
        <v>0</v>
      </c>
      <c r="P12" s="56">
        <v>0.44</v>
      </c>
      <c r="Q12" s="56">
        <v>9.35</v>
      </c>
      <c r="R12" s="43"/>
      <c r="S12" s="43"/>
      <c r="T12" s="43"/>
      <c r="U12" s="43"/>
    </row>
    <row r="13" spans="1:21" s="11" customFormat="1" ht="15">
      <c r="A13" s="55" t="s">
        <v>378</v>
      </c>
      <c r="B13" s="56">
        <v>17.420000000000002</v>
      </c>
      <c r="C13" s="56">
        <v>23.73</v>
      </c>
      <c r="D13" s="56">
        <v>26.26</v>
      </c>
      <c r="E13" s="56">
        <v>2.5299999999999998</v>
      </c>
      <c r="F13" s="56">
        <v>3.36</v>
      </c>
      <c r="G13" s="56">
        <v>39.299999999999997</v>
      </c>
      <c r="H13" s="56">
        <v>14.11</v>
      </c>
      <c r="I13" s="56">
        <v>5.25</v>
      </c>
      <c r="J13" s="56">
        <v>0.19</v>
      </c>
      <c r="K13" s="56">
        <v>292.31</v>
      </c>
      <c r="L13" s="56">
        <v>18.91</v>
      </c>
      <c r="M13" s="56">
        <v>97.90</v>
      </c>
      <c r="N13" s="56">
        <v>16.600000000000001</v>
      </c>
      <c r="O13" s="56">
        <v>0</v>
      </c>
      <c r="P13" s="56">
        <v>0.46</v>
      </c>
      <c r="Q13" s="56">
        <v>9.40</v>
      </c>
      <c r="R13" s="43"/>
      <c r="S13" s="43"/>
      <c r="T13" s="43"/>
      <c r="U13" s="43"/>
    </row>
    <row r="14" spans="1:21" s="11" customFormat="1" ht="15">
      <c r="A14" s="55" t="s">
        <v>379</v>
      </c>
      <c r="B14" s="56">
        <v>21.90</v>
      </c>
      <c r="C14" s="56">
        <v>24.62</v>
      </c>
      <c r="D14" s="56">
        <v>30.34</v>
      </c>
      <c r="E14" s="56">
        <v>2.31</v>
      </c>
      <c r="F14" s="56">
        <v>3.42</v>
      </c>
      <c r="G14" s="56">
        <v>45.02</v>
      </c>
      <c r="H14" s="56">
        <v>13.02</v>
      </c>
      <c r="I14" s="56">
        <v>5.36</v>
      </c>
      <c r="J14" s="56">
        <v>0.19</v>
      </c>
      <c r="K14" s="56">
        <v>254.31</v>
      </c>
      <c r="L14" s="56">
        <v>19.32</v>
      </c>
      <c r="M14" s="56">
        <v>97.89</v>
      </c>
      <c r="N14" s="56">
        <v>25.30</v>
      </c>
      <c r="O14" s="56">
        <v>0</v>
      </c>
      <c r="P14" s="56">
        <v>0.49</v>
      </c>
      <c r="Q14" s="56">
        <v>9.4600000000000009</v>
      </c>
      <c r="R14" s="43"/>
      <c r="S14" s="43"/>
      <c r="T14" s="43"/>
      <c r="U14" s="43"/>
    </row>
    <row r="15" spans="1:21" s="11" customFormat="1" ht="15">
      <c r="A15" s="55" t="s">
        <v>380</v>
      </c>
      <c r="B15" s="56">
        <v>22.53</v>
      </c>
      <c r="C15" s="56">
        <v>24.74</v>
      </c>
      <c r="D15" s="56">
        <v>30.91</v>
      </c>
      <c r="E15" s="56">
        <v>2.54</v>
      </c>
      <c r="F15" s="56">
        <v>3.33</v>
      </c>
      <c r="G15" s="56">
        <v>48.95</v>
      </c>
      <c r="H15" s="56">
        <v>14.74</v>
      </c>
      <c r="I15" s="56">
        <v>5.65</v>
      </c>
      <c r="J15" s="56">
        <v>0.44</v>
      </c>
      <c r="K15" s="56">
        <v>247.92</v>
      </c>
      <c r="L15" s="56">
        <v>20.45</v>
      </c>
      <c r="M15" s="56">
        <v>97.89</v>
      </c>
      <c r="N15" s="56">
        <v>139.19999999999999</v>
      </c>
      <c r="O15" s="56">
        <v>0</v>
      </c>
      <c r="P15" s="56">
        <v>0.49</v>
      </c>
      <c r="Q15" s="56">
        <v>9.52</v>
      </c>
      <c r="R15" s="43"/>
      <c r="S15" s="43"/>
      <c r="T15" s="43"/>
      <c r="U15" s="43"/>
    </row>
    <row r="16" spans="1:21" s="11" customFormat="1" ht="15">
      <c r="A16" s="55" t="s">
        <v>381</v>
      </c>
      <c r="B16" s="56">
        <v>22.03</v>
      </c>
      <c r="C16" s="56">
        <v>25.66</v>
      </c>
      <c r="D16" s="56">
        <v>30.65</v>
      </c>
      <c r="E16" s="56">
        <v>2.4500000000000002</v>
      </c>
      <c r="F16" s="56">
        <v>3.76</v>
      </c>
      <c r="G16" s="56">
        <v>41.09</v>
      </c>
      <c r="H16" s="56">
        <v>16.22</v>
      </c>
      <c r="I16" s="56">
        <v>6.04</v>
      </c>
      <c r="J16" s="56">
        <v>0.94</v>
      </c>
      <c r="K16" s="56">
        <v>172.43</v>
      </c>
      <c r="L16" s="56">
        <v>23.21</v>
      </c>
      <c r="M16" s="56">
        <v>89.68</v>
      </c>
      <c r="N16" s="56">
        <v>509.60</v>
      </c>
      <c r="O16" s="56">
        <v>0</v>
      </c>
      <c r="P16" s="56">
        <v>0.48</v>
      </c>
      <c r="Q16" s="56">
        <v>9.5</v>
      </c>
      <c r="R16" s="43"/>
      <c r="S16" s="43"/>
      <c r="T16" s="43"/>
      <c r="U16" s="43"/>
    </row>
    <row r="17" spans="1:21" s="11" customFormat="1" ht="15">
      <c r="A17" s="55" t="s">
        <v>382</v>
      </c>
      <c r="B17" s="56">
        <v>19.71</v>
      </c>
      <c r="C17" s="56">
        <v>28.31</v>
      </c>
      <c r="D17" s="56">
        <v>29.79</v>
      </c>
      <c r="E17" s="56">
        <v>2.44</v>
      </c>
      <c r="F17" s="56">
        <v>4.04</v>
      </c>
      <c r="G17" s="56">
        <v>37.49</v>
      </c>
      <c r="H17" s="56">
        <v>14.88</v>
      </c>
      <c r="I17" s="56">
        <v>6.29</v>
      </c>
      <c r="J17" s="56">
        <v>0.52</v>
      </c>
      <c r="K17" s="56">
        <v>229.38</v>
      </c>
      <c r="L17" s="56">
        <v>27.06</v>
      </c>
      <c r="M17" s="56">
        <v>74.989999999999995</v>
      </c>
      <c r="N17" s="56">
        <v>633.60</v>
      </c>
      <c r="O17" s="56">
        <v>0</v>
      </c>
      <c r="P17" s="56">
        <v>0.47</v>
      </c>
      <c r="Q17" s="56">
        <v>9.4600000000000009</v>
      </c>
      <c r="R17" s="43"/>
      <c r="S17" s="43"/>
      <c r="T17" s="43"/>
      <c r="U17" s="43"/>
    </row>
    <row r="18" spans="1:21" s="11" customFormat="1" ht="15">
      <c r="A18" s="55" t="s">
        <v>383</v>
      </c>
      <c r="B18" s="56">
        <v>14.72</v>
      </c>
      <c r="C18" s="56">
        <v>28.60</v>
      </c>
      <c r="D18" s="56">
        <v>26.66</v>
      </c>
      <c r="E18" s="56">
        <v>2.10</v>
      </c>
      <c r="F18" s="56">
        <v>3.94</v>
      </c>
      <c r="G18" s="56">
        <v>32</v>
      </c>
      <c r="H18" s="56">
        <v>17.739999999999998</v>
      </c>
      <c r="I18" s="56">
        <v>6.16</v>
      </c>
      <c r="J18" s="56">
        <v>0.69</v>
      </c>
      <c r="K18" s="56">
        <v>192.39</v>
      </c>
      <c r="L18" s="56">
        <v>28.35</v>
      </c>
      <c r="M18" s="56">
        <v>59.26</v>
      </c>
      <c r="N18" s="56">
        <v>794.10</v>
      </c>
      <c r="O18" s="56">
        <v>0</v>
      </c>
      <c r="P18" s="56">
        <v>0.46</v>
      </c>
      <c r="Q18" s="56">
        <v>9.40</v>
      </c>
      <c r="R18" s="43"/>
      <c r="S18" s="43"/>
      <c r="T18" s="43"/>
      <c r="U18" s="43"/>
    </row>
    <row r="19" spans="1:21" s="11" customFormat="1" ht="15">
      <c r="A19" s="55" t="s">
        <v>384</v>
      </c>
      <c r="B19" s="56">
        <v>7.11</v>
      </c>
      <c r="C19" s="56">
        <v>27.53</v>
      </c>
      <c r="D19" s="56">
        <v>19.96</v>
      </c>
      <c r="E19" s="56">
        <v>2.2599999999999998</v>
      </c>
      <c r="F19" s="56">
        <v>4.20</v>
      </c>
      <c r="G19" s="56">
        <v>29.32</v>
      </c>
      <c r="H19" s="56">
        <v>16.850000000000001</v>
      </c>
      <c r="I19" s="56">
        <v>5.62</v>
      </c>
      <c r="J19" s="56">
        <v>0.95</v>
      </c>
      <c r="K19" s="56">
        <v>220.18</v>
      </c>
      <c r="L19" s="56">
        <v>30.51</v>
      </c>
      <c r="M19" s="56">
        <v>49.07</v>
      </c>
      <c r="N19" s="56">
        <v>913.30</v>
      </c>
      <c r="O19" s="56">
        <v>0</v>
      </c>
      <c r="P19" s="56">
        <v>0.42</v>
      </c>
      <c r="Q19" s="56">
        <v>9.31</v>
      </c>
      <c r="R19" s="43"/>
      <c r="S19" s="43"/>
      <c r="T19" s="43"/>
      <c r="U19" s="43"/>
    </row>
    <row r="20" spans="1:21" s="11" customFormat="1" ht="15">
      <c r="A20" s="55" t="s">
        <v>385</v>
      </c>
      <c r="B20" s="56">
        <v>2.12</v>
      </c>
      <c r="C20" s="56">
        <v>28.21</v>
      </c>
      <c r="D20" s="56">
        <v>15.69</v>
      </c>
      <c r="E20" s="56">
        <v>2.0099999999999998</v>
      </c>
      <c r="F20" s="56">
        <v>5.26</v>
      </c>
      <c r="G20" s="56">
        <v>28.65</v>
      </c>
      <c r="H20" s="56">
        <v>10.95</v>
      </c>
      <c r="I20" s="56">
        <v>4.9800000000000004</v>
      </c>
      <c r="J20" s="56">
        <v>0.79</v>
      </c>
      <c r="K20" s="56">
        <v>168.35</v>
      </c>
      <c r="L20" s="56">
        <v>31.83</v>
      </c>
      <c r="M20" s="56">
        <v>47.70</v>
      </c>
      <c r="N20" s="56">
        <v>961</v>
      </c>
      <c r="O20" s="56">
        <v>0</v>
      </c>
      <c r="P20" s="56">
        <v>0.40</v>
      </c>
      <c r="Q20" s="56">
        <v>9.27</v>
      </c>
      <c r="R20" s="43"/>
      <c r="S20" s="43"/>
      <c r="T20" s="43"/>
      <c r="U20" s="43"/>
    </row>
    <row r="21" spans="1:21" s="11" customFormat="1" ht="15">
      <c r="A21" s="55" t="s">
        <v>386</v>
      </c>
      <c r="B21" s="56">
        <v>0.10</v>
      </c>
      <c r="C21" s="56">
        <v>25.60</v>
      </c>
      <c r="D21" s="56">
        <v>13.38</v>
      </c>
      <c r="E21" s="56">
        <v>2.4700000000000002</v>
      </c>
      <c r="F21" s="56">
        <v>5.67</v>
      </c>
      <c r="G21" s="56">
        <v>24.83</v>
      </c>
      <c r="H21" s="56">
        <v>10.44</v>
      </c>
      <c r="I21" s="56">
        <v>4.97</v>
      </c>
      <c r="J21" s="56">
        <v>1.58</v>
      </c>
      <c r="K21" s="56">
        <v>171.79</v>
      </c>
      <c r="L21" s="56">
        <v>31.79</v>
      </c>
      <c r="M21" s="56">
        <v>36.630000000000003</v>
      </c>
      <c r="N21" s="56">
        <v>956.30</v>
      </c>
      <c r="O21" s="56">
        <v>0</v>
      </c>
      <c r="P21" s="56">
        <v>0.37</v>
      </c>
      <c r="Q21" s="56">
        <v>9.2100000000000009</v>
      </c>
      <c r="R21" s="43"/>
      <c r="S21" s="43"/>
      <c r="T21" s="43"/>
      <c r="U21" s="43"/>
    </row>
    <row r="22" spans="1:21" s="11" customFormat="1" ht="15">
      <c r="A22" s="55" t="s">
        <v>387</v>
      </c>
      <c r="B22" s="56">
        <v>0.10</v>
      </c>
      <c r="C22" s="56">
        <v>26.13</v>
      </c>
      <c r="D22" s="56">
        <v>13.65</v>
      </c>
      <c r="E22" s="56">
        <v>2.40</v>
      </c>
      <c r="F22" s="56">
        <v>6.77</v>
      </c>
      <c r="G22" s="56">
        <v>26.33</v>
      </c>
      <c r="H22" s="56">
        <v>24.32</v>
      </c>
      <c r="I22" s="56">
        <v>4.92</v>
      </c>
      <c r="J22" s="56">
        <v>1.06</v>
      </c>
      <c r="K22" s="56">
        <v>209.59</v>
      </c>
      <c r="L22" s="56">
        <v>32.28</v>
      </c>
      <c r="M22" s="56">
        <v>38.229999999999997</v>
      </c>
      <c r="N22" s="56">
        <v>863.10</v>
      </c>
      <c r="O22" s="56">
        <v>0</v>
      </c>
      <c r="P22" s="56">
        <v>0.37</v>
      </c>
      <c r="Q22" s="56">
        <v>9.23</v>
      </c>
      <c r="R22" s="43"/>
      <c r="S22" s="43"/>
      <c r="T22" s="43"/>
      <c r="U22" s="43"/>
    </row>
    <row r="23" spans="1:21" s="11" customFormat="1" ht="15">
      <c r="A23" s="55" t="s">
        <v>388</v>
      </c>
      <c r="B23" s="56">
        <v>0.10</v>
      </c>
      <c r="C23" s="56">
        <v>28.08</v>
      </c>
      <c r="D23" s="56">
        <v>14.67</v>
      </c>
      <c r="E23" s="56">
        <v>2.4500000000000002</v>
      </c>
      <c r="F23" s="56">
        <v>6.24</v>
      </c>
      <c r="G23" s="56">
        <v>26.44</v>
      </c>
      <c r="H23" s="56">
        <v>20.03</v>
      </c>
      <c r="I23" s="56">
        <v>4.57</v>
      </c>
      <c r="J23" s="56">
        <v>0.54</v>
      </c>
      <c r="K23" s="56">
        <v>311.69</v>
      </c>
      <c r="L23" s="56">
        <v>34.090000000000003</v>
      </c>
      <c r="M23" s="56">
        <v>35.18</v>
      </c>
      <c r="N23" s="56">
        <v>723</v>
      </c>
      <c r="O23" s="56">
        <v>0</v>
      </c>
      <c r="P23" s="56">
        <v>0.42</v>
      </c>
      <c r="Q23" s="56">
        <v>9.17</v>
      </c>
      <c r="R23" s="43"/>
      <c r="S23" s="43"/>
      <c r="T23" s="43"/>
      <c r="U23" s="43"/>
    </row>
    <row r="24" spans="1:21" s="11" customFormat="1" ht="15">
      <c r="A24" s="55" t="s">
        <v>389</v>
      </c>
      <c r="B24" s="56">
        <v>0.10</v>
      </c>
      <c r="C24" s="56">
        <v>24.33</v>
      </c>
      <c r="D24" s="56">
        <v>12.71</v>
      </c>
      <c r="E24" s="56">
        <v>2.1800000000000002</v>
      </c>
      <c r="F24" s="56">
        <v>6.42</v>
      </c>
      <c r="G24" s="56">
        <v>31.17</v>
      </c>
      <c r="H24" s="56">
        <v>18.46</v>
      </c>
      <c r="I24" s="56">
        <v>4.1100000000000003</v>
      </c>
      <c r="J24" s="56">
        <v>0.67</v>
      </c>
      <c r="K24" s="56">
        <v>285.55</v>
      </c>
      <c r="L24" s="56">
        <v>32.92</v>
      </c>
      <c r="M24" s="56">
        <v>36.29</v>
      </c>
      <c r="N24" s="56">
        <v>430.40</v>
      </c>
      <c r="O24" s="56">
        <v>0</v>
      </c>
      <c r="P24" s="56">
        <v>0.45</v>
      </c>
      <c r="Q24" s="56">
        <v>9.1999999999999993</v>
      </c>
      <c r="R24" s="43"/>
      <c r="S24" s="43"/>
      <c r="T24" s="43"/>
      <c r="U24" s="43"/>
    </row>
    <row r="25" spans="1:21" s="11" customFormat="1" ht="15">
      <c r="A25" s="55" t="s">
        <v>390</v>
      </c>
      <c r="B25" s="56">
        <v>0.10</v>
      </c>
      <c r="C25" s="56">
        <v>27.84</v>
      </c>
      <c r="D25" s="56">
        <v>14.54</v>
      </c>
      <c r="E25" s="56">
        <v>1.1599999999999999</v>
      </c>
      <c r="F25" s="56">
        <v>5.86</v>
      </c>
      <c r="G25" s="56">
        <v>33.35</v>
      </c>
      <c r="H25" s="56">
        <v>19.09</v>
      </c>
      <c r="I25" s="56">
        <v>4.26</v>
      </c>
      <c r="J25" s="56">
        <v>0.19</v>
      </c>
      <c r="K25" s="56">
        <v>334.07</v>
      </c>
      <c r="L25" s="56">
        <v>32.299999999999997</v>
      </c>
      <c r="M25" s="56">
        <v>36.36</v>
      </c>
      <c r="N25" s="56">
        <v>152.5</v>
      </c>
      <c r="O25" s="56">
        <v>0</v>
      </c>
      <c r="P25" s="56">
        <v>0.5</v>
      </c>
      <c r="Q25" s="56">
        <v>9.2100000000000009</v>
      </c>
      <c r="R25" s="43"/>
      <c r="S25" s="43"/>
      <c r="T25" s="43"/>
      <c r="U25" s="43"/>
    </row>
    <row r="26" spans="1:21" s="11" customFormat="1" ht="15">
      <c r="A26" s="55" t="s">
        <v>391</v>
      </c>
      <c r="B26" s="56">
        <v>0.10</v>
      </c>
      <c r="C26" s="56">
        <v>27.87</v>
      </c>
      <c r="D26" s="56">
        <v>14.56</v>
      </c>
      <c r="E26" s="56">
        <v>1.1000000000000001</v>
      </c>
      <c r="F26" s="56">
        <v>4.57</v>
      </c>
      <c r="G26" s="56">
        <v>40.71</v>
      </c>
      <c r="H26" s="56">
        <v>19.98</v>
      </c>
      <c r="I26" s="56">
        <v>4.96</v>
      </c>
      <c r="J26" s="56">
        <v>0.91</v>
      </c>
      <c r="K26" s="56">
        <v>211.44</v>
      </c>
      <c r="L26" s="56">
        <v>31.61</v>
      </c>
      <c r="M26" s="56">
        <v>45.03</v>
      </c>
      <c r="N26" s="56">
        <v>85</v>
      </c>
      <c r="O26" s="56">
        <v>0</v>
      </c>
      <c r="P26" s="56">
        <v>0.51</v>
      </c>
      <c r="Q26" s="56">
        <v>9.19</v>
      </c>
      <c r="R26" s="43"/>
      <c r="S26" s="43"/>
      <c r="T26" s="43"/>
      <c r="U26" s="43"/>
    </row>
    <row r="27" spans="1:21" s="11" customFormat="1" ht="15">
      <c r="A27" s="55" t="s">
        <v>392</v>
      </c>
      <c r="B27" s="56">
        <v>0.62</v>
      </c>
      <c r="C27" s="56">
        <v>31.04</v>
      </c>
      <c r="D27" s="56">
        <v>16.63</v>
      </c>
      <c r="E27" s="56">
        <v>1.42</v>
      </c>
      <c r="F27" s="56">
        <v>4.07</v>
      </c>
      <c r="G27" s="56">
        <v>36.06</v>
      </c>
      <c r="H27" s="56">
        <v>16.20</v>
      </c>
      <c r="I27" s="56">
        <v>5.51</v>
      </c>
      <c r="J27" s="56">
        <v>0.27</v>
      </c>
      <c r="K27" s="56">
        <v>312.89999999999998</v>
      </c>
      <c r="L27" s="56">
        <v>29.10</v>
      </c>
      <c r="M27" s="56">
        <v>57.48</v>
      </c>
      <c r="N27" s="56">
        <v>22.60</v>
      </c>
      <c r="O27" s="56">
        <v>0</v>
      </c>
      <c r="P27" s="56">
        <v>0.53</v>
      </c>
      <c r="Q27" s="56">
        <v>9.2899999999999991</v>
      </c>
      <c r="R27" s="43"/>
      <c r="S27" s="43"/>
      <c r="T27" s="43"/>
      <c r="U27" s="43"/>
    </row>
    <row r="28" spans="1:21" s="11" customFormat="1" ht="15">
      <c r="A28" s="55" t="s">
        <v>393</v>
      </c>
      <c r="B28" s="56">
        <v>2.0299999999999998</v>
      </c>
      <c r="C28" s="56">
        <v>35.119999999999997</v>
      </c>
      <c r="D28" s="56">
        <v>19.89</v>
      </c>
      <c r="E28" s="56">
        <v>1.22</v>
      </c>
      <c r="F28" s="56">
        <v>4.29</v>
      </c>
      <c r="G28" s="56">
        <v>40.76</v>
      </c>
      <c r="H28" s="56">
        <v>17.36</v>
      </c>
      <c r="I28" s="56">
        <v>5.61</v>
      </c>
      <c r="J28" s="56">
        <v>0.41</v>
      </c>
      <c r="K28" s="56">
        <v>296.18</v>
      </c>
      <c r="L28" s="56">
        <v>28.70</v>
      </c>
      <c r="M28" s="56">
        <v>57.17</v>
      </c>
      <c r="N28" s="56">
        <v>17.20</v>
      </c>
      <c r="O28" s="56">
        <v>0</v>
      </c>
      <c r="P28" s="56">
        <v>0.57999999999999996</v>
      </c>
      <c r="Q28" s="56">
        <v>9.24</v>
      </c>
      <c r="R28" s="43"/>
      <c r="S28" s="43"/>
      <c r="T28" s="43"/>
      <c r="U28" s="43"/>
    </row>
    <row r="29" spans="1:21" s="11" customFormat="1" ht="15">
      <c r="A29" s="55" t="s">
        <v>394</v>
      </c>
      <c r="B29" s="56">
        <v>21.32</v>
      </c>
      <c r="C29" s="56">
        <v>35.090000000000003</v>
      </c>
      <c r="D29" s="56">
        <v>32.82</v>
      </c>
      <c r="E29" s="56">
        <v>1</v>
      </c>
      <c r="F29" s="56">
        <v>3.28</v>
      </c>
      <c r="G29" s="56">
        <v>47.88</v>
      </c>
      <c r="H29" s="56">
        <v>18.739999999999998</v>
      </c>
      <c r="I29" s="56">
        <v>6.84</v>
      </c>
      <c r="J29" s="56">
        <v>0.18</v>
      </c>
      <c r="K29" s="56">
        <v>35.72</v>
      </c>
      <c r="L29" s="56">
        <v>27.12</v>
      </c>
      <c r="M29" s="56">
        <v>67.290000000000006</v>
      </c>
      <c r="N29" s="56">
        <v>17.399999999999999</v>
      </c>
      <c r="O29" s="56">
        <v>0</v>
      </c>
      <c r="P29" s="56">
        <v>0.96</v>
      </c>
      <c r="Q29" s="56">
        <v>9.35</v>
      </c>
      <c r="R29" s="43"/>
      <c r="S29" s="43"/>
      <c r="T29" s="43"/>
      <c r="U29" s="43"/>
    </row>
    <row r="30" spans="1:21" s="11" customFormat="1" ht="15">
      <c r="A30" s="55" t="s">
        <v>395</v>
      </c>
      <c r="B30" s="56">
        <v>35.97</v>
      </c>
      <c r="C30" s="56">
        <v>32.32</v>
      </c>
      <c r="D30" s="56">
        <v>45.65</v>
      </c>
      <c r="E30" s="56">
        <v>1.19</v>
      </c>
      <c r="F30" s="56">
        <v>3.5</v>
      </c>
      <c r="G30" s="56">
        <v>68.5</v>
      </c>
      <c r="H30" s="56">
        <v>21.45</v>
      </c>
      <c r="I30" s="56">
        <v>8.01</v>
      </c>
      <c r="J30" s="56">
        <v>0.18</v>
      </c>
      <c r="K30" s="56">
        <v>343.09</v>
      </c>
      <c r="L30" s="56">
        <v>25.88</v>
      </c>
      <c r="M30" s="56">
        <v>73.040000000000006</v>
      </c>
      <c r="N30" s="56">
        <v>17.30</v>
      </c>
      <c r="O30" s="56">
        <v>0</v>
      </c>
      <c r="P30" s="56">
        <v>1.23</v>
      </c>
      <c r="Q30" s="56">
        <v>9.60</v>
      </c>
      <c r="R30" s="43"/>
      <c r="S30" s="43"/>
      <c r="T30" s="43"/>
      <c r="U30" s="43"/>
    </row>
    <row r="31" spans="1:21" s="11" customFormat="1" ht="15">
      <c r="A31" s="55" t="s">
        <v>396</v>
      </c>
      <c r="B31" s="56">
        <v>45.25</v>
      </c>
      <c r="C31" s="56">
        <v>36.60</v>
      </c>
      <c r="D31" s="56">
        <v>55.33</v>
      </c>
      <c r="E31" s="56">
        <v>1.27</v>
      </c>
      <c r="F31" s="56">
        <v>3.48</v>
      </c>
      <c r="G31" s="56">
        <v>76.91</v>
      </c>
      <c r="H31" s="56">
        <v>26.72</v>
      </c>
      <c r="I31" s="56">
        <v>8.99</v>
      </c>
      <c r="J31" s="56">
        <v>0.19</v>
      </c>
      <c r="K31" s="56">
        <v>341.84</v>
      </c>
      <c r="L31" s="56">
        <v>26.02</v>
      </c>
      <c r="M31" s="56">
        <v>71.489999999999995</v>
      </c>
      <c r="N31" s="56">
        <v>17.30</v>
      </c>
      <c r="O31" s="56">
        <v>0</v>
      </c>
      <c r="P31" s="56">
        <v>1.25</v>
      </c>
      <c r="Q31" s="56">
        <v>9.7799999999999994</v>
      </c>
      <c r="R31" s="43"/>
      <c r="S31" s="43"/>
      <c r="T31" s="43"/>
      <c r="U31" s="43"/>
    </row>
    <row r="32" spans="1:21" s="11" customFormat="1" ht="15">
      <c r="A32" s="55" t="s">
        <v>397</v>
      </c>
      <c r="B32" s="56">
        <v>49.54</v>
      </c>
      <c r="C32" s="56">
        <v>35.47</v>
      </c>
      <c r="D32" s="56">
        <v>57.37</v>
      </c>
      <c r="E32" s="56">
        <v>1.40</v>
      </c>
      <c r="F32" s="56">
        <v>3.60</v>
      </c>
      <c r="G32" s="56">
        <v>86.69</v>
      </c>
      <c r="H32" s="56">
        <v>25.26</v>
      </c>
      <c r="I32" s="56">
        <v>8.93</v>
      </c>
      <c r="J32" s="56">
        <v>0.18</v>
      </c>
      <c r="K32" s="56">
        <v>340.58</v>
      </c>
      <c r="L32" s="56">
        <v>24.97</v>
      </c>
      <c r="M32" s="56">
        <v>78.81</v>
      </c>
      <c r="N32" s="56">
        <v>17.30</v>
      </c>
      <c r="O32" s="56">
        <v>0</v>
      </c>
      <c r="P32" s="56">
        <v>1.23</v>
      </c>
      <c r="Q32" s="56">
        <v>9.83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23.73</v>
      </c>
      <c r="D34" s="28">
        <f t="shared" si="0"/>
        <v>12.710000000000001</v>
      </c>
      <c r="E34" s="28">
        <f t="shared" si="0"/>
        <v>1</v>
      </c>
      <c r="F34" s="28">
        <f t="shared" si="0"/>
        <v>3.1899999999999999</v>
      </c>
      <c r="G34" s="28">
        <f t="shared" si="0"/>
        <v>24.829999999999998</v>
      </c>
      <c r="H34" s="28">
        <f t="shared" si="0"/>
        <v>9.0199999999999996</v>
      </c>
      <c r="I34" s="28">
        <f t="shared" si="0"/>
        <v>4.1100000000000003</v>
      </c>
      <c r="J34" s="28">
        <f t="shared" si="0"/>
        <v>0.12</v>
      </c>
      <c r="K34" s="28">
        <f t="shared" si="0"/>
        <v>35.719999999999999</v>
      </c>
      <c r="L34" s="28">
        <f t="shared" si="0"/>
        <v>18.91</v>
      </c>
      <c r="M34" s="28">
        <f t="shared" si="0"/>
        <v>35.18</v>
      </c>
      <c r="N34" s="28">
        <f t="shared" si="0"/>
        <v>16.600000000000001</v>
      </c>
      <c r="O34" s="28">
        <f t="shared" si="0"/>
        <v>0</v>
      </c>
      <c r="P34" s="28">
        <f t="shared" si="0"/>
        <v>0.37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49.539999999999999</v>
      </c>
      <c r="C35" s="29">
        <f t="shared" si="1"/>
        <v>36.600000000000001</v>
      </c>
      <c r="D35" s="29">
        <f t="shared" si="1"/>
        <v>57.369999999999997</v>
      </c>
      <c r="E35" s="29">
        <f t="shared" si="1"/>
        <v>2.54</v>
      </c>
      <c r="F35" s="29">
        <f t="shared" si="1"/>
        <v>6.7699999999999996</v>
      </c>
      <c r="G35" s="29">
        <f t="shared" si="1"/>
        <v>86.689999999999998</v>
      </c>
      <c r="H35" s="29">
        <f t="shared" si="1"/>
        <v>26.719999999999999</v>
      </c>
      <c r="I35" s="29">
        <f t="shared" si="1"/>
        <v>8.9900000000000002</v>
      </c>
      <c r="J35" s="29">
        <f t="shared" si="1"/>
        <v>1.5800000000000001</v>
      </c>
      <c r="K35" s="29">
        <f t="shared" si="1"/>
        <v>343.08999999999997</v>
      </c>
      <c r="L35" s="29">
        <f t="shared" si="1"/>
        <v>34.090000000000003</v>
      </c>
      <c r="M35" s="29">
        <f t="shared" si="1"/>
        <v>97.930000000000007</v>
      </c>
      <c r="N35" s="29">
        <f t="shared" si="1"/>
        <v>961</v>
      </c>
      <c r="O35" s="29">
        <f t="shared" si="1"/>
        <v>0</v>
      </c>
      <c r="P35" s="29">
        <f t="shared" si="1"/>
        <v>1.25</v>
      </c>
      <c r="Q35" s="29">
        <f t="shared" si="1"/>
        <v>9.8300000000000001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13.542500000000002</v>
      </c>
      <c r="C36" s="28">
        <f t="shared" si="2"/>
        <v>28.086250000000003</v>
      </c>
      <c r="D36" s="28">
        <f t="shared" si="2"/>
        <v>25.192083333333329</v>
      </c>
      <c r="E36" s="28">
        <f t="shared" si="2"/>
        <v>1.9616666666666667</v>
      </c>
      <c r="F36" s="28">
        <f t="shared" si="2"/>
        <v>4.2591666666666663</v>
      </c>
      <c r="G36" s="28">
        <f t="shared" si="2"/>
        <v>41.100000000000001</v>
      </c>
      <c r="H36" s="28">
        <f t="shared" si="2"/>
        <v>16.709166666666665</v>
      </c>
      <c r="I36" s="28">
        <f t="shared" si="2"/>
        <v>5.6633333333333331</v>
      </c>
      <c r="J36" s="28">
        <f t="shared" si="2"/>
        <v>0.48958333333333326</v>
      </c>
      <c r="K36" s="28">
        <f t="shared" si="2"/>
        <v>258.42583333333334</v>
      </c>
      <c r="L36" s="28">
        <f t="shared" si="2"/>
        <v>26.413750000000007</v>
      </c>
      <c r="M36" s="28">
        <f t="shared" si="2"/>
        <v>68.276666666666671</v>
      </c>
      <c r="N36" s="28">
        <f t="shared" si="2"/>
        <v>307.44166666666666</v>
      </c>
      <c r="O36" s="28">
        <f t="shared" si="2"/>
        <v>0</v>
      </c>
      <c r="P36" s="28">
        <f t="shared" si="2"/>
        <v>0.57791666666666675</v>
      </c>
      <c r="Q36" s="28">
        <f t="shared" si="2"/>
        <v>9.3745833333333319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14.376920590035056</v>
      </c>
      <c r="C37" s="28">
        <f t="shared" si="3" ref="C37:Q37">STDEV(C9:C32)</f>
        <v>4.0828845435123418</v>
      </c>
      <c r="D37" s="28">
        <f t="shared" si="3"/>
        <v>12.525127780018741</v>
      </c>
      <c r="E37" s="28">
        <f t="shared" si="3"/>
        <v>0.55622693731704687</v>
      </c>
      <c r="F37" s="28">
        <f t="shared" si="3"/>
        <v>1.1368182779589064</v>
      </c>
      <c r="G37" s="28">
        <f t="shared" si="3"/>
        <v>15.862803359897708</v>
      </c>
      <c r="H37" s="28">
        <f t="shared" si="3"/>
        <v>4.7819551365039228</v>
      </c>
      <c r="I37" s="28">
        <f t="shared" si="3"/>
        <v>1.3344325179369505</v>
      </c>
      <c r="J37" s="28">
        <f t="shared" si="3"/>
        <v>0.38393250274842172</v>
      </c>
      <c r="K37" s="28">
        <f t="shared" si="3"/>
        <v>75.426276122516754</v>
      </c>
      <c r="L37" s="28">
        <f t="shared" si="3"/>
        <v>5.286963304039519</v>
      </c>
      <c r="M37" s="28">
        <f t="shared" si="3"/>
        <v>24.19591551349588</v>
      </c>
      <c r="N37" s="28">
        <f t="shared" si="3"/>
        <v>373.12986073351783</v>
      </c>
      <c r="O37" s="28">
        <f t="shared" si="3"/>
        <v>0</v>
      </c>
      <c r="P37" s="28">
        <f t="shared" si="3"/>
        <v>0.27784855378529461</v>
      </c>
      <c r="Q37" s="28">
        <f t="shared" si="3"/>
        <v>0.17472908636867979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7dc378-6ad2-4a2b-a400-8bb84d48134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398</v>
      </c>
      <c r="B9" s="56">
        <v>49.86</v>
      </c>
      <c r="C9" s="56">
        <v>33.54</v>
      </c>
      <c r="D9" s="56">
        <v>57.43</v>
      </c>
      <c r="E9" s="56">
        <v>1.59</v>
      </c>
      <c r="F9" s="56">
        <v>3.89</v>
      </c>
      <c r="G9" s="56">
        <v>82.64</v>
      </c>
      <c r="H9" s="56">
        <v>25.14</v>
      </c>
      <c r="I9" s="56">
        <v>8.74</v>
      </c>
      <c r="J9" s="56">
        <v>0.36</v>
      </c>
      <c r="K9" s="56">
        <v>308.42</v>
      </c>
      <c r="L9" s="56">
        <v>24.54</v>
      </c>
      <c r="M9" s="56">
        <v>78.319999999999993</v>
      </c>
      <c r="N9" s="56">
        <v>17.20</v>
      </c>
      <c r="O9" s="56">
        <v>0</v>
      </c>
      <c r="P9" s="56">
        <v>1.19</v>
      </c>
      <c r="Q9" s="56">
        <v>9.74</v>
      </c>
      <c r="R9" s="43"/>
      <c r="S9" s="43"/>
      <c r="T9" s="43"/>
      <c r="U9" s="43"/>
    </row>
    <row r="10" spans="1:21" s="11" customFormat="1" ht="15">
      <c r="A10" s="55" t="s">
        <v>399</v>
      </c>
      <c r="B10" s="56">
        <v>42.12</v>
      </c>
      <c r="C10" s="56">
        <v>31.99</v>
      </c>
      <c r="D10" s="56">
        <v>50.41</v>
      </c>
      <c r="E10" s="56">
        <v>1.47</v>
      </c>
      <c r="F10" s="56">
        <v>3.51</v>
      </c>
      <c r="G10" s="56">
        <v>66.94</v>
      </c>
      <c r="H10" s="56">
        <v>24.45</v>
      </c>
      <c r="I10" s="56">
        <v>8.31</v>
      </c>
      <c r="J10" s="56">
        <v>0.84</v>
      </c>
      <c r="K10" s="56">
        <v>312.98</v>
      </c>
      <c r="L10" s="56">
        <v>24.80</v>
      </c>
      <c r="M10" s="56">
        <v>80.709999999999994</v>
      </c>
      <c r="N10" s="56">
        <v>17.600000000000001</v>
      </c>
      <c r="O10" s="56">
        <v>0</v>
      </c>
      <c r="P10" s="56">
        <v>0.93</v>
      </c>
      <c r="Q10" s="56">
        <v>9.7200000000000006</v>
      </c>
      <c r="R10" s="43"/>
      <c r="S10" s="43"/>
      <c r="T10" s="43"/>
      <c r="U10" s="43"/>
    </row>
    <row r="11" spans="1:21" s="11" customFormat="1" ht="15">
      <c r="A11" s="55" t="s">
        <v>400</v>
      </c>
      <c r="B11" s="56">
        <v>36.44</v>
      </c>
      <c r="C11" s="56">
        <v>28.48</v>
      </c>
      <c r="D11" s="56">
        <v>44.02</v>
      </c>
      <c r="E11" s="56">
        <v>1.05</v>
      </c>
      <c r="F11" s="56">
        <v>3.78</v>
      </c>
      <c r="G11" s="56">
        <v>59.74</v>
      </c>
      <c r="H11" s="56">
        <v>20.63</v>
      </c>
      <c r="I11" s="56">
        <v>7.48</v>
      </c>
      <c r="J11" s="56">
        <v>0.24</v>
      </c>
      <c r="K11" s="56">
        <v>348.49</v>
      </c>
      <c r="L11" s="56">
        <v>23.56</v>
      </c>
      <c r="M11" s="56">
        <v>84.12</v>
      </c>
      <c r="N11" s="56">
        <v>17.20</v>
      </c>
      <c r="O11" s="56">
        <v>0</v>
      </c>
      <c r="P11" s="56">
        <v>0.87</v>
      </c>
      <c r="Q11" s="56">
        <v>9.7200000000000006</v>
      </c>
      <c r="R11" s="43"/>
      <c r="S11" s="43"/>
      <c r="T11" s="43"/>
      <c r="U11" s="43"/>
    </row>
    <row r="12" spans="1:21" s="11" customFormat="1" ht="15">
      <c r="A12" s="55" t="s">
        <v>401</v>
      </c>
      <c r="B12" s="56">
        <v>32.11</v>
      </c>
      <c r="C12" s="56">
        <v>26.88</v>
      </c>
      <c r="D12" s="56">
        <v>39.71</v>
      </c>
      <c r="E12" s="56">
        <v>1.46</v>
      </c>
      <c r="F12" s="56">
        <v>3.63</v>
      </c>
      <c r="G12" s="56">
        <v>51.32</v>
      </c>
      <c r="H12" s="56">
        <v>18.38</v>
      </c>
      <c r="I12" s="56">
        <v>8.27</v>
      </c>
      <c r="J12" s="56">
        <v>0.19</v>
      </c>
      <c r="K12" s="56">
        <v>348.95</v>
      </c>
      <c r="L12" s="56">
        <v>22.89</v>
      </c>
      <c r="M12" s="56">
        <v>84.91</v>
      </c>
      <c r="N12" s="56">
        <v>17</v>
      </c>
      <c r="O12" s="56">
        <v>0</v>
      </c>
      <c r="P12" s="56">
        <v>0.79</v>
      </c>
      <c r="Q12" s="56">
        <v>9.61</v>
      </c>
      <c r="R12" s="43"/>
      <c r="S12" s="43"/>
      <c r="T12" s="43"/>
      <c r="U12" s="43"/>
    </row>
    <row r="13" spans="1:21" s="11" customFormat="1" ht="15">
      <c r="A13" s="55" t="s">
        <v>402</v>
      </c>
      <c r="B13" s="56">
        <v>29.23</v>
      </c>
      <c r="C13" s="56">
        <v>26.38</v>
      </c>
      <c r="D13" s="56">
        <v>37.14</v>
      </c>
      <c r="E13" s="56">
        <v>1.69</v>
      </c>
      <c r="F13" s="56">
        <v>3.35</v>
      </c>
      <c r="G13" s="56">
        <v>54.56</v>
      </c>
      <c r="H13" s="56">
        <v>18.260000000000002</v>
      </c>
      <c r="I13" s="56">
        <v>8.07</v>
      </c>
      <c r="J13" s="56">
        <v>0.24</v>
      </c>
      <c r="K13" s="56">
        <v>351.62</v>
      </c>
      <c r="L13" s="56">
        <v>22.33</v>
      </c>
      <c r="M13" s="56">
        <v>88.13</v>
      </c>
      <c r="N13" s="56">
        <v>17</v>
      </c>
      <c r="O13" s="56">
        <v>0</v>
      </c>
      <c r="P13" s="56">
        <v>0.72</v>
      </c>
      <c r="Q13" s="56">
        <v>9.61</v>
      </c>
      <c r="R13" s="43"/>
      <c r="S13" s="43"/>
      <c r="T13" s="43"/>
      <c r="U13" s="43"/>
    </row>
    <row r="14" spans="1:21" s="11" customFormat="1" ht="15">
      <c r="A14" s="55" t="s">
        <v>403</v>
      </c>
      <c r="B14" s="56">
        <v>37.65</v>
      </c>
      <c r="C14" s="56">
        <v>29.73</v>
      </c>
      <c r="D14" s="56">
        <v>45.65</v>
      </c>
      <c r="E14" s="56">
        <v>1.81</v>
      </c>
      <c r="F14" s="56">
        <v>3.72</v>
      </c>
      <c r="G14" s="56">
        <v>55.20</v>
      </c>
      <c r="H14" s="56">
        <v>15.01</v>
      </c>
      <c r="I14" s="56">
        <v>7.59</v>
      </c>
      <c r="J14" s="56">
        <v>0.14000000000000001</v>
      </c>
      <c r="K14" s="56">
        <v>290.72000000000003</v>
      </c>
      <c r="L14" s="56">
        <v>22.30</v>
      </c>
      <c r="M14" s="56">
        <v>88</v>
      </c>
      <c r="N14" s="56">
        <v>36</v>
      </c>
      <c r="O14" s="56">
        <v>0</v>
      </c>
      <c r="P14" s="56">
        <v>0.69</v>
      </c>
      <c r="Q14" s="56">
        <v>9.57</v>
      </c>
      <c r="R14" s="43"/>
      <c r="S14" s="43"/>
      <c r="T14" s="43"/>
      <c r="U14" s="43"/>
    </row>
    <row r="15" spans="1:21" s="11" customFormat="1" ht="15">
      <c r="A15" s="55" t="s">
        <v>404</v>
      </c>
      <c r="B15" s="56">
        <v>47.43</v>
      </c>
      <c r="C15" s="56">
        <v>31.45</v>
      </c>
      <c r="D15" s="56">
        <v>54.30</v>
      </c>
      <c r="E15" s="56">
        <v>2.13</v>
      </c>
      <c r="F15" s="56">
        <v>3.63</v>
      </c>
      <c r="G15" s="56">
        <v>69.989999999999995</v>
      </c>
      <c r="H15" s="56">
        <v>14.19</v>
      </c>
      <c r="I15" s="56">
        <v>7.58</v>
      </c>
      <c r="J15" s="56">
        <v>0.31</v>
      </c>
      <c r="K15" s="56">
        <v>333.55</v>
      </c>
      <c r="L15" s="56">
        <v>26.48</v>
      </c>
      <c r="M15" s="56">
        <v>84.18</v>
      </c>
      <c r="N15" s="56">
        <v>149.69999999999999</v>
      </c>
      <c r="O15" s="56">
        <v>0</v>
      </c>
      <c r="P15" s="56">
        <v>0.70</v>
      </c>
      <c r="Q15" s="56">
        <v>9.7799999999999994</v>
      </c>
      <c r="R15" s="43"/>
      <c r="S15" s="43"/>
      <c r="T15" s="43"/>
      <c r="U15" s="43"/>
    </row>
    <row r="16" spans="1:21" s="11" customFormat="1" ht="15">
      <c r="A16" s="55" t="s">
        <v>405</v>
      </c>
      <c r="B16" s="56">
        <v>47.15</v>
      </c>
      <c r="C16" s="56">
        <v>30.66</v>
      </c>
      <c r="D16" s="56">
        <v>53.74</v>
      </c>
      <c r="E16" s="56">
        <v>2.0699999999999998</v>
      </c>
      <c r="F16" s="56">
        <v>3.54</v>
      </c>
      <c r="G16" s="56">
        <v>70.22</v>
      </c>
      <c r="H16" s="56">
        <v>14.60</v>
      </c>
      <c r="I16" s="56">
        <v>8.48</v>
      </c>
      <c r="J16" s="56">
        <v>0.34</v>
      </c>
      <c r="K16" s="56">
        <v>324.32</v>
      </c>
      <c r="L16" s="56">
        <v>31.35</v>
      </c>
      <c r="M16" s="56">
        <v>59.21</v>
      </c>
      <c r="N16" s="56">
        <v>414.20</v>
      </c>
      <c r="O16" s="56">
        <v>0</v>
      </c>
      <c r="P16" s="56">
        <v>0.76</v>
      </c>
      <c r="Q16" s="56">
        <v>9.7899999999999991</v>
      </c>
      <c r="R16" s="43"/>
      <c r="S16" s="43"/>
      <c r="T16" s="43"/>
      <c r="U16" s="43"/>
    </row>
    <row r="17" spans="1:21" s="11" customFormat="1" ht="15">
      <c r="A17" s="55" t="s">
        <v>406</v>
      </c>
      <c r="B17" s="56">
        <v>41.68</v>
      </c>
      <c r="C17" s="56">
        <v>31.52</v>
      </c>
      <c r="D17" s="56">
        <v>48.80</v>
      </c>
      <c r="E17" s="56">
        <v>1.06</v>
      </c>
      <c r="F17" s="56">
        <v>3.56</v>
      </c>
      <c r="G17" s="56">
        <v>68.069999999999993</v>
      </c>
      <c r="H17" s="56">
        <v>24.22</v>
      </c>
      <c r="I17" s="56">
        <v>8.75</v>
      </c>
      <c r="J17" s="56">
        <v>0.82</v>
      </c>
      <c r="K17" s="56">
        <v>250.26</v>
      </c>
      <c r="L17" s="56">
        <v>30.81</v>
      </c>
      <c r="M17" s="56">
        <v>62.27</v>
      </c>
      <c r="N17" s="56">
        <v>620.10</v>
      </c>
      <c r="O17" s="56">
        <v>0</v>
      </c>
      <c r="P17" s="56">
        <v>0.77</v>
      </c>
      <c r="Q17" s="56">
        <v>9.76</v>
      </c>
      <c r="R17" s="43"/>
      <c r="S17" s="43"/>
      <c r="T17" s="43"/>
      <c r="U17" s="43"/>
    </row>
    <row r="18" spans="1:21" s="11" customFormat="1" ht="15">
      <c r="A18" s="55" t="s">
        <v>407</v>
      </c>
      <c r="B18" s="56">
        <v>22.90</v>
      </c>
      <c r="C18" s="56">
        <v>34.840000000000003</v>
      </c>
      <c r="D18" s="56">
        <v>35.340000000000003</v>
      </c>
      <c r="E18" s="56">
        <v>0.77</v>
      </c>
      <c r="F18" s="56">
        <v>4.3099999999999996</v>
      </c>
      <c r="G18" s="56">
        <v>54.22</v>
      </c>
      <c r="H18" s="56">
        <v>33.15</v>
      </c>
      <c r="I18" s="56">
        <v>7.77</v>
      </c>
      <c r="J18" s="56">
        <v>0.32</v>
      </c>
      <c r="K18" s="56">
        <v>235.11</v>
      </c>
      <c r="L18" s="56">
        <v>32.25</v>
      </c>
      <c r="M18" s="56">
        <v>53</v>
      </c>
      <c r="N18" s="56">
        <v>765.80</v>
      </c>
      <c r="O18" s="56">
        <v>0</v>
      </c>
      <c r="P18" s="56">
        <v>0.66</v>
      </c>
      <c r="Q18" s="56">
        <v>9.39</v>
      </c>
      <c r="R18" s="43"/>
      <c r="S18" s="43"/>
      <c r="T18" s="43"/>
      <c r="U18" s="43"/>
    </row>
    <row r="19" spans="1:21" s="11" customFormat="1" ht="15">
      <c r="A19" s="55" t="s">
        <v>408</v>
      </c>
      <c r="B19" s="56">
        <v>6.76</v>
      </c>
      <c r="C19" s="56">
        <v>46.18</v>
      </c>
      <c r="D19" s="56">
        <v>26.63</v>
      </c>
      <c r="E19" s="56">
        <v>0.68</v>
      </c>
      <c r="F19" s="56">
        <v>6.25</v>
      </c>
      <c r="G19" s="56">
        <v>47.90</v>
      </c>
      <c r="H19" s="56">
        <v>18.23</v>
      </c>
      <c r="I19" s="56">
        <v>6.31</v>
      </c>
      <c r="J19" s="56">
        <v>0.31</v>
      </c>
      <c r="K19" s="56">
        <v>289.47000000000003</v>
      </c>
      <c r="L19" s="56">
        <v>34.93</v>
      </c>
      <c r="M19" s="56">
        <v>40.869999999999997</v>
      </c>
      <c r="N19" s="56">
        <v>896</v>
      </c>
      <c r="O19" s="56">
        <v>0</v>
      </c>
      <c r="P19" s="56">
        <v>0.75</v>
      </c>
      <c r="Q19" s="56">
        <v>9.2799999999999994</v>
      </c>
      <c r="R19" s="43"/>
      <c r="S19" s="43"/>
      <c r="T19" s="43"/>
      <c r="U19" s="43"/>
    </row>
    <row r="20" spans="1:21" s="11" customFormat="1" ht="15">
      <c r="A20" s="55" t="s">
        <v>409</v>
      </c>
      <c r="B20" s="56">
        <v>0.10</v>
      </c>
      <c r="C20" s="56">
        <v>38.72</v>
      </c>
      <c r="D20" s="56">
        <v>20.23</v>
      </c>
      <c r="E20" s="56">
        <v>1.64</v>
      </c>
      <c r="F20" s="56">
        <v>11.92</v>
      </c>
      <c r="G20" s="56">
        <v>45.19</v>
      </c>
      <c r="H20" s="56">
        <v>9.25</v>
      </c>
      <c r="I20" s="56">
        <v>5.86</v>
      </c>
      <c r="J20" s="56">
        <v>0.89</v>
      </c>
      <c r="K20" s="56">
        <v>207.87</v>
      </c>
      <c r="L20" s="56">
        <v>33.89</v>
      </c>
      <c r="M20" s="56">
        <v>37.549999999999997</v>
      </c>
      <c r="N20" s="56">
        <v>938.40</v>
      </c>
      <c r="O20" s="56">
        <v>0</v>
      </c>
      <c r="P20" s="56">
        <v>0.71</v>
      </c>
      <c r="Q20" s="56">
        <v>9.23</v>
      </c>
      <c r="R20" s="43"/>
      <c r="S20" s="43"/>
      <c r="T20" s="43"/>
      <c r="U20" s="43"/>
    </row>
    <row r="21" spans="1:21" s="11" customFormat="1" ht="15">
      <c r="A21" s="55" t="s">
        <v>410</v>
      </c>
      <c r="B21" s="56">
        <v>0.10</v>
      </c>
      <c r="C21" s="56">
        <v>29.15</v>
      </c>
      <c r="D21" s="56">
        <v>15.23</v>
      </c>
      <c r="E21" s="56">
        <v>1.20</v>
      </c>
      <c r="F21" s="56">
        <v>9.36</v>
      </c>
      <c r="G21" s="56">
        <v>42.41</v>
      </c>
      <c r="H21" s="56">
        <v>12.05</v>
      </c>
      <c r="I21" s="56">
        <v>4.96</v>
      </c>
      <c r="J21" s="56">
        <v>0.22</v>
      </c>
      <c r="K21" s="56">
        <v>356.83</v>
      </c>
      <c r="L21" s="56">
        <v>36.06</v>
      </c>
      <c r="M21" s="56">
        <v>36.14</v>
      </c>
      <c r="N21" s="56">
        <v>893.60</v>
      </c>
      <c r="O21" s="56">
        <v>0</v>
      </c>
      <c r="P21" s="56">
        <v>0.55000000000000004</v>
      </c>
      <c r="Q21" s="56">
        <v>9.14</v>
      </c>
      <c r="R21" s="43"/>
      <c r="S21" s="43"/>
      <c r="T21" s="43"/>
      <c r="U21" s="43"/>
    </row>
    <row r="22" spans="1:21" s="11" customFormat="1" ht="15">
      <c r="A22" s="55" t="s">
        <v>411</v>
      </c>
      <c r="B22" s="56">
        <v>0.10</v>
      </c>
      <c r="C22" s="56">
        <v>27.99</v>
      </c>
      <c r="D22" s="56">
        <v>14.62</v>
      </c>
      <c r="E22" s="56">
        <v>2.34</v>
      </c>
      <c r="F22" s="56">
        <v>13.64</v>
      </c>
      <c r="G22" s="56">
        <v>43.11</v>
      </c>
      <c r="H22" s="56">
        <v>26.01</v>
      </c>
      <c r="I22" s="56">
        <v>4.78</v>
      </c>
      <c r="J22" s="56">
        <v>0.67</v>
      </c>
      <c r="K22" s="56">
        <v>271.81</v>
      </c>
      <c r="L22" s="56">
        <v>35.549999999999997</v>
      </c>
      <c r="M22" s="56">
        <v>32.81</v>
      </c>
      <c r="N22" s="56">
        <v>841.60</v>
      </c>
      <c r="O22" s="56">
        <v>0</v>
      </c>
      <c r="P22" s="56">
        <v>0.52</v>
      </c>
      <c r="Q22" s="56">
        <v>9.15</v>
      </c>
      <c r="R22" s="43"/>
      <c r="S22" s="43"/>
      <c r="T22" s="43"/>
      <c r="U22" s="43"/>
    </row>
    <row r="23" spans="1:21" s="11" customFormat="1" ht="15">
      <c r="A23" s="55" t="s">
        <v>412</v>
      </c>
      <c r="B23" s="56">
        <v>0.10</v>
      </c>
      <c r="C23" s="56">
        <v>21.34</v>
      </c>
      <c r="D23" s="56">
        <v>11.15</v>
      </c>
      <c r="E23" s="56">
        <v>1.23</v>
      </c>
      <c r="F23" s="56">
        <v>8.65</v>
      </c>
      <c r="G23" s="56">
        <v>42.58</v>
      </c>
      <c r="H23" s="56">
        <v>26.72</v>
      </c>
      <c r="I23" s="56">
        <v>4.2300000000000004</v>
      </c>
      <c r="J23" s="56">
        <v>1.1599999999999999</v>
      </c>
      <c r="K23" s="56">
        <v>259.35000000000002</v>
      </c>
      <c r="L23" s="56">
        <v>35.729999999999997</v>
      </c>
      <c r="M23" s="56">
        <v>35.07</v>
      </c>
      <c r="N23" s="56">
        <v>524.90</v>
      </c>
      <c r="O23" s="56">
        <v>0</v>
      </c>
      <c r="P23" s="56">
        <v>0.47</v>
      </c>
      <c r="Q23" s="56">
        <v>9.1300000000000008</v>
      </c>
      <c r="R23" s="43"/>
      <c r="S23" s="43"/>
      <c r="T23" s="43"/>
      <c r="U23" s="43"/>
    </row>
    <row r="24" spans="1:21" s="11" customFormat="1" ht="15">
      <c r="A24" s="55" t="s">
        <v>413</v>
      </c>
      <c r="B24" s="56">
        <v>0.10</v>
      </c>
      <c r="C24" s="56">
        <v>21.47</v>
      </c>
      <c r="D24" s="56">
        <v>11.22</v>
      </c>
      <c r="E24" s="56">
        <v>2.12</v>
      </c>
      <c r="F24" s="56">
        <v>10.25</v>
      </c>
      <c r="G24" s="56">
        <v>42.03</v>
      </c>
      <c r="H24" s="56">
        <v>27.11</v>
      </c>
      <c r="I24" s="56">
        <v>4.87</v>
      </c>
      <c r="J24" s="56">
        <v>2.2999999999999998</v>
      </c>
      <c r="K24" s="56">
        <v>331.27</v>
      </c>
      <c r="L24" s="56">
        <v>32.880000000000003</v>
      </c>
      <c r="M24" s="56">
        <v>93.66</v>
      </c>
      <c r="N24" s="56">
        <v>104.30</v>
      </c>
      <c r="O24" s="56">
        <v>2.80</v>
      </c>
      <c r="P24" s="56">
        <v>0.45</v>
      </c>
      <c r="Q24" s="56">
        <v>9.16</v>
      </c>
      <c r="R24" s="43"/>
      <c r="S24" s="43"/>
      <c r="T24" s="43"/>
      <c r="U24" s="43"/>
    </row>
    <row r="25" spans="1:21" s="11" customFormat="1" ht="15">
      <c r="A25" s="55" t="s">
        <v>414</v>
      </c>
      <c r="B25" s="56">
        <v>0.10</v>
      </c>
      <c r="C25" s="56">
        <v>23.75</v>
      </c>
      <c r="D25" s="56">
        <v>12.41</v>
      </c>
      <c r="E25" s="56">
        <v>1.84</v>
      </c>
      <c r="F25" s="56">
        <v>8.44</v>
      </c>
      <c r="G25" s="56">
        <v>29.88</v>
      </c>
      <c r="H25" s="56">
        <v>24.12</v>
      </c>
      <c r="I25" s="56">
        <v>4.88</v>
      </c>
      <c r="J25" s="56">
        <v>1.67</v>
      </c>
      <c r="K25" s="56">
        <v>152.79</v>
      </c>
      <c r="L25" s="56">
        <v>24.80</v>
      </c>
      <c r="M25" s="56">
        <v>75.25</v>
      </c>
      <c r="N25" s="56">
        <v>82.40</v>
      </c>
      <c r="O25" s="56">
        <v>0.20</v>
      </c>
      <c r="P25" s="56">
        <v>0.39</v>
      </c>
      <c r="Q25" s="56">
        <v>9.16</v>
      </c>
      <c r="R25" s="43"/>
      <c r="S25" s="43"/>
      <c r="T25" s="43"/>
      <c r="U25" s="43"/>
    </row>
    <row r="26" spans="1:21" s="11" customFormat="1" ht="15">
      <c r="A26" s="55" t="s">
        <v>415</v>
      </c>
      <c r="B26" s="56">
        <v>0.10</v>
      </c>
      <c r="C26" s="56">
        <v>22.28</v>
      </c>
      <c r="D26" s="56">
        <v>11.64</v>
      </c>
      <c r="E26" s="56">
        <v>1.62</v>
      </c>
      <c r="F26" s="56">
        <v>6.36</v>
      </c>
      <c r="G26" s="56">
        <v>19.03</v>
      </c>
      <c r="H26" s="56">
        <v>18.14</v>
      </c>
      <c r="I26" s="56">
        <v>4.84</v>
      </c>
      <c r="J26" s="56">
        <v>0.80</v>
      </c>
      <c r="K26" s="56">
        <v>195.15</v>
      </c>
      <c r="L26" s="56">
        <v>25.14</v>
      </c>
      <c r="M26" s="56">
        <v>64.569999999999993</v>
      </c>
      <c r="N26" s="56">
        <v>76.30</v>
      </c>
      <c r="O26" s="56">
        <v>0</v>
      </c>
      <c r="P26" s="56">
        <v>0.33</v>
      </c>
      <c r="Q26" s="56">
        <v>9.16</v>
      </c>
      <c r="R26" s="43"/>
      <c r="S26" s="43"/>
      <c r="T26" s="43"/>
      <c r="U26" s="43"/>
    </row>
    <row r="27" spans="1:21" s="11" customFormat="1" ht="15">
      <c r="A27" s="55" t="s">
        <v>416</v>
      </c>
      <c r="B27" s="56">
        <v>0.10</v>
      </c>
      <c r="C27" s="56">
        <v>21.93</v>
      </c>
      <c r="D27" s="56">
        <v>11.46</v>
      </c>
      <c r="E27" s="56">
        <v>1.33</v>
      </c>
      <c r="F27" s="56">
        <v>4.2300000000000004</v>
      </c>
      <c r="G27" s="56">
        <v>34.67</v>
      </c>
      <c r="H27" s="56">
        <v>14.92</v>
      </c>
      <c r="I27" s="56">
        <v>4.01</v>
      </c>
      <c r="J27" s="56">
        <v>0.51</v>
      </c>
      <c r="K27" s="56">
        <v>266</v>
      </c>
      <c r="L27" s="56">
        <v>24.02</v>
      </c>
      <c r="M27" s="56">
        <v>76.930000000000007</v>
      </c>
      <c r="N27" s="56">
        <v>19.20</v>
      </c>
      <c r="O27" s="56">
        <v>0</v>
      </c>
      <c r="P27" s="56">
        <v>0.34</v>
      </c>
      <c r="Q27" s="56">
        <v>9.17</v>
      </c>
      <c r="R27" s="43"/>
      <c r="S27" s="43"/>
      <c r="T27" s="43"/>
      <c r="U27" s="43"/>
    </row>
    <row r="28" spans="1:21" s="11" customFormat="1" ht="15">
      <c r="A28" s="55" t="s">
        <v>417</v>
      </c>
      <c r="B28" s="56">
        <v>8.16</v>
      </c>
      <c r="C28" s="56">
        <v>25.84</v>
      </c>
      <c r="D28" s="56">
        <v>19.97</v>
      </c>
      <c r="E28" s="56">
        <v>1.51</v>
      </c>
      <c r="F28" s="56">
        <v>3.59</v>
      </c>
      <c r="G28" s="56">
        <v>38.979999999999997</v>
      </c>
      <c r="H28" s="56">
        <v>16.670000000000002</v>
      </c>
      <c r="I28" s="56">
        <v>4.16</v>
      </c>
      <c r="J28" s="56">
        <v>0.26</v>
      </c>
      <c r="K28" s="56">
        <v>357.94</v>
      </c>
      <c r="L28" s="56">
        <v>23.70</v>
      </c>
      <c r="M28" s="56">
        <v>82.65</v>
      </c>
      <c r="N28" s="56">
        <v>15.5</v>
      </c>
      <c r="O28" s="56">
        <v>0</v>
      </c>
      <c r="P28" s="56">
        <v>0.56000000000000005</v>
      </c>
      <c r="Q28" s="56">
        <v>9.25</v>
      </c>
      <c r="R28" s="43"/>
      <c r="S28" s="43"/>
      <c r="T28" s="43"/>
      <c r="U28" s="43"/>
    </row>
    <row r="29" spans="1:21" s="11" customFormat="1" ht="15">
      <c r="A29" s="55" t="s">
        <v>418</v>
      </c>
      <c r="B29" s="56">
        <v>18.760000000000002</v>
      </c>
      <c r="C29" s="56">
        <v>26.06</v>
      </c>
      <c r="D29" s="56">
        <v>28.53</v>
      </c>
      <c r="E29" s="56">
        <v>1.0900000000000001</v>
      </c>
      <c r="F29" s="56">
        <v>3.54</v>
      </c>
      <c r="G29" s="56">
        <v>65.17</v>
      </c>
      <c r="H29" s="56">
        <v>20.47</v>
      </c>
      <c r="I29" s="56">
        <v>6.04</v>
      </c>
      <c r="J29" s="56">
        <v>0.15</v>
      </c>
      <c r="K29" s="56">
        <v>302.08</v>
      </c>
      <c r="L29" s="56">
        <v>24.63</v>
      </c>
      <c r="M29" s="56">
        <v>85.37</v>
      </c>
      <c r="N29" s="56">
        <v>15.5</v>
      </c>
      <c r="O29" s="56">
        <v>0</v>
      </c>
      <c r="P29" s="56">
        <v>0.84</v>
      </c>
      <c r="Q29" s="56">
        <v>9.3000000000000007</v>
      </c>
      <c r="R29" s="43"/>
      <c r="S29" s="43"/>
      <c r="T29" s="43"/>
      <c r="U29" s="43"/>
    </row>
    <row r="30" spans="1:21" s="11" customFormat="1" ht="15">
      <c r="A30" s="55" t="s">
        <v>419</v>
      </c>
      <c r="B30" s="56">
        <v>35.090000000000003</v>
      </c>
      <c r="C30" s="56">
        <v>26.48</v>
      </c>
      <c r="D30" s="56">
        <v>41.90</v>
      </c>
      <c r="E30" s="56">
        <v>1.70</v>
      </c>
      <c r="F30" s="56">
        <v>3.85</v>
      </c>
      <c r="G30" s="56">
        <v>87.82</v>
      </c>
      <c r="H30" s="56">
        <v>23.89</v>
      </c>
      <c r="I30" s="56">
        <v>7.78</v>
      </c>
      <c r="J30" s="56">
        <v>0.28000000000000003</v>
      </c>
      <c r="K30" s="56">
        <v>333.31</v>
      </c>
      <c r="L30" s="56">
        <v>24.31</v>
      </c>
      <c r="M30" s="56">
        <v>89.03</v>
      </c>
      <c r="N30" s="56">
        <v>15.70</v>
      </c>
      <c r="O30" s="56">
        <v>0</v>
      </c>
      <c r="P30" s="56">
        <v>1.27</v>
      </c>
      <c r="Q30" s="56">
        <v>9.43</v>
      </c>
      <c r="R30" s="43"/>
      <c r="S30" s="43"/>
      <c r="T30" s="43"/>
      <c r="U30" s="43"/>
    </row>
    <row r="31" spans="1:21" s="11" customFormat="1" ht="15">
      <c r="A31" s="55" t="s">
        <v>420</v>
      </c>
      <c r="B31" s="56">
        <v>36.94</v>
      </c>
      <c r="C31" s="56">
        <v>27</v>
      </c>
      <c r="D31" s="56">
        <v>43.49</v>
      </c>
      <c r="E31" s="56">
        <v>1.59</v>
      </c>
      <c r="F31" s="56">
        <v>3.79</v>
      </c>
      <c r="G31" s="56">
        <v>98.47</v>
      </c>
      <c r="H31" s="56">
        <v>26.22</v>
      </c>
      <c r="I31" s="56">
        <v>8.8000000000000007</v>
      </c>
      <c r="J31" s="56">
        <v>0.5</v>
      </c>
      <c r="K31" s="56">
        <v>311.98</v>
      </c>
      <c r="L31" s="56">
        <v>23.85</v>
      </c>
      <c r="M31" s="56">
        <v>81.98</v>
      </c>
      <c r="N31" s="56">
        <v>15.60</v>
      </c>
      <c r="O31" s="56">
        <v>0</v>
      </c>
      <c r="P31" s="56">
        <v>1.37</v>
      </c>
      <c r="Q31" s="56">
        <v>9.5299999999999994</v>
      </c>
      <c r="R31" s="43"/>
      <c r="S31" s="43"/>
      <c r="T31" s="43"/>
      <c r="U31" s="43"/>
    </row>
    <row r="32" spans="1:21" s="11" customFormat="1" ht="15">
      <c r="A32" s="55" t="s">
        <v>421</v>
      </c>
      <c r="B32" s="56">
        <v>35.479999999999997</v>
      </c>
      <c r="C32" s="56">
        <v>26.62</v>
      </c>
      <c r="D32" s="56">
        <v>42.28</v>
      </c>
      <c r="E32" s="56">
        <v>1.81</v>
      </c>
      <c r="F32" s="56">
        <v>3.75</v>
      </c>
      <c r="G32" s="56">
        <v>81</v>
      </c>
      <c r="H32" s="56">
        <v>24.49</v>
      </c>
      <c r="I32" s="56">
        <v>9.3800000000000008</v>
      </c>
      <c r="J32" s="56">
        <v>0.32</v>
      </c>
      <c r="K32" s="56">
        <v>335.13</v>
      </c>
      <c r="L32" s="56">
        <v>23.45</v>
      </c>
      <c r="M32" s="56">
        <v>88.89</v>
      </c>
      <c r="N32" s="56">
        <v>15.5</v>
      </c>
      <c r="O32" s="56">
        <v>0</v>
      </c>
      <c r="P32" s="56">
        <v>1.36</v>
      </c>
      <c r="Q32" s="56">
        <v>9.5399999999999991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21.34</v>
      </c>
      <c r="D34" s="28">
        <f t="shared" si="0"/>
        <v>11.15</v>
      </c>
      <c r="E34" s="28">
        <f t="shared" si="0"/>
        <v>0.68000000000000005</v>
      </c>
      <c r="F34" s="28">
        <f t="shared" si="0"/>
        <v>3.3500000000000001</v>
      </c>
      <c r="G34" s="28">
        <f t="shared" si="0"/>
        <v>19.030000000000001</v>
      </c>
      <c r="H34" s="28">
        <f t="shared" si="0"/>
        <v>9.25</v>
      </c>
      <c r="I34" s="28">
        <f t="shared" si="0"/>
        <v>4.0099999999999998</v>
      </c>
      <c r="J34" s="28">
        <f t="shared" si="0"/>
        <v>0.14000000000000001</v>
      </c>
      <c r="K34" s="28">
        <f t="shared" si="0"/>
        <v>152.78999999999999</v>
      </c>
      <c r="L34" s="28">
        <f t="shared" si="0"/>
        <v>22.300000000000001</v>
      </c>
      <c r="M34" s="28">
        <f t="shared" si="0"/>
        <v>32.810000000000002</v>
      </c>
      <c r="N34" s="28">
        <f t="shared" si="0"/>
        <v>15.5</v>
      </c>
      <c r="O34" s="28">
        <f t="shared" si="0"/>
        <v>0</v>
      </c>
      <c r="P34" s="28">
        <f t="shared" si="0"/>
        <v>0.33000000000000002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49.859999999999999</v>
      </c>
      <c r="C35" s="29">
        <f t="shared" si="1"/>
        <v>46.18</v>
      </c>
      <c r="D35" s="29">
        <f t="shared" si="1"/>
        <v>57.43</v>
      </c>
      <c r="E35" s="29">
        <f t="shared" si="1"/>
        <v>2.3399999999999999</v>
      </c>
      <c r="F35" s="29">
        <f t="shared" si="1"/>
        <v>13.640000000000001</v>
      </c>
      <c r="G35" s="29">
        <f t="shared" si="1"/>
        <v>98.469999999999999</v>
      </c>
      <c r="H35" s="29">
        <f t="shared" si="1"/>
        <v>33.149999999999999</v>
      </c>
      <c r="I35" s="29">
        <f t="shared" si="1"/>
        <v>9.3800000000000008</v>
      </c>
      <c r="J35" s="29">
        <f t="shared" si="1"/>
        <v>2.2999999999999998</v>
      </c>
      <c r="K35" s="29">
        <f t="shared" si="1"/>
        <v>357.94</v>
      </c>
      <c r="L35" s="29">
        <f t="shared" si="1"/>
        <v>36.060000000000002</v>
      </c>
      <c r="M35" s="29">
        <f t="shared" si="1"/>
        <v>93.659999999999997</v>
      </c>
      <c r="N35" s="29">
        <f t="shared" si="1"/>
        <v>938.39999999999998</v>
      </c>
      <c r="O35" s="29">
        <f t="shared" si="1"/>
        <v>2.7999999999999998</v>
      </c>
      <c r="P35" s="29">
        <f t="shared" si="1"/>
        <v>1.3700000000000001</v>
      </c>
      <c r="Q35" s="29">
        <f t="shared" si="1"/>
        <v>9.7899999999999991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22.023333333333337</v>
      </c>
      <c r="C36" s="28">
        <f t="shared" si="2"/>
        <v>28.76166666666666</v>
      </c>
      <c r="D36" s="28">
        <f t="shared" si="2"/>
        <v>32.387500000000003</v>
      </c>
      <c r="E36" s="28">
        <f t="shared" si="2"/>
        <v>1.5333333333333339</v>
      </c>
      <c r="F36" s="28">
        <f t="shared" si="2"/>
        <v>5.6058333333333339</v>
      </c>
      <c r="G36" s="28">
        <f t="shared" si="2"/>
        <v>56.297499999999992</v>
      </c>
      <c r="H36" s="28">
        <f t="shared" si="2"/>
        <v>20.680000000000003</v>
      </c>
      <c r="I36" s="28">
        <f t="shared" si="2"/>
        <v>6.7474999999999996</v>
      </c>
      <c r="J36" s="28">
        <f t="shared" si="2"/>
        <v>0.57666666666666655</v>
      </c>
      <c r="K36" s="28">
        <f t="shared" si="2"/>
        <v>294.80833333333334</v>
      </c>
      <c r="L36" s="28">
        <f t="shared" si="2"/>
        <v>27.677083333333339</v>
      </c>
      <c r="M36" s="28">
        <f t="shared" si="2"/>
        <v>70.150833333333324</v>
      </c>
      <c r="N36" s="28">
        <f t="shared" si="2"/>
        <v>271.92916666666667</v>
      </c>
      <c r="O36" s="28">
        <f t="shared" si="2"/>
        <v>0.125</v>
      </c>
      <c r="P36" s="28">
        <f t="shared" si="2"/>
        <v>0.74958333333333327</v>
      </c>
      <c r="Q36" s="28">
        <f t="shared" si="2"/>
        <v>9.4299999999999997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19.000760549232638</v>
      </c>
      <c r="C37" s="28">
        <f t="shared" si="3" ref="C37:Q37">STDEV(C9:C32)</f>
        <v>5.7216763024611419</v>
      </c>
      <c r="D37" s="28">
        <f t="shared" si="3"/>
        <v>16.140479290873916</v>
      </c>
      <c r="E37" s="28">
        <f t="shared" si="3"/>
        <v>0.42646847752071737</v>
      </c>
      <c r="F37" s="28">
        <f t="shared" si="3"/>
        <v>3.0621517252425292</v>
      </c>
      <c r="G37" s="28">
        <f t="shared" si="3"/>
        <v>19.381955806098791</v>
      </c>
      <c r="H37" s="28">
        <f t="shared" si="3"/>
        <v>5.767147588223124</v>
      </c>
      <c r="I37" s="28">
        <f t="shared" si="3"/>
        <v>1.774305130368556</v>
      </c>
      <c r="J37" s="28">
        <f t="shared" si="3"/>
        <v>0.52097456056281999</v>
      </c>
      <c r="K37" s="28">
        <f t="shared" si="3"/>
        <v>55.330907053493263</v>
      </c>
      <c r="L37" s="28">
        <f t="shared" si="3"/>
        <v>4.9937504239900772</v>
      </c>
      <c r="M37" s="28">
        <f t="shared" si="3"/>
        <v>20.322283746337853</v>
      </c>
      <c r="N37" s="28">
        <f t="shared" si="3"/>
        <v>354.09657056547712</v>
      </c>
      <c r="O37" s="28">
        <f t="shared" si="3"/>
        <v>0.57123055575318005</v>
      </c>
      <c r="P37" s="28">
        <f t="shared" si="3"/>
        <v>0.29968794156395562</v>
      </c>
      <c r="Q37" s="28">
        <f t="shared" si="3"/>
        <v>0.24530371591861158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39e2fa-6e9e-4a4e-845a-b28e500d9ff4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422</v>
      </c>
      <c r="B9" s="56">
        <v>33.869999999999997</v>
      </c>
      <c r="C9" s="56">
        <v>26.67</v>
      </c>
      <c r="D9" s="56">
        <v>40.93</v>
      </c>
      <c r="E9" s="56">
        <v>1.98</v>
      </c>
      <c r="F9" s="56">
        <v>3.44</v>
      </c>
      <c r="G9" s="56">
        <v>82.99</v>
      </c>
      <c r="H9" s="56">
        <v>25.86</v>
      </c>
      <c r="I9" s="56">
        <v>10.06</v>
      </c>
      <c r="J9" s="56">
        <v>0.34</v>
      </c>
      <c r="K9" s="56">
        <v>219.24</v>
      </c>
      <c r="L9" s="56">
        <v>23.02</v>
      </c>
      <c r="M9" s="56">
        <v>93.13</v>
      </c>
      <c r="N9" s="56">
        <v>15.5</v>
      </c>
      <c r="O9" s="56">
        <v>0</v>
      </c>
      <c r="P9" s="56">
        <v>1.30</v>
      </c>
      <c r="Q9" s="56">
        <v>9.44</v>
      </c>
      <c r="R9" s="43"/>
      <c r="S9" s="43"/>
      <c r="T9" s="43"/>
      <c r="U9" s="43"/>
    </row>
    <row r="10" spans="1:21" s="11" customFormat="1" ht="15">
      <c r="A10" s="55" t="s">
        <v>423</v>
      </c>
      <c r="B10" s="56">
        <v>32.729999999999997</v>
      </c>
      <c r="C10" s="56">
        <v>23.74</v>
      </c>
      <c r="D10" s="56">
        <v>38.57</v>
      </c>
      <c r="E10" s="56">
        <v>1.94</v>
      </c>
      <c r="F10" s="56">
        <v>3.67</v>
      </c>
      <c r="G10" s="56">
        <v>78.900000000000006</v>
      </c>
      <c r="H10" s="56">
        <v>27.89</v>
      </c>
      <c r="I10" s="56">
        <v>11.20</v>
      </c>
      <c r="J10" s="56">
        <v>0.28000000000000003</v>
      </c>
      <c r="K10" s="56">
        <v>340.29</v>
      </c>
      <c r="L10" s="56">
        <v>22.66</v>
      </c>
      <c r="M10" s="56">
        <v>96.51</v>
      </c>
      <c r="N10" s="56">
        <v>15.5</v>
      </c>
      <c r="O10" s="56">
        <v>0</v>
      </c>
      <c r="P10" s="56">
        <v>1.1200000000000001</v>
      </c>
      <c r="Q10" s="56">
        <v>9.48</v>
      </c>
      <c r="R10" s="43"/>
      <c r="S10" s="43"/>
      <c r="T10" s="43"/>
      <c r="U10" s="43"/>
    </row>
    <row r="11" spans="1:21" s="11" customFormat="1" ht="15">
      <c r="A11" s="55" t="s">
        <v>424</v>
      </c>
      <c r="B11" s="56">
        <v>30.71</v>
      </c>
      <c r="C11" s="56">
        <v>20.38</v>
      </c>
      <c r="D11" s="56">
        <v>35.19</v>
      </c>
      <c r="E11" s="56">
        <v>1.90</v>
      </c>
      <c r="F11" s="56">
        <v>3.48</v>
      </c>
      <c r="G11" s="56">
        <v>67.38</v>
      </c>
      <c r="H11" s="56">
        <v>26.60</v>
      </c>
      <c r="I11" s="56">
        <v>11.93</v>
      </c>
      <c r="J11" s="56">
        <v>0.22</v>
      </c>
      <c r="K11" s="56">
        <v>235.31</v>
      </c>
      <c r="L11" s="56">
        <v>21.97</v>
      </c>
      <c r="M11" s="56">
        <v>97.87</v>
      </c>
      <c r="N11" s="56">
        <v>15.30</v>
      </c>
      <c r="O11" s="56">
        <v>0</v>
      </c>
      <c r="P11" s="56">
        <v>1.08</v>
      </c>
      <c r="Q11" s="56">
        <v>9.49</v>
      </c>
      <c r="R11" s="43"/>
      <c r="S11" s="43"/>
      <c r="T11" s="43"/>
      <c r="U11" s="43"/>
    </row>
    <row r="12" spans="1:21" s="11" customFormat="1" ht="15">
      <c r="A12" s="55" t="s">
        <v>425</v>
      </c>
      <c r="B12" s="56">
        <v>29</v>
      </c>
      <c r="C12" s="56">
        <v>19.579999999999998</v>
      </c>
      <c r="D12" s="56">
        <v>33.18</v>
      </c>
      <c r="E12" s="56">
        <v>1.91</v>
      </c>
      <c r="F12" s="56">
        <v>4.01</v>
      </c>
      <c r="G12" s="56">
        <v>65.41</v>
      </c>
      <c r="H12" s="56">
        <v>26.09</v>
      </c>
      <c r="I12" s="56">
        <v>11.96</v>
      </c>
      <c r="J12" s="56">
        <v>0.68</v>
      </c>
      <c r="K12" s="56">
        <v>216.11</v>
      </c>
      <c r="L12" s="56">
        <v>22.22</v>
      </c>
      <c r="M12" s="56">
        <v>97.5</v>
      </c>
      <c r="N12" s="56">
        <v>15.40</v>
      </c>
      <c r="O12" s="56">
        <v>0</v>
      </c>
      <c r="P12" s="56">
        <v>0.98</v>
      </c>
      <c r="Q12" s="56">
        <v>9.42</v>
      </c>
      <c r="R12" s="43"/>
      <c r="S12" s="43"/>
      <c r="T12" s="43"/>
      <c r="U12" s="43"/>
    </row>
    <row r="13" spans="1:21" s="11" customFormat="1" ht="15">
      <c r="A13" s="55" t="s">
        <v>426</v>
      </c>
      <c r="B13" s="56">
        <v>26.40</v>
      </c>
      <c r="C13" s="56">
        <v>21.86</v>
      </c>
      <c r="D13" s="56">
        <v>31.24</v>
      </c>
      <c r="E13" s="56">
        <v>2.17</v>
      </c>
      <c r="F13" s="56">
        <v>3.71</v>
      </c>
      <c r="G13" s="56">
        <v>62.82</v>
      </c>
      <c r="H13" s="56">
        <v>25.53</v>
      </c>
      <c r="I13" s="56">
        <v>11.63</v>
      </c>
      <c r="J13" s="56">
        <v>0.38</v>
      </c>
      <c r="K13" s="56">
        <v>330.59</v>
      </c>
      <c r="L13" s="56">
        <v>21.85</v>
      </c>
      <c r="M13" s="56">
        <v>97.88</v>
      </c>
      <c r="N13" s="56">
        <v>15.40</v>
      </c>
      <c r="O13" s="56">
        <v>0</v>
      </c>
      <c r="P13" s="56">
        <v>0.89</v>
      </c>
      <c r="Q13" s="56">
        <v>9.39</v>
      </c>
      <c r="R13" s="43"/>
      <c r="S13" s="43"/>
      <c r="T13" s="43"/>
      <c r="U13" s="43"/>
    </row>
    <row r="14" spans="1:21" s="11" customFormat="1" ht="15">
      <c r="A14" s="55" t="s">
        <v>427</v>
      </c>
      <c r="B14" s="56">
        <v>26</v>
      </c>
      <c r="C14" s="56">
        <v>22.56</v>
      </c>
      <c r="D14" s="56">
        <v>31.96</v>
      </c>
      <c r="E14" s="56">
        <v>2.2200000000000002</v>
      </c>
      <c r="F14" s="56">
        <v>3.56</v>
      </c>
      <c r="G14" s="56">
        <v>56.80</v>
      </c>
      <c r="H14" s="56">
        <v>19.04</v>
      </c>
      <c r="I14" s="56">
        <v>11.45</v>
      </c>
      <c r="J14" s="56">
        <v>0.12</v>
      </c>
      <c r="K14" s="56">
        <v>345.81</v>
      </c>
      <c r="L14" s="56">
        <v>21.65</v>
      </c>
      <c r="M14" s="56">
        <v>97.91</v>
      </c>
      <c r="N14" s="56">
        <v>34.90</v>
      </c>
      <c r="O14" s="56">
        <v>0</v>
      </c>
      <c r="P14" s="56">
        <v>0.82</v>
      </c>
      <c r="Q14" s="56">
        <v>9.42</v>
      </c>
      <c r="R14" s="43"/>
      <c r="S14" s="43"/>
      <c r="T14" s="43"/>
      <c r="U14" s="43"/>
    </row>
    <row r="15" spans="1:21" s="11" customFormat="1" ht="15">
      <c r="A15" s="55" t="s">
        <v>428</v>
      </c>
      <c r="B15" s="56">
        <v>29.78</v>
      </c>
      <c r="C15" s="56">
        <v>20.90</v>
      </c>
      <c r="D15" s="56">
        <v>34.159999999999997</v>
      </c>
      <c r="E15" s="56">
        <v>2.41</v>
      </c>
      <c r="F15" s="56">
        <v>3.27</v>
      </c>
      <c r="G15" s="56">
        <v>58.83</v>
      </c>
      <c r="H15" s="56">
        <v>23.11</v>
      </c>
      <c r="I15" s="56">
        <v>11.46</v>
      </c>
      <c r="J15" s="56">
        <v>0.12</v>
      </c>
      <c r="K15" s="56">
        <v>323.70999999999998</v>
      </c>
      <c r="L15" s="56">
        <v>25.57</v>
      </c>
      <c r="M15" s="56">
        <v>97.08</v>
      </c>
      <c r="N15" s="56">
        <v>133.60</v>
      </c>
      <c r="O15" s="56">
        <v>0</v>
      </c>
      <c r="P15" s="56">
        <v>0.80</v>
      </c>
      <c r="Q15" s="56">
        <v>9.4600000000000009</v>
      </c>
      <c r="R15" s="43"/>
      <c r="S15" s="43"/>
      <c r="T15" s="43"/>
      <c r="U15" s="43"/>
    </row>
    <row r="16" spans="1:21" s="11" customFormat="1" ht="15">
      <c r="A16" s="55" t="s">
        <v>429</v>
      </c>
      <c r="B16" s="56">
        <v>30.76</v>
      </c>
      <c r="C16" s="56">
        <v>22.75</v>
      </c>
      <c r="D16" s="56">
        <v>35.619999999999997</v>
      </c>
      <c r="E16" s="56">
        <v>2.2400000000000002</v>
      </c>
      <c r="F16" s="56">
        <v>3.74</v>
      </c>
      <c r="G16" s="56">
        <v>62.60</v>
      </c>
      <c r="H16" s="56">
        <v>24.09</v>
      </c>
      <c r="I16" s="56">
        <v>11.42</v>
      </c>
      <c r="J16" s="56">
        <v>0.20</v>
      </c>
      <c r="K16" s="56">
        <v>358.19</v>
      </c>
      <c r="L16" s="56">
        <v>29.19</v>
      </c>
      <c r="M16" s="56">
        <v>71.95</v>
      </c>
      <c r="N16" s="56">
        <v>402.40</v>
      </c>
      <c r="O16" s="56">
        <v>0</v>
      </c>
      <c r="P16" s="56">
        <v>0.86</v>
      </c>
      <c r="Q16" s="56">
        <v>9.4600000000000009</v>
      </c>
      <c r="R16" s="43"/>
      <c r="S16" s="43"/>
      <c r="T16" s="43"/>
      <c r="U16" s="43"/>
    </row>
    <row r="17" spans="1:21" s="11" customFormat="1" ht="15">
      <c r="A17" s="55" t="s">
        <v>430</v>
      </c>
      <c r="B17" s="56">
        <v>26.92</v>
      </c>
      <c r="C17" s="56">
        <v>24.31</v>
      </c>
      <c r="D17" s="56">
        <v>33.729999999999997</v>
      </c>
      <c r="E17" s="56">
        <v>2.34</v>
      </c>
      <c r="F17" s="56">
        <v>3.92</v>
      </c>
      <c r="G17" s="56">
        <v>68.13</v>
      </c>
      <c r="H17" s="56">
        <v>23.46</v>
      </c>
      <c r="I17" s="56">
        <v>10.67</v>
      </c>
      <c r="J17" s="56">
        <v>0.59</v>
      </c>
      <c r="K17" s="56">
        <v>205.23</v>
      </c>
      <c r="L17" s="56">
        <v>29.70</v>
      </c>
      <c r="M17" s="56">
        <v>64.80</v>
      </c>
      <c r="N17" s="56">
        <v>609.60</v>
      </c>
      <c r="O17" s="56">
        <v>0</v>
      </c>
      <c r="P17" s="56">
        <v>0.82</v>
      </c>
      <c r="Q17" s="56">
        <v>9.36</v>
      </c>
      <c r="R17" s="43"/>
      <c r="S17" s="43"/>
      <c r="T17" s="43"/>
      <c r="U17" s="43"/>
    </row>
    <row r="18" spans="1:21" s="11" customFormat="1" ht="15">
      <c r="A18" s="55" t="s">
        <v>431</v>
      </c>
      <c r="B18" s="56">
        <v>18.38</v>
      </c>
      <c r="C18" s="56">
        <v>27.12</v>
      </c>
      <c r="D18" s="56">
        <v>28.24</v>
      </c>
      <c r="E18" s="56">
        <v>2.0699999999999998</v>
      </c>
      <c r="F18" s="56">
        <v>3.92</v>
      </c>
      <c r="G18" s="56">
        <v>60.52</v>
      </c>
      <c r="H18" s="56">
        <v>22.97</v>
      </c>
      <c r="I18" s="56">
        <v>9.7100000000000009</v>
      </c>
      <c r="J18" s="56">
        <v>0.37</v>
      </c>
      <c r="K18" s="56">
        <v>196.77</v>
      </c>
      <c r="L18" s="56">
        <v>32.58</v>
      </c>
      <c r="M18" s="56">
        <v>56.84</v>
      </c>
      <c r="N18" s="56">
        <v>790.5</v>
      </c>
      <c r="O18" s="56">
        <v>0</v>
      </c>
      <c r="P18" s="56">
        <v>0.75</v>
      </c>
      <c r="Q18" s="56">
        <v>9.31</v>
      </c>
      <c r="R18" s="43"/>
      <c r="S18" s="43"/>
      <c r="T18" s="43"/>
      <c r="U18" s="43"/>
    </row>
    <row r="19" spans="1:21" s="11" customFormat="1" ht="15">
      <c r="A19" s="55" t="s">
        <v>432</v>
      </c>
      <c r="B19" s="56">
        <v>11.27</v>
      </c>
      <c r="C19" s="56">
        <v>27.78</v>
      </c>
      <c r="D19" s="56">
        <v>23.37</v>
      </c>
      <c r="E19" s="56">
        <v>2.0099999999999998</v>
      </c>
      <c r="F19" s="56">
        <v>4.24</v>
      </c>
      <c r="G19" s="56">
        <v>55.46</v>
      </c>
      <c r="H19" s="56">
        <v>15.87</v>
      </c>
      <c r="I19" s="56">
        <v>10.19</v>
      </c>
      <c r="J19" s="56">
        <v>1.07</v>
      </c>
      <c r="K19" s="56">
        <v>163.11000000000001</v>
      </c>
      <c r="L19" s="56">
        <v>33.130000000000003</v>
      </c>
      <c r="M19" s="56">
        <v>48.91</v>
      </c>
      <c r="N19" s="56">
        <v>897</v>
      </c>
      <c r="O19" s="56">
        <v>0</v>
      </c>
      <c r="P19" s="56">
        <v>0.70</v>
      </c>
      <c r="Q19" s="56">
        <v>9.24</v>
      </c>
      <c r="R19" s="43"/>
      <c r="S19" s="43"/>
      <c r="T19" s="43"/>
      <c r="U19" s="43"/>
    </row>
    <row r="20" spans="1:21" s="11" customFormat="1" ht="15">
      <c r="A20" s="55" t="s">
        <v>433</v>
      </c>
      <c r="B20" s="56">
        <v>3.80</v>
      </c>
      <c r="C20" s="56">
        <v>31.71</v>
      </c>
      <c r="D20" s="56">
        <v>17.70</v>
      </c>
      <c r="E20" s="56">
        <v>1.92</v>
      </c>
      <c r="F20" s="56">
        <v>6.63</v>
      </c>
      <c r="G20" s="56">
        <v>50.81</v>
      </c>
      <c r="H20" s="56">
        <v>15.93</v>
      </c>
      <c r="I20" s="56">
        <v>10.46</v>
      </c>
      <c r="J20" s="56">
        <v>0.42</v>
      </c>
      <c r="K20" s="56">
        <v>194.36</v>
      </c>
      <c r="L20" s="56">
        <v>35.229999999999997</v>
      </c>
      <c r="M20" s="56">
        <v>41.71</v>
      </c>
      <c r="N20" s="56">
        <v>925.80</v>
      </c>
      <c r="O20" s="56">
        <v>0</v>
      </c>
      <c r="P20" s="56">
        <v>0.62</v>
      </c>
      <c r="Q20" s="56">
        <v>9.1999999999999993</v>
      </c>
      <c r="R20" s="43"/>
      <c r="S20" s="43"/>
      <c r="T20" s="43"/>
      <c r="U20" s="43"/>
    </row>
    <row r="21" spans="1:21" s="11" customFormat="1" ht="15">
      <c r="A21" s="55" t="s">
        <v>434</v>
      </c>
      <c r="B21" s="56">
        <v>0.10</v>
      </c>
      <c r="C21" s="56">
        <v>28.94</v>
      </c>
      <c r="D21" s="56">
        <v>15.12</v>
      </c>
      <c r="E21" s="56">
        <v>1.46</v>
      </c>
      <c r="F21" s="56">
        <v>4.79</v>
      </c>
      <c r="G21" s="56">
        <v>46.64</v>
      </c>
      <c r="H21" s="56">
        <v>19.16</v>
      </c>
      <c r="I21" s="56">
        <v>9.75</v>
      </c>
      <c r="J21" s="56">
        <v>1.08</v>
      </c>
      <c r="K21" s="56">
        <v>353.35</v>
      </c>
      <c r="L21" s="56">
        <v>39.44</v>
      </c>
      <c r="M21" s="56">
        <v>26.99</v>
      </c>
      <c r="N21" s="56">
        <v>931.5</v>
      </c>
      <c r="O21" s="56">
        <v>0</v>
      </c>
      <c r="P21" s="56">
        <v>0.59</v>
      </c>
      <c r="Q21" s="56">
        <v>9.14</v>
      </c>
      <c r="R21" s="43"/>
      <c r="S21" s="43"/>
      <c r="T21" s="43"/>
      <c r="U21" s="43"/>
    </row>
    <row r="22" spans="1:21" s="11" customFormat="1" ht="15">
      <c r="A22" s="55" t="s">
        <v>435</v>
      </c>
      <c r="B22" s="56">
        <v>0.10</v>
      </c>
      <c r="C22" s="56">
        <v>28.73</v>
      </c>
      <c r="D22" s="56">
        <v>15.01</v>
      </c>
      <c r="E22" s="56">
        <v>1.24</v>
      </c>
      <c r="F22" s="56">
        <v>5.09</v>
      </c>
      <c r="G22" s="56">
        <v>42.66</v>
      </c>
      <c r="H22" s="56">
        <v>16.420000000000002</v>
      </c>
      <c r="I22" s="56">
        <v>8.81</v>
      </c>
      <c r="J22" s="56">
        <v>0.69</v>
      </c>
      <c r="K22" s="56">
        <v>344.32</v>
      </c>
      <c r="L22" s="56">
        <v>38.06</v>
      </c>
      <c r="M22" s="56">
        <v>26.79</v>
      </c>
      <c r="N22" s="56">
        <v>874.70</v>
      </c>
      <c r="O22" s="56">
        <v>0</v>
      </c>
      <c r="P22" s="56">
        <v>0.54</v>
      </c>
      <c r="Q22" s="56">
        <v>9.15</v>
      </c>
      <c r="R22" s="43"/>
      <c r="S22" s="43"/>
      <c r="T22" s="43"/>
      <c r="U22" s="43"/>
    </row>
    <row r="23" spans="1:21" s="11" customFormat="1" ht="15">
      <c r="A23" s="55" t="s">
        <v>436</v>
      </c>
      <c r="B23" s="56">
        <v>0.10</v>
      </c>
      <c r="C23" s="56">
        <v>29.61</v>
      </c>
      <c r="D23" s="56">
        <v>15.47</v>
      </c>
      <c r="E23" s="56">
        <v>0.95</v>
      </c>
      <c r="F23" s="56">
        <v>5.33</v>
      </c>
      <c r="G23" s="56">
        <v>42.14</v>
      </c>
      <c r="H23" s="56">
        <v>28.27</v>
      </c>
      <c r="I23" s="56">
        <v>8.31</v>
      </c>
      <c r="J23" s="56">
        <v>0.65</v>
      </c>
      <c r="K23" s="56">
        <v>335.37</v>
      </c>
      <c r="L23" s="56">
        <v>37.78</v>
      </c>
      <c r="M23" s="56">
        <v>29.06</v>
      </c>
      <c r="N23" s="56">
        <v>648.20000000000005</v>
      </c>
      <c r="O23" s="56">
        <v>0</v>
      </c>
      <c r="P23" s="56">
        <v>0.51</v>
      </c>
      <c r="Q23" s="56">
        <v>9.17</v>
      </c>
      <c r="R23" s="43"/>
      <c r="S23" s="43"/>
      <c r="T23" s="43"/>
      <c r="U23" s="43"/>
    </row>
    <row r="24" spans="1:21" s="11" customFormat="1" ht="15">
      <c r="A24" s="55" t="s">
        <v>437</v>
      </c>
      <c r="B24" s="56">
        <v>0.10</v>
      </c>
      <c r="C24" s="56">
        <v>24.60</v>
      </c>
      <c r="D24" s="56">
        <v>12.85</v>
      </c>
      <c r="E24" s="56">
        <v>1.21</v>
      </c>
      <c r="F24" s="56">
        <v>6.53</v>
      </c>
      <c r="G24" s="56">
        <v>43.71</v>
      </c>
      <c r="H24" s="56">
        <v>19.38</v>
      </c>
      <c r="I24" s="56">
        <v>8.69</v>
      </c>
      <c r="J24" s="56">
        <v>1.1599999999999999</v>
      </c>
      <c r="K24" s="56">
        <v>217.42</v>
      </c>
      <c r="L24" s="56">
        <v>34.630000000000003</v>
      </c>
      <c r="M24" s="56">
        <v>33.14</v>
      </c>
      <c r="N24" s="56">
        <v>232.40</v>
      </c>
      <c r="O24" s="56">
        <v>0</v>
      </c>
      <c r="P24" s="56">
        <v>0.48</v>
      </c>
      <c r="Q24" s="56">
        <v>9.16</v>
      </c>
      <c r="R24" s="43"/>
      <c r="S24" s="43"/>
      <c r="T24" s="43"/>
      <c r="U24" s="43"/>
    </row>
    <row r="25" spans="1:21" s="11" customFormat="1" ht="15">
      <c r="A25" s="55" t="s">
        <v>438</v>
      </c>
      <c r="B25" s="56">
        <v>0.10</v>
      </c>
      <c r="C25" s="56">
        <v>21.74</v>
      </c>
      <c r="D25" s="56">
        <v>11.36</v>
      </c>
      <c r="E25" s="56">
        <v>1.58</v>
      </c>
      <c r="F25" s="56">
        <v>6.45</v>
      </c>
      <c r="G25" s="56">
        <v>44.58</v>
      </c>
      <c r="H25" s="56">
        <v>27.64</v>
      </c>
      <c r="I25" s="56">
        <v>8.8000000000000007</v>
      </c>
      <c r="J25" s="56">
        <v>0.33</v>
      </c>
      <c r="K25" s="56">
        <v>254.57</v>
      </c>
      <c r="L25" s="56">
        <v>33.65</v>
      </c>
      <c r="M25" s="56">
        <v>35.46</v>
      </c>
      <c r="N25" s="56">
        <v>124</v>
      </c>
      <c r="O25" s="56">
        <v>0</v>
      </c>
      <c r="P25" s="56">
        <v>0.51</v>
      </c>
      <c r="Q25" s="56">
        <v>9.17</v>
      </c>
      <c r="R25" s="43"/>
      <c r="S25" s="43"/>
      <c r="T25" s="43"/>
      <c r="U25" s="43"/>
    </row>
    <row r="26" spans="1:21" s="11" customFormat="1" ht="15">
      <c r="A26" s="55" t="s">
        <v>439</v>
      </c>
      <c r="B26" s="56">
        <v>1.44</v>
      </c>
      <c r="C26" s="56">
        <v>30.22</v>
      </c>
      <c r="D26" s="56">
        <v>16.86</v>
      </c>
      <c r="E26" s="56">
        <v>1.44</v>
      </c>
      <c r="F26" s="56">
        <v>6.19</v>
      </c>
      <c r="G26" s="56">
        <v>45.96</v>
      </c>
      <c r="H26" s="56">
        <v>26.54</v>
      </c>
      <c r="I26" s="56">
        <v>8.23</v>
      </c>
      <c r="J26" s="56">
        <v>0.59</v>
      </c>
      <c r="K26" s="56">
        <v>356.13</v>
      </c>
      <c r="L26" s="56">
        <v>32.67</v>
      </c>
      <c r="M26" s="56">
        <v>49.35</v>
      </c>
      <c r="N26" s="56">
        <v>61.10</v>
      </c>
      <c r="O26" s="56">
        <v>0</v>
      </c>
      <c r="P26" s="56">
        <v>0.67</v>
      </c>
      <c r="Q26" s="56">
        <v>9.16</v>
      </c>
      <c r="R26" s="43"/>
      <c r="S26" s="43"/>
      <c r="T26" s="43"/>
      <c r="U26" s="43"/>
    </row>
    <row r="27" spans="1:21" s="11" customFormat="1" ht="15">
      <c r="A27" s="55" t="s">
        <v>440</v>
      </c>
      <c r="B27" s="56">
        <v>6.93</v>
      </c>
      <c r="C27" s="56">
        <v>35.159999999999997</v>
      </c>
      <c r="D27" s="56">
        <v>23.84</v>
      </c>
      <c r="E27" s="56">
        <v>1.51</v>
      </c>
      <c r="F27" s="56">
        <v>3.74</v>
      </c>
      <c r="G27" s="56">
        <v>55.37</v>
      </c>
      <c r="H27" s="56">
        <v>24.39</v>
      </c>
      <c r="I27" s="56">
        <v>8.35</v>
      </c>
      <c r="J27" s="56">
        <v>1.49</v>
      </c>
      <c r="K27" s="56">
        <v>67.680000000000007</v>
      </c>
      <c r="L27" s="56">
        <v>29.52</v>
      </c>
      <c r="M27" s="56">
        <v>61.63</v>
      </c>
      <c r="N27" s="56">
        <v>26.5</v>
      </c>
      <c r="O27" s="56">
        <v>0</v>
      </c>
      <c r="P27" s="56">
        <v>0.83</v>
      </c>
      <c r="Q27" s="56">
        <v>9.15</v>
      </c>
      <c r="R27" s="43"/>
      <c r="S27" s="43"/>
      <c r="T27" s="43"/>
      <c r="U27" s="43"/>
    </row>
    <row r="28" spans="1:21" s="11" customFormat="1" ht="15">
      <c r="A28" s="55" t="s">
        <v>441</v>
      </c>
      <c r="B28" s="56">
        <v>8.1199999999999992</v>
      </c>
      <c r="C28" s="56">
        <v>36.01</v>
      </c>
      <c r="D28" s="56">
        <v>24.33</v>
      </c>
      <c r="E28" s="56">
        <v>1.63</v>
      </c>
      <c r="F28" s="56">
        <v>3.78</v>
      </c>
      <c r="G28" s="56">
        <v>69.13</v>
      </c>
      <c r="H28" s="56">
        <v>27.08</v>
      </c>
      <c r="I28" s="56">
        <v>9.4600000000000009</v>
      </c>
      <c r="J28" s="56">
        <v>1.34</v>
      </c>
      <c r="K28" s="56">
        <v>359.64</v>
      </c>
      <c r="L28" s="56">
        <v>28.88</v>
      </c>
      <c r="M28" s="56">
        <v>51.82</v>
      </c>
      <c r="N28" s="56">
        <v>18.100000000000001</v>
      </c>
      <c r="O28" s="56">
        <v>0</v>
      </c>
      <c r="P28" s="56">
        <v>0.89</v>
      </c>
      <c r="Q28" s="56">
        <v>9.24</v>
      </c>
      <c r="R28" s="43"/>
      <c r="S28" s="43"/>
      <c r="T28" s="43"/>
      <c r="U28" s="43"/>
    </row>
    <row r="29" spans="1:21" s="11" customFormat="1" ht="15">
      <c r="A29" s="55" t="s">
        <v>442</v>
      </c>
      <c r="B29" s="56">
        <v>16</v>
      </c>
      <c r="C29" s="56">
        <v>32.67</v>
      </c>
      <c r="D29" s="56">
        <v>28.78</v>
      </c>
      <c r="E29" s="56">
        <v>0.72</v>
      </c>
      <c r="F29" s="56">
        <v>3.52</v>
      </c>
      <c r="G29" s="56">
        <v>79.67</v>
      </c>
      <c r="H29" s="56">
        <v>21.56</v>
      </c>
      <c r="I29" s="56">
        <v>9.3800000000000008</v>
      </c>
      <c r="J29" s="56">
        <v>0.41</v>
      </c>
      <c r="K29" s="56">
        <v>291.74</v>
      </c>
      <c r="L29" s="56">
        <v>27.53</v>
      </c>
      <c r="M29" s="56">
        <v>55.88</v>
      </c>
      <c r="N29" s="56">
        <v>17.600000000000001</v>
      </c>
      <c r="O29" s="56">
        <v>0</v>
      </c>
      <c r="P29" s="56">
        <v>1.03</v>
      </c>
      <c r="Q29" s="56">
        <v>9.27</v>
      </c>
      <c r="R29" s="43"/>
      <c r="S29" s="43"/>
      <c r="T29" s="43"/>
      <c r="U29" s="43"/>
    </row>
    <row r="30" spans="1:21" s="11" customFormat="1" ht="15">
      <c r="A30" s="55" t="s">
        <v>443</v>
      </c>
      <c r="B30" s="56">
        <v>26.66</v>
      </c>
      <c r="C30" s="56">
        <v>30.64</v>
      </c>
      <c r="D30" s="56">
        <v>36.81</v>
      </c>
      <c r="E30" s="56">
        <v>0.84</v>
      </c>
      <c r="F30" s="56">
        <v>3.84</v>
      </c>
      <c r="G30" s="56">
        <v>94.5</v>
      </c>
      <c r="H30" s="56">
        <v>17.04</v>
      </c>
      <c r="I30" s="56">
        <v>9.5299999999999994</v>
      </c>
      <c r="J30" s="56">
        <v>0.20</v>
      </c>
      <c r="K30" s="56">
        <v>350.07</v>
      </c>
      <c r="L30" s="56">
        <v>26.64</v>
      </c>
      <c r="M30" s="56">
        <v>66.83</v>
      </c>
      <c r="N30" s="56">
        <v>17.80</v>
      </c>
      <c r="O30" s="56">
        <v>0</v>
      </c>
      <c r="P30" s="56">
        <v>1.22</v>
      </c>
      <c r="Q30" s="56">
        <v>9.35</v>
      </c>
      <c r="R30" s="43"/>
      <c r="S30" s="43"/>
      <c r="T30" s="43"/>
      <c r="U30" s="43"/>
    </row>
    <row r="31" spans="1:21" s="11" customFormat="1" ht="15">
      <c r="A31" s="55" t="s">
        <v>444</v>
      </c>
      <c r="B31" s="56">
        <v>29.89</v>
      </c>
      <c r="C31" s="56">
        <v>29.25</v>
      </c>
      <c r="D31" s="56">
        <v>39.17</v>
      </c>
      <c r="E31" s="56">
        <v>0.94</v>
      </c>
      <c r="F31" s="56">
        <v>3.61</v>
      </c>
      <c r="G31" s="56">
        <v>114.35</v>
      </c>
      <c r="H31" s="56">
        <v>18.149999999999999</v>
      </c>
      <c r="I31" s="56">
        <v>9.49</v>
      </c>
      <c r="J31" s="56">
        <v>0.18</v>
      </c>
      <c r="K31" s="56">
        <v>359.83</v>
      </c>
      <c r="L31" s="56">
        <v>26.02</v>
      </c>
      <c r="M31" s="56">
        <v>70.930000000000007</v>
      </c>
      <c r="N31" s="56">
        <v>17.399999999999999</v>
      </c>
      <c r="O31" s="56">
        <v>0</v>
      </c>
      <c r="P31" s="56">
        <v>1.24</v>
      </c>
      <c r="Q31" s="56">
        <v>9.39</v>
      </c>
      <c r="R31" s="43"/>
      <c r="S31" s="43"/>
      <c r="T31" s="43"/>
      <c r="U31" s="43"/>
    </row>
    <row r="32" spans="1:21" s="11" customFormat="1" ht="15">
      <c r="A32" s="55" t="s">
        <v>445</v>
      </c>
      <c r="B32" s="56">
        <v>37.69</v>
      </c>
      <c r="C32" s="56">
        <v>30.03</v>
      </c>
      <c r="D32" s="56">
        <v>45.36</v>
      </c>
      <c r="E32" s="56">
        <v>0.85</v>
      </c>
      <c r="F32" s="56">
        <v>3.82</v>
      </c>
      <c r="G32" s="56">
        <v>108.59</v>
      </c>
      <c r="H32" s="56">
        <v>88</v>
      </c>
      <c r="I32" s="56">
        <v>9.1300000000000008</v>
      </c>
      <c r="J32" s="56">
        <v>0.15</v>
      </c>
      <c r="K32" s="56">
        <v>278.35000000000002</v>
      </c>
      <c r="L32" s="56">
        <v>25.19</v>
      </c>
      <c r="M32" s="56">
        <v>77.650000000000006</v>
      </c>
      <c r="N32" s="56">
        <v>17.399999999999999</v>
      </c>
      <c r="O32" s="56">
        <v>0</v>
      </c>
      <c r="P32" s="56">
        <v>1.21</v>
      </c>
      <c r="Q32" s="56">
        <v>9.51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19.579999999999998</v>
      </c>
      <c r="D34" s="28">
        <f t="shared" si="0"/>
        <v>11.359999999999999</v>
      </c>
      <c r="E34" s="28">
        <f t="shared" si="0"/>
        <v>0.71999999999999997</v>
      </c>
      <c r="F34" s="28">
        <f t="shared" si="0"/>
        <v>3.27</v>
      </c>
      <c r="G34" s="28">
        <f t="shared" si="0"/>
        <v>42.140000000000001</v>
      </c>
      <c r="H34" s="28">
        <f t="shared" si="0"/>
        <v>15.869999999999999</v>
      </c>
      <c r="I34" s="28">
        <f t="shared" si="0"/>
        <v>8.2300000000000004</v>
      </c>
      <c r="J34" s="28">
        <f t="shared" si="0"/>
        <v>0.12</v>
      </c>
      <c r="K34" s="28">
        <f t="shared" si="0"/>
        <v>67.680000000000007</v>
      </c>
      <c r="L34" s="28">
        <f t="shared" si="0"/>
        <v>21.649999999999999</v>
      </c>
      <c r="M34" s="28">
        <f t="shared" si="0"/>
        <v>26.789999999999999</v>
      </c>
      <c r="N34" s="28">
        <f t="shared" si="0"/>
        <v>15.300000000000001</v>
      </c>
      <c r="O34" s="28">
        <f t="shared" si="0"/>
        <v>0</v>
      </c>
      <c r="P34" s="28">
        <f t="shared" si="0"/>
        <v>0.47999999999999998</v>
      </c>
      <c r="Q34" s="28">
        <f t="shared" si="0"/>
        <v>9.1400000000000006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37.689999999999998</v>
      </c>
      <c r="C35" s="29">
        <f t="shared" si="1"/>
        <v>36.009999999999998</v>
      </c>
      <c r="D35" s="29">
        <f t="shared" si="1"/>
        <v>45.359999999999999</v>
      </c>
      <c r="E35" s="29">
        <f t="shared" si="1"/>
        <v>2.4100000000000001</v>
      </c>
      <c r="F35" s="29">
        <f t="shared" si="1"/>
        <v>6.6299999999999999</v>
      </c>
      <c r="G35" s="29">
        <f t="shared" si="1"/>
        <v>114.34999999999999</v>
      </c>
      <c r="H35" s="29">
        <f t="shared" si="1"/>
        <v>88</v>
      </c>
      <c r="I35" s="29">
        <f t="shared" si="1"/>
        <v>11.960000000000001</v>
      </c>
      <c r="J35" s="29">
        <f t="shared" si="1"/>
        <v>1.49</v>
      </c>
      <c r="K35" s="29">
        <f t="shared" si="1"/>
        <v>359.82999999999998</v>
      </c>
      <c r="L35" s="29">
        <f t="shared" si="1"/>
        <v>39.439999999999998</v>
      </c>
      <c r="M35" s="29">
        <f t="shared" si="1"/>
        <v>97.909999999999997</v>
      </c>
      <c r="N35" s="29">
        <f t="shared" si="1"/>
        <v>931.5</v>
      </c>
      <c r="O35" s="29">
        <f t="shared" si="1"/>
        <v>0</v>
      </c>
      <c r="P35" s="29">
        <f t="shared" si="1"/>
        <v>1.3</v>
      </c>
      <c r="Q35" s="29">
        <f t="shared" si="1"/>
        <v>9.5099999999999998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17.785416666666674</v>
      </c>
      <c r="C36" s="28">
        <f t="shared" si="2"/>
        <v>26.956666666666663</v>
      </c>
      <c r="D36" s="28">
        <f t="shared" si="2"/>
        <v>27.868750000000006</v>
      </c>
      <c r="E36" s="28">
        <f t="shared" si="2"/>
        <v>1.6450000000000002</v>
      </c>
      <c r="F36" s="28">
        <f t="shared" si="2"/>
        <v>4.3449999999999998</v>
      </c>
      <c r="G36" s="28">
        <f t="shared" si="2"/>
        <v>64.914583333333312</v>
      </c>
      <c r="H36" s="28">
        <f t="shared" si="2"/>
        <v>25.419583333333335</v>
      </c>
      <c r="I36" s="28">
        <f t="shared" si="2"/>
        <v>10.002916666666668</v>
      </c>
      <c r="J36" s="28">
        <f t="shared" si="2"/>
        <v>0.54416666666666669</v>
      </c>
      <c r="K36" s="28">
        <f t="shared" si="2"/>
        <v>279.04958333333337</v>
      </c>
      <c r="L36" s="28">
        <f t="shared" si="2"/>
        <v>29.115833333333327</v>
      </c>
      <c r="M36" s="28">
        <f t="shared" si="2"/>
        <v>64.484166666666681</v>
      </c>
      <c r="N36" s="28">
        <f t="shared" si="2"/>
        <v>285.73333333333329</v>
      </c>
      <c r="O36" s="28">
        <f t="shared" si="2"/>
        <v>0</v>
      </c>
      <c r="P36" s="28">
        <f t="shared" si="2"/>
        <v>0.85249999999999992</v>
      </c>
      <c r="Q36" s="28">
        <f t="shared" si="2"/>
        <v>9.3137499999999989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13.541506556467061</v>
      </c>
      <c r="C37" s="28">
        <f t="shared" si="3" ref="C37:Q37">STDEV(C9:C32)</f>
        <v>4.6894568765584763</v>
      </c>
      <c r="D37" s="28">
        <f t="shared" si="3"/>
        <v>9.9932935392126403</v>
      </c>
      <c r="E37" s="28">
        <f t="shared" si="3"/>
        <v>0.52421369688324482</v>
      </c>
      <c r="F37" s="28">
        <f t="shared" si="3"/>
        <v>1.0842549034485298</v>
      </c>
      <c r="G37" s="28">
        <f t="shared" si="3"/>
        <v>19.872237566660694</v>
      </c>
      <c r="H37" s="28">
        <f t="shared" si="3"/>
        <v>13.95035965849803</v>
      </c>
      <c r="I37" s="28">
        <f t="shared" si="3"/>
        <v>1.215088041779423</v>
      </c>
      <c r="J37" s="28">
        <f t="shared" si="3"/>
        <v>0.40452781563594431</v>
      </c>
      <c r="K37" s="28">
        <f t="shared" si="3"/>
        <v>80.108963482581615</v>
      </c>
      <c r="L37" s="28">
        <f t="shared" si="3"/>
        <v>5.6086547380824818</v>
      </c>
      <c r="M37" s="28">
        <f t="shared" si="3"/>
        <v>25.383860486309104</v>
      </c>
      <c r="N37" s="28">
        <f t="shared" si="3"/>
        <v>361.71633813716835</v>
      </c>
      <c r="O37" s="28">
        <f t="shared" si="3"/>
        <v>0</v>
      </c>
      <c r="P37" s="28">
        <f t="shared" si="3"/>
        <v>0.25140042544324337</v>
      </c>
      <c r="Q37" s="28">
        <f t="shared" si="3"/>
        <v>0.1305111189666576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499068-0480-4e33-817e-e7bfa1895b86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446</v>
      </c>
      <c r="B9" s="56">
        <v>39.26</v>
      </c>
      <c r="C9" s="56">
        <v>28.78</v>
      </c>
      <c r="D9" s="56">
        <v>46.17</v>
      </c>
      <c r="E9" s="56">
        <v>1.70</v>
      </c>
      <c r="F9" s="56">
        <v>3.85</v>
      </c>
      <c r="G9" s="56">
        <v>107.33</v>
      </c>
      <c r="H9" s="56">
        <v>31.83</v>
      </c>
      <c r="I9" s="56">
        <v>9.32</v>
      </c>
      <c r="J9" s="56">
        <v>0.51</v>
      </c>
      <c r="K9" s="56">
        <v>351.91</v>
      </c>
      <c r="L9" s="56">
        <v>24.72</v>
      </c>
      <c r="M9" s="56">
        <v>76.91</v>
      </c>
      <c r="N9" s="56">
        <v>17.399999999999999</v>
      </c>
      <c r="O9" s="56">
        <v>0</v>
      </c>
      <c r="P9" s="56">
        <v>1.18</v>
      </c>
      <c r="Q9" s="56">
        <v>9.5500000000000007</v>
      </c>
      <c r="R9" s="43"/>
      <c r="S9" s="43"/>
      <c r="T9" s="43"/>
      <c r="U9" s="43"/>
    </row>
    <row r="10" spans="1:21" s="11" customFormat="1" ht="15">
      <c r="A10" s="55" t="s">
        <v>447</v>
      </c>
      <c r="B10" s="56">
        <v>38.22</v>
      </c>
      <c r="C10" s="56">
        <v>24.59</v>
      </c>
      <c r="D10" s="56">
        <v>43.42</v>
      </c>
      <c r="E10" s="56">
        <v>1.94</v>
      </c>
      <c r="F10" s="56">
        <v>3.56</v>
      </c>
      <c r="G10" s="56">
        <v>109.18</v>
      </c>
      <c r="H10" s="56">
        <v>28.47</v>
      </c>
      <c r="I10" s="56">
        <v>10.37</v>
      </c>
      <c r="J10" s="56">
        <v>0.20</v>
      </c>
      <c r="K10" s="56">
        <v>224.45</v>
      </c>
      <c r="L10" s="56">
        <v>24.22</v>
      </c>
      <c r="M10" s="56">
        <v>79.80</v>
      </c>
      <c r="N10" s="56">
        <v>17.600000000000001</v>
      </c>
      <c r="O10" s="56">
        <v>0</v>
      </c>
      <c r="P10" s="56">
        <v>1.1499999999999999</v>
      </c>
      <c r="Q10" s="56">
        <v>9.5399999999999991</v>
      </c>
      <c r="R10" s="43"/>
      <c r="S10" s="43"/>
      <c r="T10" s="43"/>
      <c r="U10" s="43"/>
    </row>
    <row r="11" spans="1:21" s="11" customFormat="1" ht="15">
      <c r="A11" s="55" t="s">
        <v>448</v>
      </c>
      <c r="B11" s="56">
        <v>35.57</v>
      </c>
      <c r="C11" s="56">
        <v>23.11</v>
      </c>
      <c r="D11" s="56">
        <v>40.520000000000003</v>
      </c>
      <c r="E11" s="56">
        <v>1.95</v>
      </c>
      <c r="F11" s="56">
        <v>3.60</v>
      </c>
      <c r="G11" s="56">
        <v>132.85</v>
      </c>
      <c r="H11" s="56">
        <v>62.07</v>
      </c>
      <c r="I11" s="56">
        <v>10.130000000000001</v>
      </c>
      <c r="J11" s="56">
        <v>0.22</v>
      </c>
      <c r="K11" s="56">
        <v>317.10000000000002</v>
      </c>
      <c r="L11" s="56">
        <v>23.65</v>
      </c>
      <c r="M11" s="56">
        <v>87.98</v>
      </c>
      <c r="N11" s="56">
        <v>17.20</v>
      </c>
      <c r="O11" s="56">
        <v>0</v>
      </c>
      <c r="P11" s="56">
        <v>1.1299999999999999</v>
      </c>
      <c r="Q11" s="56">
        <v>9.5</v>
      </c>
      <c r="R11" s="43"/>
      <c r="S11" s="43"/>
      <c r="T11" s="43"/>
      <c r="U11" s="43"/>
    </row>
    <row r="12" spans="1:21" s="11" customFormat="1" ht="15">
      <c r="A12" s="55" t="s">
        <v>449</v>
      </c>
      <c r="B12" s="56">
        <v>37.01</v>
      </c>
      <c r="C12" s="56">
        <v>23.91</v>
      </c>
      <c r="D12" s="56">
        <v>42.09</v>
      </c>
      <c r="E12" s="56">
        <v>2.08</v>
      </c>
      <c r="F12" s="56">
        <v>3.69</v>
      </c>
      <c r="G12" s="56">
        <v>123.19</v>
      </c>
      <c r="H12" s="56">
        <v>54.44</v>
      </c>
      <c r="I12" s="56">
        <v>9.82</v>
      </c>
      <c r="J12" s="56">
        <v>0.18</v>
      </c>
      <c r="K12" s="56">
        <v>259.33999999999997</v>
      </c>
      <c r="L12" s="56">
        <v>23.13</v>
      </c>
      <c r="M12" s="56">
        <v>91.09</v>
      </c>
      <c r="N12" s="56">
        <v>17.30</v>
      </c>
      <c r="O12" s="56">
        <v>0</v>
      </c>
      <c r="P12" s="56">
        <v>1.06</v>
      </c>
      <c r="Q12" s="56">
        <v>9.5299999999999994</v>
      </c>
      <c r="R12" s="43"/>
      <c r="S12" s="43"/>
      <c r="T12" s="43"/>
      <c r="U12" s="43"/>
    </row>
    <row r="13" spans="1:21" s="11" customFormat="1" ht="15">
      <c r="A13" s="55" t="s">
        <v>450</v>
      </c>
      <c r="B13" s="56">
        <v>41.14</v>
      </c>
      <c r="C13" s="56">
        <v>24.74</v>
      </c>
      <c r="D13" s="56">
        <v>45.38</v>
      </c>
      <c r="E13" s="56">
        <v>3.5</v>
      </c>
      <c r="F13" s="56">
        <v>3.58</v>
      </c>
      <c r="G13" s="56">
        <v>113.89</v>
      </c>
      <c r="H13" s="56">
        <v>38.770000000000003</v>
      </c>
      <c r="I13" s="56">
        <v>10</v>
      </c>
      <c r="J13" s="56">
        <v>0.23</v>
      </c>
      <c r="K13" s="56">
        <v>344.56</v>
      </c>
      <c r="L13" s="56">
        <v>22.92</v>
      </c>
      <c r="M13" s="56">
        <v>92.41</v>
      </c>
      <c r="N13" s="56">
        <v>17.30</v>
      </c>
      <c r="O13" s="56">
        <v>0</v>
      </c>
      <c r="P13" s="56">
        <v>0.99</v>
      </c>
      <c r="Q13" s="56">
        <v>9.5399999999999991</v>
      </c>
      <c r="R13" s="43"/>
      <c r="S13" s="43"/>
      <c r="T13" s="43"/>
      <c r="U13" s="43"/>
    </row>
    <row r="14" spans="1:21" s="11" customFormat="1" ht="15">
      <c r="A14" s="55" t="s">
        <v>451</v>
      </c>
      <c r="B14" s="56">
        <v>42.24</v>
      </c>
      <c r="C14" s="56">
        <v>24.39</v>
      </c>
      <c r="D14" s="56">
        <v>46.49</v>
      </c>
      <c r="E14" s="56">
        <v>3.46</v>
      </c>
      <c r="F14" s="56">
        <v>3.36</v>
      </c>
      <c r="G14" s="56">
        <v>116.94</v>
      </c>
      <c r="H14" s="56">
        <v>19.190000000000001</v>
      </c>
      <c r="I14" s="56">
        <v>11.15</v>
      </c>
      <c r="J14" s="56">
        <v>0.19</v>
      </c>
      <c r="K14" s="56">
        <v>248.64</v>
      </c>
      <c r="L14" s="56">
        <v>22.93</v>
      </c>
      <c r="M14" s="56">
        <v>87.85</v>
      </c>
      <c r="N14" s="56">
        <v>37.5</v>
      </c>
      <c r="O14" s="56">
        <v>0</v>
      </c>
      <c r="P14" s="56">
        <v>0.97</v>
      </c>
      <c r="Q14" s="56">
        <v>9.66</v>
      </c>
      <c r="R14" s="43"/>
      <c r="S14" s="43"/>
      <c r="T14" s="43"/>
      <c r="U14" s="43"/>
    </row>
    <row r="15" spans="1:21" s="11" customFormat="1" ht="15">
      <c r="A15" s="55" t="s">
        <v>452</v>
      </c>
      <c r="B15" s="56">
        <v>39.369999999999997</v>
      </c>
      <c r="C15" s="56">
        <v>20.73</v>
      </c>
      <c r="D15" s="56">
        <v>42.19</v>
      </c>
      <c r="E15" s="56">
        <v>3.41</v>
      </c>
      <c r="F15" s="56">
        <v>3.43</v>
      </c>
      <c r="G15" s="56">
        <v>99.55</v>
      </c>
      <c r="H15" s="56">
        <v>24.88</v>
      </c>
      <c r="I15" s="56">
        <v>11.11</v>
      </c>
      <c r="J15" s="56">
        <v>0.28999999999999998</v>
      </c>
      <c r="K15" s="56">
        <v>238.81</v>
      </c>
      <c r="L15" s="56">
        <v>27.23</v>
      </c>
      <c r="M15" s="56">
        <v>82.27</v>
      </c>
      <c r="N15" s="56">
        <v>148.69999999999999</v>
      </c>
      <c r="O15" s="56">
        <v>0</v>
      </c>
      <c r="P15" s="56">
        <v>0.90</v>
      </c>
      <c r="Q15" s="56">
        <v>9.51</v>
      </c>
      <c r="R15" s="43"/>
      <c r="S15" s="43"/>
      <c r="T15" s="43"/>
      <c r="U15" s="43"/>
    </row>
    <row r="16" spans="1:21" s="11" customFormat="1" ht="15">
      <c r="A16" s="55" t="s">
        <v>453</v>
      </c>
      <c r="B16" s="56">
        <v>38.130000000000003</v>
      </c>
      <c r="C16" s="56">
        <v>22.88</v>
      </c>
      <c r="D16" s="56">
        <v>41.62</v>
      </c>
      <c r="E16" s="56">
        <v>3.12</v>
      </c>
      <c r="F16" s="56">
        <v>3.59</v>
      </c>
      <c r="G16" s="56">
        <v>99.03</v>
      </c>
      <c r="H16" s="56">
        <v>24.97</v>
      </c>
      <c r="I16" s="56">
        <v>10.28</v>
      </c>
      <c r="J16" s="56">
        <v>1.18</v>
      </c>
      <c r="K16" s="56">
        <v>170.33</v>
      </c>
      <c r="L16" s="56">
        <v>28.22</v>
      </c>
      <c r="M16" s="56">
        <v>69.08</v>
      </c>
      <c r="N16" s="56">
        <v>439.30</v>
      </c>
      <c r="O16" s="56">
        <v>0</v>
      </c>
      <c r="P16" s="56">
        <v>0.86</v>
      </c>
      <c r="Q16" s="56">
        <v>9.58</v>
      </c>
      <c r="R16" s="43"/>
      <c r="S16" s="43"/>
      <c r="T16" s="43"/>
      <c r="U16" s="43"/>
    </row>
    <row r="17" spans="1:21" s="11" customFormat="1" ht="15">
      <c r="A17" s="55" t="s">
        <v>454</v>
      </c>
      <c r="B17" s="56">
        <v>31.02</v>
      </c>
      <c r="C17" s="56">
        <v>26.61</v>
      </c>
      <c r="D17" s="56">
        <v>37.68</v>
      </c>
      <c r="E17" s="56">
        <v>1.24</v>
      </c>
      <c r="F17" s="56">
        <v>3.75</v>
      </c>
      <c r="G17" s="56">
        <v>89.43</v>
      </c>
      <c r="H17" s="56">
        <v>31.25</v>
      </c>
      <c r="I17" s="56">
        <v>10.30</v>
      </c>
      <c r="J17" s="56">
        <v>0.51</v>
      </c>
      <c r="K17" s="56">
        <v>206.51</v>
      </c>
      <c r="L17" s="56">
        <v>31.75</v>
      </c>
      <c r="M17" s="56">
        <v>61.23</v>
      </c>
      <c r="N17" s="56">
        <v>646.60</v>
      </c>
      <c r="O17" s="56">
        <v>0</v>
      </c>
      <c r="P17" s="56">
        <v>0.81</v>
      </c>
      <c r="Q17" s="56">
        <v>9.3800000000000008</v>
      </c>
      <c r="R17" s="43"/>
      <c r="S17" s="43"/>
      <c r="T17" s="43"/>
      <c r="U17" s="43"/>
    </row>
    <row r="18" spans="1:21" s="11" customFormat="1" ht="15">
      <c r="A18" s="55" t="s">
        <v>455</v>
      </c>
      <c r="B18" s="56">
        <v>21.30</v>
      </c>
      <c r="C18" s="56">
        <v>30.10</v>
      </c>
      <c r="D18" s="56">
        <v>31.22</v>
      </c>
      <c r="E18" s="56">
        <v>1.1299999999999999</v>
      </c>
      <c r="F18" s="56">
        <v>3.86</v>
      </c>
      <c r="G18" s="56">
        <v>71.319999999999993</v>
      </c>
      <c r="H18" s="56">
        <v>8.76</v>
      </c>
      <c r="I18" s="56">
        <v>10.63</v>
      </c>
      <c r="J18" s="56">
        <v>0.18</v>
      </c>
      <c r="K18" s="56">
        <v>346.64</v>
      </c>
      <c r="L18" s="56">
        <v>36.020000000000003</v>
      </c>
      <c r="M18" s="56">
        <v>42.54</v>
      </c>
      <c r="N18" s="56">
        <v>799.30</v>
      </c>
      <c r="O18" s="56">
        <v>0</v>
      </c>
      <c r="P18" s="56">
        <v>0.74</v>
      </c>
      <c r="Q18" s="56">
        <v>9.36</v>
      </c>
      <c r="R18" s="43"/>
      <c r="S18" s="43"/>
      <c r="T18" s="43"/>
      <c r="U18" s="43"/>
    </row>
    <row r="19" spans="1:21" s="11" customFormat="1" ht="15">
      <c r="A19" s="55" t="s">
        <v>456</v>
      </c>
      <c r="B19" s="56">
        <v>11.40</v>
      </c>
      <c r="C19" s="56">
        <v>41.18</v>
      </c>
      <c r="D19" s="56">
        <v>25.55</v>
      </c>
      <c r="E19" s="56">
        <v>1.17</v>
      </c>
      <c r="F19" s="56">
        <v>5.31</v>
      </c>
      <c r="G19" s="56">
        <v>64.819999999999993</v>
      </c>
      <c r="H19" s="56">
        <v>16.850000000000001</v>
      </c>
      <c r="I19" s="56">
        <v>10.72</v>
      </c>
      <c r="J19" s="56">
        <v>0.72</v>
      </c>
      <c r="K19" s="56">
        <v>356.01</v>
      </c>
      <c r="L19" s="56">
        <v>39.35</v>
      </c>
      <c r="M19" s="56">
        <v>34.56</v>
      </c>
      <c r="N19" s="56">
        <v>904</v>
      </c>
      <c r="O19" s="56">
        <v>0</v>
      </c>
      <c r="P19" s="56">
        <v>0.74</v>
      </c>
      <c r="Q19" s="56">
        <v>9.24</v>
      </c>
      <c r="R19" s="43"/>
      <c r="S19" s="43"/>
      <c r="T19" s="43"/>
      <c r="U19" s="43"/>
    </row>
    <row r="20" spans="1:21" s="11" customFormat="1" ht="15">
      <c r="A20" s="55" t="s">
        <v>457</v>
      </c>
      <c r="B20" s="56">
        <v>1.60</v>
      </c>
      <c r="C20" s="56">
        <v>44.62</v>
      </c>
      <c r="D20" s="56">
        <v>24.52</v>
      </c>
      <c r="E20" s="56">
        <v>1.59</v>
      </c>
      <c r="F20" s="56">
        <v>7.85</v>
      </c>
      <c r="G20" s="56">
        <v>59.71</v>
      </c>
      <c r="H20" s="56">
        <v>44.66</v>
      </c>
      <c r="I20" s="56">
        <v>10.210000000000001</v>
      </c>
      <c r="J20" s="56">
        <v>1.1599999999999999</v>
      </c>
      <c r="K20" s="56">
        <v>108.87</v>
      </c>
      <c r="L20" s="56">
        <v>36.93</v>
      </c>
      <c r="M20" s="56">
        <v>30.42</v>
      </c>
      <c r="N20" s="56">
        <v>955.30</v>
      </c>
      <c r="O20" s="56">
        <v>0</v>
      </c>
      <c r="P20" s="56">
        <v>0.75</v>
      </c>
      <c r="Q20" s="56">
        <v>9.16</v>
      </c>
      <c r="R20" s="43"/>
      <c r="S20" s="43"/>
      <c r="T20" s="43"/>
      <c r="U20" s="43"/>
    </row>
    <row r="21" spans="1:21" s="11" customFormat="1" ht="15">
      <c r="A21" s="55" t="s">
        <v>458</v>
      </c>
      <c r="B21" s="56">
        <v>0.10</v>
      </c>
      <c r="C21" s="56">
        <v>28.69</v>
      </c>
      <c r="D21" s="56">
        <v>14.99</v>
      </c>
      <c r="E21" s="56">
        <v>1.45</v>
      </c>
      <c r="F21" s="56">
        <v>8.60</v>
      </c>
      <c r="G21" s="56">
        <v>67.819999999999993</v>
      </c>
      <c r="H21" s="56">
        <v>13.90</v>
      </c>
      <c r="I21" s="56">
        <v>9.68</v>
      </c>
      <c r="J21" s="56">
        <v>0.92</v>
      </c>
      <c r="K21" s="56">
        <v>140.5</v>
      </c>
      <c r="L21" s="56">
        <v>35.96</v>
      </c>
      <c r="M21" s="56">
        <v>29.49</v>
      </c>
      <c r="N21" s="56">
        <v>934.80</v>
      </c>
      <c r="O21" s="56">
        <v>0</v>
      </c>
      <c r="P21" s="56">
        <v>0.63</v>
      </c>
      <c r="Q21" s="56">
        <v>9.1300000000000008</v>
      </c>
      <c r="R21" s="43"/>
      <c r="S21" s="43"/>
      <c r="T21" s="43"/>
      <c r="U21" s="43"/>
    </row>
    <row r="22" spans="1:21" s="11" customFormat="1" ht="15">
      <c r="A22" s="55" t="s">
        <v>459</v>
      </c>
      <c r="B22" s="56">
        <v>0.10</v>
      </c>
      <c r="C22" s="56">
        <v>28.19</v>
      </c>
      <c r="D22" s="56">
        <v>14.73</v>
      </c>
      <c r="E22" s="56">
        <v>1.5</v>
      </c>
      <c r="F22" s="56">
        <v>10.29</v>
      </c>
      <c r="G22" s="56">
        <v>64.63</v>
      </c>
      <c r="H22" s="56">
        <v>52.77</v>
      </c>
      <c r="I22" s="56">
        <v>9.56</v>
      </c>
      <c r="J22" s="56">
        <v>1.34</v>
      </c>
      <c r="K22" s="56">
        <v>358.32</v>
      </c>
      <c r="L22" s="56">
        <v>40.340000000000003</v>
      </c>
      <c r="M22" s="56">
        <v>26.25</v>
      </c>
      <c r="N22" s="56">
        <v>888.80</v>
      </c>
      <c r="O22" s="56">
        <v>0</v>
      </c>
      <c r="P22" s="56">
        <v>0.55000000000000004</v>
      </c>
      <c r="Q22" s="56">
        <v>9.16</v>
      </c>
      <c r="R22" s="43"/>
      <c r="S22" s="43"/>
      <c r="T22" s="43"/>
      <c r="U22" s="43"/>
    </row>
    <row r="23" spans="1:21" s="11" customFormat="1" ht="15">
      <c r="A23" s="55" t="s">
        <v>460</v>
      </c>
      <c r="B23" s="56">
        <v>0.10</v>
      </c>
      <c r="C23" s="56">
        <v>25.86</v>
      </c>
      <c r="D23" s="56">
        <v>13.51</v>
      </c>
      <c r="E23" s="56">
        <v>1.36</v>
      </c>
      <c r="F23" s="56">
        <v>8.82</v>
      </c>
      <c r="G23" s="56">
        <v>53.19</v>
      </c>
      <c r="H23" s="56">
        <v>25.28</v>
      </c>
      <c r="I23" s="56">
        <v>7.52</v>
      </c>
      <c r="J23" s="56">
        <v>0.37</v>
      </c>
      <c r="K23" s="56">
        <v>341.20</v>
      </c>
      <c r="L23" s="56">
        <v>38.369999999999997</v>
      </c>
      <c r="M23" s="56">
        <v>25.47</v>
      </c>
      <c r="N23" s="56">
        <v>615.40</v>
      </c>
      <c r="O23" s="56">
        <v>0</v>
      </c>
      <c r="P23" s="56">
        <v>0.47</v>
      </c>
      <c r="Q23" s="56">
        <v>9.14</v>
      </c>
      <c r="R23" s="43"/>
      <c r="S23" s="43"/>
      <c r="T23" s="43"/>
      <c r="U23" s="43"/>
    </row>
    <row r="24" spans="1:21" s="11" customFormat="1" ht="15">
      <c r="A24" s="55" t="s">
        <v>461</v>
      </c>
      <c r="B24" s="56">
        <v>0.10</v>
      </c>
      <c r="C24" s="56">
        <v>23.25</v>
      </c>
      <c r="D24" s="56">
        <v>12.15</v>
      </c>
      <c r="E24" s="56">
        <v>1.38</v>
      </c>
      <c r="F24" s="56">
        <v>11.04</v>
      </c>
      <c r="G24" s="56">
        <v>43.64</v>
      </c>
      <c r="H24" s="56">
        <v>24.41</v>
      </c>
      <c r="I24" s="56">
        <v>6.62</v>
      </c>
      <c r="J24" s="56">
        <v>1</v>
      </c>
      <c r="K24" s="56">
        <v>322.86</v>
      </c>
      <c r="L24" s="56">
        <v>37.270000000000003</v>
      </c>
      <c r="M24" s="56">
        <v>23.02</v>
      </c>
      <c r="N24" s="56">
        <v>389.60</v>
      </c>
      <c r="O24" s="56">
        <v>0</v>
      </c>
      <c r="P24" s="56">
        <v>0.38</v>
      </c>
      <c r="Q24" s="56">
        <v>9.1300000000000008</v>
      </c>
      <c r="R24" s="43"/>
      <c r="S24" s="43"/>
      <c r="T24" s="43"/>
      <c r="U24" s="43"/>
    </row>
    <row r="25" spans="1:21" s="11" customFormat="1" ht="15">
      <c r="A25" s="55" t="s">
        <v>462</v>
      </c>
      <c r="B25" s="56">
        <v>0.10</v>
      </c>
      <c r="C25" s="56">
        <v>32.159999999999997</v>
      </c>
      <c r="D25" s="56">
        <v>16.80</v>
      </c>
      <c r="E25" s="56">
        <v>1.91</v>
      </c>
      <c r="F25" s="56">
        <v>12.60</v>
      </c>
      <c r="G25" s="56">
        <v>41.89</v>
      </c>
      <c r="H25" s="56">
        <v>22.42</v>
      </c>
      <c r="I25" s="56">
        <v>4.57</v>
      </c>
      <c r="J25" s="56">
        <v>0.46</v>
      </c>
      <c r="K25" s="56">
        <v>340.65</v>
      </c>
      <c r="L25" s="56">
        <v>36.35</v>
      </c>
      <c r="M25" s="56">
        <v>25.72</v>
      </c>
      <c r="N25" s="56">
        <v>153.40</v>
      </c>
      <c r="O25" s="56">
        <v>0</v>
      </c>
      <c r="P25" s="56">
        <v>0.39</v>
      </c>
      <c r="Q25" s="56">
        <v>9.1300000000000008</v>
      </c>
      <c r="R25" s="43"/>
      <c r="S25" s="43"/>
      <c r="T25" s="43"/>
      <c r="U25" s="43"/>
    </row>
    <row r="26" spans="1:21" s="11" customFormat="1" ht="15">
      <c r="A26" s="55" t="s">
        <v>463</v>
      </c>
      <c r="B26" s="56">
        <v>0.10</v>
      </c>
      <c r="C26" s="56">
        <v>32.54</v>
      </c>
      <c r="D26" s="56">
        <v>17</v>
      </c>
      <c r="E26" s="56">
        <v>2.2599999999999998</v>
      </c>
      <c r="F26" s="56">
        <v>9.68</v>
      </c>
      <c r="G26" s="56">
        <v>38.33</v>
      </c>
      <c r="H26" s="56">
        <v>11.48</v>
      </c>
      <c r="I26" s="56">
        <v>3.96</v>
      </c>
      <c r="J26" s="56">
        <v>0.38</v>
      </c>
      <c r="K26" s="56">
        <v>335.53</v>
      </c>
      <c r="L26" s="56">
        <v>35.32</v>
      </c>
      <c r="M26" s="56">
        <v>31.97</v>
      </c>
      <c r="N26" s="56">
        <v>74.400000000000006</v>
      </c>
      <c r="O26" s="56">
        <v>0</v>
      </c>
      <c r="P26" s="56">
        <v>0.46</v>
      </c>
      <c r="Q26" s="56">
        <v>9.1300000000000008</v>
      </c>
      <c r="R26" s="43"/>
      <c r="S26" s="43"/>
      <c r="T26" s="43"/>
      <c r="U26" s="43"/>
    </row>
    <row r="27" spans="1:21" s="11" customFormat="1" ht="15">
      <c r="A27" s="55" t="s">
        <v>464</v>
      </c>
      <c r="B27" s="56">
        <v>1.36</v>
      </c>
      <c r="C27" s="56">
        <v>32.04</v>
      </c>
      <c r="D27" s="56">
        <v>17.75</v>
      </c>
      <c r="E27" s="56">
        <v>2.0699999999999998</v>
      </c>
      <c r="F27" s="56">
        <v>6.41</v>
      </c>
      <c r="G27" s="56">
        <v>37.68</v>
      </c>
      <c r="H27" s="56">
        <v>17.47</v>
      </c>
      <c r="I27" s="56">
        <v>5.66</v>
      </c>
      <c r="J27" s="56">
        <v>0.38</v>
      </c>
      <c r="K27" s="56">
        <v>331.37</v>
      </c>
      <c r="L27" s="56">
        <v>33.51</v>
      </c>
      <c r="M27" s="56">
        <v>50.81</v>
      </c>
      <c r="N27" s="56">
        <v>22.40</v>
      </c>
      <c r="O27" s="56">
        <v>0</v>
      </c>
      <c r="P27" s="56">
        <v>0.69</v>
      </c>
      <c r="Q27" s="56">
        <v>9.1999999999999993</v>
      </c>
      <c r="R27" s="43"/>
      <c r="S27" s="43"/>
      <c r="T27" s="43"/>
      <c r="U27" s="43"/>
    </row>
    <row r="28" spans="1:21" s="11" customFormat="1" ht="15">
      <c r="A28" s="55" t="s">
        <v>465</v>
      </c>
      <c r="B28" s="56">
        <v>6.53</v>
      </c>
      <c r="C28" s="56">
        <v>34.81</v>
      </c>
      <c r="D28" s="56">
        <v>23.34</v>
      </c>
      <c r="E28" s="56">
        <v>1.98</v>
      </c>
      <c r="F28" s="56">
        <v>3.78</v>
      </c>
      <c r="G28" s="56">
        <v>115.68</v>
      </c>
      <c r="H28" s="56">
        <v>26.93</v>
      </c>
      <c r="I28" s="56">
        <v>7.67</v>
      </c>
      <c r="J28" s="56">
        <v>0.21</v>
      </c>
      <c r="K28" s="56">
        <v>326.43</v>
      </c>
      <c r="L28" s="56">
        <v>31.70</v>
      </c>
      <c r="M28" s="56">
        <v>34.33</v>
      </c>
      <c r="N28" s="56">
        <v>17.20</v>
      </c>
      <c r="O28" s="56">
        <v>0</v>
      </c>
      <c r="P28" s="56">
        <v>0.87</v>
      </c>
      <c r="Q28" s="56">
        <v>9.18</v>
      </c>
      <c r="R28" s="43"/>
      <c r="S28" s="43"/>
      <c r="T28" s="43"/>
      <c r="U28" s="43"/>
    </row>
    <row r="29" spans="1:21" s="11" customFormat="1" ht="15">
      <c r="A29" s="55" t="s">
        <v>466</v>
      </c>
      <c r="B29" s="56">
        <v>19.010000000000002</v>
      </c>
      <c r="C29" s="56">
        <v>35.020000000000003</v>
      </c>
      <c r="D29" s="56">
        <v>33.46</v>
      </c>
      <c r="E29" s="56">
        <v>2.04</v>
      </c>
      <c r="F29" s="56">
        <v>3.63</v>
      </c>
      <c r="G29" s="56">
        <v>50.11</v>
      </c>
      <c r="H29" s="56">
        <v>22.08</v>
      </c>
      <c r="I29" s="56">
        <v>7.59</v>
      </c>
      <c r="J29" s="56">
        <v>0.37</v>
      </c>
      <c r="K29" s="56">
        <v>347.89</v>
      </c>
      <c r="L29" s="56">
        <v>30.14</v>
      </c>
      <c r="M29" s="56">
        <v>40.72</v>
      </c>
      <c r="N29" s="56">
        <v>17.100000000000001</v>
      </c>
      <c r="O29" s="56">
        <v>0</v>
      </c>
      <c r="P29" s="56">
        <v>1.1599999999999999</v>
      </c>
      <c r="Q29" s="56">
        <v>9.2899999999999991</v>
      </c>
      <c r="R29" s="43"/>
      <c r="S29" s="43"/>
      <c r="T29" s="43"/>
      <c r="U29" s="43"/>
    </row>
    <row r="30" spans="1:21" s="11" customFormat="1" ht="15">
      <c r="A30" s="55" t="s">
        <v>467</v>
      </c>
      <c r="B30" s="56">
        <v>25.79</v>
      </c>
      <c r="C30" s="56">
        <v>35.03</v>
      </c>
      <c r="D30" s="56">
        <v>38.81</v>
      </c>
      <c r="E30" s="56">
        <v>2.25</v>
      </c>
      <c r="F30" s="56">
        <v>3.77</v>
      </c>
      <c r="G30" s="56">
        <v>78.92</v>
      </c>
      <c r="H30" s="56">
        <v>21.74</v>
      </c>
      <c r="I30" s="56">
        <v>8.27</v>
      </c>
      <c r="J30" s="56">
        <v>0.48</v>
      </c>
      <c r="K30" s="56">
        <v>346.74</v>
      </c>
      <c r="L30" s="56">
        <v>28.91</v>
      </c>
      <c r="M30" s="56">
        <v>40.93</v>
      </c>
      <c r="N30" s="56">
        <v>17.100000000000001</v>
      </c>
      <c r="O30" s="56">
        <v>0</v>
      </c>
      <c r="P30" s="56">
        <v>1.32</v>
      </c>
      <c r="Q30" s="56">
        <v>9.40</v>
      </c>
      <c r="R30" s="43"/>
      <c r="S30" s="43"/>
      <c r="T30" s="43"/>
      <c r="U30" s="43"/>
    </row>
    <row r="31" spans="1:21" s="11" customFormat="1" ht="15">
      <c r="A31" s="55" t="s">
        <v>468</v>
      </c>
      <c r="B31" s="56">
        <v>29.77</v>
      </c>
      <c r="C31" s="56">
        <v>34.020000000000003</v>
      </c>
      <c r="D31" s="56">
        <v>40.76</v>
      </c>
      <c r="E31" s="56">
        <v>2.3199999999999998</v>
      </c>
      <c r="F31" s="56">
        <v>4.1100000000000003</v>
      </c>
      <c r="G31" s="56">
        <v>82.42</v>
      </c>
      <c r="H31" s="56">
        <v>21.41</v>
      </c>
      <c r="I31" s="56">
        <v>8.16</v>
      </c>
      <c r="J31" s="56">
        <v>0.62</v>
      </c>
      <c r="K31" s="56">
        <v>343.52</v>
      </c>
      <c r="L31" s="56">
        <v>28.16</v>
      </c>
      <c r="M31" s="56">
        <v>44.41</v>
      </c>
      <c r="N31" s="56">
        <v>17.100000000000001</v>
      </c>
      <c r="O31" s="56">
        <v>0</v>
      </c>
      <c r="P31" s="56">
        <v>1.37</v>
      </c>
      <c r="Q31" s="56">
        <v>9.40</v>
      </c>
      <c r="R31" s="43"/>
      <c r="S31" s="43"/>
      <c r="T31" s="43"/>
      <c r="U31" s="43"/>
    </row>
    <row r="32" spans="1:21" s="11" customFormat="1" ht="15">
      <c r="A32" s="55" t="s">
        <v>469</v>
      </c>
      <c r="B32" s="56">
        <v>29.30</v>
      </c>
      <c r="C32" s="56">
        <v>31.79</v>
      </c>
      <c r="D32" s="56">
        <v>40.03</v>
      </c>
      <c r="E32" s="56">
        <v>2.15</v>
      </c>
      <c r="F32" s="56">
        <v>3.81</v>
      </c>
      <c r="G32" s="56">
        <v>54.97</v>
      </c>
      <c r="H32" s="56">
        <v>19.260000000000002</v>
      </c>
      <c r="I32" s="56">
        <v>8.41</v>
      </c>
      <c r="J32" s="56">
        <v>0.53</v>
      </c>
      <c r="K32" s="56">
        <v>359.42</v>
      </c>
      <c r="L32" s="56">
        <v>27.46</v>
      </c>
      <c r="M32" s="56">
        <v>42.64</v>
      </c>
      <c r="N32" s="56">
        <v>17.20</v>
      </c>
      <c r="O32" s="56">
        <v>0</v>
      </c>
      <c r="P32" s="56">
        <v>1.29</v>
      </c>
      <c r="Q32" s="56">
        <v>9.48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20.73</v>
      </c>
      <c r="D34" s="28">
        <f t="shared" si="0"/>
        <v>12.15</v>
      </c>
      <c r="E34" s="28">
        <f t="shared" si="0"/>
        <v>1.1299999999999999</v>
      </c>
      <c r="F34" s="28">
        <f t="shared" si="0"/>
        <v>3.3599999999999999</v>
      </c>
      <c r="G34" s="28">
        <f t="shared" si="0"/>
        <v>37.68</v>
      </c>
      <c r="H34" s="28">
        <f t="shared" si="0"/>
        <v>8.7599999999999998</v>
      </c>
      <c r="I34" s="28">
        <f t="shared" si="0"/>
        <v>3.96</v>
      </c>
      <c r="J34" s="28">
        <f t="shared" si="0"/>
        <v>0.17999999999999999</v>
      </c>
      <c r="K34" s="28">
        <f t="shared" si="0"/>
        <v>108.87</v>
      </c>
      <c r="L34" s="28">
        <f t="shared" si="0"/>
        <v>22.920000000000002</v>
      </c>
      <c r="M34" s="28">
        <f t="shared" si="0"/>
        <v>23.02</v>
      </c>
      <c r="N34" s="28">
        <f t="shared" si="0"/>
        <v>17.100000000000001</v>
      </c>
      <c r="O34" s="28">
        <f t="shared" si="0"/>
        <v>0</v>
      </c>
      <c r="P34" s="28">
        <f t="shared" si="0"/>
        <v>0.38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42.240000000000002</v>
      </c>
      <c r="C35" s="29">
        <f t="shared" si="1"/>
        <v>44.619999999999997</v>
      </c>
      <c r="D35" s="29">
        <f t="shared" si="1"/>
        <v>46.490000000000002</v>
      </c>
      <c r="E35" s="29">
        <f t="shared" si="1"/>
        <v>3.5</v>
      </c>
      <c r="F35" s="29">
        <f t="shared" si="1"/>
        <v>12.6</v>
      </c>
      <c r="G35" s="29">
        <f t="shared" si="1"/>
        <v>132.84999999999999</v>
      </c>
      <c r="H35" s="29">
        <f t="shared" si="1"/>
        <v>62.07</v>
      </c>
      <c r="I35" s="29">
        <f t="shared" si="1"/>
        <v>11.15</v>
      </c>
      <c r="J35" s="29">
        <f t="shared" si="1"/>
        <v>1.3400000000000001</v>
      </c>
      <c r="K35" s="29">
        <f t="shared" si="1"/>
        <v>359.42000000000002</v>
      </c>
      <c r="L35" s="29">
        <f t="shared" si="1"/>
        <v>40.340000000000003</v>
      </c>
      <c r="M35" s="29">
        <f t="shared" si="1"/>
        <v>92.409999999999997</v>
      </c>
      <c r="N35" s="29">
        <f t="shared" si="1"/>
        <v>955.29999999999995</v>
      </c>
      <c r="O35" s="29">
        <f t="shared" si="1"/>
        <v>0</v>
      </c>
      <c r="P35" s="29">
        <f t="shared" si="1"/>
        <v>1.3700000000000001</v>
      </c>
      <c r="Q35" s="29">
        <f t="shared" si="1"/>
        <v>9.6600000000000001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20.35916666666667</v>
      </c>
      <c r="C36" s="28">
        <f t="shared" si="2"/>
        <v>29.543333333333333</v>
      </c>
      <c r="D36" s="28">
        <f t="shared" si="2"/>
        <v>31.257500000000004</v>
      </c>
      <c r="E36" s="28">
        <f t="shared" si="2"/>
        <v>2.0399999999999996</v>
      </c>
      <c r="F36" s="28">
        <f t="shared" si="2"/>
        <v>5.6654166666666663</v>
      </c>
      <c r="G36" s="28">
        <f t="shared" si="2"/>
        <v>79.855000000000018</v>
      </c>
      <c r="H36" s="28">
        <f t="shared" si="2"/>
        <v>27.720416666666665</v>
      </c>
      <c r="I36" s="28">
        <f t="shared" si="2"/>
        <v>8.8212500000000009</v>
      </c>
      <c r="J36" s="28">
        <f t="shared" si="2"/>
        <v>0.52625</v>
      </c>
      <c r="K36" s="28">
        <f t="shared" si="2"/>
        <v>294.48333333333329</v>
      </c>
      <c r="L36" s="28">
        <f t="shared" si="2"/>
        <v>31.023333333333337</v>
      </c>
      <c r="M36" s="28">
        <f t="shared" si="2"/>
        <v>52.162500000000016</v>
      </c>
      <c r="N36" s="28">
        <f t="shared" si="2"/>
        <v>299.25</v>
      </c>
      <c r="O36" s="28">
        <f t="shared" si="2"/>
        <v>0</v>
      </c>
      <c r="P36" s="28">
        <f t="shared" si="2"/>
        <v>0.86916666666666675</v>
      </c>
      <c r="Q36" s="28">
        <f t="shared" si="2"/>
        <v>9.346666666666664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16.854936037866761</v>
      </c>
      <c r="C37" s="28">
        <f t="shared" si="3" ref="C37:Q37">STDEV(C9:C32)</f>
        <v>6.0155325519905789</v>
      </c>
      <c r="D37" s="28">
        <f t="shared" si="3"/>
        <v>12.257173675922985</v>
      </c>
      <c r="E37" s="28">
        <f t="shared" si="3"/>
        <v>0.70698994519632186</v>
      </c>
      <c r="F37" s="28">
        <f t="shared" si="3"/>
        <v>2.9299072238860591</v>
      </c>
      <c r="G37" s="28">
        <f t="shared" si="3"/>
        <v>29.873191995499884</v>
      </c>
      <c r="H37" s="28">
        <f t="shared" si="3"/>
        <v>13.690311546989109</v>
      </c>
      <c r="I37" s="28">
        <f t="shared" si="3"/>
        <v>2.0194775745011495</v>
      </c>
      <c r="J37" s="28">
        <f t="shared" si="3"/>
        <v>0.34968075502489776</v>
      </c>
      <c r="K37" s="28">
        <f t="shared" si="3"/>
        <v>75.453656416814454</v>
      </c>
      <c r="L37" s="28">
        <f t="shared" si="3"/>
        <v>5.7845481328664912</v>
      </c>
      <c r="M37" s="28">
        <f t="shared" si="3"/>
        <v>24.494858777338102</v>
      </c>
      <c r="N37" s="28">
        <f t="shared" si="3"/>
        <v>365.99723211117799</v>
      </c>
      <c r="O37" s="28">
        <f t="shared" si="3"/>
        <v>0</v>
      </c>
      <c r="P37" s="28">
        <f t="shared" si="3"/>
        <v>0.29922968735922789</v>
      </c>
      <c r="Q37" s="28">
        <f t="shared" si="3"/>
        <v>0.17953240392205708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e37248-27bb-46c5-bcd0-fda23bb9805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470</v>
      </c>
      <c r="B9" s="56">
        <v>25.43</v>
      </c>
      <c r="C9" s="56">
        <v>28.84</v>
      </c>
      <c r="D9" s="56">
        <v>35.380000000000003</v>
      </c>
      <c r="E9" s="56">
        <v>1.41</v>
      </c>
      <c r="F9" s="56">
        <v>3.59</v>
      </c>
      <c r="G9" s="56">
        <v>69.099999999999994</v>
      </c>
      <c r="H9" s="56">
        <v>9.85</v>
      </c>
      <c r="I9" s="56">
        <v>8.99</v>
      </c>
      <c r="J9" s="56">
        <v>0.62</v>
      </c>
      <c r="K9" s="56">
        <v>350.26</v>
      </c>
      <c r="L9" s="56">
        <v>26.61</v>
      </c>
      <c r="M9" s="56">
        <v>43.84</v>
      </c>
      <c r="N9" s="56">
        <v>17</v>
      </c>
      <c r="O9" s="56">
        <v>0</v>
      </c>
      <c r="P9" s="56">
        <v>1.17</v>
      </c>
      <c r="Q9" s="56">
        <v>9.40</v>
      </c>
      <c r="R9" s="43"/>
      <c r="S9" s="43"/>
      <c r="T9" s="43"/>
      <c r="U9" s="43"/>
    </row>
    <row r="10" spans="1:21" s="11" customFormat="1" ht="15">
      <c r="A10" s="55" t="s">
        <v>471</v>
      </c>
      <c r="B10" s="56">
        <v>19.39</v>
      </c>
      <c r="C10" s="56">
        <v>26.99</v>
      </c>
      <c r="D10" s="56">
        <v>29.57</v>
      </c>
      <c r="E10" s="56">
        <v>1.29</v>
      </c>
      <c r="F10" s="56">
        <v>3.42</v>
      </c>
      <c r="G10" s="56">
        <v>47.45</v>
      </c>
      <c r="H10" s="56">
        <v>5.69</v>
      </c>
      <c r="I10" s="56">
        <v>8.3699999999999992</v>
      </c>
      <c r="J10" s="56">
        <v>0.12</v>
      </c>
      <c r="K10" s="56">
        <v>336.79</v>
      </c>
      <c r="L10" s="56">
        <v>25.94</v>
      </c>
      <c r="M10" s="56">
        <v>47.26</v>
      </c>
      <c r="N10" s="56">
        <v>17.399999999999999</v>
      </c>
      <c r="O10" s="56">
        <v>0</v>
      </c>
      <c r="P10" s="56">
        <v>0.92</v>
      </c>
      <c r="Q10" s="56">
        <v>9.3000000000000007</v>
      </c>
      <c r="R10" s="43"/>
      <c r="S10" s="43"/>
      <c r="T10" s="43"/>
      <c r="U10" s="43"/>
    </row>
    <row r="11" spans="1:21" s="11" customFormat="1" ht="15">
      <c r="A11" s="55" t="s">
        <v>472</v>
      </c>
      <c r="B11" s="56">
        <v>15.12</v>
      </c>
      <c r="C11" s="56">
        <v>25.70</v>
      </c>
      <c r="D11" s="56">
        <v>25.19</v>
      </c>
      <c r="E11" s="56">
        <v>1.26</v>
      </c>
      <c r="F11" s="56">
        <v>3.74</v>
      </c>
      <c r="G11" s="56">
        <v>40.08</v>
      </c>
      <c r="H11" s="56">
        <v>19.190000000000001</v>
      </c>
      <c r="I11" s="56">
        <v>7.61</v>
      </c>
      <c r="J11" s="56">
        <v>0.16</v>
      </c>
      <c r="K11" s="56">
        <v>347.40</v>
      </c>
      <c r="L11" s="56">
        <v>24.94</v>
      </c>
      <c r="M11" s="56">
        <v>58.43</v>
      </c>
      <c r="N11" s="56">
        <v>17.30</v>
      </c>
      <c r="O11" s="56">
        <v>0</v>
      </c>
      <c r="P11" s="56">
        <v>0.82</v>
      </c>
      <c r="Q11" s="56">
        <v>9.3000000000000007</v>
      </c>
      <c r="R11" s="43"/>
      <c r="S11" s="43"/>
      <c r="T11" s="43"/>
      <c r="U11" s="43"/>
    </row>
    <row r="12" spans="1:21" s="11" customFormat="1" ht="15">
      <c r="A12" s="55" t="s">
        <v>473</v>
      </c>
      <c r="B12" s="56">
        <v>13.57</v>
      </c>
      <c r="C12" s="56">
        <v>25.91</v>
      </c>
      <c r="D12" s="56">
        <v>24.34</v>
      </c>
      <c r="E12" s="56">
        <v>1.43</v>
      </c>
      <c r="F12" s="56">
        <v>3.33</v>
      </c>
      <c r="G12" s="56">
        <v>46.55</v>
      </c>
      <c r="H12" s="56">
        <v>21.23</v>
      </c>
      <c r="I12" s="56">
        <v>8.08</v>
      </c>
      <c r="J12" s="56">
        <v>0.33</v>
      </c>
      <c r="K12" s="56">
        <v>311.52999999999997</v>
      </c>
      <c r="L12" s="56">
        <v>25.35</v>
      </c>
      <c r="M12" s="56">
        <v>47.5</v>
      </c>
      <c r="N12" s="56">
        <v>17.100000000000001</v>
      </c>
      <c r="O12" s="56">
        <v>0</v>
      </c>
      <c r="P12" s="56">
        <v>0.73</v>
      </c>
      <c r="Q12" s="56">
        <v>9.34</v>
      </c>
      <c r="R12" s="43"/>
      <c r="S12" s="43"/>
      <c r="T12" s="43"/>
      <c r="U12" s="43"/>
    </row>
    <row r="13" spans="1:21" s="11" customFormat="1" ht="15">
      <c r="A13" s="55" t="s">
        <v>474</v>
      </c>
      <c r="B13" s="56">
        <v>13.04</v>
      </c>
      <c r="C13" s="56">
        <v>25.57</v>
      </c>
      <c r="D13" s="56">
        <v>23.55</v>
      </c>
      <c r="E13" s="56">
        <v>1.41</v>
      </c>
      <c r="F13" s="56">
        <v>3.49</v>
      </c>
      <c r="G13" s="56">
        <v>130.03</v>
      </c>
      <c r="H13" s="56">
        <v>34.5</v>
      </c>
      <c r="I13" s="56">
        <v>9.02</v>
      </c>
      <c r="J13" s="56">
        <v>0.36</v>
      </c>
      <c r="K13" s="56">
        <v>216.76</v>
      </c>
      <c r="L13" s="56">
        <v>24.91</v>
      </c>
      <c r="M13" s="56">
        <v>52.65</v>
      </c>
      <c r="N13" s="56">
        <v>16.80</v>
      </c>
      <c r="O13" s="56">
        <v>0</v>
      </c>
      <c r="P13" s="56">
        <v>0.72</v>
      </c>
      <c r="Q13" s="56">
        <v>9.26</v>
      </c>
      <c r="R13" s="43"/>
      <c r="S13" s="43"/>
      <c r="T13" s="43"/>
      <c r="U13" s="43"/>
    </row>
    <row r="14" spans="1:21" s="11" customFormat="1" ht="15">
      <c r="A14" s="55" t="s">
        <v>475</v>
      </c>
      <c r="B14" s="56">
        <v>21.82</v>
      </c>
      <c r="C14" s="56">
        <v>25.98</v>
      </c>
      <c r="D14" s="56">
        <v>30.99</v>
      </c>
      <c r="E14" s="56">
        <v>1.33</v>
      </c>
      <c r="F14" s="56">
        <v>3.85</v>
      </c>
      <c r="G14" s="56">
        <v>66.62</v>
      </c>
      <c r="H14" s="56">
        <v>26.41</v>
      </c>
      <c r="I14" s="56">
        <v>8.92</v>
      </c>
      <c r="J14" s="56">
        <v>0.43</v>
      </c>
      <c r="K14" s="56">
        <v>250.93</v>
      </c>
      <c r="L14" s="56">
        <v>24.42</v>
      </c>
      <c r="M14" s="56">
        <v>56.62</v>
      </c>
      <c r="N14" s="56">
        <v>41.30</v>
      </c>
      <c r="O14" s="56">
        <v>0</v>
      </c>
      <c r="P14" s="56">
        <v>0.71</v>
      </c>
      <c r="Q14" s="56">
        <v>9.2899999999999991</v>
      </c>
      <c r="R14" s="43"/>
      <c r="S14" s="43"/>
      <c r="T14" s="43"/>
      <c r="U14" s="43"/>
    </row>
    <row r="15" spans="1:21" s="11" customFormat="1" ht="15">
      <c r="A15" s="55" t="s">
        <v>476</v>
      </c>
      <c r="B15" s="56">
        <v>34.04</v>
      </c>
      <c r="C15" s="56">
        <v>27.86</v>
      </c>
      <c r="D15" s="56">
        <v>41.78</v>
      </c>
      <c r="E15" s="56">
        <v>1.67</v>
      </c>
      <c r="F15" s="56">
        <v>3.52</v>
      </c>
      <c r="G15" s="56">
        <v>148.63</v>
      </c>
      <c r="H15" s="56">
        <v>39.450000000000003</v>
      </c>
      <c r="I15" s="56">
        <v>8.56</v>
      </c>
      <c r="J15" s="56">
        <v>0.67</v>
      </c>
      <c r="K15" s="56">
        <v>359.37</v>
      </c>
      <c r="L15" s="56">
        <v>24.96</v>
      </c>
      <c r="M15" s="56">
        <v>59.32</v>
      </c>
      <c r="N15" s="56">
        <v>150.40</v>
      </c>
      <c r="O15" s="56">
        <v>0</v>
      </c>
      <c r="P15" s="56">
        <v>0.77</v>
      </c>
      <c r="Q15" s="56">
        <v>9.5399999999999991</v>
      </c>
      <c r="R15" s="43"/>
      <c r="S15" s="43"/>
      <c r="T15" s="43"/>
      <c r="U15" s="43"/>
    </row>
    <row r="16" spans="1:21" s="11" customFormat="1" ht="15">
      <c r="A16" s="55" t="s">
        <v>477</v>
      </c>
      <c r="B16" s="56">
        <v>32.18</v>
      </c>
      <c r="C16" s="56">
        <v>28.68</v>
      </c>
      <c r="D16" s="56">
        <v>40.71</v>
      </c>
      <c r="E16" s="56">
        <v>1.49</v>
      </c>
      <c r="F16" s="56">
        <v>3.75</v>
      </c>
      <c r="G16" s="56">
        <v>144.97</v>
      </c>
      <c r="H16" s="56">
        <v>43.06</v>
      </c>
      <c r="I16" s="56">
        <v>8.6199999999999992</v>
      </c>
      <c r="J16" s="56">
        <v>0.46</v>
      </c>
      <c r="K16" s="56">
        <v>338.67</v>
      </c>
      <c r="L16" s="56">
        <v>33.119999999999997</v>
      </c>
      <c r="M16" s="56">
        <v>57.29</v>
      </c>
      <c r="N16" s="56">
        <v>428.80</v>
      </c>
      <c r="O16" s="56">
        <v>0</v>
      </c>
      <c r="P16" s="56">
        <v>0.76</v>
      </c>
      <c r="Q16" s="56">
        <v>9.44</v>
      </c>
      <c r="R16" s="43"/>
      <c r="S16" s="43"/>
      <c r="T16" s="43"/>
      <c r="U16" s="43"/>
    </row>
    <row r="17" spans="1:21" s="11" customFormat="1" ht="15">
      <c r="A17" s="55" t="s">
        <v>478</v>
      </c>
      <c r="B17" s="56">
        <v>31.03</v>
      </c>
      <c r="C17" s="56">
        <v>32.14</v>
      </c>
      <c r="D17" s="56">
        <v>40.36</v>
      </c>
      <c r="E17" s="56">
        <v>1.33</v>
      </c>
      <c r="F17" s="56">
        <v>3.92</v>
      </c>
      <c r="G17" s="56">
        <v>135.40</v>
      </c>
      <c r="H17" s="56">
        <v>40.520000000000003</v>
      </c>
      <c r="I17" s="56">
        <v>9.19</v>
      </c>
      <c r="J17" s="56">
        <v>0.34</v>
      </c>
      <c r="K17" s="56">
        <v>343.22</v>
      </c>
      <c r="L17" s="56">
        <v>34.51</v>
      </c>
      <c r="M17" s="56">
        <v>31.53</v>
      </c>
      <c r="N17" s="56">
        <v>669.60</v>
      </c>
      <c r="O17" s="56">
        <v>0</v>
      </c>
      <c r="P17" s="56">
        <v>0.79</v>
      </c>
      <c r="Q17" s="56">
        <v>9.51</v>
      </c>
      <c r="R17" s="43"/>
      <c r="S17" s="43"/>
      <c r="T17" s="43"/>
      <c r="U17" s="43"/>
    </row>
    <row r="18" spans="1:21" s="11" customFormat="1" ht="15">
      <c r="A18" s="55" t="s">
        <v>479</v>
      </c>
      <c r="B18" s="56">
        <v>25.94</v>
      </c>
      <c r="C18" s="56">
        <v>44.32</v>
      </c>
      <c r="D18" s="56">
        <v>39.229999999999997</v>
      </c>
      <c r="E18" s="56">
        <v>1.46</v>
      </c>
      <c r="F18" s="56">
        <v>5.17</v>
      </c>
      <c r="G18" s="56">
        <v>97.49</v>
      </c>
      <c r="H18" s="56">
        <v>36.83</v>
      </c>
      <c r="I18" s="56">
        <v>10.27</v>
      </c>
      <c r="J18" s="56">
        <v>0.93</v>
      </c>
      <c r="K18" s="56">
        <v>356.41</v>
      </c>
      <c r="L18" s="56">
        <v>34.78</v>
      </c>
      <c r="M18" s="56">
        <v>29.10</v>
      </c>
      <c r="N18" s="56">
        <v>839.5</v>
      </c>
      <c r="O18" s="56">
        <v>0</v>
      </c>
      <c r="P18" s="56">
        <v>0.79</v>
      </c>
      <c r="Q18" s="56">
        <v>9.4600000000000009</v>
      </c>
      <c r="R18" s="43"/>
      <c r="S18" s="43"/>
      <c r="T18" s="43"/>
      <c r="U18" s="43"/>
    </row>
    <row r="19" spans="1:21" s="11" customFormat="1" ht="15">
      <c r="A19" s="55" t="s">
        <v>480</v>
      </c>
      <c r="B19" s="56">
        <v>16.89</v>
      </c>
      <c r="C19" s="56">
        <v>44.13</v>
      </c>
      <c r="D19" s="56">
        <v>36.520000000000003</v>
      </c>
      <c r="E19" s="56">
        <v>1.49</v>
      </c>
      <c r="F19" s="56">
        <v>4.8600000000000003</v>
      </c>
      <c r="G19" s="56">
        <v>58.89</v>
      </c>
      <c r="H19" s="56">
        <v>32.159999999999997</v>
      </c>
      <c r="I19" s="56">
        <v>9.9600000000000009</v>
      </c>
      <c r="J19" s="56">
        <v>1.06</v>
      </c>
      <c r="K19" s="56">
        <v>83.87</v>
      </c>
      <c r="L19" s="56">
        <v>37.53</v>
      </c>
      <c r="M19" s="56">
        <v>22.39</v>
      </c>
      <c r="N19" s="56">
        <v>954.70</v>
      </c>
      <c r="O19" s="56">
        <v>0</v>
      </c>
      <c r="P19" s="56">
        <v>0.76</v>
      </c>
      <c r="Q19" s="56">
        <v>9.40</v>
      </c>
      <c r="R19" s="43"/>
      <c r="S19" s="43"/>
      <c r="T19" s="43"/>
      <c r="U19" s="43"/>
    </row>
    <row r="20" spans="1:21" s="11" customFormat="1" ht="15">
      <c r="A20" s="55" t="s">
        <v>481</v>
      </c>
      <c r="B20" s="56">
        <v>9.57</v>
      </c>
      <c r="C20" s="56">
        <v>43.64</v>
      </c>
      <c r="D20" s="56">
        <v>30.40</v>
      </c>
      <c r="E20" s="56">
        <v>2.09</v>
      </c>
      <c r="F20" s="56">
        <v>4.3600000000000003</v>
      </c>
      <c r="G20" s="56">
        <v>47.62</v>
      </c>
      <c r="H20" s="56">
        <v>26.82</v>
      </c>
      <c r="I20" s="56">
        <v>9.2200000000000006</v>
      </c>
      <c r="J20" s="56">
        <v>1.19</v>
      </c>
      <c r="K20" s="56">
        <v>67.819999999999993</v>
      </c>
      <c r="L20" s="56">
        <v>37.380000000000003</v>
      </c>
      <c r="M20" s="56">
        <v>22.82</v>
      </c>
      <c r="N20" s="56">
        <v>998.10</v>
      </c>
      <c r="O20" s="56">
        <v>0</v>
      </c>
      <c r="P20" s="56">
        <v>0.69</v>
      </c>
      <c r="Q20" s="56">
        <v>9.31</v>
      </c>
      <c r="R20" s="43"/>
      <c r="S20" s="43"/>
      <c r="T20" s="43"/>
      <c r="U20" s="43"/>
    </row>
    <row r="21" spans="1:21" s="11" customFormat="1" ht="15">
      <c r="A21" s="55" t="s">
        <v>482</v>
      </c>
      <c r="B21" s="56">
        <v>4.97</v>
      </c>
      <c r="C21" s="56">
        <v>35.42</v>
      </c>
      <c r="D21" s="56">
        <v>22.41</v>
      </c>
      <c r="E21" s="56">
        <v>2.02</v>
      </c>
      <c r="F21" s="56">
        <v>4.26</v>
      </c>
      <c r="G21" s="56">
        <v>56.77</v>
      </c>
      <c r="H21" s="56">
        <v>22.71</v>
      </c>
      <c r="I21" s="56">
        <v>9.4700000000000006</v>
      </c>
      <c r="J21" s="56">
        <v>1.07</v>
      </c>
      <c r="K21" s="56">
        <v>353.82</v>
      </c>
      <c r="L21" s="56">
        <v>36.729999999999997</v>
      </c>
      <c r="M21" s="56">
        <v>20.93</v>
      </c>
      <c r="N21" s="56">
        <v>1004.20</v>
      </c>
      <c r="O21" s="56">
        <v>0</v>
      </c>
      <c r="P21" s="56">
        <v>0.63</v>
      </c>
      <c r="Q21" s="56">
        <v>9.25</v>
      </c>
      <c r="R21" s="43"/>
      <c r="S21" s="43"/>
      <c r="T21" s="43"/>
      <c r="U21" s="43"/>
    </row>
    <row r="22" spans="1:21" s="11" customFormat="1" ht="15">
      <c r="A22" s="55" t="s">
        <v>483</v>
      </c>
      <c r="B22" s="56">
        <v>2.37</v>
      </c>
      <c r="C22" s="56">
        <v>34.700000000000003</v>
      </c>
      <c r="D22" s="56">
        <v>19.399999999999999</v>
      </c>
      <c r="E22" s="56">
        <v>2.19</v>
      </c>
      <c r="F22" s="56">
        <v>5.08</v>
      </c>
      <c r="G22" s="56">
        <v>41.96</v>
      </c>
      <c r="H22" s="56">
        <v>19.59</v>
      </c>
      <c r="I22" s="56">
        <v>9.57</v>
      </c>
      <c r="J22" s="56">
        <v>1.1200000000000001</v>
      </c>
      <c r="K22" s="56">
        <v>355.24</v>
      </c>
      <c r="L22" s="56">
        <v>38.61</v>
      </c>
      <c r="M22" s="56">
        <v>17.809999999999999</v>
      </c>
      <c r="N22" s="56">
        <v>905.80</v>
      </c>
      <c r="O22" s="56">
        <v>0</v>
      </c>
      <c r="P22" s="56">
        <v>0.56000000000000005</v>
      </c>
      <c r="Q22" s="56">
        <v>9.18</v>
      </c>
      <c r="R22" s="43"/>
      <c r="S22" s="43"/>
      <c r="T22" s="43"/>
      <c r="U22" s="43"/>
    </row>
    <row r="23" spans="1:21" s="11" customFormat="1" ht="15">
      <c r="A23" s="55" t="s">
        <v>484</v>
      </c>
      <c r="B23" s="56">
        <v>0.10</v>
      </c>
      <c r="C23" s="56">
        <v>31.10</v>
      </c>
      <c r="D23" s="56">
        <v>16.25</v>
      </c>
      <c r="E23" s="56">
        <v>2.02</v>
      </c>
      <c r="F23" s="56">
        <v>5.32</v>
      </c>
      <c r="G23" s="56">
        <v>34.56</v>
      </c>
      <c r="H23" s="56">
        <v>17.440000000000001</v>
      </c>
      <c r="I23" s="56">
        <v>9.56</v>
      </c>
      <c r="J23" s="56">
        <v>0.88</v>
      </c>
      <c r="K23" s="56">
        <v>117.61</v>
      </c>
      <c r="L23" s="56">
        <v>36.61</v>
      </c>
      <c r="M23" s="56">
        <v>17.649999999999999</v>
      </c>
      <c r="N23" s="56">
        <v>580.10</v>
      </c>
      <c r="O23" s="56">
        <v>0</v>
      </c>
      <c r="P23" s="56">
        <v>0.49</v>
      </c>
      <c r="Q23" s="56">
        <v>9.18</v>
      </c>
      <c r="R23" s="43"/>
      <c r="S23" s="43"/>
      <c r="T23" s="43"/>
      <c r="U23" s="43"/>
    </row>
    <row r="24" spans="1:21" s="11" customFormat="1" ht="15">
      <c r="A24" s="55" t="s">
        <v>485</v>
      </c>
      <c r="B24" s="56">
        <v>0.10</v>
      </c>
      <c r="C24" s="56">
        <v>33.020000000000003</v>
      </c>
      <c r="D24" s="56">
        <v>17.25</v>
      </c>
      <c r="E24" s="56">
        <v>2.17</v>
      </c>
      <c r="F24" s="56">
        <v>5.40</v>
      </c>
      <c r="G24" s="56">
        <v>40.96</v>
      </c>
      <c r="H24" s="56">
        <v>18.010000000000002</v>
      </c>
      <c r="I24" s="56">
        <v>9.2100000000000009</v>
      </c>
      <c r="J24" s="56">
        <v>1.1599999999999999</v>
      </c>
      <c r="K24" s="56">
        <v>350.02</v>
      </c>
      <c r="L24" s="56">
        <v>37.799999999999997</v>
      </c>
      <c r="M24" s="56">
        <v>16.739999999999998</v>
      </c>
      <c r="N24" s="56">
        <v>372</v>
      </c>
      <c r="O24" s="56">
        <v>0</v>
      </c>
      <c r="P24" s="56">
        <v>0.44</v>
      </c>
      <c r="Q24" s="56">
        <v>9.2200000000000006</v>
      </c>
      <c r="R24" s="43"/>
      <c r="S24" s="43"/>
      <c r="T24" s="43"/>
      <c r="U24" s="43"/>
    </row>
    <row r="25" spans="1:21" s="11" customFormat="1" ht="15">
      <c r="A25" s="55" t="s">
        <v>486</v>
      </c>
      <c r="B25" s="56">
        <v>0.10</v>
      </c>
      <c r="C25" s="56">
        <v>31.13</v>
      </c>
      <c r="D25" s="56">
        <v>16.27</v>
      </c>
      <c r="E25" s="56">
        <v>1.57</v>
      </c>
      <c r="F25" s="56">
        <v>5.34</v>
      </c>
      <c r="G25" s="56">
        <v>40.54</v>
      </c>
      <c r="H25" s="56">
        <v>17.71</v>
      </c>
      <c r="I25" s="56">
        <v>8.1300000000000008</v>
      </c>
      <c r="J25" s="56">
        <v>0.48</v>
      </c>
      <c r="K25" s="56">
        <v>85.98</v>
      </c>
      <c r="L25" s="56">
        <v>35.96</v>
      </c>
      <c r="M25" s="56">
        <v>18.72</v>
      </c>
      <c r="N25" s="56">
        <v>173.20</v>
      </c>
      <c r="O25" s="56">
        <v>0</v>
      </c>
      <c r="P25" s="56">
        <v>0.43</v>
      </c>
      <c r="Q25" s="56">
        <v>9.1999999999999993</v>
      </c>
      <c r="R25" s="43"/>
      <c r="S25" s="43"/>
      <c r="T25" s="43"/>
      <c r="U25" s="43"/>
    </row>
    <row r="26" spans="1:21" s="11" customFormat="1" ht="15">
      <c r="A26" s="55" t="s">
        <v>487</v>
      </c>
      <c r="B26" s="56">
        <v>0.10</v>
      </c>
      <c r="C26" s="56">
        <v>29.65</v>
      </c>
      <c r="D26" s="56">
        <v>15.49</v>
      </c>
      <c r="E26" s="56">
        <v>1.63</v>
      </c>
      <c r="F26" s="56">
        <v>4.75</v>
      </c>
      <c r="G26" s="56">
        <v>28.46</v>
      </c>
      <c r="H26" s="56">
        <v>12.21</v>
      </c>
      <c r="I26" s="56">
        <v>6.76</v>
      </c>
      <c r="J26" s="56">
        <v>0.56999999999999995</v>
      </c>
      <c r="K26" s="56">
        <v>182.83</v>
      </c>
      <c r="L26" s="56">
        <v>34.79</v>
      </c>
      <c r="M26" s="56">
        <v>21.46</v>
      </c>
      <c r="N26" s="56">
        <v>73.099999999999994</v>
      </c>
      <c r="O26" s="56">
        <v>0</v>
      </c>
      <c r="P26" s="56">
        <v>0.39</v>
      </c>
      <c r="Q26" s="56">
        <v>9.2200000000000006</v>
      </c>
      <c r="R26" s="43"/>
      <c r="S26" s="43"/>
      <c r="T26" s="43"/>
      <c r="U26" s="43"/>
    </row>
    <row r="27" spans="1:21" s="11" customFormat="1" ht="15">
      <c r="A27" s="55" t="s">
        <v>488</v>
      </c>
      <c r="B27" s="56">
        <v>0.10</v>
      </c>
      <c r="C27" s="56">
        <v>33.19</v>
      </c>
      <c r="D27" s="56">
        <v>17.34</v>
      </c>
      <c r="E27" s="56">
        <v>1.81</v>
      </c>
      <c r="F27" s="56">
        <v>4.79</v>
      </c>
      <c r="G27" s="56">
        <v>39.159999999999997</v>
      </c>
      <c r="H27" s="56">
        <v>12.39</v>
      </c>
      <c r="I27" s="56">
        <v>7.74</v>
      </c>
      <c r="J27" s="56">
        <v>0.38</v>
      </c>
      <c r="K27" s="56">
        <v>325.76</v>
      </c>
      <c r="L27" s="56">
        <v>33.270000000000003</v>
      </c>
      <c r="M27" s="56">
        <v>30.29</v>
      </c>
      <c r="N27" s="56">
        <v>22.70</v>
      </c>
      <c r="O27" s="56">
        <v>0</v>
      </c>
      <c r="P27" s="56">
        <v>0.40</v>
      </c>
      <c r="Q27" s="56">
        <v>9.1999999999999993</v>
      </c>
      <c r="R27" s="43"/>
      <c r="S27" s="43"/>
      <c r="T27" s="43"/>
      <c r="U27" s="43"/>
    </row>
    <row r="28" spans="1:21" s="11" customFormat="1" ht="15">
      <c r="A28" s="55" t="s">
        <v>489</v>
      </c>
      <c r="B28" s="56">
        <v>0.10</v>
      </c>
      <c r="C28" s="56">
        <v>33.229999999999997</v>
      </c>
      <c r="D28" s="56">
        <v>17.36</v>
      </c>
      <c r="E28" s="56">
        <v>1.57</v>
      </c>
      <c r="F28" s="56">
        <v>4.42</v>
      </c>
      <c r="G28" s="56">
        <v>53.52</v>
      </c>
      <c r="H28" s="56">
        <v>21.37</v>
      </c>
      <c r="I28" s="56">
        <v>7.51</v>
      </c>
      <c r="J28" s="56">
        <v>0.36</v>
      </c>
      <c r="K28" s="56">
        <v>176.41</v>
      </c>
      <c r="L28" s="56">
        <v>31.01</v>
      </c>
      <c r="M28" s="56">
        <v>32.54</v>
      </c>
      <c r="N28" s="56">
        <v>15.60</v>
      </c>
      <c r="O28" s="56">
        <v>0</v>
      </c>
      <c r="P28" s="56">
        <v>0.47</v>
      </c>
      <c r="Q28" s="56">
        <v>9.23</v>
      </c>
      <c r="R28" s="43"/>
      <c r="S28" s="43"/>
      <c r="T28" s="43"/>
      <c r="U28" s="43"/>
    </row>
    <row r="29" spans="1:21" s="11" customFormat="1" ht="15">
      <c r="A29" s="55" t="s">
        <v>490</v>
      </c>
      <c r="B29" s="56">
        <v>1.61</v>
      </c>
      <c r="C29" s="56">
        <v>38.630000000000003</v>
      </c>
      <c r="D29" s="56">
        <v>21.39</v>
      </c>
      <c r="E29" s="56">
        <v>1.61</v>
      </c>
      <c r="F29" s="56">
        <v>3.77</v>
      </c>
      <c r="G29" s="56">
        <v>63.53</v>
      </c>
      <c r="H29" s="56">
        <v>14.97</v>
      </c>
      <c r="I29" s="56">
        <v>7.36</v>
      </c>
      <c r="J29" s="56">
        <v>0.20</v>
      </c>
      <c r="K29" s="56">
        <v>259.51</v>
      </c>
      <c r="L29" s="56">
        <v>30.15</v>
      </c>
      <c r="M29" s="56">
        <v>35.07</v>
      </c>
      <c r="N29" s="56">
        <v>15.90</v>
      </c>
      <c r="O29" s="56">
        <v>0</v>
      </c>
      <c r="P29" s="56">
        <v>0.56000000000000005</v>
      </c>
      <c r="Q29" s="56">
        <v>9.23</v>
      </c>
      <c r="R29" s="43"/>
      <c r="S29" s="43"/>
      <c r="T29" s="43"/>
      <c r="U29" s="43"/>
    </row>
    <row r="30" spans="1:21" s="11" customFormat="1" ht="15">
      <c r="A30" s="55" t="s">
        <v>491</v>
      </c>
      <c r="B30" s="56">
        <v>2.96</v>
      </c>
      <c r="C30" s="56">
        <v>39.29</v>
      </c>
      <c r="D30" s="56">
        <v>22.61</v>
      </c>
      <c r="E30" s="56">
        <v>1.87</v>
      </c>
      <c r="F30" s="56">
        <v>4.08</v>
      </c>
      <c r="G30" s="56">
        <v>64.47</v>
      </c>
      <c r="H30" s="56">
        <v>16.36</v>
      </c>
      <c r="I30" s="56">
        <v>6.78</v>
      </c>
      <c r="J30" s="56">
        <v>0.19</v>
      </c>
      <c r="K30" s="56">
        <v>277.38</v>
      </c>
      <c r="L30" s="56">
        <v>29.25</v>
      </c>
      <c r="M30" s="56">
        <v>37.200000000000003</v>
      </c>
      <c r="N30" s="56">
        <v>15.90</v>
      </c>
      <c r="O30" s="56">
        <v>0</v>
      </c>
      <c r="P30" s="56">
        <v>0.56999999999999995</v>
      </c>
      <c r="Q30" s="56">
        <v>9.25</v>
      </c>
      <c r="R30" s="43"/>
      <c r="S30" s="43"/>
      <c r="T30" s="43"/>
      <c r="U30" s="43"/>
    </row>
    <row r="31" spans="1:21" s="11" customFormat="1" ht="15">
      <c r="A31" s="55" t="s">
        <v>492</v>
      </c>
      <c r="B31" s="56">
        <v>3.33</v>
      </c>
      <c r="C31" s="56">
        <v>36.96</v>
      </c>
      <c r="D31" s="56">
        <v>21.38</v>
      </c>
      <c r="E31" s="56">
        <v>1.68</v>
      </c>
      <c r="F31" s="56">
        <v>3.71</v>
      </c>
      <c r="G31" s="56">
        <v>70.05</v>
      </c>
      <c r="H31" s="56">
        <v>21.11</v>
      </c>
      <c r="I31" s="56">
        <v>6.63</v>
      </c>
      <c r="J31" s="56">
        <v>0.17</v>
      </c>
      <c r="K31" s="56">
        <v>327.45999999999998</v>
      </c>
      <c r="L31" s="56">
        <v>28.12</v>
      </c>
      <c r="M31" s="56">
        <v>44.05</v>
      </c>
      <c r="N31" s="56">
        <v>16.100000000000001</v>
      </c>
      <c r="O31" s="56">
        <v>0</v>
      </c>
      <c r="P31" s="56">
        <v>0.61</v>
      </c>
      <c r="Q31" s="56">
        <v>9.27</v>
      </c>
      <c r="R31" s="43"/>
      <c r="S31" s="43"/>
      <c r="T31" s="43"/>
      <c r="U31" s="43"/>
    </row>
    <row r="32" spans="1:21" s="11" customFormat="1" ht="15">
      <c r="A32" s="55" t="s">
        <v>493</v>
      </c>
      <c r="B32" s="56">
        <v>5.75</v>
      </c>
      <c r="C32" s="56">
        <v>36.630000000000003</v>
      </c>
      <c r="D32" s="56">
        <v>23.61</v>
      </c>
      <c r="E32" s="56">
        <v>1.84</v>
      </c>
      <c r="F32" s="56">
        <v>3.44</v>
      </c>
      <c r="G32" s="56">
        <v>65.319999999999993</v>
      </c>
      <c r="H32" s="56">
        <v>19.79</v>
      </c>
      <c r="I32" s="56">
        <v>7.64</v>
      </c>
      <c r="J32" s="56">
        <v>0.15</v>
      </c>
      <c r="K32" s="56">
        <v>332</v>
      </c>
      <c r="L32" s="56">
        <v>26.68</v>
      </c>
      <c r="M32" s="56">
        <v>46.68</v>
      </c>
      <c r="N32" s="56">
        <v>15.90</v>
      </c>
      <c r="O32" s="56">
        <v>0</v>
      </c>
      <c r="P32" s="56">
        <v>0.66</v>
      </c>
      <c r="Q32" s="56">
        <v>9.31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25.57</v>
      </c>
      <c r="D34" s="28">
        <f t="shared" si="0"/>
        <v>15.49</v>
      </c>
      <c r="E34" s="28">
        <f t="shared" si="0"/>
        <v>1.26</v>
      </c>
      <c r="F34" s="28">
        <f t="shared" si="0"/>
        <v>3.3300000000000001</v>
      </c>
      <c r="G34" s="28">
        <f t="shared" si="0"/>
        <v>28.460000000000001</v>
      </c>
      <c r="H34" s="28">
        <f t="shared" si="0"/>
        <v>5.6900000000000004</v>
      </c>
      <c r="I34" s="28">
        <f t="shared" si="0"/>
        <v>6.6299999999999999</v>
      </c>
      <c r="J34" s="28">
        <f t="shared" si="0"/>
        <v>0.12</v>
      </c>
      <c r="K34" s="28">
        <f t="shared" si="0"/>
        <v>67.819999999999993</v>
      </c>
      <c r="L34" s="28">
        <f t="shared" si="0"/>
        <v>24.420000000000002</v>
      </c>
      <c r="M34" s="28">
        <f t="shared" si="0"/>
        <v>16.739999999999998</v>
      </c>
      <c r="N34" s="28">
        <f t="shared" si="0"/>
        <v>15.6</v>
      </c>
      <c r="O34" s="28">
        <f t="shared" si="0"/>
        <v>0</v>
      </c>
      <c r="P34" s="28">
        <f t="shared" si="0"/>
        <v>0.39000000000000001</v>
      </c>
      <c r="Q34" s="28">
        <f t="shared" si="0"/>
        <v>9.1799999999999997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34.039999999999999</v>
      </c>
      <c r="C35" s="29">
        <f t="shared" si="1"/>
        <v>44.32</v>
      </c>
      <c r="D35" s="29">
        <f t="shared" si="1"/>
        <v>41.780000000000001</v>
      </c>
      <c r="E35" s="29">
        <f t="shared" si="1"/>
        <v>2.1899999999999999</v>
      </c>
      <c r="F35" s="29">
        <f t="shared" si="1"/>
        <v>5.4000000000000004</v>
      </c>
      <c r="G35" s="29">
        <f t="shared" si="1"/>
        <v>148.63</v>
      </c>
      <c r="H35" s="29">
        <f t="shared" si="1"/>
        <v>43.060000000000002</v>
      </c>
      <c r="I35" s="29">
        <f t="shared" si="1"/>
        <v>10.27</v>
      </c>
      <c r="J35" s="29">
        <f t="shared" si="1"/>
        <v>1.1899999999999999</v>
      </c>
      <c r="K35" s="29">
        <f t="shared" si="1"/>
        <v>359.37</v>
      </c>
      <c r="L35" s="29">
        <f t="shared" si="1"/>
        <v>38.609999999999999</v>
      </c>
      <c r="M35" s="29">
        <f t="shared" si="1"/>
        <v>59.32</v>
      </c>
      <c r="N35" s="29">
        <f t="shared" si="1"/>
        <v>1004.2</v>
      </c>
      <c r="O35" s="29">
        <f t="shared" si="1"/>
        <v>0</v>
      </c>
      <c r="P35" s="29">
        <f t="shared" si="1"/>
        <v>1.1699999999999999</v>
      </c>
      <c r="Q35" s="29">
        <f t="shared" si="1"/>
        <v>9.5399999999999991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11.650416666666672</v>
      </c>
      <c r="C36" s="28">
        <f t="shared" si="2"/>
        <v>33.029583333333335</v>
      </c>
      <c r="D36" s="28">
        <f t="shared" si="2"/>
        <v>26.199166666666667</v>
      </c>
      <c r="E36" s="28">
        <f t="shared" si="2"/>
        <v>1.6516666666666664</v>
      </c>
      <c r="F36" s="28">
        <f t="shared" si="2"/>
        <v>4.2233333333333336</v>
      </c>
      <c r="G36" s="28">
        <f t="shared" si="2"/>
        <v>68.005416666666662</v>
      </c>
      <c r="H36" s="28">
        <f t="shared" si="2"/>
        <v>22.890416666666663</v>
      </c>
      <c r="I36" s="28">
        <f t="shared" si="2"/>
        <v>8.4654166666666661</v>
      </c>
      <c r="J36" s="28">
        <f t="shared" si="2"/>
        <v>0.55833333333333335</v>
      </c>
      <c r="K36" s="28">
        <f t="shared" si="2"/>
        <v>271.1270833333333</v>
      </c>
      <c r="L36" s="28">
        <f t="shared" si="2"/>
        <v>31.392916666666665</v>
      </c>
      <c r="M36" s="28">
        <f t="shared" si="2"/>
        <v>36.162083333333335</v>
      </c>
      <c r="N36" s="28">
        <f t="shared" si="2"/>
        <v>307.4375</v>
      </c>
      <c r="O36" s="28">
        <f t="shared" si="2"/>
        <v>0</v>
      </c>
      <c r="P36" s="28">
        <f t="shared" si="2"/>
        <v>0.66000000000000003</v>
      </c>
      <c r="Q36" s="28">
        <f t="shared" si="2"/>
        <v>9.3037499999999991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11.640924242092842</v>
      </c>
      <c r="C37" s="28">
        <f t="shared" si="3" ref="C37:Q37">STDEV(C9:C32)</f>
        <v>5.8968794099389736</v>
      </c>
      <c r="D37" s="28">
        <f t="shared" si="3"/>
        <v>8.731275576249212</v>
      </c>
      <c r="E37" s="28">
        <f t="shared" si="3"/>
        <v>0.28688229167266993</v>
      </c>
      <c r="F37" s="28">
        <f t="shared" si="3"/>
        <v>0.69769600123902542</v>
      </c>
      <c r="G37" s="28">
        <f t="shared" si="3"/>
        <v>36.058766042593497</v>
      </c>
      <c r="H37" s="28">
        <f t="shared" si="3"/>
        <v>10.114842077542454</v>
      </c>
      <c r="I37" s="28">
        <f t="shared" si="3"/>
        <v>1.0394562925193083</v>
      </c>
      <c r="J37" s="28">
        <f t="shared" si="3"/>
        <v>0.36253535559717609</v>
      </c>
      <c r="K37" s="28">
        <f t="shared" si="3"/>
        <v>99.432138251222142</v>
      </c>
      <c r="L37" s="28">
        <f t="shared" si="3"/>
        <v>5.0409130290718709</v>
      </c>
      <c r="M37" s="28">
        <f t="shared" si="3"/>
        <v>14.670901391698045</v>
      </c>
      <c r="N37" s="28">
        <f t="shared" si="3"/>
        <v>381.24070544621861</v>
      </c>
      <c r="O37" s="28">
        <f t="shared" si="3"/>
        <v>0</v>
      </c>
      <c r="P37" s="28">
        <f t="shared" si="3"/>
        <v>0.18289935459985485</v>
      </c>
      <c r="Q37" s="28">
        <f t="shared" si="3"/>
        <v>0.10370579204826544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ba0146-6daf-4390-bbe2-a82807091da6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494</v>
      </c>
      <c r="B9" s="56">
        <v>6.47</v>
      </c>
      <c r="C9" s="56">
        <v>36.33</v>
      </c>
      <c r="D9" s="56">
        <v>23.76</v>
      </c>
      <c r="E9" s="56">
        <v>1.85</v>
      </c>
      <c r="F9" s="56">
        <v>3.73</v>
      </c>
      <c r="G9" s="56">
        <v>65.22</v>
      </c>
      <c r="H9" s="56">
        <v>20.95</v>
      </c>
      <c r="I9" s="56">
        <v>7.71</v>
      </c>
      <c r="J9" s="56">
        <v>0.14000000000000001</v>
      </c>
      <c r="K9" s="56">
        <v>335.72</v>
      </c>
      <c r="L9" s="56">
        <v>25.76</v>
      </c>
      <c r="M9" s="56">
        <v>51.60</v>
      </c>
      <c r="N9" s="56">
        <v>15.90</v>
      </c>
      <c r="O9" s="56">
        <v>0</v>
      </c>
      <c r="P9" s="56">
        <v>0.65</v>
      </c>
      <c r="Q9" s="56">
        <v>9.3000000000000007</v>
      </c>
      <c r="R9" s="43"/>
      <c r="S9" s="43"/>
      <c r="T9" s="43"/>
      <c r="U9" s="43"/>
    </row>
    <row r="10" spans="1:21" s="11" customFormat="1" ht="15">
      <c r="A10" s="55" t="s">
        <v>495</v>
      </c>
      <c r="B10" s="56">
        <v>6.03</v>
      </c>
      <c r="C10" s="56">
        <v>36.68</v>
      </c>
      <c r="D10" s="56">
        <v>23.45</v>
      </c>
      <c r="E10" s="56">
        <v>2.0699999999999998</v>
      </c>
      <c r="F10" s="56">
        <v>3.79</v>
      </c>
      <c r="G10" s="56">
        <v>65.72</v>
      </c>
      <c r="H10" s="56">
        <v>20.56</v>
      </c>
      <c r="I10" s="56">
        <v>7.43</v>
      </c>
      <c r="J10" s="56">
        <v>0.15</v>
      </c>
      <c r="K10" s="56">
        <v>301.87</v>
      </c>
      <c r="L10" s="56">
        <v>25.41</v>
      </c>
      <c r="M10" s="56">
        <v>50.33</v>
      </c>
      <c r="N10" s="56">
        <v>16.20</v>
      </c>
      <c r="O10" s="56">
        <v>0</v>
      </c>
      <c r="P10" s="56">
        <v>0.65</v>
      </c>
      <c r="Q10" s="56">
        <v>9.2799999999999994</v>
      </c>
      <c r="R10" s="43"/>
      <c r="S10" s="43"/>
      <c r="T10" s="43"/>
      <c r="U10" s="43"/>
    </row>
    <row r="11" spans="1:21" s="11" customFormat="1" ht="15">
      <c r="A11" s="55" t="s">
        <v>496</v>
      </c>
      <c r="B11" s="56">
        <v>4.8600000000000003</v>
      </c>
      <c r="C11" s="56">
        <v>33.75</v>
      </c>
      <c r="D11" s="56">
        <v>21.42</v>
      </c>
      <c r="E11" s="56">
        <v>1.92</v>
      </c>
      <c r="F11" s="56">
        <v>3.63</v>
      </c>
      <c r="G11" s="56">
        <v>65.06</v>
      </c>
      <c r="H11" s="56">
        <v>20.69</v>
      </c>
      <c r="I11" s="56">
        <v>7.38</v>
      </c>
      <c r="J11" s="56">
        <v>0.22</v>
      </c>
      <c r="K11" s="56">
        <v>295.58999999999997</v>
      </c>
      <c r="L11" s="56">
        <v>24.90</v>
      </c>
      <c r="M11" s="56">
        <v>56.51</v>
      </c>
      <c r="N11" s="56">
        <v>16.30</v>
      </c>
      <c r="O11" s="56">
        <v>0</v>
      </c>
      <c r="P11" s="56">
        <v>0.63</v>
      </c>
      <c r="Q11" s="56">
        <v>9.2799999999999994</v>
      </c>
      <c r="R11" s="43"/>
      <c r="S11" s="43"/>
      <c r="T11" s="43"/>
      <c r="U11" s="43"/>
    </row>
    <row r="12" spans="1:21" s="11" customFormat="1" ht="15">
      <c r="A12" s="55" t="s">
        <v>497</v>
      </c>
      <c r="B12" s="56">
        <v>4.5599999999999996</v>
      </c>
      <c r="C12" s="56">
        <v>32.47</v>
      </c>
      <c r="D12" s="56">
        <v>20.190000000000001</v>
      </c>
      <c r="E12" s="56">
        <v>2.04</v>
      </c>
      <c r="F12" s="56">
        <v>3.93</v>
      </c>
      <c r="G12" s="56">
        <v>64.78</v>
      </c>
      <c r="H12" s="56">
        <v>21.42</v>
      </c>
      <c r="I12" s="56">
        <v>9.09</v>
      </c>
      <c r="J12" s="56">
        <v>0.12</v>
      </c>
      <c r="K12" s="56">
        <v>236.07</v>
      </c>
      <c r="L12" s="56">
        <v>23.96</v>
      </c>
      <c r="M12" s="56">
        <v>57.81</v>
      </c>
      <c r="N12" s="56">
        <v>15.90</v>
      </c>
      <c r="O12" s="56">
        <v>0</v>
      </c>
      <c r="P12" s="56">
        <v>0.61</v>
      </c>
      <c r="Q12" s="56">
        <v>9.25</v>
      </c>
      <c r="R12" s="43"/>
      <c r="S12" s="43"/>
      <c r="T12" s="43"/>
      <c r="U12" s="43"/>
    </row>
    <row r="13" spans="1:21" s="11" customFormat="1" ht="15">
      <c r="A13" s="55" t="s">
        <v>498</v>
      </c>
      <c r="B13" s="56">
        <v>8.33</v>
      </c>
      <c r="C13" s="56">
        <v>33.04</v>
      </c>
      <c r="D13" s="56">
        <v>23.46</v>
      </c>
      <c r="E13" s="56">
        <v>1.27</v>
      </c>
      <c r="F13" s="56">
        <v>3.76</v>
      </c>
      <c r="G13" s="56">
        <v>69.55</v>
      </c>
      <c r="H13" s="56">
        <v>22.97</v>
      </c>
      <c r="I13" s="56">
        <v>9.6999999999999993</v>
      </c>
      <c r="J13" s="56">
        <v>0.15</v>
      </c>
      <c r="K13" s="56">
        <v>311.04000000000002</v>
      </c>
      <c r="L13" s="56">
        <v>23.61</v>
      </c>
      <c r="M13" s="56">
        <v>59.29</v>
      </c>
      <c r="N13" s="56">
        <v>16.100000000000001</v>
      </c>
      <c r="O13" s="56">
        <v>0</v>
      </c>
      <c r="P13" s="56">
        <v>0.64</v>
      </c>
      <c r="Q13" s="56">
        <v>9.3800000000000008</v>
      </c>
      <c r="R13" s="43"/>
      <c r="S13" s="43"/>
      <c r="T13" s="43"/>
      <c r="U13" s="43"/>
    </row>
    <row r="14" spans="1:21" s="11" customFormat="1" ht="15">
      <c r="A14" s="55" t="s">
        <v>499</v>
      </c>
      <c r="B14" s="56">
        <v>19.23</v>
      </c>
      <c r="C14" s="56">
        <v>33.909999999999997</v>
      </c>
      <c r="D14" s="56">
        <v>33.06</v>
      </c>
      <c r="E14" s="56">
        <v>1.43</v>
      </c>
      <c r="F14" s="56">
        <v>3.46</v>
      </c>
      <c r="G14" s="56">
        <v>71.72</v>
      </c>
      <c r="H14" s="56">
        <v>23.65</v>
      </c>
      <c r="I14" s="56">
        <v>9.90</v>
      </c>
      <c r="J14" s="56">
        <v>0.08</v>
      </c>
      <c r="K14" s="56">
        <v>298.36</v>
      </c>
      <c r="L14" s="56">
        <v>22.86</v>
      </c>
      <c r="M14" s="56">
        <v>63.66</v>
      </c>
      <c r="N14" s="56">
        <v>40.60</v>
      </c>
      <c r="O14" s="56">
        <v>0</v>
      </c>
      <c r="P14" s="56">
        <v>0.69</v>
      </c>
      <c r="Q14" s="56">
        <v>9.34</v>
      </c>
      <c r="R14" s="43"/>
      <c r="S14" s="43"/>
      <c r="T14" s="43"/>
      <c r="U14" s="43"/>
    </row>
    <row r="15" spans="1:21" s="11" customFormat="1" ht="15">
      <c r="A15" s="55" t="s">
        <v>500</v>
      </c>
      <c r="B15" s="56">
        <v>39.75</v>
      </c>
      <c r="C15" s="56">
        <v>34.71</v>
      </c>
      <c r="D15" s="56">
        <v>49.93</v>
      </c>
      <c r="E15" s="56">
        <v>1.54</v>
      </c>
      <c r="F15" s="56">
        <v>3.89</v>
      </c>
      <c r="G15" s="56">
        <v>160.11000000000001</v>
      </c>
      <c r="H15" s="56">
        <v>30.84</v>
      </c>
      <c r="I15" s="56">
        <v>10.27</v>
      </c>
      <c r="J15" s="56">
        <v>0.42</v>
      </c>
      <c r="K15" s="56">
        <v>201.32</v>
      </c>
      <c r="L15" s="56">
        <v>29.29</v>
      </c>
      <c r="M15" s="56">
        <v>61.69</v>
      </c>
      <c r="N15" s="56">
        <v>175</v>
      </c>
      <c r="O15" s="56">
        <v>0</v>
      </c>
      <c r="P15" s="56">
        <v>0.79</v>
      </c>
      <c r="Q15" s="56">
        <v>9.60</v>
      </c>
      <c r="R15" s="43"/>
      <c r="S15" s="43"/>
      <c r="T15" s="43"/>
      <c r="U15" s="43"/>
    </row>
    <row r="16" spans="1:21" s="11" customFormat="1" ht="15">
      <c r="A16" s="55" t="s">
        <v>501</v>
      </c>
      <c r="B16" s="56">
        <v>40.549999999999997</v>
      </c>
      <c r="C16" s="56">
        <v>36.40</v>
      </c>
      <c r="D16" s="56">
        <v>50.69</v>
      </c>
      <c r="E16" s="56">
        <v>1.68</v>
      </c>
      <c r="F16" s="56">
        <v>3.52</v>
      </c>
      <c r="G16" s="56">
        <v>137.19</v>
      </c>
      <c r="H16" s="56">
        <v>32.21</v>
      </c>
      <c r="I16" s="56">
        <v>11.94</v>
      </c>
      <c r="J16" s="56">
        <v>0.56999999999999995</v>
      </c>
      <c r="K16" s="56">
        <v>261.39999999999998</v>
      </c>
      <c r="L16" s="56">
        <v>32.24</v>
      </c>
      <c r="M16" s="56">
        <v>51.21</v>
      </c>
      <c r="N16" s="56">
        <v>460.10</v>
      </c>
      <c r="O16" s="56">
        <v>0</v>
      </c>
      <c r="P16" s="56">
        <v>0.79</v>
      </c>
      <c r="Q16" s="56">
        <v>9.64</v>
      </c>
      <c r="R16" s="43"/>
      <c r="S16" s="43"/>
      <c r="T16" s="43"/>
      <c r="U16" s="43"/>
    </row>
    <row r="17" spans="1:21" s="11" customFormat="1" ht="15">
      <c r="A17" s="55" t="s">
        <v>502</v>
      </c>
      <c r="B17" s="56">
        <v>35.07</v>
      </c>
      <c r="C17" s="56">
        <v>42.17</v>
      </c>
      <c r="D17" s="56">
        <v>47.69</v>
      </c>
      <c r="E17" s="56">
        <v>2.06</v>
      </c>
      <c r="F17" s="56">
        <v>3.86</v>
      </c>
      <c r="G17" s="56">
        <v>87.55</v>
      </c>
      <c r="H17" s="56">
        <v>26.12</v>
      </c>
      <c r="I17" s="56">
        <v>12.47</v>
      </c>
      <c r="J17" s="56">
        <v>0.38</v>
      </c>
      <c r="K17" s="56">
        <v>355.77</v>
      </c>
      <c r="L17" s="56">
        <v>36.479999999999997</v>
      </c>
      <c r="M17" s="56">
        <v>32.15</v>
      </c>
      <c r="N17" s="56">
        <v>670.90</v>
      </c>
      <c r="O17" s="56">
        <v>0</v>
      </c>
      <c r="P17" s="56">
        <v>0.83</v>
      </c>
      <c r="Q17" s="56">
        <v>9.61</v>
      </c>
      <c r="R17" s="43"/>
      <c r="S17" s="43"/>
      <c r="T17" s="43"/>
      <c r="U17" s="43"/>
    </row>
    <row r="18" spans="1:21" s="11" customFormat="1" ht="15">
      <c r="A18" s="55" t="s">
        <v>503</v>
      </c>
      <c r="B18" s="56">
        <v>22.24</v>
      </c>
      <c r="C18" s="56">
        <v>48.88</v>
      </c>
      <c r="D18" s="56">
        <v>40.99</v>
      </c>
      <c r="E18" s="56">
        <v>1.68</v>
      </c>
      <c r="F18" s="56">
        <v>4.25</v>
      </c>
      <c r="G18" s="56">
        <v>75.040000000000006</v>
      </c>
      <c r="H18" s="56">
        <v>28.29</v>
      </c>
      <c r="I18" s="56">
        <v>12.22</v>
      </c>
      <c r="J18" s="56">
        <v>0.5</v>
      </c>
      <c r="K18" s="56">
        <v>354.69</v>
      </c>
      <c r="L18" s="56">
        <v>39.28</v>
      </c>
      <c r="M18" s="56">
        <v>23.04</v>
      </c>
      <c r="N18" s="56">
        <v>848.5</v>
      </c>
      <c r="O18" s="56">
        <v>0</v>
      </c>
      <c r="P18" s="56">
        <v>0.83</v>
      </c>
      <c r="Q18" s="56">
        <v>9.49</v>
      </c>
      <c r="R18" s="43"/>
      <c r="S18" s="43"/>
      <c r="T18" s="43"/>
      <c r="U18" s="43"/>
    </row>
    <row r="19" spans="1:21" s="11" customFormat="1" ht="15">
      <c r="A19" s="55" t="s">
        <v>504</v>
      </c>
      <c r="B19" s="56">
        <v>7.84</v>
      </c>
      <c r="C19" s="56">
        <v>49.05</v>
      </c>
      <c r="D19" s="56">
        <v>31.84</v>
      </c>
      <c r="E19" s="56">
        <v>1.65</v>
      </c>
      <c r="F19" s="56">
        <v>8.67</v>
      </c>
      <c r="G19" s="56">
        <v>53.02</v>
      </c>
      <c r="H19" s="56">
        <v>26.65</v>
      </c>
      <c r="I19" s="56">
        <v>11.54</v>
      </c>
      <c r="J19" s="56">
        <v>0.91</v>
      </c>
      <c r="K19" s="56">
        <v>166.33</v>
      </c>
      <c r="L19" s="56">
        <v>37.71</v>
      </c>
      <c r="M19" s="56">
        <v>15.11</v>
      </c>
      <c r="N19" s="56">
        <v>956.80</v>
      </c>
      <c r="O19" s="56">
        <v>0</v>
      </c>
      <c r="P19" s="56">
        <v>0.79</v>
      </c>
      <c r="Q19" s="56">
        <v>9.36</v>
      </c>
      <c r="R19" s="43"/>
      <c r="S19" s="43"/>
      <c r="T19" s="43"/>
      <c r="U19" s="43"/>
    </row>
    <row r="20" spans="1:21" s="11" customFormat="1" ht="15">
      <c r="A20" s="55" t="s">
        <v>505</v>
      </c>
      <c r="B20" s="56">
        <v>0.10</v>
      </c>
      <c r="C20" s="56">
        <v>45.15</v>
      </c>
      <c r="D20" s="56">
        <v>23.59</v>
      </c>
      <c r="E20" s="56">
        <v>1.51</v>
      </c>
      <c r="F20" s="56">
        <v>9.56</v>
      </c>
      <c r="G20" s="56">
        <v>22.61</v>
      </c>
      <c r="H20" s="56">
        <v>20.97</v>
      </c>
      <c r="I20" s="56">
        <v>10.5</v>
      </c>
      <c r="J20" s="56">
        <v>0.41</v>
      </c>
      <c r="K20" s="56">
        <v>211.47</v>
      </c>
      <c r="L20" s="56">
        <v>39</v>
      </c>
      <c r="M20" s="56">
        <v>15.34</v>
      </c>
      <c r="N20" s="56">
        <v>989</v>
      </c>
      <c r="O20" s="56">
        <v>0</v>
      </c>
      <c r="P20" s="56">
        <v>0.56999999999999995</v>
      </c>
      <c r="Q20" s="56">
        <v>9.2200000000000006</v>
      </c>
      <c r="R20" s="43"/>
      <c r="S20" s="43"/>
      <c r="T20" s="43"/>
      <c r="U20" s="43"/>
    </row>
    <row r="21" spans="1:21" s="11" customFormat="1" ht="15">
      <c r="A21" s="55" t="s">
        <v>506</v>
      </c>
      <c r="B21" s="56">
        <v>0.37</v>
      </c>
      <c r="C21" s="56">
        <v>50.32</v>
      </c>
      <c r="D21" s="56">
        <v>26.51</v>
      </c>
      <c r="E21" s="56">
        <v>1.84</v>
      </c>
      <c r="F21" s="56">
        <v>6.37</v>
      </c>
      <c r="G21" s="56">
        <v>37.24</v>
      </c>
      <c r="H21" s="56">
        <v>16.739999999999998</v>
      </c>
      <c r="I21" s="56">
        <v>9.1300000000000008</v>
      </c>
      <c r="J21" s="56">
        <v>1.41</v>
      </c>
      <c r="K21" s="56">
        <v>353.16</v>
      </c>
      <c r="L21" s="56">
        <v>41.96</v>
      </c>
      <c r="M21" s="56">
        <v>13.94</v>
      </c>
      <c r="N21" s="56">
        <v>966.5</v>
      </c>
      <c r="O21" s="56">
        <v>0</v>
      </c>
      <c r="P21" s="56">
        <v>0.49</v>
      </c>
      <c r="Q21" s="56">
        <v>9.2899999999999991</v>
      </c>
      <c r="R21" s="43"/>
      <c r="S21" s="43"/>
      <c r="T21" s="43"/>
      <c r="U21" s="43"/>
    </row>
    <row r="22" spans="1:21" s="11" customFormat="1" ht="15">
      <c r="A22" s="55" t="s">
        <v>507</v>
      </c>
      <c r="B22" s="56">
        <v>1.78</v>
      </c>
      <c r="C22" s="56">
        <v>44.68</v>
      </c>
      <c r="D22" s="56">
        <v>23.36</v>
      </c>
      <c r="E22" s="56">
        <v>2.48</v>
      </c>
      <c r="F22" s="56">
        <v>9.7799999999999994</v>
      </c>
      <c r="G22" s="56">
        <v>76.75</v>
      </c>
      <c r="H22" s="56">
        <v>18.579999999999998</v>
      </c>
      <c r="I22" s="56">
        <v>8.2899999999999991</v>
      </c>
      <c r="J22" s="56">
        <v>0.82</v>
      </c>
      <c r="K22" s="56">
        <v>346.16</v>
      </c>
      <c r="L22" s="56">
        <v>41.04</v>
      </c>
      <c r="M22" s="56">
        <v>14.31</v>
      </c>
      <c r="N22" s="56">
        <v>889.90</v>
      </c>
      <c r="O22" s="56">
        <v>0</v>
      </c>
      <c r="P22" s="56">
        <v>0.44</v>
      </c>
      <c r="Q22" s="56">
        <v>9.26</v>
      </c>
      <c r="R22" s="43"/>
      <c r="S22" s="43"/>
      <c r="T22" s="43"/>
      <c r="U22" s="43"/>
    </row>
    <row r="23" spans="1:21" s="11" customFormat="1" ht="15">
      <c r="A23" s="55" t="s">
        <v>508</v>
      </c>
      <c r="B23" s="56">
        <v>2.75</v>
      </c>
      <c r="C23" s="56">
        <v>39.729999999999997</v>
      </c>
      <c r="D23" s="56">
        <v>22.39</v>
      </c>
      <c r="E23" s="56">
        <v>1.91</v>
      </c>
      <c r="F23" s="56">
        <v>5.33</v>
      </c>
      <c r="G23" s="56">
        <v>15.04</v>
      </c>
      <c r="H23" s="56">
        <v>15</v>
      </c>
      <c r="I23" s="56">
        <v>6.93</v>
      </c>
      <c r="J23" s="56">
        <v>1.26</v>
      </c>
      <c r="K23" s="56">
        <v>339.56</v>
      </c>
      <c r="L23" s="56">
        <v>41.38</v>
      </c>
      <c r="M23" s="56">
        <v>13.09</v>
      </c>
      <c r="N23" s="56">
        <v>724.5</v>
      </c>
      <c r="O23" s="56">
        <v>0</v>
      </c>
      <c r="P23" s="56">
        <v>0.39</v>
      </c>
      <c r="Q23" s="56">
        <v>9.1999999999999993</v>
      </c>
      <c r="R23" s="43"/>
      <c r="S23" s="43"/>
      <c r="T23" s="43"/>
      <c r="U23" s="43"/>
    </row>
    <row r="24" spans="1:21" s="11" customFormat="1" ht="15">
      <c r="A24" s="55" t="s">
        <v>509</v>
      </c>
      <c r="B24" s="56">
        <v>2.66</v>
      </c>
      <c r="C24" s="56">
        <v>43.52</v>
      </c>
      <c r="D24" s="56">
        <v>24.46</v>
      </c>
      <c r="E24" s="56">
        <v>1.85</v>
      </c>
      <c r="F24" s="56">
        <v>6.90</v>
      </c>
      <c r="G24" s="56">
        <v>48.03</v>
      </c>
      <c r="H24" s="56">
        <v>15.73</v>
      </c>
      <c r="I24" s="56">
        <v>6.03</v>
      </c>
      <c r="J24" s="56">
        <v>1.46</v>
      </c>
      <c r="K24" s="56">
        <v>331.76</v>
      </c>
      <c r="L24" s="56">
        <v>39</v>
      </c>
      <c r="M24" s="56">
        <v>13.79</v>
      </c>
      <c r="N24" s="56">
        <v>391.90</v>
      </c>
      <c r="O24" s="56">
        <v>0</v>
      </c>
      <c r="P24" s="56">
        <v>0.37</v>
      </c>
      <c r="Q24" s="56">
        <v>9.2899999999999991</v>
      </c>
      <c r="R24" s="43"/>
      <c r="S24" s="43"/>
      <c r="T24" s="43"/>
      <c r="U24" s="43"/>
    </row>
    <row r="25" spans="1:21" s="11" customFormat="1" ht="15">
      <c r="A25" s="55" t="s">
        <v>510</v>
      </c>
      <c r="B25" s="56">
        <v>1.67</v>
      </c>
      <c r="C25" s="56">
        <v>42.16</v>
      </c>
      <c r="D25" s="56">
        <v>23.08</v>
      </c>
      <c r="E25" s="56">
        <v>2</v>
      </c>
      <c r="F25" s="56">
        <v>8.10</v>
      </c>
      <c r="G25" s="56">
        <v>41.06</v>
      </c>
      <c r="H25" s="56">
        <v>14.74</v>
      </c>
      <c r="I25" s="56">
        <v>6.43</v>
      </c>
      <c r="J25" s="56">
        <v>1.43</v>
      </c>
      <c r="K25" s="56">
        <v>193.14</v>
      </c>
      <c r="L25" s="56">
        <v>37.08</v>
      </c>
      <c r="M25" s="56">
        <v>15.92</v>
      </c>
      <c r="N25" s="56">
        <v>165.10</v>
      </c>
      <c r="O25" s="56">
        <v>0</v>
      </c>
      <c r="P25" s="56">
        <v>0.33</v>
      </c>
      <c r="Q25" s="56">
        <v>9.25</v>
      </c>
      <c r="R25" s="43"/>
      <c r="S25" s="43"/>
      <c r="T25" s="43"/>
      <c r="U25" s="43"/>
    </row>
    <row r="26" spans="1:21" s="11" customFormat="1" ht="15">
      <c r="A26" s="55" t="s">
        <v>511</v>
      </c>
      <c r="B26" s="56">
        <v>1.57</v>
      </c>
      <c r="C26" s="56">
        <v>44.99</v>
      </c>
      <c r="D26" s="56">
        <v>24.58</v>
      </c>
      <c r="E26" s="56">
        <v>2.2599999999999998</v>
      </c>
      <c r="F26" s="56">
        <v>9.5500000000000007</v>
      </c>
      <c r="G26" s="56">
        <v>36.020000000000003</v>
      </c>
      <c r="H26" s="56">
        <v>13.41</v>
      </c>
      <c r="I26" s="56">
        <v>6.64</v>
      </c>
      <c r="J26" s="56">
        <v>0.55000000000000004</v>
      </c>
      <c r="K26" s="56">
        <v>243.81</v>
      </c>
      <c r="L26" s="56">
        <v>36.28</v>
      </c>
      <c r="M26" s="56">
        <v>20.66</v>
      </c>
      <c r="N26" s="56">
        <v>74.099999999999994</v>
      </c>
      <c r="O26" s="56">
        <v>0</v>
      </c>
      <c r="P26" s="56">
        <v>0.34</v>
      </c>
      <c r="Q26" s="56">
        <v>9.35</v>
      </c>
      <c r="R26" s="43"/>
      <c r="S26" s="43"/>
      <c r="T26" s="43"/>
      <c r="U26" s="43"/>
    </row>
    <row r="27" spans="1:21" s="11" customFormat="1" ht="15">
      <c r="A27" s="55" t="s">
        <v>512</v>
      </c>
      <c r="B27" s="56">
        <v>2.2999999999999998</v>
      </c>
      <c r="C27" s="56">
        <v>55.57</v>
      </c>
      <c r="D27" s="56">
        <v>30.67</v>
      </c>
      <c r="E27" s="56">
        <v>2.29</v>
      </c>
      <c r="F27" s="56">
        <v>7.41</v>
      </c>
      <c r="G27" s="56">
        <v>43.60</v>
      </c>
      <c r="H27" s="56">
        <v>13.97</v>
      </c>
      <c r="I27" s="56">
        <v>5.83</v>
      </c>
      <c r="J27" s="56">
        <v>0.30</v>
      </c>
      <c r="K27" s="56">
        <v>275.42</v>
      </c>
      <c r="L27" s="56">
        <v>33.94</v>
      </c>
      <c r="M27" s="56">
        <v>23.55</v>
      </c>
      <c r="N27" s="56">
        <v>21</v>
      </c>
      <c r="O27" s="56">
        <v>0</v>
      </c>
      <c r="P27" s="56">
        <v>0.51</v>
      </c>
      <c r="Q27" s="56">
        <v>9.32</v>
      </c>
      <c r="R27" s="43"/>
      <c r="S27" s="43"/>
      <c r="T27" s="43"/>
      <c r="U27" s="43"/>
    </row>
    <row r="28" spans="1:21" s="11" customFormat="1" ht="15">
      <c r="A28" s="55" t="s">
        <v>513</v>
      </c>
      <c r="B28" s="56">
        <v>5.26</v>
      </c>
      <c r="C28" s="56">
        <v>53.29</v>
      </c>
      <c r="D28" s="56">
        <v>29.89</v>
      </c>
      <c r="E28" s="56">
        <v>2.2000000000000002</v>
      </c>
      <c r="F28" s="56">
        <v>4.34</v>
      </c>
      <c r="G28" s="56">
        <v>63.46</v>
      </c>
      <c r="H28" s="56">
        <v>17.489999999999998</v>
      </c>
      <c r="I28" s="56">
        <v>6.39</v>
      </c>
      <c r="J28" s="56">
        <v>0.64</v>
      </c>
      <c r="K28" s="56">
        <v>227.11</v>
      </c>
      <c r="L28" s="56">
        <v>33.119999999999997</v>
      </c>
      <c r="M28" s="56">
        <v>27.97</v>
      </c>
      <c r="N28" s="56">
        <v>15.30</v>
      </c>
      <c r="O28" s="56">
        <v>0</v>
      </c>
      <c r="P28" s="56">
        <v>0.61</v>
      </c>
      <c r="Q28" s="56">
        <v>9.34</v>
      </c>
      <c r="R28" s="43"/>
      <c r="S28" s="43"/>
      <c r="T28" s="43"/>
      <c r="U28" s="43"/>
    </row>
    <row r="29" spans="1:21" s="11" customFormat="1" ht="15">
      <c r="A29" s="55" t="s">
        <v>514</v>
      </c>
      <c r="B29" s="56">
        <v>18.80</v>
      </c>
      <c r="C29" s="56">
        <v>50.79</v>
      </c>
      <c r="D29" s="56">
        <v>41.23</v>
      </c>
      <c r="E29" s="56">
        <v>1.77</v>
      </c>
      <c r="F29" s="56">
        <v>3.74</v>
      </c>
      <c r="G29" s="56">
        <v>69.83</v>
      </c>
      <c r="H29" s="56">
        <v>18.96</v>
      </c>
      <c r="I29" s="56">
        <v>8.34</v>
      </c>
      <c r="J29" s="56">
        <v>0.10</v>
      </c>
      <c r="K29" s="56">
        <v>305.08</v>
      </c>
      <c r="L29" s="56">
        <v>30.94</v>
      </c>
      <c r="M29" s="56">
        <v>41.86</v>
      </c>
      <c r="N29" s="56">
        <v>15.5</v>
      </c>
      <c r="O29" s="56">
        <v>0</v>
      </c>
      <c r="P29" s="56">
        <v>0.95</v>
      </c>
      <c r="Q29" s="56">
        <v>9.44</v>
      </c>
      <c r="R29" s="43"/>
      <c r="S29" s="43"/>
      <c r="T29" s="43"/>
      <c r="U29" s="43"/>
    </row>
    <row r="30" spans="1:21" s="11" customFormat="1" ht="15">
      <c r="A30" s="55" t="s">
        <v>515</v>
      </c>
      <c r="B30" s="56">
        <v>50.31</v>
      </c>
      <c r="C30" s="56">
        <v>58.25</v>
      </c>
      <c r="D30" s="56">
        <v>69.099999999999994</v>
      </c>
      <c r="E30" s="56">
        <v>2.12</v>
      </c>
      <c r="F30" s="56">
        <v>3.41</v>
      </c>
      <c r="G30" s="56">
        <v>109.92</v>
      </c>
      <c r="H30" s="56">
        <v>23.03</v>
      </c>
      <c r="I30" s="56">
        <v>10.64</v>
      </c>
      <c r="J30" s="56">
        <v>0.34</v>
      </c>
      <c r="K30" s="56">
        <v>343.98</v>
      </c>
      <c r="L30" s="56">
        <v>28.68</v>
      </c>
      <c r="M30" s="56">
        <v>46.80</v>
      </c>
      <c r="N30" s="56">
        <v>15.10</v>
      </c>
      <c r="O30" s="56">
        <v>0</v>
      </c>
      <c r="P30" s="56">
        <v>1.46</v>
      </c>
      <c r="Q30" s="56">
        <v>9.7899999999999991</v>
      </c>
      <c r="R30" s="43"/>
      <c r="S30" s="43"/>
      <c r="T30" s="43"/>
      <c r="U30" s="43"/>
    </row>
    <row r="31" spans="1:21" s="11" customFormat="1" ht="15">
      <c r="A31" s="55" t="s">
        <v>516</v>
      </c>
      <c r="B31" s="56">
        <v>54.47</v>
      </c>
      <c r="C31" s="56">
        <v>54.62</v>
      </c>
      <c r="D31" s="56">
        <v>71.70</v>
      </c>
      <c r="E31" s="56">
        <v>2.2200000000000002</v>
      </c>
      <c r="F31" s="56">
        <v>3.62</v>
      </c>
      <c r="G31" s="56">
        <v>135.41</v>
      </c>
      <c r="H31" s="56">
        <v>27.25</v>
      </c>
      <c r="I31" s="56">
        <v>10.76</v>
      </c>
      <c r="J31" s="56">
        <v>0.27</v>
      </c>
      <c r="K31" s="56">
        <v>343.90</v>
      </c>
      <c r="L31" s="56">
        <v>29.19</v>
      </c>
      <c r="M31" s="56">
        <v>39.53</v>
      </c>
      <c r="N31" s="56">
        <v>15.40</v>
      </c>
      <c r="O31" s="56">
        <v>0</v>
      </c>
      <c r="P31" s="56">
        <v>1.48</v>
      </c>
      <c r="Q31" s="56">
        <v>9.98</v>
      </c>
      <c r="R31" s="43"/>
      <c r="S31" s="43"/>
      <c r="T31" s="43"/>
      <c r="U31" s="43"/>
    </row>
    <row r="32" spans="1:21" s="11" customFormat="1" ht="15">
      <c r="A32" s="55" t="s">
        <v>517</v>
      </c>
      <c r="B32" s="56">
        <v>54.05</v>
      </c>
      <c r="C32" s="56">
        <v>52.01</v>
      </c>
      <c r="D32" s="56">
        <v>70.430000000000007</v>
      </c>
      <c r="E32" s="56">
        <v>2.68</v>
      </c>
      <c r="F32" s="56">
        <v>3.62</v>
      </c>
      <c r="G32" s="56">
        <v>105.69</v>
      </c>
      <c r="H32" s="56">
        <v>27.82</v>
      </c>
      <c r="I32" s="56">
        <v>10.119999999999999</v>
      </c>
      <c r="J32" s="56">
        <v>0.19</v>
      </c>
      <c r="K32" s="56">
        <v>294.12</v>
      </c>
      <c r="L32" s="56">
        <v>27.87</v>
      </c>
      <c r="M32" s="56">
        <v>47.60</v>
      </c>
      <c r="N32" s="56">
        <v>15.40</v>
      </c>
      <c r="O32" s="56">
        <v>0</v>
      </c>
      <c r="P32" s="56">
        <v>1.44</v>
      </c>
      <c r="Q32" s="56">
        <v>9.90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32.469999999999999</v>
      </c>
      <c r="D34" s="28">
        <f t="shared" si="0"/>
        <v>20.190000000000001</v>
      </c>
      <c r="E34" s="28">
        <f t="shared" si="0"/>
        <v>1.27</v>
      </c>
      <c r="F34" s="28">
        <f t="shared" si="0"/>
        <v>3.4100000000000001</v>
      </c>
      <c r="G34" s="28">
        <f t="shared" si="0"/>
        <v>15.039999999999999</v>
      </c>
      <c r="H34" s="28">
        <f t="shared" si="0"/>
        <v>13.41</v>
      </c>
      <c r="I34" s="28">
        <f t="shared" si="0"/>
        <v>5.8300000000000001</v>
      </c>
      <c r="J34" s="28">
        <f t="shared" si="0"/>
        <v>0.080000000000000002</v>
      </c>
      <c r="K34" s="28">
        <f t="shared" si="0"/>
        <v>166.33000000000001</v>
      </c>
      <c r="L34" s="28">
        <f t="shared" si="0"/>
        <v>22.859999999999999</v>
      </c>
      <c r="M34" s="28">
        <f t="shared" si="0"/>
        <v>13.09</v>
      </c>
      <c r="N34" s="28">
        <f t="shared" si="0"/>
        <v>15.1</v>
      </c>
      <c r="O34" s="28">
        <f t="shared" si="0"/>
        <v>0</v>
      </c>
      <c r="P34" s="28">
        <f t="shared" si="0"/>
        <v>0.33000000000000002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54.469999999999999</v>
      </c>
      <c r="C35" s="29">
        <f t="shared" si="1"/>
        <v>58.25</v>
      </c>
      <c r="D35" s="29">
        <f t="shared" si="1"/>
        <v>71.700000000000003</v>
      </c>
      <c r="E35" s="29">
        <f t="shared" si="1"/>
        <v>2.6800000000000002</v>
      </c>
      <c r="F35" s="29">
        <f t="shared" si="1"/>
        <v>9.7799999999999994</v>
      </c>
      <c r="G35" s="29">
        <f t="shared" si="1"/>
        <v>160.11000000000001</v>
      </c>
      <c r="H35" s="29">
        <f t="shared" si="1"/>
        <v>32.210000000000001</v>
      </c>
      <c r="I35" s="29">
        <f t="shared" si="1"/>
        <v>12.470000000000001</v>
      </c>
      <c r="J35" s="29">
        <f t="shared" si="1"/>
        <v>1.46</v>
      </c>
      <c r="K35" s="29">
        <f t="shared" si="1"/>
        <v>355.76999999999998</v>
      </c>
      <c r="L35" s="29">
        <f t="shared" si="1"/>
        <v>41.960000000000001</v>
      </c>
      <c r="M35" s="29">
        <f t="shared" si="1"/>
        <v>63.659999999999997</v>
      </c>
      <c r="N35" s="29">
        <f t="shared" si="1"/>
        <v>989</v>
      </c>
      <c r="O35" s="29">
        <f t="shared" si="1"/>
        <v>0</v>
      </c>
      <c r="P35" s="29">
        <f t="shared" si="1"/>
        <v>1.48</v>
      </c>
      <c r="Q35" s="29">
        <f t="shared" si="1"/>
        <v>9.9800000000000004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16.2925</v>
      </c>
      <c r="C36" s="28">
        <f t="shared" si="2"/>
        <v>43.852916666666665</v>
      </c>
      <c r="D36" s="28">
        <f t="shared" si="2"/>
        <v>35.311250000000001</v>
      </c>
      <c r="E36" s="28">
        <f t="shared" si="2"/>
        <v>1.9300000000000004</v>
      </c>
      <c r="F36" s="28">
        <f t="shared" si="2"/>
        <v>5.3425000000000002</v>
      </c>
      <c r="G36" s="28">
        <f t="shared" si="2"/>
        <v>71.650833333333324</v>
      </c>
      <c r="H36" s="28">
        <f t="shared" si="2"/>
        <v>21.585000000000008</v>
      </c>
      <c r="I36" s="28">
        <f t="shared" si="2"/>
        <v>8.9866666666666664</v>
      </c>
      <c r="J36" s="28">
        <f t="shared" si="2"/>
        <v>0.53416666666666668</v>
      </c>
      <c r="K36" s="28">
        <f t="shared" si="2"/>
        <v>288.61791666666664</v>
      </c>
      <c r="L36" s="28">
        <f t="shared" si="2"/>
        <v>32.540833333333332</v>
      </c>
      <c r="M36" s="28">
        <f t="shared" si="2"/>
        <v>35.698333333333331</v>
      </c>
      <c r="N36" s="28">
        <f t="shared" si="2"/>
        <v>313.79166666666669</v>
      </c>
      <c r="O36" s="28">
        <f t="shared" si="2"/>
        <v>0</v>
      </c>
      <c r="P36" s="28">
        <f t="shared" si="2"/>
        <v>0.72000000000000008</v>
      </c>
      <c r="Q36" s="28">
        <f t="shared" si="2"/>
        <v>9.4233333333333302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18.685684883493494</v>
      </c>
      <c r="C37" s="28">
        <f t="shared" si="3" ref="C37:Q37">STDEV(C9:C32)</f>
        <v>8.020060435187359</v>
      </c>
      <c r="D37" s="28">
        <f t="shared" si="3"/>
        <v>16.393621058602125</v>
      </c>
      <c r="E37" s="28">
        <f t="shared" si="3"/>
        <v>0.33716206914414881</v>
      </c>
      <c r="F37" s="28">
        <f t="shared" si="3"/>
        <v>2.2809670908553734</v>
      </c>
      <c r="G37" s="28">
        <f t="shared" si="3"/>
        <v>36.135166650239498</v>
      </c>
      <c r="H37" s="28">
        <f t="shared" si="3"/>
        <v>5.4257886623693059</v>
      </c>
      <c r="I37" s="28">
        <f t="shared" si="3"/>
        <v>2.0805949539299595</v>
      </c>
      <c r="J37" s="28">
        <f t="shared" si="3"/>
        <v>0.44910458418527843</v>
      </c>
      <c r="K37" s="28">
        <f t="shared" si="3"/>
        <v>58.003453718697969</v>
      </c>
      <c r="L37" s="28">
        <f t="shared" si="3"/>
        <v>6.2919996936528788</v>
      </c>
      <c r="M37" s="28">
        <f t="shared" si="3"/>
        <v>18.319567269112468</v>
      </c>
      <c r="N37" s="28">
        <f t="shared" si="3"/>
        <v>383.61190750511139</v>
      </c>
      <c r="O37" s="28">
        <f t="shared" si="3"/>
        <v>0</v>
      </c>
      <c r="P37" s="28">
        <f t="shared" si="3"/>
        <v>0.33038844068630857</v>
      </c>
      <c r="Q37" s="28">
        <f t="shared" si="3"/>
        <v>0.21818752737378788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7b0536-5ba9-4a71-994b-bb5b858dff2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518</v>
      </c>
      <c r="B9" s="56">
        <v>52.57</v>
      </c>
      <c r="C9" s="56">
        <v>50.58</v>
      </c>
      <c r="D9" s="56">
        <v>67.91</v>
      </c>
      <c r="E9" s="56">
        <v>2.94</v>
      </c>
      <c r="F9" s="56">
        <v>3.84</v>
      </c>
      <c r="G9" s="56">
        <v>90.72</v>
      </c>
      <c r="H9" s="56">
        <v>26.51</v>
      </c>
      <c r="I9" s="56">
        <v>9.49</v>
      </c>
      <c r="J9" s="56">
        <v>0.12</v>
      </c>
      <c r="K9" s="56">
        <v>346.77</v>
      </c>
      <c r="L9" s="56">
        <v>26.54</v>
      </c>
      <c r="M9" s="56">
        <v>54.29</v>
      </c>
      <c r="N9" s="56">
        <v>15</v>
      </c>
      <c r="O9" s="56">
        <v>0</v>
      </c>
      <c r="P9" s="56">
        <v>1.37</v>
      </c>
      <c r="Q9" s="56">
        <v>9.77</v>
      </c>
      <c r="R9" s="43"/>
      <c r="S9" s="43"/>
      <c r="T9" s="43"/>
      <c r="U9" s="43"/>
    </row>
    <row r="10" spans="1:21" s="11" customFormat="1" ht="15">
      <c r="A10" s="55" t="s">
        <v>519</v>
      </c>
      <c r="B10" s="56">
        <v>51.53</v>
      </c>
      <c r="C10" s="56">
        <v>45.30</v>
      </c>
      <c r="D10" s="56">
        <v>64.91</v>
      </c>
      <c r="E10" s="56">
        <v>3.10</v>
      </c>
      <c r="F10" s="56">
        <v>3.78</v>
      </c>
      <c r="G10" s="56">
        <v>102.12</v>
      </c>
      <c r="H10" s="56">
        <v>26.44</v>
      </c>
      <c r="I10" s="56">
        <v>9.35</v>
      </c>
      <c r="J10" s="56">
        <v>0.19</v>
      </c>
      <c r="K10" s="56">
        <v>335.90</v>
      </c>
      <c r="L10" s="56">
        <v>26.21</v>
      </c>
      <c r="M10" s="56">
        <v>58.70</v>
      </c>
      <c r="N10" s="56">
        <v>15.20</v>
      </c>
      <c r="O10" s="56">
        <v>0</v>
      </c>
      <c r="P10" s="56">
        <v>1.20</v>
      </c>
      <c r="Q10" s="56">
        <v>9.76</v>
      </c>
      <c r="R10" s="43"/>
      <c r="S10" s="43"/>
      <c r="T10" s="43"/>
      <c r="U10" s="43"/>
    </row>
    <row r="11" spans="1:21" s="11" customFormat="1" ht="15">
      <c r="A11" s="55" t="s">
        <v>520</v>
      </c>
      <c r="B11" s="56">
        <v>48.47</v>
      </c>
      <c r="C11" s="56">
        <v>43.58</v>
      </c>
      <c r="D11" s="56">
        <v>60.86</v>
      </c>
      <c r="E11" s="56">
        <v>3.02</v>
      </c>
      <c r="F11" s="56">
        <v>3.58</v>
      </c>
      <c r="G11" s="56">
        <v>92.03</v>
      </c>
      <c r="H11" s="56">
        <v>27.39</v>
      </c>
      <c r="I11" s="56">
        <v>10.01</v>
      </c>
      <c r="J11" s="56">
        <v>0.36</v>
      </c>
      <c r="K11" s="56">
        <v>280.61</v>
      </c>
      <c r="L11" s="56">
        <v>26.03</v>
      </c>
      <c r="M11" s="56">
        <v>51.35</v>
      </c>
      <c r="N11" s="56">
        <v>14.90</v>
      </c>
      <c r="O11" s="56">
        <v>0</v>
      </c>
      <c r="P11" s="56">
        <v>1.1499999999999999</v>
      </c>
      <c r="Q11" s="56">
        <v>9.85</v>
      </c>
      <c r="R11" s="43"/>
      <c r="S11" s="43"/>
      <c r="T11" s="43"/>
      <c r="U11" s="43"/>
    </row>
    <row r="12" spans="1:21" s="11" customFormat="1" ht="15">
      <c r="A12" s="55" t="s">
        <v>521</v>
      </c>
      <c r="B12" s="56">
        <v>38.770000000000003</v>
      </c>
      <c r="C12" s="56">
        <v>42.79</v>
      </c>
      <c r="D12" s="56">
        <v>53.32</v>
      </c>
      <c r="E12" s="56">
        <v>2.73</v>
      </c>
      <c r="F12" s="56">
        <v>3.66</v>
      </c>
      <c r="G12" s="56">
        <v>66.319999999999993</v>
      </c>
      <c r="H12" s="56">
        <v>25.58</v>
      </c>
      <c r="I12" s="56">
        <v>9.67</v>
      </c>
      <c r="J12" s="56">
        <v>0.32</v>
      </c>
      <c r="K12" s="56">
        <v>240.69</v>
      </c>
      <c r="L12" s="56">
        <v>26.31</v>
      </c>
      <c r="M12" s="56">
        <v>53.30</v>
      </c>
      <c r="N12" s="56">
        <v>15.30</v>
      </c>
      <c r="O12" s="56">
        <v>0</v>
      </c>
      <c r="P12" s="56">
        <v>0.98</v>
      </c>
      <c r="Q12" s="56">
        <v>9.59</v>
      </c>
      <c r="R12" s="43"/>
      <c r="S12" s="43"/>
      <c r="T12" s="43"/>
      <c r="U12" s="43"/>
    </row>
    <row r="13" spans="1:21" s="11" customFormat="1" ht="15">
      <c r="A13" s="55" t="s">
        <v>522</v>
      </c>
      <c r="B13" s="56">
        <v>30.08</v>
      </c>
      <c r="C13" s="56">
        <v>41.30</v>
      </c>
      <c r="D13" s="56">
        <v>45.56</v>
      </c>
      <c r="E13" s="56">
        <v>3.01</v>
      </c>
      <c r="F13" s="56">
        <v>3.82</v>
      </c>
      <c r="G13" s="56">
        <v>58.27</v>
      </c>
      <c r="H13" s="56">
        <v>22.59</v>
      </c>
      <c r="I13" s="56">
        <v>8.9499999999999993</v>
      </c>
      <c r="J13" s="56">
        <v>0.51</v>
      </c>
      <c r="K13" s="56">
        <v>359.76</v>
      </c>
      <c r="L13" s="56">
        <v>26.08</v>
      </c>
      <c r="M13" s="56">
        <v>50.51</v>
      </c>
      <c r="N13" s="56">
        <v>15.20</v>
      </c>
      <c r="O13" s="56">
        <v>0</v>
      </c>
      <c r="P13" s="56">
        <v>0.83</v>
      </c>
      <c r="Q13" s="56">
        <v>9.77</v>
      </c>
      <c r="R13" s="43"/>
      <c r="S13" s="43"/>
      <c r="T13" s="43"/>
      <c r="U13" s="43"/>
    </row>
    <row r="14" spans="1:21" s="11" customFormat="1" ht="15">
      <c r="A14" s="55" t="s">
        <v>523</v>
      </c>
      <c r="B14" s="56">
        <v>30.34</v>
      </c>
      <c r="C14" s="56">
        <v>40.369999999999997</v>
      </c>
      <c r="D14" s="56">
        <v>45.34</v>
      </c>
      <c r="E14" s="56">
        <v>2.64</v>
      </c>
      <c r="F14" s="56">
        <v>3.91</v>
      </c>
      <c r="G14" s="56">
        <v>53.19</v>
      </c>
      <c r="H14" s="56">
        <v>19.059999999999999</v>
      </c>
      <c r="I14" s="56">
        <v>8.24</v>
      </c>
      <c r="J14" s="56">
        <v>0.36</v>
      </c>
      <c r="K14" s="56">
        <v>332.78</v>
      </c>
      <c r="L14" s="56">
        <v>25.52</v>
      </c>
      <c r="M14" s="56">
        <v>60.20</v>
      </c>
      <c r="N14" s="56">
        <v>37.700000000000003</v>
      </c>
      <c r="O14" s="56">
        <v>0</v>
      </c>
      <c r="P14" s="56">
        <v>0.75</v>
      </c>
      <c r="Q14" s="56">
        <v>9.49</v>
      </c>
      <c r="R14" s="43"/>
      <c r="S14" s="43"/>
      <c r="T14" s="43"/>
      <c r="U14" s="43"/>
    </row>
    <row r="15" spans="1:21" s="11" customFormat="1" ht="15">
      <c r="A15" s="55" t="s">
        <v>524</v>
      </c>
      <c r="B15" s="56">
        <v>51.5</v>
      </c>
      <c r="C15" s="56">
        <v>43.37</v>
      </c>
      <c r="D15" s="56">
        <v>63.88</v>
      </c>
      <c r="E15" s="56">
        <v>3.04</v>
      </c>
      <c r="F15" s="56">
        <v>3.99</v>
      </c>
      <c r="G15" s="56">
        <v>91.38</v>
      </c>
      <c r="H15" s="56">
        <v>22.30</v>
      </c>
      <c r="I15" s="56">
        <v>9.36</v>
      </c>
      <c r="J15" s="56">
        <v>0.19</v>
      </c>
      <c r="K15" s="56">
        <v>355.82</v>
      </c>
      <c r="L15" s="56">
        <v>29.77</v>
      </c>
      <c r="M15" s="56">
        <v>62.65</v>
      </c>
      <c r="N15" s="56">
        <v>140.40</v>
      </c>
      <c r="O15" s="56">
        <v>0</v>
      </c>
      <c r="P15" s="56">
        <v>0.85</v>
      </c>
      <c r="Q15" s="56">
        <v>9.7200000000000006</v>
      </c>
      <c r="R15" s="43"/>
      <c r="S15" s="43"/>
      <c r="T15" s="43"/>
      <c r="U15" s="43"/>
    </row>
    <row r="16" spans="1:21" s="11" customFormat="1" ht="15">
      <c r="A16" s="55" t="s">
        <v>525</v>
      </c>
      <c r="B16" s="56">
        <v>55.19</v>
      </c>
      <c r="C16" s="56">
        <v>45.5</v>
      </c>
      <c r="D16" s="56">
        <v>67.739999999999995</v>
      </c>
      <c r="E16" s="56">
        <v>3.07</v>
      </c>
      <c r="F16" s="56">
        <v>3.73</v>
      </c>
      <c r="G16" s="56">
        <v>177.16</v>
      </c>
      <c r="H16" s="56">
        <v>29.49</v>
      </c>
      <c r="I16" s="56">
        <v>10.050000000000001</v>
      </c>
      <c r="J16" s="56">
        <v>0.51</v>
      </c>
      <c r="K16" s="56">
        <v>256.37</v>
      </c>
      <c r="L16" s="56">
        <v>30.14</v>
      </c>
      <c r="M16" s="56">
        <v>40.74</v>
      </c>
      <c r="N16" s="56">
        <v>405.5</v>
      </c>
      <c r="O16" s="56">
        <v>0</v>
      </c>
      <c r="P16" s="56">
        <v>0.86</v>
      </c>
      <c r="Q16" s="56">
        <v>9.75</v>
      </c>
      <c r="R16" s="43"/>
      <c r="S16" s="43"/>
      <c r="T16" s="43"/>
      <c r="U16" s="43"/>
    </row>
    <row r="17" spans="1:21" s="11" customFormat="1" ht="15">
      <c r="A17" s="55" t="s">
        <v>526</v>
      </c>
      <c r="B17" s="56">
        <v>41.62</v>
      </c>
      <c r="C17" s="56">
        <v>45.77</v>
      </c>
      <c r="D17" s="56">
        <v>56.48</v>
      </c>
      <c r="E17" s="56">
        <v>2.15</v>
      </c>
      <c r="F17" s="56">
        <v>3.80</v>
      </c>
      <c r="G17" s="56">
        <v>64.83</v>
      </c>
      <c r="H17" s="56">
        <v>28.16</v>
      </c>
      <c r="I17" s="56">
        <v>9.57</v>
      </c>
      <c r="J17" s="56">
        <v>0.99</v>
      </c>
      <c r="K17" s="56">
        <v>205.64</v>
      </c>
      <c r="L17" s="56">
        <v>30.72</v>
      </c>
      <c r="M17" s="56">
        <v>39.86</v>
      </c>
      <c r="N17" s="56">
        <v>598.29999999999995</v>
      </c>
      <c r="O17" s="56">
        <v>0</v>
      </c>
      <c r="P17" s="56">
        <v>0.76</v>
      </c>
      <c r="Q17" s="56">
        <v>9.56</v>
      </c>
      <c r="R17" s="43"/>
      <c r="S17" s="43"/>
      <c r="T17" s="43"/>
      <c r="U17" s="43"/>
    </row>
    <row r="18" spans="1:21" s="11" customFormat="1" ht="15">
      <c r="A18" s="55" t="s">
        <v>527</v>
      </c>
      <c r="B18" s="56">
        <v>23.14</v>
      </c>
      <c r="C18" s="56">
        <v>46.96</v>
      </c>
      <c r="D18" s="56">
        <v>42.24</v>
      </c>
      <c r="E18" s="56">
        <v>1.82</v>
      </c>
      <c r="F18" s="56">
        <v>4.07</v>
      </c>
      <c r="G18" s="56">
        <v>40.06</v>
      </c>
      <c r="H18" s="56">
        <v>24.11</v>
      </c>
      <c r="I18" s="56">
        <v>8.41</v>
      </c>
      <c r="J18" s="56">
        <v>0.64</v>
      </c>
      <c r="K18" s="56">
        <v>215.78</v>
      </c>
      <c r="L18" s="56">
        <v>33.54</v>
      </c>
      <c r="M18" s="56">
        <v>40.51</v>
      </c>
      <c r="N18" s="56">
        <v>752.5</v>
      </c>
      <c r="O18" s="56">
        <v>0</v>
      </c>
      <c r="P18" s="56">
        <v>0.63</v>
      </c>
      <c r="Q18" s="56">
        <v>9.41</v>
      </c>
      <c r="R18" s="43"/>
      <c r="S18" s="43"/>
      <c r="T18" s="43"/>
      <c r="U18" s="43"/>
    </row>
    <row r="19" spans="1:21" s="11" customFormat="1" ht="15">
      <c r="A19" s="55" t="s">
        <v>528</v>
      </c>
      <c r="B19" s="56">
        <v>9.65</v>
      </c>
      <c r="C19" s="56">
        <v>46.88</v>
      </c>
      <c r="D19" s="56">
        <v>32.159999999999997</v>
      </c>
      <c r="E19" s="56">
        <v>1.97</v>
      </c>
      <c r="F19" s="56">
        <v>7.53</v>
      </c>
      <c r="G19" s="56">
        <v>44.88</v>
      </c>
      <c r="H19" s="56">
        <v>23.37</v>
      </c>
      <c r="I19" s="56">
        <v>8.17</v>
      </c>
      <c r="J19" s="56">
        <v>0.55000000000000004</v>
      </c>
      <c r="K19" s="56">
        <v>180.07</v>
      </c>
      <c r="L19" s="56">
        <v>35.799999999999997</v>
      </c>
      <c r="M19" s="56">
        <v>33.36</v>
      </c>
      <c r="N19" s="56">
        <v>863.10</v>
      </c>
      <c r="O19" s="56">
        <v>0</v>
      </c>
      <c r="P19" s="56">
        <v>0.56999999999999995</v>
      </c>
      <c r="Q19" s="56">
        <v>9.39</v>
      </c>
      <c r="R19" s="43"/>
      <c r="S19" s="43"/>
      <c r="T19" s="43"/>
      <c r="U19" s="43"/>
    </row>
    <row r="20" spans="1:21" s="11" customFormat="1" ht="15">
      <c r="A20" s="55" t="s">
        <v>529</v>
      </c>
      <c r="B20" s="56">
        <v>2.37</v>
      </c>
      <c r="C20" s="56">
        <v>46.53</v>
      </c>
      <c r="D20" s="56">
        <v>25.85</v>
      </c>
      <c r="E20" s="56">
        <v>2.09</v>
      </c>
      <c r="F20" s="56">
        <v>8.85</v>
      </c>
      <c r="G20" s="56">
        <v>29.59</v>
      </c>
      <c r="H20" s="56">
        <v>21.80</v>
      </c>
      <c r="I20" s="56">
        <v>8.1999999999999993</v>
      </c>
      <c r="J20" s="56">
        <v>0.61</v>
      </c>
      <c r="K20" s="56">
        <v>332.04</v>
      </c>
      <c r="L20" s="56">
        <v>37.68</v>
      </c>
      <c r="M20" s="56">
        <v>22.86</v>
      </c>
      <c r="N20" s="56">
        <v>867.40</v>
      </c>
      <c r="O20" s="56">
        <v>0</v>
      </c>
      <c r="P20" s="56">
        <v>0.51</v>
      </c>
      <c r="Q20" s="56">
        <v>9.2100000000000009</v>
      </c>
      <c r="R20" s="43"/>
      <c r="S20" s="43"/>
      <c r="T20" s="43"/>
      <c r="U20" s="43"/>
    </row>
    <row r="21" spans="1:21" s="11" customFormat="1" ht="15">
      <c r="A21" s="55" t="s">
        <v>530</v>
      </c>
      <c r="B21" s="56">
        <v>1.59</v>
      </c>
      <c r="C21" s="56">
        <v>42.72</v>
      </c>
      <c r="D21" s="56">
        <v>23.45</v>
      </c>
      <c r="E21" s="56">
        <v>2.29</v>
      </c>
      <c r="F21" s="56">
        <v>17.239999999999998</v>
      </c>
      <c r="G21" s="56">
        <v>79.680000000000007</v>
      </c>
      <c r="H21" s="56">
        <v>24.19</v>
      </c>
      <c r="I21" s="56">
        <v>7.82</v>
      </c>
      <c r="J21" s="56">
        <v>1.05</v>
      </c>
      <c r="K21" s="56">
        <v>142.38999999999999</v>
      </c>
      <c r="L21" s="56">
        <v>39.26</v>
      </c>
      <c r="M21" s="56">
        <v>19.190000000000001</v>
      </c>
      <c r="N21" s="56">
        <v>859.70</v>
      </c>
      <c r="O21" s="56">
        <v>0</v>
      </c>
      <c r="P21" s="56">
        <v>0.45</v>
      </c>
      <c r="Q21" s="56">
        <v>9.18</v>
      </c>
      <c r="R21" s="43"/>
      <c r="S21" s="43"/>
      <c r="T21" s="43"/>
      <c r="U21" s="43"/>
    </row>
    <row r="22" spans="1:21" s="11" customFormat="1" ht="15">
      <c r="A22" s="55" t="s">
        <v>531</v>
      </c>
      <c r="B22" s="56">
        <v>1.46</v>
      </c>
      <c r="C22" s="56">
        <v>35.93</v>
      </c>
      <c r="D22" s="56">
        <v>19.87</v>
      </c>
      <c r="E22" s="56">
        <v>2.2799999999999998</v>
      </c>
      <c r="F22" s="56">
        <v>11.28</v>
      </c>
      <c r="G22" s="56">
        <v>20.03</v>
      </c>
      <c r="H22" s="56">
        <v>21.85</v>
      </c>
      <c r="I22" s="56">
        <v>7.88</v>
      </c>
      <c r="J22" s="56">
        <v>0.86</v>
      </c>
      <c r="K22" s="56">
        <v>151.78</v>
      </c>
      <c r="L22" s="56">
        <v>37.869999999999997</v>
      </c>
      <c r="M22" s="56">
        <v>16.48</v>
      </c>
      <c r="N22" s="56">
        <v>802.30</v>
      </c>
      <c r="O22" s="56">
        <v>0</v>
      </c>
      <c r="P22" s="56">
        <v>0.44</v>
      </c>
      <c r="Q22" s="56">
        <v>9.2100000000000009</v>
      </c>
      <c r="R22" s="43"/>
      <c r="S22" s="43"/>
      <c r="T22" s="43"/>
      <c r="U22" s="43"/>
    </row>
    <row r="23" spans="1:21" s="11" customFormat="1" ht="15">
      <c r="A23" s="55" t="s">
        <v>532</v>
      </c>
      <c r="B23" s="56">
        <v>1.53</v>
      </c>
      <c r="C23" s="56">
        <v>34.450000000000003</v>
      </c>
      <c r="D23" s="56">
        <v>19.14</v>
      </c>
      <c r="E23" s="56">
        <v>1.91</v>
      </c>
      <c r="F23" s="56">
        <v>8.1300000000000008</v>
      </c>
      <c r="G23" s="56">
        <v>71.87</v>
      </c>
      <c r="H23" s="56">
        <v>17.87</v>
      </c>
      <c r="I23" s="56">
        <v>7.42</v>
      </c>
      <c r="J23" s="56">
        <v>0.84</v>
      </c>
      <c r="K23" s="56">
        <v>342.76</v>
      </c>
      <c r="L23" s="56">
        <v>38.450000000000003</v>
      </c>
      <c r="M23" s="56">
        <v>16.71</v>
      </c>
      <c r="N23" s="56">
        <v>593</v>
      </c>
      <c r="O23" s="56">
        <v>0</v>
      </c>
      <c r="P23" s="56">
        <v>0.38</v>
      </c>
      <c r="Q23" s="56">
        <v>9.19</v>
      </c>
      <c r="R23" s="43"/>
      <c r="S23" s="43"/>
      <c r="T23" s="43"/>
      <c r="U23" s="43"/>
    </row>
    <row r="24" spans="1:21" s="11" customFormat="1" ht="15">
      <c r="A24" s="55" t="s">
        <v>533</v>
      </c>
      <c r="B24" s="56">
        <v>1.77</v>
      </c>
      <c r="C24" s="56">
        <v>37.89</v>
      </c>
      <c r="D24" s="56">
        <v>20.84</v>
      </c>
      <c r="E24" s="56">
        <v>2.0499999999999998</v>
      </c>
      <c r="F24" s="56">
        <v>10.75</v>
      </c>
      <c r="G24" s="56">
        <v>39.799999999999997</v>
      </c>
      <c r="H24" s="56">
        <v>25.82</v>
      </c>
      <c r="I24" s="56">
        <v>8.23</v>
      </c>
      <c r="J24" s="56">
        <v>0.93</v>
      </c>
      <c r="K24" s="56">
        <v>348.05</v>
      </c>
      <c r="L24" s="56">
        <v>38.42</v>
      </c>
      <c r="M24" s="56">
        <v>18.84</v>
      </c>
      <c r="N24" s="56">
        <v>325.20</v>
      </c>
      <c r="O24" s="56">
        <v>0</v>
      </c>
      <c r="P24" s="56">
        <v>0.38</v>
      </c>
      <c r="Q24" s="56">
        <v>9.27</v>
      </c>
      <c r="R24" s="43"/>
      <c r="S24" s="43"/>
      <c r="T24" s="43"/>
      <c r="U24" s="43"/>
    </row>
    <row r="25" spans="1:21" s="11" customFormat="1" ht="15">
      <c r="A25" s="55" t="s">
        <v>534</v>
      </c>
      <c r="B25" s="56">
        <v>1.77</v>
      </c>
      <c r="C25" s="56">
        <v>39.56</v>
      </c>
      <c r="D25" s="56">
        <v>22.01</v>
      </c>
      <c r="E25" s="56">
        <v>1.93</v>
      </c>
      <c r="F25" s="56">
        <v>8.73</v>
      </c>
      <c r="G25" s="56">
        <v>52.66</v>
      </c>
      <c r="H25" s="56">
        <v>21.35</v>
      </c>
      <c r="I25" s="56">
        <v>7.83</v>
      </c>
      <c r="J25" s="56">
        <v>0.77</v>
      </c>
      <c r="K25" s="56">
        <v>339.41</v>
      </c>
      <c r="L25" s="56">
        <v>36.65</v>
      </c>
      <c r="M25" s="56">
        <v>20.309999999999999</v>
      </c>
      <c r="N25" s="56">
        <v>154.90</v>
      </c>
      <c r="O25" s="56">
        <v>0</v>
      </c>
      <c r="P25" s="56">
        <v>0.41</v>
      </c>
      <c r="Q25" s="56">
        <v>9.32</v>
      </c>
      <c r="R25" s="43"/>
      <c r="S25" s="43"/>
      <c r="T25" s="43"/>
      <c r="U25" s="43"/>
    </row>
    <row r="26" spans="1:21" s="11" customFormat="1" ht="15">
      <c r="A26" s="55" t="s">
        <v>535</v>
      </c>
      <c r="B26" s="56">
        <v>1.55</v>
      </c>
      <c r="C26" s="56">
        <v>34.96</v>
      </c>
      <c r="D26" s="56">
        <v>19.350000000000001</v>
      </c>
      <c r="E26" s="56">
        <v>1.95</v>
      </c>
      <c r="F26" s="56">
        <v>8.74</v>
      </c>
      <c r="G26" s="56">
        <v>20.97</v>
      </c>
      <c r="H26" s="56">
        <v>20.12</v>
      </c>
      <c r="I26" s="56">
        <v>7.12</v>
      </c>
      <c r="J26" s="56">
        <v>0.68</v>
      </c>
      <c r="K26" s="56">
        <v>203.24</v>
      </c>
      <c r="L26" s="56">
        <v>35.65</v>
      </c>
      <c r="M26" s="56">
        <v>23.91</v>
      </c>
      <c r="N26" s="56">
        <v>77.099999999999994</v>
      </c>
      <c r="O26" s="56">
        <v>0</v>
      </c>
      <c r="P26" s="56">
        <v>0.42</v>
      </c>
      <c r="Q26" s="56">
        <v>9.23</v>
      </c>
      <c r="R26" s="43"/>
      <c r="S26" s="43"/>
      <c r="T26" s="43"/>
      <c r="U26" s="43"/>
    </row>
    <row r="27" spans="1:21" s="11" customFormat="1" ht="15">
      <c r="A27" s="55" t="s">
        <v>536</v>
      </c>
      <c r="B27" s="56">
        <v>1.35</v>
      </c>
      <c r="C27" s="56">
        <v>44.84</v>
      </c>
      <c r="D27" s="56">
        <v>24.22</v>
      </c>
      <c r="E27" s="56">
        <v>2.3199999999999998</v>
      </c>
      <c r="F27" s="56">
        <v>12.18</v>
      </c>
      <c r="G27" s="56">
        <v>56.31</v>
      </c>
      <c r="H27" s="56">
        <v>18.14</v>
      </c>
      <c r="I27" s="56">
        <v>6.66</v>
      </c>
      <c r="J27" s="56">
        <v>2.33</v>
      </c>
      <c r="K27" s="56">
        <v>209.48</v>
      </c>
      <c r="L27" s="56">
        <v>33.630000000000003</v>
      </c>
      <c r="M27" s="56">
        <v>39.21</v>
      </c>
      <c r="N27" s="56">
        <v>20.30</v>
      </c>
      <c r="O27" s="56">
        <v>0</v>
      </c>
      <c r="P27" s="56">
        <v>0.52</v>
      </c>
      <c r="Q27" s="56">
        <v>9.1999999999999993</v>
      </c>
      <c r="R27" s="43"/>
      <c r="S27" s="43"/>
      <c r="T27" s="43"/>
      <c r="U27" s="43"/>
    </row>
    <row r="28" spans="1:21" s="11" customFormat="1" ht="15">
      <c r="A28" s="55" t="s">
        <v>537</v>
      </c>
      <c r="B28" s="56">
        <v>1.60</v>
      </c>
      <c r="C28" s="56">
        <v>36.36</v>
      </c>
      <c r="D28" s="56">
        <v>19.850000000000001</v>
      </c>
      <c r="E28" s="56">
        <v>1.47</v>
      </c>
      <c r="F28" s="56">
        <v>6.71</v>
      </c>
      <c r="G28" s="56">
        <v>97.32</v>
      </c>
      <c r="H28" s="56">
        <v>25.66</v>
      </c>
      <c r="I28" s="56">
        <v>5.49</v>
      </c>
      <c r="J28" s="56">
        <v>0.84</v>
      </c>
      <c r="K28" s="56">
        <v>204.67</v>
      </c>
      <c r="L28" s="56">
        <v>29.54</v>
      </c>
      <c r="M28" s="56">
        <v>42.28</v>
      </c>
      <c r="N28" s="56">
        <v>15.60</v>
      </c>
      <c r="O28" s="56">
        <v>0</v>
      </c>
      <c r="P28" s="56">
        <v>0.44</v>
      </c>
      <c r="Q28" s="56">
        <v>9.24</v>
      </c>
      <c r="R28" s="43"/>
      <c r="S28" s="43"/>
      <c r="T28" s="43"/>
      <c r="U28" s="43"/>
    </row>
    <row r="29" spans="1:21" s="11" customFormat="1" ht="15">
      <c r="A29" s="55" t="s">
        <v>538</v>
      </c>
      <c r="B29" s="56">
        <v>2.4500000000000002</v>
      </c>
      <c r="C29" s="56">
        <v>31.59</v>
      </c>
      <c r="D29" s="56">
        <v>18.13</v>
      </c>
      <c r="E29" s="56">
        <v>1.21</v>
      </c>
      <c r="F29" s="56">
        <v>4.67</v>
      </c>
      <c r="G29" s="56">
        <v>54.53</v>
      </c>
      <c r="H29" s="56">
        <v>23.72</v>
      </c>
      <c r="I29" s="56">
        <v>5.53</v>
      </c>
      <c r="J29" s="56">
        <v>0.90</v>
      </c>
      <c r="K29" s="56">
        <v>190.52</v>
      </c>
      <c r="L29" s="56">
        <v>28.72</v>
      </c>
      <c r="M29" s="56">
        <v>43.84</v>
      </c>
      <c r="N29" s="56">
        <v>15.20</v>
      </c>
      <c r="O29" s="56">
        <v>0</v>
      </c>
      <c r="P29" s="56">
        <v>0.43</v>
      </c>
      <c r="Q29" s="56">
        <v>9.2100000000000009</v>
      </c>
      <c r="R29" s="43"/>
      <c r="S29" s="43"/>
      <c r="T29" s="43"/>
      <c r="U29" s="43"/>
    </row>
    <row r="30" spans="1:21" s="11" customFormat="1" ht="15">
      <c r="A30" s="55" t="s">
        <v>539</v>
      </c>
      <c r="B30" s="56">
        <v>2.83</v>
      </c>
      <c r="C30" s="56">
        <v>29.96</v>
      </c>
      <c r="D30" s="56">
        <v>17.850000000000001</v>
      </c>
      <c r="E30" s="56">
        <v>1.32</v>
      </c>
      <c r="F30" s="56">
        <v>4.47</v>
      </c>
      <c r="G30" s="56">
        <v>45.59</v>
      </c>
      <c r="H30" s="56">
        <v>23.18</v>
      </c>
      <c r="I30" s="56">
        <v>5.63</v>
      </c>
      <c r="J30" s="56">
        <v>0.71</v>
      </c>
      <c r="K30" s="56">
        <v>205.98</v>
      </c>
      <c r="L30" s="56">
        <v>28.19</v>
      </c>
      <c r="M30" s="56">
        <v>47.96</v>
      </c>
      <c r="N30" s="56">
        <v>15.30</v>
      </c>
      <c r="O30" s="56">
        <v>0</v>
      </c>
      <c r="P30" s="56">
        <v>0.44</v>
      </c>
      <c r="Q30" s="56">
        <v>9.23</v>
      </c>
      <c r="R30" s="43"/>
      <c r="S30" s="43"/>
      <c r="T30" s="43"/>
      <c r="U30" s="43"/>
    </row>
    <row r="31" spans="1:21" s="11" customFormat="1" ht="15">
      <c r="A31" s="55" t="s">
        <v>540</v>
      </c>
      <c r="B31" s="56">
        <v>3.05</v>
      </c>
      <c r="C31" s="56">
        <v>30.56</v>
      </c>
      <c r="D31" s="56">
        <v>18.329999999999998</v>
      </c>
      <c r="E31" s="56">
        <v>1.04</v>
      </c>
      <c r="F31" s="56">
        <v>4.42</v>
      </c>
      <c r="G31" s="56">
        <v>50.87</v>
      </c>
      <c r="H31" s="56">
        <v>22.49</v>
      </c>
      <c r="I31" s="56">
        <v>5.35</v>
      </c>
      <c r="J31" s="56">
        <v>1.31</v>
      </c>
      <c r="K31" s="56">
        <v>181.25</v>
      </c>
      <c r="L31" s="56">
        <v>27.71</v>
      </c>
      <c r="M31" s="56">
        <v>48.36</v>
      </c>
      <c r="N31" s="56">
        <v>15</v>
      </c>
      <c r="O31" s="56">
        <v>0</v>
      </c>
      <c r="P31" s="56">
        <v>0.45</v>
      </c>
      <c r="Q31" s="56">
        <v>9.2100000000000009</v>
      </c>
      <c r="R31" s="43"/>
      <c r="S31" s="43"/>
      <c r="T31" s="43"/>
      <c r="U31" s="43"/>
    </row>
    <row r="32" spans="1:21" s="11" customFormat="1" ht="15">
      <c r="A32" s="55" t="s">
        <v>541</v>
      </c>
      <c r="B32" s="56">
        <v>2.5</v>
      </c>
      <c r="C32" s="56">
        <v>30.90</v>
      </c>
      <c r="D32" s="56">
        <v>18.02</v>
      </c>
      <c r="E32" s="56">
        <v>1.66</v>
      </c>
      <c r="F32" s="56">
        <v>4.33</v>
      </c>
      <c r="G32" s="56">
        <v>39.549999999999997</v>
      </c>
      <c r="H32" s="56">
        <v>18.510000000000002</v>
      </c>
      <c r="I32" s="56">
        <v>5.18</v>
      </c>
      <c r="J32" s="56">
        <v>0.49</v>
      </c>
      <c r="K32" s="56">
        <v>194.90</v>
      </c>
      <c r="L32" s="56">
        <v>27.45</v>
      </c>
      <c r="M32" s="56">
        <v>45.90</v>
      </c>
      <c r="N32" s="56">
        <v>15.20</v>
      </c>
      <c r="O32" s="56">
        <v>0</v>
      </c>
      <c r="P32" s="56">
        <v>0.42</v>
      </c>
      <c r="Q32" s="56">
        <v>9.24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1.3500000000000001</v>
      </c>
      <c r="C34" s="28">
        <f t="shared" si="0"/>
        <v>29.960000000000001</v>
      </c>
      <c r="D34" s="28">
        <f t="shared" si="0"/>
        <v>17.850000000000001</v>
      </c>
      <c r="E34" s="28">
        <f t="shared" si="0"/>
        <v>1.04</v>
      </c>
      <c r="F34" s="28">
        <f t="shared" si="0"/>
        <v>3.5800000000000001</v>
      </c>
      <c r="G34" s="28">
        <f t="shared" si="0"/>
        <v>20.030000000000001</v>
      </c>
      <c r="H34" s="28">
        <f t="shared" si="0"/>
        <v>17.870000000000001</v>
      </c>
      <c r="I34" s="28">
        <f t="shared" si="0"/>
        <v>5.1799999999999997</v>
      </c>
      <c r="J34" s="28">
        <f t="shared" si="0"/>
        <v>0.12</v>
      </c>
      <c r="K34" s="28">
        <f t="shared" si="0"/>
        <v>142.38999999999999</v>
      </c>
      <c r="L34" s="28">
        <f t="shared" si="0"/>
        <v>25.52</v>
      </c>
      <c r="M34" s="28">
        <f t="shared" si="0"/>
        <v>16.48</v>
      </c>
      <c r="N34" s="28">
        <f t="shared" si="0"/>
        <v>14.9</v>
      </c>
      <c r="O34" s="28">
        <f t="shared" si="0"/>
        <v>0</v>
      </c>
      <c r="P34" s="28">
        <f t="shared" si="0"/>
        <v>0.38</v>
      </c>
      <c r="Q34" s="28">
        <f t="shared" si="0"/>
        <v>9.1799999999999997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55.189999999999998</v>
      </c>
      <c r="C35" s="29">
        <f t="shared" si="1"/>
        <v>50.579999999999998</v>
      </c>
      <c r="D35" s="29">
        <f t="shared" si="1"/>
        <v>67.909999999999997</v>
      </c>
      <c r="E35" s="29">
        <f t="shared" si="1"/>
        <v>3.1000000000000001</v>
      </c>
      <c r="F35" s="29">
        <f t="shared" si="1"/>
        <v>17.239999999999998</v>
      </c>
      <c r="G35" s="29">
        <f t="shared" si="1"/>
        <v>177.16</v>
      </c>
      <c r="H35" s="29">
        <f t="shared" si="1"/>
        <v>29.489999999999998</v>
      </c>
      <c r="I35" s="29">
        <f t="shared" si="1"/>
        <v>10.050000000000001</v>
      </c>
      <c r="J35" s="29">
        <f t="shared" si="1"/>
        <v>2.3300000000000001</v>
      </c>
      <c r="K35" s="29">
        <f t="shared" si="1"/>
        <v>359.75999999999999</v>
      </c>
      <c r="L35" s="29">
        <f t="shared" si="1"/>
        <v>39.259999999999998</v>
      </c>
      <c r="M35" s="29">
        <f t="shared" si="1"/>
        <v>62.649999999999999</v>
      </c>
      <c r="N35" s="29">
        <f t="shared" si="1"/>
        <v>867.39999999999998</v>
      </c>
      <c r="O35" s="29">
        <f t="shared" si="1"/>
        <v>0</v>
      </c>
      <c r="P35" s="29">
        <f t="shared" si="1"/>
        <v>1.3700000000000001</v>
      </c>
      <c r="Q35" s="29">
        <f t="shared" si="1"/>
        <v>9.8499999999999996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19.111666666666661</v>
      </c>
      <c r="C36" s="28">
        <f t="shared" si="2"/>
        <v>40.360416666666673</v>
      </c>
      <c r="D36" s="28">
        <f t="shared" si="2"/>
        <v>36.137916666666676</v>
      </c>
      <c r="E36" s="28">
        <f t="shared" si="2"/>
        <v>2.2087499999999998</v>
      </c>
      <c r="F36" s="28">
        <f t="shared" si="2"/>
        <v>6.5087499999999991</v>
      </c>
      <c r="G36" s="28">
        <f t="shared" si="2"/>
        <v>64.155416666666653</v>
      </c>
      <c r="H36" s="28">
        <f t="shared" si="2"/>
        <v>23.320833333333336</v>
      </c>
      <c r="I36" s="28">
        <f t="shared" si="2"/>
        <v>7.9004166666666658</v>
      </c>
      <c r="J36" s="28">
        <f t="shared" si="2"/>
        <v>0.7108333333333331</v>
      </c>
      <c r="K36" s="28">
        <f t="shared" si="2"/>
        <v>256.52749999999997</v>
      </c>
      <c r="L36" s="28">
        <f t="shared" si="2"/>
        <v>31.495000000000005</v>
      </c>
      <c r="M36" s="28">
        <f t="shared" si="2"/>
        <v>39.638333333333343</v>
      </c>
      <c r="N36" s="28">
        <f t="shared" si="2"/>
        <v>277.05416666666667</v>
      </c>
      <c r="O36" s="28">
        <f t="shared" si="2"/>
        <v>0</v>
      </c>
      <c r="P36" s="28">
        <f t="shared" si="2"/>
        <v>0.65166666666666662</v>
      </c>
      <c r="Q36" s="28">
        <f t="shared" si="2"/>
        <v>9.4166666666666679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21.310139588359398</v>
      </c>
      <c r="C37" s="28">
        <f t="shared" si="3" ref="C37:Q37">STDEV(C9:C32)</f>
        <v>6.0346625417460888</v>
      </c>
      <c r="D37" s="28">
        <f t="shared" si="3"/>
        <v>19.110247417042466</v>
      </c>
      <c r="E37" s="28">
        <f t="shared" si="3"/>
        <v>0.62653854109564711</v>
      </c>
      <c r="F37" s="28">
        <f t="shared" si="3"/>
        <v>3.5899828175681838</v>
      </c>
      <c r="G37" s="28">
        <f t="shared" si="3"/>
        <v>33.596515085731696</v>
      </c>
      <c r="H37" s="28">
        <f t="shared" si="3"/>
        <v>3.1967319136168224</v>
      </c>
      <c r="I37" s="28">
        <f t="shared" si="3"/>
        <v>1.5656016461708118</v>
      </c>
      <c r="J37" s="28">
        <f t="shared" si="3"/>
        <v>0.45581190501524138</v>
      </c>
      <c r="K37" s="28">
        <f t="shared" si="3"/>
        <v>74.659500007061297</v>
      </c>
      <c r="L37" s="28">
        <f t="shared" si="3"/>
        <v>4.8428872092728845</v>
      </c>
      <c r="M37" s="28">
        <f t="shared" si="3"/>
        <v>14.800581853035537</v>
      </c>
      <c r="N37" s="28">
        <f t="shared" si="3"/>
        <v>338.6496573402469</v>
      </c>
      <c r="O37" s="28">
        <f t="shared" si="3"/>
        <v>0</v>
      </c>
      <c r="P37" s="28">
        <f t="shared" si="3"/>
        <v>0.28979252948433226</v>
      </c>
      <c r="Q37" s="28">
        <f t="shared" si="3"/>
        <v>0.23804761428471571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145979-21a4-4a7f-9c0c-fa0011b5f0d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27" sqref="H2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542</v>
      </c>
      <c r="B9" s="56">
        <v>2.54</v>
      </c>
      <c r="C9" s="56">
        <v>30.01</v>
      </c>
      <c r="D9" s="56">
        <v>17.64</v>
      </c>
      <c r="E9" s="56">
        <v>2.17</v>
      </c>
      <c r="F9" s="56">
        <v>4.25</v>
      </c>
      <c r="G9" s="56">
        <v>23.83</v>
      </c>
      <c r="H9" s="56">
        <v>16.18</v>
      </c>
      <c r="I9" s="56">
        <v>5.27</v>
      </c>
      <c r="J9" s="56">
        <v>0.45</v>
      </c>
      <c r="K9" s="56">
        <v>217.93</v>
      </c>
      <c r="L9" s="56">
        <v>26.41</v>
      </c>
      <c r="M9" s="56">
        <v>51.79</v>
      </c>
      <c r="N9" s="56">
        <v>15.20</v>
      </c>
      <c r="O9" s="56">
        <v>0</v>
      </c>
      <c r="P9" s="56">
        <v>0.38</v>
      </c>
      <c r="Q9" s="56">
        <v>9.2100000000000009</v>
      </c>
      <c r="R9" s="43"/>
      <c r="S9" s="43"/>
      <c r="T9" s="43"/>
      <c r="U9" s="43"/>
    </row>
    <row r="10" spans="1:21" s="11" customFormat="1" ht="15">
      <c r="A10" s="55" t="s">
        <v>543</v>
      </c>
      <c r="B10" s="56">
        <v>2.63</v>
      </c>
      <c r="C10" s="56">
        <v>30.21</v>
      </c>
      <c r="D10" s="56">
        <v>17.82</v>
      </c>
      <c r="E10" s="56">
        <v>1.98</v>
      </c>
      <c r="F10" s="56">
        <v>4.3099999999999996</v>
      </c>
      <c r="G10" s="56">
        <v>22.62</v>
      </c>
      <c r="H10" s="56">
        <v>12.14</v>
      </c>
      <c r="I10" s="56">
        <v>5.41</v>
      </c>
      <c r="J10" s="56">
        <v>0.23</v>
      </c>
      <c r="K10" s="56">
        <v>247.78</v>
      </c>
      <c r="L10" s="56">
        <v>25.56</v>
      </c>
      <c r="M10" s="56">
        <v>55.47</v>
      </c>
      <c r="N10" s="56">
        <v>15.20</v>
      </c>
      <c r="O10" s="56">
        <v>0</v>
      </c>
      <c r="P10" s="56">
        <v>0.42</v>
      </c>
      <c r="Q10" s="56">
        <v>9.18</v>
      </c>
      <c r="R10" s="43"/>
      <c r="S10" s="43"/>
      <c r="T10" s="43"/>
      <c r="U10" s="43"/>
    </row>
    <row r="11" spans="1:21" s="11" customFormat="1" ht="15">
      <c r="A11" s="55" t="s">
        <v>544</v>
      </c>
      <c r="B11" s="56">
        <v>2.34</v>
      </c>
      <c r="C11" s="56">
        <v>26.17</v>
      </c>
      <c r="D11" s="56">
        <v>15.41</v>
      </c>
      <c r="E11" s="56">
        <v>1.81</v>
      </c>
      <c r="F11" s="56">
        <v>4.71</v>
      </c>
      <c r="G11" s="56">
        <v>24.01</v>
      </c>
      <c r="H11" s="56">
        <v>11.97</v>
      </c>
      <c r="I11" s="56">
        <v>5.01</v>
      </c>
      <c r="J11" s="56">
        <v>0.28000000000000003</v>
      </c>
      <c r="K11" s="56">
        <v>323.27999999999997</v>
      </c>
      <c r="L11" s="56">
        <v>25.47</v>
      </c>
      <c r="M11" s="56">
        <v>57.90</v>
      </c>
      <c r="N11" s="56">
        <v>15.40</v>
      </c>
      <c r="O11" s="56">
        <v>0</v>
      </c>
      <c r="P11" s="56">
        <v>0.39</v>
      </c>
      <c r="Q11" s="56">
        <v>9.2100000000000009</v>
      </c>
      <c r="R11" s="43"/>
      <c r="S11" s="43"/>
      <c r="T11" s="43"/>
      <c r="U11" s="43"/>
    </row>
    <row r="12" spans="1:21" s="11" customFormat="1" ht="15">
      <c r="A12" s="55" t="s">
        <v>545</v>
      </c>
      <c r="B12" s="56">
        <v>2.39</v>
      </c>
      <c r="C12" s="56">
        <v>26.10</v>
      </c>
      <c r="D12" s="56">
        <v>15.47</v>
      </c>
      <c r="E12" s="56">
        <v>1.92</v>
      </c>
      <c r="F12" s="56">
        <v>4.43</v>
      </c>
      <c r="G12" s="56">
        <v>23.84</v>
      </c>
      <c r="H12" s="56">
        <v>13.05</v>
      </c>
      <c r="I12" s="56">
        <v>4.9800000000000004</v>
      </c>
      <c r="J12" s="56">
        <v>0.28000000000000003</v>
      </c>
      <c r="K12" s="56">
        <v>242.82</v>
      </c>
      <c r="L12" s="56">
        <v>25.86</v>
      </c>
      <c r="M12" s="56">
        <v>53.08</v>
      </c>
      <c r="N12" s="56">
        <v>15</v>
      </c>
      <c r="O12" s="56">
        <v>0</v>
      </c>
      <c r="P12" s="56">
        <v>0.38</v>
      </c>
      <c r="Q12" s="56">
        <v>9.1999999999999993</v>
      </c>
      <c r="R12" s="43"/>
      <c r="S12" s="43"/>
      <c r="T12" s="43"/>
      <c r="U12" s="43"/>
    </row>
    <row r="13" spans="1:21" s="11" customFormat="1" ht="15">
      <c r="A13" s="55" t="s">
        <v>546</v>
      </c>
      <c r="B13" s="56">
        <v>3.18</v>
      </c>
      <c r="C13" s="56">
        <v>26.64</v>
      </c>
      <c r="D13" s="56">
        <v>16.39</v>
      </c>
      <c r="E13" s="56">
        <v>0.46</v>
      </c>
      <c r="F13" s="56">
        <v>4.18</v>
      </c>
      <c r="G13" s="56">
        <v>27.42</v>
      </c>
      <c r="H13" s="56">
        <v>12.69</v>
      </c>
      <c r="I13" s="56">
        <v>5.39</v>
      </c>
      <c r="J13" s="56">
        <v>0.46</v>
      </c>
      <c r="K13" s="56">
        <v>216.80</v>
      </c>
      <c r="L13" s="56">
        <v>25.84</v>
      </c>
      <c r="M13" s="56">
        <v>56.49</v>
      </c>
      <c r="N13" s="56">
        <v>15.40</v>
      </c>
      <c r="O13" s="56">
        <v>0</v>
      </c>
      <c r="P13" s="56">
        <v>0.36</v>
      </c>
      <c r="Q13" s="56">
        <v>9.18</v>
      </c>
      <c r="R13" s="43"/>
      <c r="S13" s="43"/>
      <c r="T13" s="43"/>
      <c r="U13" s="43"/>
    </row>
    <row r="14" spans="1:21" s="11" customFormat="1" ht="15">
      <c r="A14" s="55" t="s">
        <v>547</v>
      </c>
      <c r="B14" s="56">
        <v>4.2300000000000004</v>
      </c>
      <c r="C14" s="56">
        <v>27.08</v>
      </c>
      <c r="D14" s="56">
        <v>17.22</v>
      </c>
      <c r="E14" s="56">
        <v>0.60</v>
      </c>
      <c r="F14" s="56">
        <v>3.90</v>
      </c>
      <c r="G14" s="56">
        <v>29.86</v>
      </c>
      <c r="H14" s="56">
        <v>10.96</v>
      </c>
      <c r="I14" s="56">
        <v>6.32</v>
      </c>
      <c r="J14" s="56">
        <v>0.39</v>
      </c>
      <c r="K14" s="56">
        <v>214.21</v>
      </c>
      <c r="L14" s="56">
        <v>24.99</v>
      </c>
      <c r="M14" s="56">
        <v>61.46</v>
      </c>
      <c r="N14" s="56">
        <v>36.10</v>
      </c>
      <c r="O14" s="56">
        <v>0</v>
      </c>
      <c r="P14" s="56">
        <v>0.37</v>
      </c>
      <c r="Q14" s="56">
        <v>9.18</v>
      </c>
      <c r="R14" s="43"/>
      <c r="S14" s="43"/>
      <c r="T14" s="43"/>
      <c r="U14" s="43"/>
    </row>
    <row r="15" spans="1:21" s="11" customFormat="1" ht="15">
      <c r="A15" s="55" t="s">
        <v>548</v>
      </c>
      <c r="B15" s="56">
        <v>4.92</v>
      </c>
      <c r="C15" s="56">
        <v>28.39</v>
      </c>
      <c r="D15" s="56">
        <v>18.70</v>
      </c>
      <c r="E15" s="56">
        <v>0.59</v>
      </c>
      <c r="F15" s="56">
        <v>3.80</v>
      </c>
      <c r="G15" s="56">
        <v>36.17</v>
      </c>
      <c r="H15" s="56">
        <v>13.42</v>
      </c>
      <c r="I15" s="56">
        <v>6.53</v>
      </c>
      <c r="J15" s="56">
        <v>0.21</v>
      </c>
      <c r="K15" s="56">
        <v>350.67</v>
      </c>
      <c r="L15" s="56">
        <v>27.73</v>
      </c>
      <c r="M15" s="56">
        <v>59.72</v>
      </c>
      <c r="N15" s="56">
        <v>148.90</v>
      </c>
      <c r="O15" s="56">
        <v>0</v>
      </c>
      <c r="P15" s="56">
        <v>0.41</v>
      </c>
      <c r="Q15" s="56">
        <v>9.1999999999999993</v>
      </c>
      <c r="R15" s="43"/>
      <c r="S15" s="43"/>
      <c r="T15" s="43"/>
      <c r="U15" s="43"/>
    </row>
    <row r="16" spans="1:21" s="11" customFormat="1" ht="15">
      <c r="A16" s="55" t="s">
        <v>549</v>
      </c>
      <c r="B16" s="56">
        <v>5.03</v>
      </c>
      <c r="C16" s="56">
        <v>30.11</v>
      </c>
      <c r="D16" s="56">
        <v>19.170000000000002</v>
      </c>
      <c r="E16" s="56">
        <v>0.84</v>
      </c>
      <c r="F16" s="56">
        <v>4.12</v>
      </c>
      <c r="G16" s="56">
        <v>43.54</v>
      </c>
      <c r="H16" s="56">
        <v>15.63</v>
      </c>
      <c r="I16" s="56">
        <v>6.55</v>
      </c>
      <c r="J16" s="56">
        <v>0.23</v>
      </c>
      <c r="K16" s="56">
        <v>342.31</v>
      </c>
      <c r="L16" s="56">
        <v>31.74</v>
      </c>
      <c r="M16" s="56">
        <v>51.58</v>
      </c>
      <c r="N16" s="56">
        <v>379.5</v>
      </c>
      <c r="O16" s="56">
        <v>0</v>
      </c>
      <c r="P16" s="56">
        <v>0.48</v>
      </c>
      <c r="Q16" s="56">
        <v>9.19</v>
      </c>
      <c r="R16" s="43"/>
      <c r="S16" s="43"/>
      <c r="T16" s="43"/>
      <c r="U16" s="43"/>
    </row>
    <row r="17" spans="1:21" s="11" customFormat="1" ht="15">
      <c r="A17" s="55" t="s">
        <v>550</v>
      </c>
      <c r="B17" s="56">
        <v>4.18</v>
      </c>
      <c r="C17" s="56">
        <v>32.01</v>
      </c>
      <c r="D17" s="56">
        <v>19.53</v>
      </c>
      <c r="E17" s="56">
        <v>1.29</v>
      </c>
      <c r="F17" s="56">
        <v>4.75</v>
      </c>
      <c r="G17" s="56">
        <v>51.57</v>
      </c>
      <c r="H17" s="56">
        <v>16.59</v>
      </c>
      <c r="I17" s="56">
        <v>6.29</v>
      </c>
      <c r="J17" s="56">
        <v>0.31</v>
      </c>
      <c r="K17" s="56">
        <v>321.33</v>
      </c>
      <c r="L17" s="56">
        <v>34.44</v>
      </c>
      <c r="M17" s="56">
        <v>42.04</v>
      </c>
      <c r="N17" s="56">
        <v>589.79999999999995</v>
      </c>
      <c r="O17" s="56">
        <v>0</v>
      </c>
      <c r="P17" s="56">
        <v>0.66</v>
      </c>
      <c r="Q17" s="56">
        <v>9.19</v>
      </c>
      <c r="R17" s="43"/>
      <c r="S17" s="43"/>
      <c r="T17" s="43"/>
      <c r="U17" s="43"/>
    </row>
    <row r="18" spans="1:21" s="11" customFormat="1" ht="15">
      <c r="A18" s="55" t="s">
        <v>551</v>
      </c>
      <c r="B18" s="56">
        <v>3.51</v>
      </c>
      <c r="C18" s="56">
        <v>32.200000000000003</v>
      </c>
      <c r="D18" s="56">
        <v>19.55</v>
      </c>
      <c r="E18" s="56">
        <v>1.1200000000000001</v>
      </c>
      <c r="F18" s="56">
        <v>4.49</v>
      </c>
      <c r="G18" s="56">
        <v>56.52</v>
      </c>
      <c r="H18" s="56">
        <v>19.98</v>
      </c>
      <c r="I18" s="56">
        <v>6.61</v>
      </c>
      <c r="J18" s="56">
        <v>1</v>
      </c>
      <c r="K18" s="56">
        <v>331.88</v>
      </c>
      <c r="L18" s="56">
        <v>38.57</v>
      </c>
      <c r="M18" s="56">
        <v>33.04</v>
      </c>
      <c r="N18" s="56">
        <v>724.10</v>
      </c>
      <c r="O18" s="56">
        <v>0</v>
      </c>
      <c r="P18" s="56">
        <v>0.68</v>
      </c>
      <c r="Q18" s="56">
        <v>9.18</v>
      </c>
      <c r="R18" s="43"/>
      <c r="S18" s="43"/>
      <c r="T18" s="43"/>
      <c r="U18" s="43"/>
    </row>
    <row r="19" spans="1:21" s="11" customFormat="1" ht="15">
      <c r="A19" s="55" t="s">
        <v>552</v>
      </c>
      <c r="B19" s="56">
        <v>3.70</v>
      </c>
      <c r="C19" s="56">
        <v>34.340000000000003</v>
      </c>
      <c r="D19" s="56">
        <v>20.58</v>
      </c>
      <c r="E19" s="56">
        <v>1.07</v>
      </c>
      <c r="F19" s="56">
        <v>5.15</v>
      </c>
      <c r="G19" s="56">
        <v>52.28</v>
      </c>
      <c r="H19" s="56">
        <v>20.38</v>
      </c>
      <c r="I19" s="56">
        <v>7.16</v>
      </c>
      <c r="J19" s="56">
        <v>1.05</v>
      </c>
      <c r="K19" s="56">
        <v>347.47</v>
      </c>
      <c r="L19" s="56">
        <v>39.619999999999997</v>
      </c>
      <c r="M19" s="56">
        <v>23</v>
      </c>
      <c r="N19" s="56">
        <v>825.60</v>
      </c>
      <c r="O19" s="56">
        <v>0</v>
      </c>
      <c r="P19" s="56">
        <v>0.67</v>
      </c>
      <c r="Q19" s="56">
        <v>9.19</v>
      </c>
      <c r="R19" s="43"/>
      <c r="S19" s="43"/>
      <c r="T19" s="43"/>
      <c r="U19" s="43"/>
    </row>
    <row r="20" spans="1:21" s="11" customFormat="1" ht="15">
      <c r="A20" s="55" t="s">
        <v>553</v>
      </c>
      <c r="B20" s="56">
        <v>2.76</v>
      </c>
      <c r="C20" s="56">
        <v>34.22</v>
      </c>
      <c r="D20" s="56">
        <v>19.75</v>
      </c>
      <c r="E20" s="56">
        <v>2</v>
      </c>
      <c r="F20" s="56">
        <v>5.5</v>
      </c>
      <c r="G20" s="56">
        <v>48.63</v>
      </c>
      <c r="H20" s="56">
        <v>22.25</v>
      </c>
      <c r="I20" s="56">
        <v>6.87</v>
      </c>
      <c r="J20" s="56">
        <v>1</v>
      </c>
      <c r="K20" s="56">
        <v>328.26</v>
      </c>
      <c r="L20" s="56">
        <v>40.299999999999997</v>
      </c>
      <c r="M20" s="56">
        <v>26.21</v>
      </c>
      <c r="N20" s="56">
        <v>855</v>
      </c>
      <c r="O20" s="56">
        <v>0</v>
      </c>
      <c r="P20" s="56">
        <v>0.66</v>
      </c>
      <c r="Q20" s="56">
        <v>9.17</v>
      </c>
      <c r="R20" s="43"/>
      <c r="S20" s="43"/>
      <c r="T20" s="43"/>
      <c r="U20" s="43"/>
    </row>
    <row r="21" spans="1:21" s="11" customFormat="1" ht="15">
      <c r="A21" s="55" t="s">
        <v>554</v>
      </c>
      <c r="B21" s="56">
        <v>2.2999999999999998</v>
      </c>
      <c r="C21" s="56">
        <v>37.880000000000003</v>
      </c>
      <c r="D21" s="56">
        <v>21.37</v>
      </c>
      <c r="E21" s="56">
        <v>2.5099999999999998</v>
      </c>
      <c r="F21" s="56">
        <v>5.35</v>
      </c>
      <c r="G21" s="56">
        <v>49.79</v>
      </c>
      <c r="H21" s="56">
        <v>16.100000000000001</v>
      </c>
      <c r="I21" s="56">
        <v>6.53</v>
      </c>
      <c r="J21" s="56">
        <v>0.76</v>
      </c>
      <c r="K21" s="56">
        <v>354.14</v>
      </c>
      <c r="L21" s="56">
        <v>39.11</v>
      </c>
      <c r="M21" s="56">
        <v>27.10</v>
      </c>
      <c r="N21" s="56">
        <v>841.70</v>
      </c>
      <c r="O21" s="56">
        <v>0</v>
      </c>
      <c r="P21" s="56">
        <v>0.64</v>
      </c>
      <c r="Q21" s="56">
        <v>9.18</v>
      </c>
      <c r="R21" s="43"/>
      <c r="S21" s="43"/>
      <c r="T21" s="43"/>
      <c r="U21" s="43"/>
    </row>
    <row r="22" spans="1:21" s="11" customFormat="1" ht="15">
      <c r="A22" s="55" t="s">
        <v>555</v>
      </c>
      <c r="B22" s="56">
        <v>2.36</v>
      </c>
      <c r="C22" s="56">
        <v>37.619999999999997</v>
      </c>
      <c r="D22" s="56">
        <v>21.21</v>
      </c>
      <c r="E22" s="56">
        <v>2.31</v>
      </c>
      <c r="F22" s="56">
        <v>5.12</v>
      </c>
      <c r="G22" s="56">
        <v>49.28</v>
      </c>
      <c r="H22" s="56">
        <v>35.619999999999997</v>
      </c>
      <c r="I22" s="56">
        <v>6.5</v>
      </c>
      <c r="J22" s="56">
        <v>0.70</v>
      </c>
      <c r="K22" s="56">
        <v>333.89</v>
      </c>
      <c r="L22" s="56">
        <v>40.14</v>
      </c>
      <c r="M22" s="56">
        <v>20.82</v>
      </c>
      <c r="N22" s="56">
        <v>494.90</v>
      </c>
      <c r="O22" s="56">
        <v>0</v>
      </c>
      <c r="P22" s="56">
        <v>0.55000000000000004</v>
      </c>
      <c r="Q22" s="56">
        <v>9.17</v>
      </c>
      <c r="R22" s="43"/>
      <c r="S22" s="43"/>
      <c r="T22" s="43"/>
      <c r="U22" s="43"/>
    </row>
    <row r="23" spans="1:21" s="11" customFormat="1" ht="15">
      <c r="A23" s="55" t="s">
        <v>556</v>
      </c>
      <c r="B23" s="56">
        <v>2.41</v>
      </c>
      <c r="C23" s="56">
        <v>35.409999999999997</v>
      </c>
      <c r="D23" s="56">
        <v>20.34</v>
      </c>
      <c r="E23" s="56">
        <v>2.17</v>
      </c>
      <c r="F23" s="56">
        <v>5.52</v>
      </c>
      <c r="G23" s="56">
        <v>40.97</v>
      </c>
      <c r="H23" s="56">
        <v>45.25</v>
      </c>
      <c r="I23" s="56">
        <v>7.74</v>
      </c>
      <c r="J23" s="56">
        <v>1.61</v>
      </c>
      <c r="K23" s="56">
        <v>193.20</v>
      </c>
      <c r="L23" s="56">
        <v>37.65</v>
      </c>
      <c r="M23" s="56">
        <v>20.36</v>
      </c>
      <c r="N23" s="56">
        <v>663.60</v>
      </c>
      <c r="O23" s="56">
        <v>0</v>
      </c>
      <c r="P23" s="56">
        <v>0.53</v>
      </c>
      <c r="Q23" s="56">
        <v>9.23</v>
      </c>
      <c r="R23" s="43"/>
      <c r="S23" s="43"/>
      <c r="T23" s="43"/>
      <c r="U23" s="43"/>
    </row>
    <row r="24" spans="1:21" s="11" customFormat="1" ht="15">
      <c r="A24" s="55" t="s">
        <v>557</v>
      </c>
      <c r="B24" s="56">
        <v>1.97</v>
      </c>
      <c r="C24" s="56">
        <v>35.659999999999997</v>
      </c>
      <c r="D24" s="56">
        <v>20.09</v>
      </c>
      <c r="E24" s="56">
        <v>2.40</v>
      </c>
      <c r="F24" s="56">
        <v>6.51</v>
      </c>
      <c r="G24" s="56">
        <v>39.24</v>
      </c>
      <c r="H24" s="56">
        <v>33.47</v>
      </c>
      <c r="I24" s="56">
        <v>8.6999999999999993</v>
      </c>
      <c r="J24" s="56">
        <v>0.83</v>
      </c>
      <c r="K24" s="56">
        <v>341.88</v>
      </c>
      <c r="L24" s="56">
        <v>37.64</v>
      </c>
      <c r="M24" s="56">
        <v>19.47</v>
      </c>
      <c r="N24" s="56">
        <v>296.70</v>
      </c>
      <c r="O24" s="56">
        <v>0</v>
      </c>
      <c r="P24" s="56">
        <v>0.47</v>
      </c>
      <c r="Q24" s="56">
        <v>9.17</v>
      </c>
      <c r="R24" s="43"/>
      <c r="S24" s="43"/>
      <c r="T24" s="43"/>
      <c r="U24" s="43"/>
    </row>
    <row r="25" spans="1:21" s="11" customFormat="1" ht="15">
      <c r="A25" s="55" t="s">
        <v>558</v>
      </c>
      <c r="B25" s="56">
        <v>2.34</v>
      </c>
      <c r="C25" s="56">
        <v>36.950000000000003</v>
      </c>
      <c r="D25" s="56">
        <v>21.10</v>
      </c>
      <c r="E25" s="56">
        <v>1.01</v>
      </c>
      <c r="F25" s="56">
        <v>5.35</v>
      </c>
      <c r="G25" s="56">
        <v>41.82</v>
      </c>
      <c r="H25" s="56">
        <v>28.85</v>
      </c>
      <c r="I25" s="56">
        <v>7.77</v>
      </c>
      <c r="J25" s="56">
        <v>0.57999999999999996</v>
      </c>
      <c r="K25" s="56">
        <v>356.69</v>
      </c>
      <c r="L25" s="56">
        <v>36.46</v>
      </c>
      <c r="M25" s="56">
        <v>20.72</v>
      </c>
      <c r="N25" s="56">
        <v>161.10</v>
      </c>
      <c r="O25" s="56">
        <v>0</v>
      </c>
      <c r="P25" s="56">
        <v>0.47</v>
      </c>
      <c r="Q25" s="56">
        <v>9.2200000000000006</v>
      </c>
      <c r="R25" s="43"/>
      <c r="S25" s="43"/>
      <c r="T25" s="43"/>
      <c r="U25" s="43"/>
    </row>
    <row r="26" spans="1:21" s="11" customFormat="1" ht="15">
      <c r="A26" s="55" t="s">
        <v>559</v>
      </c>
      <c r="B26" s="56">
        <v>2.19</v>
      </c>
      <c r="C26" s="56">
        <v>37.28</v>
      </c>
      <c r="D26" s="56">
        <v>21.13</v>
      </c>
      <c r="E26" s="56">
        <v>1.24</v>
      </c>
      <c r="F26" s="56">
        <v>5.0999999999999996</v>
      </c>
      <c r="G26" s="56">
        <v>42.60</v>
      </c>
      <c r="H26" s="56">
        <v>24.85</v>
      </c>
      <c r="I26" s="56">
        <v>6.60</v>
      </c>
      <c r="J26" s="56">
        <v>0.53</v>
      </c>
      <c r="K26" s="56">
        <v>223.69</v>
      </c>
      <c r="L26" s="56">
        <v>35.619999999999997</v>
      </c>
      <c r="M26" s="56">
        <v>24.40</v>
      </c>
      <c r="N26" s="56">
        <v>93.60</v>
      </c>
      <c r="O26" s="56">
        <v>0</v>
      </c>
      <c r="P26" s="56">
        <v>0.44</v>
      </c>
      <c r="Q26" s="56">
        <v>9.17</v>
      </c>
      <c r="R26" s="43"/>
      <c r="S26" s="43"/>
      <c r="T26" s="43"/>
      <c r="U26" s="43"/>
    </row>
    <row r="27" spans="1:21" s="11" customFormat="1" ht="15">
      <c r="A27" s="55" t="s">
        <v>560</v>
      </c>
      <c r="B27" s="56">
        <v>2.74</v>
      </c>
      <c r="C27" s="56">
        <v>36.43</v>
      </c>
      <c r="D27" s="56">
        <v>20.90</v>
      </c>
      <c r="E27" s="56">
        <v>1.25</v>
      </c>
      <c r="F27" s="56">
        <v>4.1900000000000004</v>
      </c>
      <c r="G27" s="56">
        <v>45.46</v>
      </c>
      <c r="H27" s="56">
        <v>17</v>
      </c>
      <c r="I27" s="56">
        <v>5.89</v>
      </c>
      <c r="J27" s="56">
        <v>0.23</v>
      </c>
      <c r="K27" s="56">
        <v>329.71</v>
      </c>
      <c r="L27" s="56">
        <v>33.46</v>
      </c>
      <c r="M27" s="56">
        <v>32.159999999999997</v>
      </c>
      <c r="N27" s="56">
        <v>23.30</v>
      </c>
      <c r="O27" s="56">
        <v>0</v>
      </c>
      <c r="P27" s="56">
        <v>0.47</v>
      </c>
      <c r="Q27" s="56">
        <v>9.1999999999999993</v>
      </c>
      <c r="R27" s="43"/>
      <c r="S27" s="43"/>
      <c r="T27" s="43"/>
      <c r="U27" s="43"/>
    </row>
    <row r="28" spans="1:21" s="11" customFormat="1" ht="15">
      <c r="A28" s="55" t="s">
        <v>561</v>
      </c>
      <c r="B28" s="56">
        <v>4.4400000000000004</v>
      </c>
      <c r="C28" s="56">
        <v>37.51</v>
      </c>
      <c r="D28" s="56">
        <v>23.08</v>
      </c>
      <c r="E28" s="56">
        <v>1.85</v>
      </c>
      <c r="F28" s="56">
        <v>3.85</v>
      </c>
      <c r="G28" s="56">
        <v>54.53</v>
      </c>
      <c r="H28" s="56">
        <v>22.20</v>
      </c>
      <c r="I28" s="56">
        <v>7.56</v>
      </c>
      <c r="J28" s="56">
        <v>0.21</v>
      </c>
      <c r="K28" s="56">
        <v>349.98</v>
      </c>
      <c r="L28" s="56">
        <v>31.12</v>
      </c>
      <c r="M28" s="56">
        <v>38.79</v>
      </c>
      <c r="N28" s="56">
        <v>16.20</v>
      </c>
      <c r="O28" s="56">
        <v>0</v>
      </c>
      <c r="P28" s="56">
        <v>0.63</v>
      </c>
      <c r="Q28" s="56">
        <v>9.23</v>
      </c>
      <c r="R28" s="43"/>
      <c r="S28" s="43"/>
      <c r="T28" s="43"/>
      <c r="U28" s="43"/>
    </row>
    <row r="29" spans="1:21" s="11" customFormat="1" ht="15">
      <c r="A29" s="55" t="s">
        <v>562</v>
      </c>
      <c r="B29" s="56">
        <v>4.46</v>
      </c>
      <c r="C29" s="56">
        <v>39.42</v>
      </c>
      <c r="D29" s="56">
        <v>23.88</v>
      </c>
      <c r="E29" s="56">
        <v>2.87</v>
      </c>
      <c r="F29" s="56">
        <v>4.37</v>
      </c>
      <c r="G29" s="56">
        <v>66.66</v>
      </c>
      <c r="H29" s="56">
        <v>30.86</v>
      </c>
      <c r="I29" s="56">
        <v>7.83</v>
      </c>
      <c r="J29" s="56">
        <v>0.89</v>
      </c>
      <c r="K29" s="56">
        <v>236.59</v>
      </c>
      <c r="L29" s="56">
        <v>31.20</v>
      </c>
      <c r="M29" s="56">
        <v>34.909999999999997</v>
      </c>
      <c r="N29" s="56">
        <v>15.60</v>
      </c>
      <c r="O29" s="56">
        <v>0</v>
      </c>
      <c r="P29" s="56">
        <v>0.65</v>
      </c>
      <c r="Q29" s="56">
        <v>9.25</v>
      </c>
      <c r="R29" s="43"/>
      <c r="S29" s="43"/>
      <c r="T29" s="43"/>
      <c r="U29" s="43"/>
    </row>
    <row r="30" spans="1:21" s="11" customFormat="1" ht="15">
      <c r="A30" s="55" t="s">
        <v>563</v>
      </c>
      <c r="B30" s="56">
        <v>2.78</v>
      </c>
      <c r="C30" s="56">
        <v>38.299999999999997</v>
      </c>
      <c r="D30" s="56">
        <v>22.16</v>
      </c>
      <c r="E30" s="56">
        <v>2.65</v>
      </c>
      <c r="F30" s="56">
        <v>6.40</v>
      </c>
      <c r="G30" s="56">
        <v>64.75</v>
      </c>
      <c r="H30" s="56">
        <v>4.20</v>
      </c>
      <c r="I30" s="56">
        <v>8.15</v>
      </c>
      <c r="J30" s="56">
        <v>1.75</v>
      </c>
      <c r="K30" s="56">
        <v>187.39</v>
      </c>
      <c r="L30" s="56">
        <v>30.63</v>
      </c>
      <c r="M30" s="56">
        <v>45.17</v>
      </c>
      <c r="N30" s="56">
        <v>16.70</v>
      </c>
      <c r="O30" s="56">
        <v>0</v>
      </c>
      <c r="P30" s="56">
        <v>0.63</v>
      </c>
      <c r="Q30" s="56">
        <v>9.2200000000000006</v>
      </c>
      <c r="R30" s="43"/>
      <c r="S30" s="43"/>
      <c r="T30" s="43"/>
      <c r="U30" s="43"/>
    </row>
    <row r="31" spans="1:21" s="11" customFormat="1" ht="15">
      <c r="A31" s="55" t="s">
        <v>564</v>
      </c>
      <c r="B31" s="56">
        <v>1.69</v>
      </c>
      <c r="C31" s="56">
        <v>30.20</v>
      </c>
      <c r="D31" s="56">
        <v>16.77</v>
      </c>
      <c r="E31" s="56">
        <v>2.5099999999999998</v>
      </c>
      <c r="F31" s="56">
        <v>6.96</v>
      </c>
      <c r="G31" s="56">
        <v>62.24</v>
      </c>
      <c r="H31" s="56">
        <v>31.11</v>
      </c>
      <c r="I31" s="56">
        <v>7.39</v>
      </c>
      <c r="J31" s="56">
        <v>1.31</v>
      </c>
      <c r="K31" s="56">
        <v>170.90</v>
      </c>
      <c r="L31" s="56">
        <v>28.52</v>
      </c>
      <c r="M31" s="56">
        <v>44.29</v>
      </c>
      <c r="N31" s="56">
        <v>16.30</v>
      </c>
      <c r="O31" s="56">
        <v>0</v>
      </c>
      <c r="P31" s="56">
        <v>0.53</v>
      </c>
      <c r="Q31" s="56">
        <v>9.1999999999999993</v>
      </c>
      <c r="R31" s="43"/>
      <c r="S31" s="43"/>
      <c r="T31" s="43"/>
      <c r="U31" s="43"/>
    </row>
    <row r="32" spans="1:21" s="11" customFormat="1" ht="15">
      <c r="A32" s="55" t="s">
        <v>565</v>
      </c>
      <c r="B32" s="56">
        <v>2.08</v>
      </c>
      <c r="C32" s="56">
        <v>28.76</v>
      </c>
      <c r="D32" s="56">
        <v>16.399999999999999</v>
      </c>
      <c r="E32" s="56">
        <v>2.4900000000000002</v>
      </c>
      <c r="F32" s="56">
        <v>4.78</v>
      </c>
      <c r="G32" s="56">
        <v>47</v>
      </c>
      <c r="H32" s="56">
        <v>19.84</v>
      </c>
      <c r="I32" s="56">
        <v>6</v>
      </c>
      <c r="J32" s="56">
        <v>0.60</v>
      </c>
      <c r="K32" s="56">
        <v>207.49</v>
      </c>
      <c r="L32" s="56">
        <v>27.91</v>
      </c>
      <c r="M32" s="56">
        <v>47.14</v>
      </c>
      <c r="N32" s="56">
        <v>16</v>
      </c>
      <c r="O32" s="56">
        <v>0</v>
      </c>
      <c r="P32" s="56">
        <v>0.47</v>
      </c>
      <c r="Q32" s="56">
        <v>9.2200000000000006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1.6899999999999999</v>
      </c>
      <c r="C34" s="28">
        <f t="shared" si="0"/>
        <v>26.100000000000001</v>
      </c>
      <c r="D34" s="28">
        <f t="shared" si="0"/>
        <v>15.41</v>
      </c>
      <c r="E34" s="28">
        <f t="shared" si="0"/>
        <v>0.46000000000000002</v>
      </c>
      <c r="F34" s="28">
        <f t="shared" si="0"/>
        <v>3.7999999999999998</v>
      </c>
      <c r="G34" s="28">
        <f t="shared" si="0"/>
        <v>22.620000000000001</v>
      </c>
      <c r="H34" s="28">
        <f t="shared" si="0"/>
        <v>4.2000000000000002</v>
      </c>
      <c r="I34" s="28">
        <f t="shared" si="0"/>
        <v>4.9800000000000004</v>
      </c>
      <c r="J34" s="28">
        <f t="shared" si="0"/>
        <v>0.20999999999999999</v>
      </c>
      <c r="K34" s="28">
        <f t="shared" si="0"/>
        <v>170.90000000000001</v>
      </c>
      <c r="L34" s="28">
        <f t="shared" si="0"/>
        <v>24.989999999999998</v>
      </c>
      <c r="M34" s="28">
        <f t="shared" si="0"/>
        <v>19.469999999999999</v>
      </c>
      <c r="N34" s="28">
        <f t="shared" si="0"/>
        <v>15</v>
      </c>
      <c r="O34" s="28">
        <f t="shared" si="0"/>
        <v>0</v>
      </c>
      <c r="P34" s="28">
        <f t="shared" si="0"/>
        <v>0.35999999999999999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5.0300000000000002</v>
      </c>
      <c r="C35" s="29">
        <f t="shared" si="1"/>
        <v>39.420000000000002</v>
      </c>
      <c r="D35" s="29">
        <f t="shared" si="1"/>
        <v>23.879999999999999</v>
      </c>
      <c r="E35" s="29">
        <f t="shared" si="1"/>
        <v>2.8700000000000001</v>
      </c>
      <c r="F35" s="29">
        <f t="shared" si="1"/>
        <v>6.96</v>
      </c>
      <c r="G35" s="29">
        <f t="shared" si="1"/>
        <v>66.659999999999997</v>
      </c>
      <c r="H35" s="29">
        <f t="shared" si="1"/>
        <v>45.25</v>
      </c>
      <c r="I35" s="29">
        <f t="shared" si="1"/>
        <v>8.6999999999999993</v>
      </c>
      <c r="J35" s="29">
        <f t="shared" si="1"/>
        <v>1.75</v>
      </c>
      <c r="K35" s="29">
        <f t="shared" si="1"/>
        <v>356.69</v>
      </c>
      <c r="L35" s="29">
        <f t="shared" si="1"/>
        <v>40.299999999999997</v>
      </c>
      <c r="M35" s="29">
        <f t="shared" si="1"/>
        <v>61.460000000000001</v>
      </c>
      <c r="N35" s="29">
        <f t="shared" si="1"/>
        <v>855</v>
      </c>
      <c r="O35" s="29">
        <f t="shared" si="1"/>
        <v>0</v>
      </c>
      <c r="P35" s="29">
        <f t="shared" si="1"/>
        <v>0.68000000000000005</v>
      </c>
      <c r="Q35" s="29">
        <f t="shared" si="1"/>
        <v>9.25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3.0487500000000001</v>
      </c>
      <c r="C36" s="28">
        <f t="shared" si="2"/>
        <v>32.87083333333333</v>
      </c>
      <c r="D36" s="28">
        <f t="shared" si="2"/>
        <v>19.402499999999996</v>
      </c>
      <c r="E36" s="28">
        <f t="shared" si="2"/>
        <v>1.7129166666666664</v>
      </c>
      <c r="F36" s="28">
        <f t="shared" si="2"/>
        <v>4.8787499999999993</v>
      </c>
      <c r="G36" s="28">
        <f t="shared" si="2"/>
        <v>43.526250000000005</v>
      </c>
      <c r="H36" s="28">
        <f t="shared" si="2"/>
        <v>20.607916666666672</v>
      </c>
      <c r="I36" s="28">
        <f t="shared" si="2"/>
        <v>6.6270833333333323</v>
      </c>
      <c r="J36" s="28">
        <f t="shared" si="2"/>
        <v>0.66208333333333347</v>
      </c>
      <c r="K36" s="28">
        <f t="shared" si="2"/>
        <v>282.09541666666667</v>
      </c>
      <c r="L36" s="28">
        <f t="shared" si="2"/>
        <v>32.332916666666669</v>
      </c>
      <c r="M36" s="28">
        <f t="shared" si="2"/>
        <v>39.462916666666665</v>
      </c>
      <c r="N36" s="28">
        <f t="shared" si="2"/>
        <v>262.12083333333334</v>
      </c>
      <c r="O36" s="28">
        <f t="shared" si="2"/>
        <v>0</v>
      </c>
      <c r="P36" s="28">
        <f t="shared" si="2"/>
        <v>0.51416666666666677</v>
      </c>
      <c r="Q36" s="28">
        <f t="shared" si="2"/>
        <v>9.1974999999999962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0.99860473313692977</v>
      </c>
      <c r="C37" s="28">
        <f t="shared" si="3" ref="C37:Q37">STDEV(C9:C32)</f>
        <v>4.3727385873870519</v>
      </c>
      <c r="D37" s="28">
        <f t="shared" si="3"/>
        <v>2.3467410334889718</v>
      </c>
      <c r="E37" s="28">
        <f t="shared" si="3"/>
        <v>0.73039286133152947</v>
      </c>
      <c r="F37" s="28">
        <f t="shared" si="3"/>
        <v>0.85546993187828135</v>
      </c>
      <c r="G37" s="28">
        <f t="shared" si="3"/>
        <v>13.193676289106788</v>
      </c>
      <c r="H37" s="28">
        <f t="shared" si="3"/>
        <v>9.5087886025721247</v>
      </c>
      <c r="I37" s="28">
        <f t="shared" si="3"/>
        <v>1.0166247615502519</v>
      </c>
      <c r="J37" s="28">
        <f t="shared" si="3"/>
        <v>0.4445122306398393</v>
      </c>
      <c r="K37" s="28">
        <f t="shared" si="3"/>
        <v>66.045925917149631</v>
      </c>
      <c r="L37" s="28">
        <f t="shared" si="3"/>
        <v>5.4360411419617689</v>
      </c>
      <c r="M37" s="28">
        <f t="shared" si="3"/>
        <v>14.433677249726625</v>
      </c>
      <c r="N37" s="28">
        <f t="shared" si="3"/>
        <v>317.79467801268851</v>
      </c>
      <c r="O37" s="28">
        <f t="shared" si="3"/>
        <v>0</v>
      </c>
      <c r="P37" s="28">
        <f t="shared" si="3"/>
        <v>0.11178071182557309</v>
      </c>
      <c r="Q37" s="28">
        <f t="shared" si="3"/>
        <v>0.022312016649252774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41709a-8980-44fb-afd3-3d80ae41de6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566</v>
      </c>
      <c r="B9" s="56">
        <v>2.12</v>
      </c>
      <c r="C9" s="56">
        <v>31.64</v>
      </c>
      <c r="D9" s="56">
        <v>18.079999999999998</v>
      </c>
      <c r="E9" s="56">
        <v>1.64</v>
      </c>
      <c r="F9" s="56">
        <v>5.41</v>
      </c>
      <c r="G9" s="56">
        <v>36.43</v>
      </c>
      <c r="H9" s="56">
        <v>11.29</v>
      </c>
      <c r="I9" s="56">
        <v>5.73</v>
      </c>
      <c r="J9" s="56">
        <v>0.89</v>
      </c>
      <c r="K9" s="56">
        <v>188.38</v>
      </c>
      <c r="L9" s="56">
        <v>26.97</v>
      </c>
      <c r="M9" s="56">
        <v>50.36</v>
      </c>
      <c r="N9" s="56">
        <v>16.100000000000001</v>
      </c>
      <c r="O9" s="56">
        <v>0</v>
      </c>
      <c r="P9" s="56">
        <v>0.42</v>
      </c>
      <c r="Q9" s="56">
        <v>9.2200000000000006</v>
      </c>
      <c r="R9" s="43"/>
      <c r="S9" s="43"/>
      <c r="T9" s="43"/>
      <c r="U9" s="43"/>
    </row>
    <row r="10" spans="1:21" s="11" customFormat="1" ht="15">
      <c r="A10" s="55" t="s">
        <v>567</v>
      </c>
      <c r="B10" s="56">
        <v>1.71</v>
      </c>
      <c r="C10" s="56">
        <v>27.70</v>
      </c>
      <c r="D10" s="56">
        <v>15.70</v>
      </c>
      <c r="E10" s="56">
        <v>1.62</v>
      </c>
      <c r="F10" s="56">
        <v>5.26</v>
      </c>
      <c r="G10" s="56">
        <v>34.229999999999997</v>
      </c>
      <c r="H10" s="56">
        <v>3</v>
      </c>
      <c r="I10" s="56">
        <v>5.27</v>
      </c>
      <c r="J10" s="56">
        <v>0.46</v>
      </c>
      <c r="K10" s="56">
        <v>204.66</v>
      </c>
      <c r="L10" s="56">
        <v>26.07</v>
      </c>
      <c r="M10" s="56">
        <v>53.15</v>
      </c>
      <c r="N10" s="56">
        <v>16</v>
      </c>
      <c r="O10" s="56">
        <v>0</v>
      </c>
      <c r="P10" s="56">
        <v>0.35</v>
      </c>
      <c r="Q10" s="56">
        <v>9.1999999999999993</v>
      </c>
      <c r="R10" s="43"/>
      <c r="S10" s="43"/>
      <c r="T10" s="43"/>
      <c r="U10" s="43"/>
    </row>
    <row r="11" spans="1:21" s="11" customFormat="1" ht="15">
      <c r="A11" s="55" t="s">
        <v>568</v>
      </c>
      <c r="B11" s="56">
        <v>1.83</v>
      </c>
      <c r="C11" s="56">
        <v>26.28</v>
      </c>
      <c r="D11" s="56">
        <v>15.08</v>
      </c>
      <c r="E11" s="56">
        <v>1.56</v>
      </c>
      <c r="F11" s="56">
        <v>4.74</v>
      </c>
      <c r="G11" s="56">
        <v>24.92</v>
      </c>
      <c r="H11" s="56">
        <v>12.25</v>
      </c>
      <c r="I11" s="56">
        <v>4.67</v>
      </c>
      <c r="J11" s="56">
        <v>0.65</v>
      </c>
      <c r="K11" s="56">
        <v>312.22000000000003</v>
      </c>
      <c r="L11" s="56">
        <v>25.59</v>
      </c>
      <c r="M11" s="56">
        <v>56.45</v>
      </c>
      <c r="N11" s="56">
        <v>15.90</v>
      </c>
      <c r="O11" s="56">
        <v>0</v>
      </c>
      <c r="P11" s="56">
        <v>0.33</v>
      </c>
      <c r="Q11" s="56">
        <v>9.19</v>
      </c>
      <c r="R11" s="43"/>
      <c r="S11" s="43"/>
      <c r="T11" s="43"/>
      <c r="U11" s="43"/>
    </row>
    <row r="12" spans="1:21" s="11" customFormat="1" ht="15">
      <c r="A12" s="55" t="s">
        <v>569</v>
      </c>
      <c r="B12" s="56">
        <v>2.02</v>
      </c>
      <c r="C12" s="56">
        <v>26.94</v>
      </c>
      <c r="D12" s="56">
        <v>15.54</v>
      </c>
      <c r="E12" s="56">
        <v>1.38</v>
      </c>
      <c r="F12" s="56">
        <v>5.62</v>
      </c>
      <c r="G12" s="56">
        <v>28.62</v>
      </c>
      <c r="H12" s="56">
        <v>8.3800000000000008</v>
      </c>
      <c r="I12" s="56">
        <v>4.22</v>
      </c>
      <c r="J12" s="56">
        <v>1.55</v>
      </c>
      <c r="K12" s="56">
        <v>313.18</v>
      </c>
      <c r="L12" s="56">
        <v>26.22</v>
      </c>
      <c r="M12" s="56">
        <v>55.17</v>
      </c>
      <c r="N12" s="56">
        <v>16.5</v>
      </c>
      <c r="O12" s="56">
        <v>0</v>
      </c>
      <c r="P12" s="56">
        <v>0.30</v>
      </c>
      <c r="Q12" s="56">
        <v>9.23</v>
      </c>
      <c r="R12" s="43"/>
      <c r="S12" s="43"/>
      <c r="T12" s="43"/>
      <c r="U12" s="43"/>
    </row>
    <row r="13" spans="1:21" s="11" customFormat="1" ht="15">
      <c r="A13" s="55" t="s">
        <v>570</v>
      </c>
      <c r="B13" s="56">
        <v>2.02</v>
      </c>
      <c r="C13" s="56">
        <v>29.07</v>
      </c>
      <c r="D13" s="56">
        <v>16.73</v>
      </c>
      <c r="E13" s="56">
        <v>1.27</v>
      </c>
      <c r="F13" s="56">
        <v>5.07</v>
      </c>
      <c r="G13" s="56">
        <v>28.73</v>
      </c>
      <c r="H13" s="56">
        <v>16.09</v>
      </c>
      <c r="I13" s="56">
        <v>3.65</v>
      </c>
      <c r="J13" s="56">
        <v>1.97</v>
      </c>
      <c r="K13" s="56">
        <v>332.51</v>
      </c>
      <c r="L13" s="56">
        <v>26.21</v>
      </c>
      <c r="M13" s="56">
        <v>55.47</v>
      </c>
      <c r="N13" s="56">
        <v>16.399999999999999</v>
      </c>
      <c r="O13" s="56">
        <v>0</v>
      </c>
      <c r="P13" s="56">
        <v>0.28000000000000003</v>
      </c>
      <c r="Q13" s="56">
        <v>9.18</v>
      </c>
      <c r="R13" s="43"/>
      <c r="S13" s="43"/>
      <c r="T13" s="43"/>
      <c r="U13" s="43"/>
    </row>
    <row r="14" spans="1:21" s="11" customFormat="1" ht="15">
      <c r="A14" s="55" t="s">
        <v>571</v>
      </c>
      <c r="B14" s="56">
        <v>2.99</v>
      </c>
      <c r="C14" s="56">
        <v>29.39</v>
      </c>
      <c r="D14" s="56">
        <v>17.63</v>
      </c>
      <c r="E14" s="56">
        <v>1.07</v>
      </c>
      <c r="F14" s="56">
        <v>4.49</v>
      </c>
      <c r="G14" s="56">
        <v>29.66</v>
      </c>
      <c r="H14" s="56">
        <v>17.64</v>
      </c>
      <c r="I14" s="56">
        <v>3.13</v>
      </c>
      <c r="J14" s="56">
        <v>1.0900000000000001</v>
      </c>
      <c r="K14" s="56">
        <v>335.87</v>
      </c>
      <c r="L14" s="56">
        <v>25.85</v>
      </c>
      <c r="M14" s="56">
        <v>46.10</v>
      </c>
      <c r="N14" s="56">
        <v>25.90</v>
      </c>
      <c r="O14" s="56">
        <v>0</v>
      </c>
      <c r="P14" s="56">
        <v>0.31</v>
      </c>
      <c r="Q14" s="56">
        <v>9.2100000000000009</v>
      </c>
      <c r="R14" s="43"/>
      <c r="S14" s="43"/>
      <c r="T14" s="43"/>
      <c r="U14" s="43"/>
    </row>
    <row r="15" spans="1:21" s="11" customFormat="1" ht="15">
      <c r="A15" s="55" t="s">
        <v>572</v>
      </c>
      <c r="B15" s="56">
        <v>5.46</v>
      </c>
      <c r="C15" s="56">
        <v>30.64</v>
      </c>
      <c r="D15" s="56">
        <v>20.309999999999999</v>
      </c>
      <c r="E15" s="56">
        <v>1.06</v>
      </c>
      <c r="F15" s="56">
        <v>3.84</v>
      </c>
      <c r="G15" s="56">
        <v>38.53</v>
      </c>
      <c r="H15" s="56">
        <v>21.14</v>
      </c>
      <c r="I15" s="56">
        <v>3.10</v>
      </c>
      <c r="J15" s="56">
        <v>0.70</v>
      </c>
      <c r="K15" s="56">
        <v>357.97</v>
      </c>
      <c r="L15" s="56">
        <v>25.88</v>
      </c>
      <c r="M15" s="56">
        <v>45.45</v>
      </c>
      <c r="N15" s="56">
        <v>63.30</v>
      </c>
      <c r="O15" s="56">
        <v>0</v>
      </c>
      <c r="P15" s="56">
        <v>0.34</v>
      </c>
      <c r="Q15" s="56">
        <v>9.2200000000000006</v>
      </c>
      <c r="R15" s="43"/>
      <c r="S15" s="43"/>
      <c r="T15" s="43"/>
      <c r="U15" s="43"/>
    </row>
    <row r="16" spans="1:21" s="11" customFormat="1" ht="15">
      <c r="A16" s="55" t="s">
        <v>573</v>
      </c>
      <c r="B16" s="56">
        <v>7.98</v>
      </c>
      <c r="C16" s="56">
        <v>34.24</v>
      </c>
      <c r="D16" s="56">
        <v>24.21</v>
      </c>
      <c r="E16" s="56">
        <v>2</v>
      </c>
      <c r="F16" s="56">
        <v>4.0999999999999996</v>
      </c>
      <c r="G16" s="56">
        <v>48.84</v>
      </c>
      <c r="H16" s="56">
        <v>22.33</v>
      </c>
      <c r="I16" s="56">
        <v>3.93</v>
      </c>
      <c r="J16" s="56">
        <v>1.68</v>
      </c>
      <c r="K16" s="56">
        <v>352.27</v>
      </c>
      <c r="L16" s="56">
        <v>27.13</v>
      </c>
      <c r="M16" s="56">
        <v>42.54</v>
      </c>
      <c r="N16" s="56">
        <v>150.30000000000001</v>
      </c>
      <c r="O16" s="56">
        <v>0</v>
      </c>
      <c r="P16" s="56">
        <v>0.38</v>
      </c>
      <c r="Q16" s="56">
        <v>9.2100000000000009</v>
      </c>
      <c r="R16" s="43"/>
      <c r="S16" s="43"/>
      <c r="T16" s="43"/>
      <c r="U16" s="43"/>
    </row>
    <row r="17" spans="1:21" s="11" customFormat="1" ht="15">
      <c r="A17" s="55" t="s">
        <v>574</v>
      </c>
      <c r="B17" s="56">
        <v>8.2200000000000006</v>
      </c>
      <c r="C17" s="56">
        <v>36.93</v>
      </c>
      <c r="D17" s="56">
        <v>25.27</v>
      </c>
      <c r="E17" s="56">
        <v>2.04</v>
      </c>
      <c r="F17" s="56">
        <v>4.2699999999999996</v>
      </c>
      <c r="G17" s="56">
        <v>54.16</v>
      </c>
      <c r="H17" s="56">
        <v>18.29</v>
      </c>
      <c r="I17" s="56">
        <v>4.93</v>
      </c>
      <c r="J17" s="56">
        <v>2.23</v>
      </c>
      <c r="K17" s="56">
        <v>358.44</v>
      </c>
      <c r="L17" s="56">
        <v>27.10</v>
      </c>
      <c r="M17" s="56">
        <v>43.08</v>
      </c>
      <c r="N17" s="56">
        <v>353.40</v>
      </c>
      <c r="O17" s="56">
        <v>0</v>
      </c>
      <c r="P17" s="56">
        <v>0.40</v>
      </c>
      <c r="Q17" s="56">
        <v>9.23</v>
      </c>
      <c r="R17" s="43"/>
      <c r="S17" s="43"/>
      <c r="T17" s="43"/>
      <c r="U17" s="43"/>
    </row>
    <row r="18" spans="1:21" s="11" customFormat="1" ht="15">
      <c r="A18" s="55" t="s">
        <v>575</v>
      </c>
      <c r="B18" s="56">
        <v>6.56</v>
      </c>
      <c r="C18" s="56">
        <v>41.93</v>
      </c>
      <c r="D18" s="56">
        <v>26.10</v>
      </c>
      <c r="E18" s="56">
        <v>2.25</v>
      </c>
      <c r="F18" s="56">
        <v>5.0999999999999996</v>
      </c>
      <c r="G18" s="56">
        <v>50.92</v>
      </c>
      <c r="H18" s="56">
        <v>10.94</v>
      </c>
      <c r="I18" s="56">
        <v>5.33</v>
      </c>
      <c r="J18" s="56">
        <v>2.5499999999999998</v>
      </c>
      <c r="K18" s="56">
        <v>358.31</v>
      </c>
      <c r="L18" s="56">
        <v>32.57</v>
      </c>
      <c r="M18" s="56">
        <v>36.869999999999997</v>
      </c>
      <c r="N18" s="56">
        <v>806.80</v>
      </c>
      <c r="O18" s="56">
        <v>0</v>
      </c>
      <c r="P18" s="56">
        <v>0.40</v>
      </c>
      <c r="Q18" s="56">
        <v>9.2100000000000009</v>
      </c>
      <c r="R18" s="43"/>
      <c r="S18" s="43"/>
      <c r="T18" s="43"/>
      <c r="U18" s="43"/>
    </row>
    <row r="19" spans="1:21" s="11" customFormat="1" ht="15">
      <c r="A19" s="55" t="s">
        <v>576</v>
      </c>
      <c r="B19" s="56">
        <v>3.69</v>
      </c>
      <c r="C19" s="56">
        <v>40.86</v>
      </c>
      <c r="D19" s="56">
        <v>24.23</v>
      </c>
      <c r="E19" s="56">
        <v>1.99</v>
      </c>
      <c r="F19" s="56">
        <v>5.46</v>
      </c>
      <c r="G19" s="56">
        <v>52.13</v>
      </c>
      <c r="H19" s="56">
        <v>14.56</v>
      </c>
      <c r="I19" s="56">
        <v>5.18</v>
      </c>
      <c r="J19" s="56">
        <v>2.08</v>
      </c>
      <c r="K19" s="56">
        <v>358.19</v>
      </c>
      <c r="L19" s="56">
        <v>34.04</v>
      </c>
      <c r="M19" s="56">
        <v>31.74</v>
      </c>
      <c r="N19" s="56">
        <v>869.90</v>
      </c>
      <c r="O19" s="56">
        <v>0</v>
      </c>
      <c r="P19" s="56">
        <v>0.42</v>
      </c>
      <c r="Q19" s="56">
        <v>9.2200000000000006</v>
      </c>
      <c r="R19" s="43"/>
      <c r="S19" s="43"/>
      <c r="T19" s="43"/>
      <c r="U19" s="43"/>
    </row>
    <row r="20" spans="1:21" s="11" customFormat="1" ht="15">
      <c r="A20" s="55" t="s">
        <v>577</v>
      </c>
      <c r="B20" s="56">
        <v>2.85</v>
      </c>
      <c r="C20" s="56">
        <v>38.799999999999997</v>
      </c>
      <c r="D20" s="56">
        <v>22.48</v>
      </c>
      <c r="E20" s="56">
        <v>1.99</v>
      </c>
      <c r="F20" s="56">
        <v>5.46</v>
      </c>
      <c r="G20" s="56">
        <v>44.33</v>
      </c>
      <c r="H20" s="56">
        <v>9.11</v>
      </c>
      <c r="I20" s="56">
        <v>4.5999999999999996</v>
      </c>
      <c r="J20" s="56">
        <v>1.64</v>
      </c>
      <c r="K20" s="56">
        <v>349.42</v>
      </c>
      <c r="L20" s="56">
        <v>36.40</v>
      </c>
      <c r="M20" s="56">
        <v>30.81</v>
      </c>
      <c r="N20" s="56">
        <v>878.90</v>
      </c>
      <c r="O20" s="56">
        <v>0</v>
      </c>
      <c r="P20" s="56">
        <v>0.45</v>
      </c>
      <c r="Q20" s="56">
        <v>9.19</v>
      </c>
      <c r="R20" s="43"/>
      <c r="S20" s="43"/>
      <c r="T20" s="43"/>
      <c r="U20" s="43"/>
    </row>
    <row r="21" spans="1:21" s="11" customFormat="1" ht="15">
      <c r="A21" s="55" t="s">
        <v>578</v>
      </c>
      <c r="B21" s="56">
        <v>2.79</v>
      </c>
      <c r="C21" s="56">
        <v>37.799999999999997</v>
      </c>
      <c r="D21" s="56">
        <v>21.90</v>
      </c>
      <c r="E21" s="56">
        <v>0.66</v>
      </c>
      <c r="F21" s="56">
        <v>5.72</v>
      </c>
      <c r="G21" s="56">
        <v>43.19</v>
      </c>
      <c r="H21" s="56">
        <v>15.82</v>
      </c>
      <c r="I21" s="56">
        <v>4.55</v>
      </c>
      <c r="J21" s="56">
        <v>2.65</v>
      </c>
      <c r="K21" s="56">
        <v>351.26</v>
      </c>
      <c r="L21" s="56">
        <v>34.75</v>
      </c>
      <c r="M21" s="56">
        <v>31.17</v>
      </c>
      <c r="N21" s="56">
        <v>764.20</v>
      </c>
      <c r="O21" s="56">
        <v>0</v>
      </c>
      <c r="P21" s="56">
        <v>0.46</v>
      </c>
      <c r="Q21" s="56">
        <v>9.2200000000000006</v>
      </c>
      <c r="R21" s="43"/>
      <c r="S21" s="43"/>
      <c r="T21" s="43"/>
      <c r="U21" s="43"/>
    </row>
    <row r="22" spans="1:21" s="11" customFormat="1" ht="15">
      <c r="A22" s="55" t="s">
        <v>579</v>
      </c>
      <c r="B22" s="56">
        <v>2.2799999999999998</v>
      </c>
      <c r="C22" s="56">
        <v>35.94</v>
      </c>
      <c r="D22" s="56">
        <v>20.53</v>
      </c>
      <c r="E22" s="56">
        <v>1.0900000000000001</v>
      </c>
      <c r="F22" s="56">
        <v>6.42</v>
      </c>
      <c r="G22" s="56">
        <v>36.880000000000003</v>
      </c>
      <c r="H22" s="56">
        <v>19.82</v>
      </c>
      <c r="I22" s="56">
        <v>4.37</v>
      </c>
      <c r="J22" s="56">
        <v>2.56</v>
      </c>
      <c r="K22" s="56">
        <v>340.37</v>
      </c>
      <c r="L22" s="56">
        <v>32.880000000000003</v>
      </c>
      <c r="M22" s="56">
        <v>33.86</v>
      </c>
      <c r="N22" s="56">
        <v>704.20</v>
      </c>
      <c r="O22" s="56">
        <v>0</v>
      </c>
      <c r="P22" s="56">
        <v>0.41</v>
      </c>
      <c r="Q22" s="56">
        <v>9.2200000000000006</v>
      </c>
      <c r="R22" s="43"/>
      <c r="S22" s="43"/>
      <c r="T22" s="43"/>
      <c r="U22" s="43"/>
    </row>
    <row r="23" spans="1:21" s="11" customFormat="1" ht="15">
      <c r="A23" s="55" t="s">
        <v>580</v>
      </c>
      <c r="B23" s="56">
        <v>1.88</v>
      </c>
      <c r="C23" s="56">
        <v>35.619999999999997</v>
      </c>
      <c r="D23" s="56">
        <v>20.04</v>
      </c>
      <c r="E23" s="56">
        <v>0.74</v>
      </c>
      <c r="F23" s="56">
        <v>7.66</v>
      </c>
      <c r="G23" s="56">
        <v>33.93</v>
      </c>
      <c r="H23" s="56">
        <v>14.82</v>
      </c>
      <c r="I23" s="56">
        <v>3.61</v>
      </c>
      <c r="J23" s="56">
        <v>2.70</v>
      </c>
      <c r="K23" s="56">
        <v>328.04</v>
      </c>
      <c r="L23" s="56">
        <v>32.340000000000003</v>
      </c>
      <c r="M23" s="56">
        <v>33.35</v>
      </c>
      <c r="N23" s="56">
        <v>391.40</v>
      </c>
      <c r="O23" s="56">
        <v>0</v>
      </c>
      <c r="P23" s="56">
        <v>0.37</v>
      </c>
      <c r="Q23" s="56">
        <v>9.1999999999999993</v>
      </c>
      <c r="R23" s="43"/>
      <c r="S23" s="43"/>
      <c r="T23" s="43"/>
      <c r="U23" s="43"/>
    </row>
    <row r="24" spans="1:21" s="11" customFormat="1" ht="15">
      <c r="A24" s="55" t="s">
        <v>581</v>
      </c>
      <c r="B24" s="56">
        <v>1.77</v>
      </c>
      <c r="C24" s="56">
        <v>30.46</v>
      </c>
      <c r="D24" s="56">
        <v>17.260000000000002</v>
      </c>
      <c r="E24" s="56">
        <v>1.04</v>
      </c>
      <c r="F24" s="56">
        <v>7.68</v>
      </c>
      <c r="G24" s="56">
        <v>34.94</v>
      </c>
      <c r="H24" s="56">
        <v>7.46</v>
      </c>
      <c r="I24" s="56">
        <v>2.70</v>
      </c>
      <c r="J24" s="56">
        <v>2.5</v>
      </c>
      <c r="K24" s="56">
        <v>347.13</v>
      </c>
      <c r="L24" s="56">
        <v>30.71</v>
      </c>
      <c r="M24" s="56">
        <v>35.159999999999997</v>
      </c>
      <c r="N24" s="56">
        <v>251.30</v>
      </c>
      <c r="O24" s="56">
        <v>0</v>
      </c>
      <c r="P24" s="56">
        <v>0.31</v>
      </c>
      <c r="Q24" s="56">
        <v>9.17</v>
      </c>
      <c r="R24" s="43"/>
      <c r="S24" s="43"/>
      <c r="T24" s="43"/>
      <c r="U24" s="43"/>
    </row>
    <row r="25" spans="1:21" s="11" customFormat="1" ht="15">
      <c r="A25" s="55" t="s">
        <v>582</v>
      </c>
      <c r="B25" s="56">
        <v>2.74</v>
      </c>
      <c r="C25" s="56">
        <v>34.40</v>
      </c>
      <c r="D25" s="56">
        <v>20.09</v>
      </c>
      <c r="E25" s="56">
        <v>2.0099999999999998</v>
      </c>
      <c r="F25" s="56">
        <v>6.52</v>
      </c>
      <c r="G25" s="56">
        <v>33.79</v>
      </c>
      <c r="H25" s="56">
        <v>4.72</v>
      </c>
      <c r="I25" s="56">
        <v>2.31</v>
      </c>
      <c r="J25" s="56">
        <v>2</v>
      </c>
      <c r="K25" s="56">
        <v>349.83</v>
      </c>
      <c r="L25" s="56">
        <v>28.81</v>
      </c>
      <c r="M25" s="56">
        <v>39.049999999999997</v>
      </c>
      <c r="N25" s="56">
        <v>146.10</v>
      </c>
      <c r="O25" s="56">
        <v>0</v>
      </c>
      <c r="P25" s="56">
        <v>0.33</v>
      </c>
      <c r="Q25" s="56">
        <v>9.17</v>
      </c>
      <c r="R25" s="43"/>
      <c r="S25" s="43"/>
      <c r="T25" s="43"/>
      <c r="U25" s="43"/>
    </row>
    <row r="26" spans="1:21" s="11" customFormat="1" ht="15">
      <c r="A26" s="55" t="s">
        <v>583</v>
      </c>
      <c r="B26" s="56">
        <v>4.04</v>
      </c>
      <c r="C26" s="56">
        <v>37.46</v>
      </c>
      <c r="D26" s="56">
        <v>22.73</v>
      </c>
      <c r="E26" s="56">
        <v>1.79</v>
      </c>
      <c r="F26" s="56">
        <v>4.66</v>
      </c>
      <c r="G26" s="56">
        <v>37.020000000000003</v>
      </c>
      <c r="H26" s="56">
        <v>9.7200000000000006</v>
      </c>
      <c r="I26" s="56">
        <v>3.05</v>
      </c>
      <c r="J26" s="56">
        <v>1.95</v>
      </c>
      <c r="K26" s="56">
        <v>358.62</v>
      </c>
      <c r="L26" s="56">
        <v>27.52</v>
      </c>
      <c r="M26" s="56">
        <v>45.33</v>
      </c>
      <c r="N26" s="56">
        <v>48.40</v>
      </c>
      <c r="O26" s="56">
        <v>0</v>
      </c>
      <c r="P26" s="56">
        <v>0.40</v>
      </c>
      <c r="Q26" s="56">
        <v>9.23</v>
      </c>
      <c r="R26" s="43"/>
      <c r="S26" s="43"/>
      <c r="T26" s="43"/>
      <c r="U26" s="43"/>
    </row>
    <row r="27" spans="1:21" s="11" customFormat="1" ht="15">
      <c r="A27" s="55" t="s">
        <v>584</v>
      </c>
      <c r="B27" s="56">
        <v>5.47</v>
      </c>
      <c r="C27" s="56">
        <v>39.32</v>
      </c>
      <c r="D27" s="56">
        <v>24.60</v>
      </c>
      <c r="E27" s="56">
        <v>1.85</v>
      </c>
      <c r="F27" s="56">
        <v>3.84</v>
      </c>
      <c r="G27" s="56">
        <v>40.04</v>
      </c>
      <c r="H27" s="56">
        <v>4.72</v>
      </c>
      <c r="I27" s="56">
        <v>3.71</v>
      </c>
      <c r="J27" s="56">
        <v>0.83</v>
      </c>
      <c r="K27" s="56">
        <v>357.98</v>
      </c>
      <c r="L27" s="56">
        <v>25.80</v>
      </c>
      <c r="M27" s="56">
        <v>49.08</v>
      </c>
      <c r="N27" s="56">
        <v>21.60</v>
      </c>
      <c r="O27" s="56">
        <v>0</v>
      </c>
      <c r="P27" s="56">
        <v>0.49</v>
      </c>
      <c r="Q27" s="56">
        <v>9.17</v>
      </c>
      <c r="R27" s="43"/>
      <c r="S27" s="43"/>
      <c r="T27" s="43"/>
      <c r="U27" s="43"/>
    </row>
    <row r="28" spans="1:21" s="11" customFormat="1" ht="15">
      <c r="A28" s="55" t="s">
        <v>585</v>
      </c>
      <c r="B28" s="56">
        <v>5.63</v>
      </c>
      <c r="C28" s="56">
        <v>38.44</v>
      </c>
      <c r="D28" s="56">
        <v>24.52</v>
      </c>
      <c r="E28" s="56">
        <v>1.96</v>
      </c>
      <c r="F28" s="56">
        <v>3.82</v>
      </c>
      <c r="G28" s="56">
        <v>42.36</v>
      </c>
      <c r="H28" s="56">
        <v>1.37</v>
      </c>
      <c r="I28" s="56">
        <v>4.08</v>
      </c>
      <c r="J28" s="56">
        <v>1.1299999999999999</v>
      </c>
      <c r="K28" s="56">
        <v>356.35</v>
      </c>
      <c r="L28" s="56">
        <v>25.46</v>
      </c>
      <c r="M28" s="56">
        <v>91.51</v>
      </c>
      <c r="N28" s="56">
        <v>22.90</v>
      </c>
      <c r="O28" s="56">
        <v>1.40</v>
      </c>
      <c r="P28" s="56">
        <v>0.52</v>
      </c>
      <c r="Q28" s="56">
        <v>9.27</v>
      </c>
      <c r="R28" s="43"/>
      <c r="S28" s="43"/>
      <c r="T28" s="43"/>
      <c r="U28" s="43"/>
    </row>
    <row r="29" spans="1:21" s="11" customFormat="1" ht="15">
      <c r="A29" s="55" t="s">
        <v>586</v>
      </c>
      <c r="B29" s="56">
        <v>8.32</v>
      </c>
      <c r="C29" s="56">
        <v>36.909999999999997</v>
      </c>
      <c r="D29" s="56">
        <v>25.37</v>
      </c>
      <c r="E29" s="56">
        <v>1.08</v>
      </c>
      <c r="F29" s="56">
        <v>4.12</v>
      </c>
      <c r="G29" s="56">
        <v>39.85</v>
      </c>
      <c r="H29" s="56">
        <v>25.87</v>
      </c>
      <c r="I29" s="56">
        <v>4.66</v>
      </c>
      <c r="J29" s="56">
        <v>1.33</v>
      </c>
      <c r="K29" s="56">
        <v>86.10</v>
      </c>
      <c r="L29" s="56">
        <v>22.89</v>
      </c>
      <c r="M29" s="56">
        <v>87.09</v>
      </c>
      <c r="N29" s="56">
        <v>19.399999999999999</v>
      </c>
      <c r="O29" s="56">
        <v>0</v>
      </c>
      <c r="P29" s="56">
        <v>0.63</v>
      </c>
      <c r="Q29" s="56">
        <v>9.1999999999999993</v>
      </c>
      <c r="R29" s="43"/>
      <c r="S29" s="43"/>
      <c r="T29" s="43"/>
      <c r="U29" s="43"/>
    </row>
    <row r="30" spans="1:21" s="11" customFormat="1" ht="15">
      <c r="A30" s="55" t="s">
        <v>587</v>
      </c>
      <c r="B30" s="56">
        <v>11.83</v>
      </c>
      <c r="C30" s="56">
        <v>34.61</v>
      </c>
      <c r="D30" s="56">
        <v>27.14</v>
      </c>
      <c r="E30" s="56">
        <v>1.29</v>
      </c>
      <c r="F30" s="56">
        <v>3.70</v>
      </c>
      <c r="G30" s="56">
        <v>40.44</v>
      </c>
      <c r="H30" s="56">
        <v>47.62</v>
      </c>
      <c r="I30" s="56">
        <v>5.74</v>
      </c>
      <c r="J30" s="56">
        <v>0.78</v>
      </c>
      <c r="K30" s="56">
        <v>348.81</v>
      </c>
      <c r="L30" s="56">
        <v>23.16</v>
      </c>
      <c r="M30" s="56">
        <v>80.86</v>
      </c>
      <c r="N30" s="56">
        <v>18.600000000000001</v>
      </c>
      <c r="O30" s="56">
        <v>0.60</v>
      </c>
      <c r="P30" s="56">
        <v>0.69</v>
      </c>
      <c r="Q30" s="56">
        <v>9.23</v>
      </c>
      <c r="R30" s="43"/>
      <c r="S30" s="43"/>
      <c r="T30" s="43"/>
      <c r="U30" s="43"/>
    </row>
    <row r="31" spans="1:21" s="11" customFormat="1" ht="15">
      <c r="A31" s="55" t="s">
        <v>588</v>
      </c>
      <c r="B31" s="56">
        <v>11.81</v>
      </c>
      <c r="C31" s="56">
        <v>34.57</v>
      </c>
      <c r="D31" s="56">
        <v>27.21</v>
      </c>
      <c r="E31" s="56">
        <v>1.30</v>
      </c>
      <c r="F31" s="56">
        <v>4</v>
      </c>
      <c r="G31" s="56">
        <v>49.62</v>
      </c>
      <c r="H31" s="56">
        <v>41.01</v>
      </c>
      <c r="I31" s="56">
        <v>5.95</v>
      </c>
      <c r="J31" s="56">
        <v>0.62</v>
      </c>
      <c r="K31" s="56">
        <v>116.03</v>
      </c>
      <c r="L31" s="56">
        <v>21.17</v>
      </c>
      <c r="M31" s="56">
        <v>96.99</v>
      </c>
      <c r="N31" s="56">
        <v>18</v>
      </c>
      <c r="O31" s="56">
        <v>0.60</v>
      </c>
      <c r="P31" s="56">
        <v>0.67</v>
      </c>
      <c r="Q31" s="56">
        <v>9.25</v>
      </c>
      <c r="R31" s="43"/>
      <c r="S31" s="43"/>
      <c r="T31" s="43"/>
      <c r="U31" s="43"/>
    </row>
    <row r="32" spans="1:21" s="11" customFormat="1" ht="15">
      <c r="A32" s="55" t="s">
        <v>589</v>
      </c>
      <c r="B32" s="56">
        <v>12.04</v>
      </c>
      <c r="C32" s="56">
        <v>36.31</v>
      </c>
      <c r="D32" s="56">
        <v>28.41</v>
      </c>
      <c r="E32" s="56">
        <v>2.37</v>
      </c>
      <c r="F32" s="56">
        <v>4.07</v>
      </c>
      <c r="G32" s="56">
        <v>36.380000000000003</v>
      </c>
      <c r="H32" s="56">
        <v>12.32</v>
      </c>
      <c r="I32" s="56">
        <v>6.65</v>
      </c>
      <c r="J32" s="56">
        <v>1.40</v>
      </c>
      <c r="K32" s="56">
        <v>340.64</v>
      </c>
      <c r="L32" s="56">
        <v>20.91</v>
      </c>
      <c r="M32" s="56">
        <v>97.87</v>
      </c>
      <c r="N32" s="56">
        <v>18.399999999999999</v>
      </c>
      <c r="O32" s="56">
        <v>2.2000000000000002</v>
      </c>
      <c r="P32" s="56">
        <v>0.64</v>
      </c>
      <c r="Q32" s="56">
        <v>9.24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1.71</v>
      </c>
      <c r="C34" s="28">
        <f t="shared" si="0"/>
        <v>26.280000000000001</v>
      </c>
      <c r="D34" s="28">
        <f t="shared" si="0"/>
        <v>15.08</v>
      </c>
      <c r="E34" s="28">
        <f t="shared" si="0"/>
        <v>0.66000000000000003</v>
      </c>
      <c r="F34" s="28">
        <f t="shared" si="0"/>
        <v>3.7000000000000002</v>
      </c>
      <c r="G34" s="28">
        <f t="shared" si="0"/>
        <v>24.920000000000002</v>
      </c>
      <c r="H34" s="28">
        <f t="shared" si="0"/>
        <v>1.3700000000000001</v>
      </c>
      <c r="I34" s="28">
        <f t="shared" si="0"/>
        <v>2.3100000000000001</v>
      </c>
      <c r="J34" s="28">
        <f t="shared" si="0"/>
        <v>0.46000000000000002</v>
      </c>
      <c r="K34" s="28">
        <f t="shared" si="0"/>
        <v>86.099999999999994</v>
      </c>
      <c r="L34" s="28">
        <f t="shared" si="0"/>
        <v>20.91</v>
      </c>
      <c r="M34" s="28">
        <f t="shared" si="0"/>
        <v>30.809999999999999</v>
      </c>
      <c r="N34" s="28">
        <f t="shared" si="0"/>
        <v>15.9</v>
      </c>
      <c r="O34" s="28">
        <f t="shared" si="0"/>
        <v>0</v>
      </c>
      <c r="P34" s="28">
        <f t="shared" si="0"/>
        <v>0.28000000000000003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12.039999999999999</v>
      </c>
      <c r="C35" s="29">
        <f t="shared" si="1"/>
        <v>41.93</v>
      </c>
      <c r="D35" s="29">
        <f t="shared" si="1"/>
        <v>28.41</v>
      </c>
      <c r="E35" s="29">
        <f t="shared" si="1"/>
        <v>2.3700000000000001</v>
      </c>
      <c r="F35" s="29">
        <f t="shared" si="1"/>
        <v>7.6799999999999997</v>
      </c>
      <c r="G35" s="29">
        <f t="shared" si="1"/>
        <v>54.159999999999997</v>
      </c>
      <c r="H35" s="29">
        <f t="shared" si="1"/>
        <v>47.619999999999997</v>
      </c>
      <c r="I35" s="29">
        <f t="shared" si="1"/>
        <v>6.6500000000000004</v>
      </c>
      <c r="J35" s="29">
        <f t="shared" si="1"/>
        <v>2.7000000000000002</v>
      </c>
      <c r="K35" s="29">
        <f t="shared" si="1"/>
        <v>358.62</v>
      </c>
      <c r="L35" s="29">
        <f t="shared" si="1"/>
        <v>36.399999999999999</v>
      </c>
      <c r="M35" s="29">
        <f t="shared" si="1"/>
        <v>97.870000000000005</v>
      </c>
      <c r="N35" s="29">
        <f t="shared" si="1"/>
        <v>878.89999999999998</v>
      </c>
      <c r="O35" s="29">
        <f t="shared" si="1"/>
        <v>2.2000000000000002</v>
      </c>
      <c r="P35" s="29">
        <f t="shared" si="1"/>
        <v>0.68999999999999995</v>
      </c>
      <c r="Q35" s="29">
        <f t="shared" si="1"/>
        <v>9.2699999999999996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4.9187500000000002</v>
      </c>
      <c r="C36" s="28">
        <f t="shared" si="2"/>
        <v>34.427500000000009</v>
      </c>
      <c r="D36" s="28">
        <f t="shared" si="2"/>
        <v>21.715</v>
      </c>
      <c r="E36" s="28">
        <f t="shared" si="2"/>
        <v>1.5437499999999995</v>
      </c>
      <c r="F36" s="28">
        <f t="shared" si="2"/>
        <v>5.0429166666666667</v>
      </c>
      <c r="G36" s="28">
        <f t="shared" si="2"/>
        <v>39.164166666666667</v>
      </c>
      <c r="H36" s="28">
        <f t="shared" si="2"/>
        <v>15.428749999999999</v>
      </c>
      <c r="I36" s="28">
        <f t="shared" si="2"/>
        <v>4.3799999999999999</v>
      </c>
      <c r="J36" s="28">
        <f t="shared" si="2"/>
        <v>1.5808333333333329</v>
      </c>
      <c r="K36" s="28">
        <f t="shared" si="2"/>
        <v>312.60750000000002</v>
      </c>
      <c r="L36" s="28">
        <f t="shared" si="2"/>
        <v>27.767916666666661</v>
      </c>
      <c r="M36" s="28">
        <f t="shared" si="2"/>
        <v>52.854583333333323</v>
      </c>
      <c r="N36" s="28">
        <f t="shared" si="2"/>
        <v>235.57916666666665</v>
      </c>
      <c r="O36" s="28">
        <f t="shared" si="2"/>
        <v>0.20000000000000004</v>
      </c>
      <c r="P36" s="28">
        <f t="shared" si="2"/>
        <v>0.4291666666666667</v>
      </c>
      <c r="Q36" s="28">
        <f t="shared" si="2"/>
        <v>9.2116666666666642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3.4373160820364022</v>
      </c>
      <c r="C37" s="28">
        <f t="shared" si="3" ref="C37:Q37">STDEV(C9:C32)</f>
        <v>4.4565411134254802</v>
      </c>
      <c r="D37" s="28">
        <f t="shared" si="3"/>
        <v>4.0744239390106083</v>
      </c>
      <c r="E37" s="28">
        <f t="shared" si="3"/>
        <v>0.48366186985106424</v>
      </c>
      <c r="F37" s="28">
        <f t="shared" si="3"/>
        <v>1.1480852837836464</v>
      </c>
      <c r="G37" s="28">
        <f t="shared" si="3"/>
        <v>7.8775801386326325</v>
      </c>
      <c r="H37" s="28">
        <f t="shared" si="3"/>
        <v>10.911189833696255</v>
      </c>
      <c r="I37" s="28">
        <f t="shared" si="3"/>
        <v>1.1060466221795477</v>
      </c>
      <c r="J37" s="28">
        <f t="shared" si="3"/>
        <v>0.73220285064506163</v>
      </c>
      <c r="K37" s="28">
        <f t="shared" si="3"/>
        <v>78.709778479302344</v>
      </c>
      <c r="L37" s="28">
        <f t="shared" si="3"/>
        <v>4.2142274336251964</v>
      </c>
      <c r="M37" s="28">
        <f t="shared" si="3"/>
        <v>21.601154554322122</v>
      </c>
      <c r="N37" s="28">
        <f t="shared" si="3"/>
        <v>317.87019086846385</v>
      </c>
      <c r="O37" s="28">
        <f t="shared" si="3"/>
        <v>0.53405747940118564</v>
      </c>
      <c r="P37" s="28">
        <f t="shared" si="3"/>
        <v>0.12057531172301171</v>
      </c>
      <c r="Q37" s="28">
        <f t="shared" si="3"/>
        <v>0.025480882290824413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a07a28-ffa0-4b84-bbb0-da54e4fe6f1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590</v>
      </c>
      <c r="B9" s="56">
        <v>5.88</v>
      </c>
      <c r="C9" s="56">
        <v>34.67</v>
      </c>
      <c r="D9" s="56">
        <v>22.75</v>
      </c>
      <c r="E9" s="56">
        <v>1.65</v>
      </c>
      <c r="F9" s="56">
        <v>4</v>
      </c>
      <c r="G9" s="56">
        <v>29.28</v>
      </c>
      <c r="H9" s="56">
        <v>20.78</v>
      </c>
      <c r="I9" s="56">
        <v>5.61</v>
      </c>
      <c r="J9" s="56">
        <v>2.17</v>
      </c>
      <c r="K9" s="56">
        <v>330.99</v>
      </c>
      <c r="L9" s="56">
        <v>21.05</v>
      </c>
      <c r="M9" s="56">
        <v>97.93</v>
      </c>
      <c r="N9" s="56">
        <v>19</v>
      </c>
      <c r="O9" s="56">
        <v>1.20</v>
      </c>
      <c r="P9" s="56">
        <v>0.49</v>
      </c>
      <c r="Q9" s="56">
        <v>9.2200000000000006</v>
      </c>
      <c r="R9" s="43"/>
      <c r="S9" s="43"/>
      <c r="T9" s="43"/>
      <c r="U9" s="43"/>
    </row>
    <row r="10" spans="1:21" s="11" customFormat="1" ht="15">
      <c r="A10" s="55" t="s">
        <v>591</v>
      </c>
      <c r="B10" s="56">
        <v>2.97</v>
      </c>
      <c r="C10" s="56">
        <v>29.38</v>
      </c>
      <c r="D10" s="56">
        <v>17.489999999999998</v>
      </c>
      <c r="E10" s="56">
        <v>1.89</v>
      </c>
      <c r="F10" s="56">
        <v>3.96</v>
      </c>
      <c r="G10" s="56">
        <v>25.29</v>
      </c>
      <c r="H10" s="56">
        <v>53.80</v>
      </c>
      <c r="I10" s="56">
        <v>4.68</v>
      </c>
      <c r="J10" s="56">
        <v>1.05</v>
      </c>
      <c r="K10" s="56">
        <v>209.98</v>
      </c>
      <c r="L10" s="56">
        <v>20.059999999999999</v>
      </c>
      <c r="M10" s="56">
        <v>97.89</v>
      </c>
      <c r="N10" s="56">
        <v>18</v>
      </c>
      <c r="O10" s="56">
        <v>0</v>
      </c>
      <c r="P10" s="56">
        <v>0.43</v>
      </c>
      <c r="Q10" s="56">
        <v>9.19</v>
      </c>
      <c r="R10" s="43"/>
      <c r="S10" s="43"/>
      <c r="T10" s="43"/>
      <c r="U10" s="43"/>
    </row>
    <row r="11" spans="1:21" s="11" customFormat="1" ht="15">
      <c r="A11" s="55" t="s">
        <v>592</v>
      </c>
      <c r="B11" s="56">
        <v>6.66</v>
      </c>
      <c r="C11" s="56">
        <v>26.23</v>
      </c>
      <c r="D11" s="56">
        <v>18.20</v>
      </c>
      <c r="E11" s="56">
        <v>1.82</v>
      </c>
      <c r="F11" s="56">
        <v>3.36</v>
      </c>
      <c r="G11" s="56">
        <v>20.11</v>
      </c>
      <c r="H11" s="56">
        <v>20.95</v>
      </c>
      <c r="I11" s="56">
        <v>4.96</v>
      </c>
      <c r="J11" s="56">
        <v>0.73</v>
      </c>
      <c r="K11" s="56">
        <v>358.45</v>
      </c>
      <c r="L11" s="56">
        <v>20.81</v>
      </c>
      <c r="M11" s="56">
        <v>97.89</v>
      </c>
      <c r="N11" s="56">
        <v>18</v>
      </c>
      <c r="O11" s="56">
        <v>0</v>
      </c>
      <c r="P11" s="56">
        <v>0.43</v>
      </c>
      <c r="Q11" s="56">
        <v>9.18</v>
      </c>
      <c r="R11" s="43"/>
      <c r="S11" s="43"/>
      <c r="T11" s="43"/>
      <c r="U11" s="43"/>
    </row>
    <row r="12" spans="1:21" s="11" customFormat="1" ht="15">
      <c r="A12" s="55" t="s">
        <v>593</v>
      </c>
      <c r="B12" s="56">
        <v>7.12</v>
      </c>
      <c r="C12" s="56">
        <v>24.31</v>
      </c>
      <c r="D12" s="56">
        <v>18.329999999999998</v>
      </c>
      <c r="E12" s="56">
        <v>1.98</v>
      </c>
      <c r="F12" s="56">
        <v>3.28</v>
      </c>
      <c r="G12" s="56">
        <v>18.25</v>
      </c>
      <c r="H12" s="56">
        <v>15.09</v>
      </c>
      <c r="I12" s="56">
        <v>6.04</v>
      </c>
      <c r="J12" s="56">
        <v>0.85</v>
      </c>
      <c r="K12" s="56">
        <v>350.24</v>
      </c>
      <c r="L12" s="56">
        <v>21.5</v>
      </c>
      <c r="M12" s="56">
        <v>97.86</v>
      </c>
      <c r="N12" s="56">
        <v>18.70</v>
      </c>
      <c r="O12" s="56">
        <v>0</v>
      </c>
      <c r="P12" s="56">
        <v>0.43</v>
      </c>
      <c r="Q12" s="56">
        <v>9.18</v>
      </c>
      <c r="R12" s="43"/>
      <c r="S12" s="43"/>
      <c r="T12" s="43"/>
      <c r="U12" s="43"/>
    </row>
    <row r="13" spans="1:21" s="11" customFormat="1" ht="15">
      <c r="A13" s="55" t="s">
        <v>594</v>
      </c>
      <c r="B13" s="56">
        <v>7.63</v>
      </c>
      <c r="C13" s="56">
        <v>24.73</v>
      </c>
      <c r="D13" s="56">
        <v>18.649999999999999</v>
      </c>
      <c r="E13" s="56">
        <v>1.20</v>
      </c>
      <c r="F13" s="56">
        <v>3.53</v>
      </c>
      <c r="G13" s="56">
        <v>29.16</v>
      </c>
      <c r="H13" s="56">
        <v>22.48</v>
      </c>
      <c r="I13" s="56">
        <v>6.41</v>
      </c>
      <c r="J13" s="56">
        <v>0.57999999999999996</v>
      </c>
      <c r="K13" s="56">
        <v>349.36</v>
      </c>
      <c r="L13" s="56">
        <v>21.01</v>
      </c>
      <c r="M13" s="56">
        <v>97.55</v>
      </c>
      <c r="N13" s="56">
        <v>17.30</v>
      </c>
      <c r="O13" s="56">
        <v>0</v>
      </c>
      <c r="P13" s="56">
        <v>0.45</v>
      </c>
      <c r="Q13" s="56">
        <v>9.1999999999999993</v>
      </c>
      <c r="R13" s="43"/>
      <c r="S13" s="43"/>
      <c r="T13" s="43"/>
      <c r="U13" s="43"/>
    </row>
    <row r="14" spans="1:21" s="11" customFormat="1" ht="15">
      <c r="A14" s="55" t="s">
        <v>595</v>
      </c>
      <c r="B14" s="56">
        <v>11.01</v>
      </c>
      <c r="C14" s="56">
        <v>24.64</v>
      </c>
      <c r="D14" s="56">
        <v>21.62</v>
      </c>
      <c r="E14" s="56">
        <v>1.37</v>
      </c>
      <c r="F14" s="56">
        <v>3.64</v>
      </c>
      <c r="G14" s="56">
        <v>40.44</v>
      </c>
      <c r="H14" s="56">
        <v>27.08</v>
      </c>
      <c r="I14" s="56">
        <v>6.26</v>
      </c>
      <c r="J14" s="56">
        <v>0.5</v>
      </c>
      <c r="K14" s="56">
        <v>340.23</v>
      </c>
      <c r="L14" s="56">
        <v>20.79</v>
      </c>
      <c r="M14" s="56">
        <v>97.93</v>
      </c>
      <c r="N14" s="56">
        <v>31.80</v>
      </c>
      <c r="O14" s="56">
        <v>0</v>
      </c>
      <c r="P14" s="56">
        <v>0.54</v>
      </c>
      <c r="Q14" s="56">
        <v>9.1999999999999993</v>
      </c>
      <c r="R14" s="43"/>
      <c r="S14" s="43"/>
      <c r="T14" s="43"/>
      <c r="U14" s="43"/>
    </row>
    <row r="15" spans="1:21" s="11" customFormat="1" ht="15">
      <c r="A15" s="55" t="s">
        <v>596</v>
      </c>
      <c r="B15" s="56">
        <v>13.74</v>
      </c>
      <c r="C15" s="56">
        <v>28.91</v>
      </c>
      <c r="D15" s="56">
        <v>26.04</v>
      </c>
      <c r="E15" s="56">
        <v>1.23</v>
      </c>
      <c r="F15" s="56">
        <v>3.61</v>
      </c>
      <c r="G15" s="56">
        <v>73.77</v>
      </c>
      <c r="H15" s="56">
        <v>98.85</v>
      </c>
      <c r="I15" s="56">
        <v>6.48</v>
      </c>
      <c r="J15" s="56">
        <v>0.40</v>
      </c>
      <c r="K15" s="56">
        <v>321</v>
      </c>
      <c r="L15" s="56">
        <v>22.90</v>
      </c>
      <c r="M15" s="56">
        <v>96.28</v>
      </c>
      <c r="N15" s="56">
        <v>124.20</v>
      </c>
      <c r="O15" s="56">
        <v>0</v>
      </c>
      <c r="P15" s="56">
        <v>0.55000000000000004</v>
      </c>
      <c r="Q15" s="56">
        <v>9.25</v>
      </c>
      <c r="R15" s="43"/>
      <c r="S15" s="43"/>
      <c r="T15" s="43"/>
      <c r="U15" s="43"/>
    </row>
    <row r="16" spans="1:21" s="11" customFormat="1" ht="15">
      <c r="A16" s="55" t="s">
        <v>597</v>
      </c>
      <c r="B16" s="56">
        <v>15.39</v>
      </c>
      <c r="C16" s="56">
        <v>28.91</v>
      </c>
      <c r="D16" s="56">
        <v>27.37</v>
      </c>
      <c r="E16" s="56">
        <v>1.17</v>
      </c>
      <c r="F16" s="56">
        <v>3.77</v>
      </c>
      <c r="G16" s="56">
        <v>55.96</v>
      </c>
      <c r="H16" s="56">
        <v>43.45</v>
      </c>
      <c r="I16" s="56">
        <v>6.63</v>
      </c>
      <c r="J16" s="56">
        <v>0.78</v>
      </c>
      <c r="K16" s="56">
        <v>350.62</v>
      </c>
      <c r="L16" s="56">
        <v>24.95</v>
      </c>
      <c r="M16" s="56">
        <v>85.19</v>
      </c>
      <c r="N16" s="56">
        <v>247.40</v>
      </c>
      <c r="O16" s="56">
        <v>0</v>
      </c>
      <c r="P16" s="56">
        <v>0.54</v>
      </c>
      <c r="Q16" s="56">
        <v>9.23</v>
      </c>
      <c r="R16" s="43"/>
      <c r="S16" s="43"/>
      <c r="T16" s="43"/>
      <c r="U16" s="43"/>
    </row>
    <row r="17" spans="1:21" s="11" customFormat="1" ht="15">
      <c r="A17" s="55" t="s">
        <v>598</v>
      </c>
      <c r="B17" s="56">
        <v>17.07</v>
      </c>
      <c r="C17" s="56">
        <v>30.13</v>
      </c>
      <c r="D17" s="56">
        <v>28.97</v>
      </c>
      <c r="E17" s="56">
        <v>1.26</v>
      </c>
      <c r="F17" s="56">
        <v>3.49</v>
      </c>
      <c r="G17" s="56">
        <v>53.31</v>
      </c>
      <c r="H17" s="56">
        <v>18.72</v>
      </c>
      <c r="I17" s="56">
        <v>7.12</v>
      </c>
      <c r="J17" s="56">
        <v>0.46</v>
      </c>
      <c r="K17" s="56">
        <v>331.61</v>
      </c>
      <c r="L17" s="56">
        <v>24.47</v>
      </c>
      <c r="M17" s="56">
        <v>75.83</v>
      </c>
      <c r="N17" s="56">
        <v>274.60000000000002</v>
      </c>
      <c r="O17" s="56">
        <v>0</v>
      </c>
      <c r="P17" s="56">
        <v>0.56999999999999995</v>
      </c>
      <c r="Q17" s="56">
        <v>9.26</v>
      </c>
      <c r="R17" s="43"/>
      <c r="S17" s="43"/>
      <c r="T17" s="43"/>
      <c r="U17" s="43"/>
    </row>
    <row r="18" spans="1:21" s="11" customFormat="1" ht="15">
      <c r="A18" s="55" t="s">
        <v>599</v>
      </c>
      <c r="B18" s="56">
        <v>16.11</v>
      </c>
      <c r="C18" s="56">
        <v>30.03</v>
      </c>
      <c r="D18" s="56">
        <v>27.82</v>
      </c>
      <c r="E18" s="56">
        <v>1.36</v>
      </c>
      <c r="F18" s="56">
        <v>4.72</v>
      </c>
      <c r="G18" s="56">
        <v>64.180000000000007</v>
      </c>
      <c r="H18" s="56">
        <v>67.55</v>
      </c>
      <c r="I18" s="56">
        <v>7.28</v>
      </c>
      <c r="J18" s="56">
        <v>1.75</v>
      </c>
      <c r="K18" s="56">
        <v>161.40</v>
      </c>
      <c r="L18" s="56">
        <v>27.79</v>
      </c>
      <c r="M18" s="56">
        <v>72.47</v>
      </c>
      <c r="N18" s="56">
        <v>850.20</v>
      </c>
      <c r="O18" s="56">
        <v>0.20</v>
      </c>
      <c r="P18" s="56">
        <v>0.56999999999999995</v>
      </c>
      <c r="Q18" s="56">
        <v>9.23</v>
      </c>
      <c r="R18" s="43"/>
      <c r="S18" s="43"/>
      <c r="T18" s="43"/>
      <c r="U18" s="43"/>
    </row>
    <row r="19" spans="1:21" s="11" customFormat="1" ht="15">
      <c r="A19" s="55" t="s">
        <v>600</v>
      </c>
      <c r="B19" s="56">
        <v>7.24</v>
      </c>
      <c r="C19" s="56">
        <v>34.06</v>
      </c>
      <c r="D19" s="56">
        <v>23.43</v>
      </c>
      <c r="E19" s="56">
        <v>1.37</v>
      </c>
      <c r="F19" s="56">
        <v>10.73</v>
      </c>
      <c r="G19" s="56">
        <v>34.5</v>
      </c>
      <c r="H19" s="56">
        <v>6.42</v>
      </c>
      <c r="I19" s="56">
        <v>7.46</v>
      </c>
      <c r="J19" s="56">
        <v>1.74</v>
      </c>
      <c r="K19" s="56">
        <v>193.96</v>
      </c>
      <c r="L19" s="56">
        <v>29.90</v>
      </c>
      <c r="M19" s="56">
        <v>50.59</v>
      </c>
      <c r="N19" s="56">
        <v>937.40</v>
      </c>
      <c r="O19" s="56">
        <v>0</v>
      </c>
      <c r="P19" s="56">
        <v>0.48</v>
      </c>
      <c r="Q19" s="56">
        <v>9.16</v>
      </c>
      <c r="R19" s="43"/>
      <c r="S19" s="43"/>
      <c r="T19" s="43"/>
      <c r="U19" s="43"/>
    </row>
    <row r="20" spans="1:21" s="11" customFormat="1" ht="15">
      <c r="A20" s="55" t="s">
        <v>601</v>
      </c>
      <c r="B20" s="56">
        <v>1.68</v>
      </c>
      <c r="C20" s="56">
        <v>29.65</v>
      </c>
      <c r="D20" s="56">
        <v>16.760000000000002</v>
      </c>
      <c r="E20" s="56">
        <v>2.11</v>
      </c>
      <c r="F20" s="56">
        <v>29.52</v>
      </c>
      <c r="G20" s="56">
        <v>31.85</v>
      </c>
      <c r="H20" s="56">
        <v>20.91</v>
      </c>
      <c r="I20" s="56">
        <v>6.09</v>
      </c>
      <c r="J20" s="56">
        <v>0.32</v>
      </c>
      <c r="K20" s="56">
        <v>358.32</v>
      </c>
      <c r="L20" s="56">
        <v>32.049999999999997</v>
      </c>
      <c r="M20" s="56">
        <v>50.62</v>
      </c>
      <c r="N20" s="56">
        <v>984.40</v>
      </c>
      <c r="O20" s="56">
        <v>0</v>
      </c>
      <c r="P20" s="56">
        <v>0.74</v>
      </c>
      <c r="Q20" s="56">
        <v>9.16</v>
      </c>
      <c r="R20" s="43"/>
      <c r="S20" s="43"/>
      <c r="T20" s="43"/>
      <c r="U20" s="43"/>
    </row>
    <row r="21" spans="1:21" s="11" customFormat="1" ht="15">
      <c r="A21" s="55" t="s">
        <v>602</v>
      </c>
      <c r="B21" s="56">
        <v>1.63</v>
      </c>
      <c r="C21" s="56">
        <v>25.29</v>
      </c>
      <c r="D21" s="56">
        <v>13.97</v>
      </c>
      <c r="E21" s="56">
        <v>1.39</v>
      </c>
      <c r="F21" s="56">
        <v>8.65</v>
      </c>
      <c r="G21" s="56">
        <v>49.48</v>
      </c>
      <c r="H21" s="56">
        <v>26.56</v>
      </c>
      <c r="I21" s="56">
        <v>5.39</v>
      </c>
      <c r="J21" s="56">
        <v>1.1000000000000001</v>
      </c>
      <c r="K21" s="56">
        <v>155.72</v>
      </c>
      <c r="L21" s="56">
        <v>33.5</v>
      </c>
      <c r="M21" s="56">
        <v>42.78</v>
      </c>
      <c r="N21" s="56">
        <v>973.30</v>
      </c>
      <c r="O21" s="56">
        <v>0</v>
      </c>
      <c r="P21" s="56">
        <v>0.73</v>
      </c>
      <c r="Q21" s="56">
        <v>9.16</v>
      </c>
      <c r="R21" s="43"/>
      <c r="S21" s="43"/>
      <c r="T21" s="43"/>
      <c r="U21" s="43"/>
    </row>
    <row r="22" spans="1:21" s="11" customFormat="1" ht="15">
      <c r="A22" s="55" t="s">
        <v>603</v>
      </c>
      <c r="B22" s="56">
        <v>2.1800000000000002</v>
      </c>
      <c r="C22" s="56">
        <v>30.42</v>
      </c>
      <c r="D22" s="56">
        <v>17.559999999999999</v>
      </c>
      <c r="E22" s="56">
        <v>1.94</v>
      </c>
      <c r="F22" s="56">
        <v>6.76</v>
      </c>
      <c r="G22" s="56">
        <v>42.99</v>
      </c>
      <c r="H22" s="56">
        <v>3.72</v>
      </c>
      <c r="I22" s="56">
        <v>5.72</v>
      </c>
      <c r="J22" s="56">
        <v>0.75</v>
      </c>
      <c r="K22" s="56">
        <v>317.01</v>
      </c>
      <c r="L22" s="56">
        <v>36.04</v>
      </c>
      <c r="M22" s="56">
        <v>37</v>
      </c>
      <c r="N22" s="56">
        <v>891.30</v>
      </c>
      <c r="O22" s="56">
        <v>0</v>
      </c>
      <c r="P22" s="56">
        <v>0.66</v>
      </c>
      <c r="Q22" s="56">
        <v>9.15</v>
      </c>
      <c r="R22" s="43"/>
      <c r="S22" s="43"/>
      <c r="T22" s="43"/>
      <c r="U22" s="43"/>
    </row>
    <row r="23" spans="1:21" s="11" customFormat="1" ht="15">
      <c r="A23" s="55" t="s">
        <v>604</v>
      </c>
      <c r="B23" s="56">
        <v>1.59</v>
      </c>
      <c r="C23" s="56">
        <v>31.44</v>
      </c>
      <c r="D23" s="56">
        <v>17.62</v>
      </c>
      <c r="E23" s="56">
        <v>2.12</v>
      </c>
      <c r="F23" s="56">
        <v>11.77</v>
      </c>
      <c r="G23" s="56">
        <v>33.869999999999997</v>
      </c>
      <c r="H23" s="56">
        <v>1.91</v>
      </c>
      <c r="I23" s="56">
        <v>5.61</v>
      </c>
      <c r="J23" s="56">
        <v>0.60</v>
      </c>
      <c r="K23" s="56">
        <v>338.41</v>
      </c>
      <c r="L23" s="56">
        <v>35.24</v>
      </c>
      <c r="M23" s="56">
        <v>31.13</v>
      </c>
      <c r="N23" s="56">
        <v>727</v>
      </c>
      <c r="O23" s="56">
        <v>0</v>
      </c>
      <c r="P23" s="56">
        <v>0.67</v>
      </c>
      <c r="Q23" s="56">
        <v>9.1199999999999992</v>
      </c>
      <c r="R23" s="43"/>
      <c r="S23" s="43"/>
      <c r="T23" s="43"/>
      <c r="U23" s="43"/>
    </row>
    <row r="24" spans="1:21" s="11" customFormat="1" ht="15">
      <c r="A24" s="55" t="s">
        <v>605</v>
      </c>
      <c r="B24" s="56">
        <v>1.46</v>
      </c>
      <c r="C24" s="56">
        <v>29.91</v>
      </c>
      <c r="D24" s="56">
        <v>16.70</v>
      </c>
      <c r="E24" s="56">
        <v>1.29</v>
      </c>
      <c r="F24" s="56">
        <v>7.07</v>
      </c>
      <c r="G24" s="56">
        <v>32.54</v>
      </c>
      <c r="H24" s="56">
        <v>20.38</v>
      </c>
      <c r="I24" s="56">
        <v>5.03</v>
      </c>
      <c r="J24" s="56">
        <v>0.53</v>
      </c>
      <c r="K24" s="56">
        <v>341.20</v>
      </c>
      <c r="L24" s="56">
        <v>34.89</v>
      </c>
      <c r="M24" s="56">
        <v>31.10</v>
      </c>
      <c r="N24" s="56">
        <v>276.30</v>
      </c>
      <c r="O24" s="56">
        <v>0</v>
      </c>
      <c r="P24" s="56">
        <v>0.62</v>
      </c>
      <c r="Q24" s="56">
        <v>9.14</v>
      </c>
      <c r="R24" s="43"/>
      <c r="S24" s="43"/>
      <c r="T24" s="43"/>
      <c r="U24" s="43"/>
    </row>
    <row r="25" spans="1:21" s="11" customFormat="1" ht="15">
      <c r="A25" s="55" t="s">
        <v>606</v>
      </c>
      <c r="B25" s="56">
        <v>1.61</v>
      </c>
      <c r="C25" s="56">
        <v>27.49</v>
      </c>
      <c r="D25" s="56">
        <v>15.56</v>
      </c>
      <c r="E25" s="56">
        <v>1.24</v>
      </c>
      <c r="F25" s="56">
        <v>7.11</v>
      </c>
      <c r="G25" s="56">
        <v>33.04</v>
      </c>
      <c r="H25" s="56">
        <v>17.53</v>
      </c>
      <c r="I25" s="56">
        <v>4.6100000000000003</v>
      </c>
      <c r="J25" s="56">
        <v>0.36</v>
      </c>
      <c r="K25" s="56">
        <v>308.26</v>
      </c>
      <c r="L25" s="56">
        <v>33.630000000000003</v>
      </c>
      <c r="M25" s="56">
        <v>30.43</v>
      </c>
      <c r="N25" s="56">
        <v>138.69999999999999</v>
      </c>
      <c r="O25" s="56">
        <v>0</v>
      </c>
      <c r="P25" s="56">
        <v>0.55000000000000004</v>
      </c>
      <c r="Q25" s="56">
        <v>9.15</v>
      </c>
      <c r="R25" s="43"/>
      <c r="S25" s="43"/>
      <c r="T25" s="43"/>
      <c r="U25" s="43"/>
    </row>
    <row r="26" spans="1:21" s="11" customFormat="1" ht="15">
      <c r="A26" s="55" t="s">
        <v>607</v>
      </c>
      <c r="B26" s="56">
        <v>1.61</v>
      </c>
      <c r="C26" s="56">
        <v>27.84</v>
      </c>
      <c r="D26" s="56">
        <v>15.66</v>
      </c>
      <c r="E26" s="56">
        <v>1.1200000000000001</v>
      </c>
      <c r="F26" s="56">
        <v>6.17</v>
      </c>
      <c r="G26" s="56">
        <v>21.95</v>
      </c>
      <c r="H26" s="56">
        <v>22.93</v>
      </c>
      <c r="I26" s="56">
        <v>4.5199999999999996</v>
      </c>
      <c r="J26" s="56">
        <v>0.43</v>
      </c>
      <c r="K26" s="56">
        <v>274.47000000000003</v>
      </c>
      <c r="L26" s="56">
        <v>32.979999999999997</v>
      </c>
      <c r="M26" s="56">
        <v>36.729999999999997</v>
      </c>
      <c r="N26" s="56">
        <v>92</v>
      </c>
      <c r="O26" s="56">
        <v>0</v>
      </c>
      <c r="P26" s="56">
        <v>0.54</v>
      </c>
      <c r="Q26" s="56">
        <v>9.16</v>
      </c>
      <c r="R26" s="43"/>
      <c r="S26" s="43"/>
      <c r="T26" s="43"/>
      <c r="U26" s="43"/>
    </row>
    <row r="27" spans="1:21" s="11" customFormat="1" ht="15">
      <c r="A27" s="55" t="s">
        <v>608</v>
      </c>
      <c r="B27" s="56">
        <v>7.17</v>
      </c>
      <c r="C27" s="56">
        <v>35.53</v>
      </c>
      <c r="D27" s="56">
        <v>24.23</v>
      </c>
      <c r="E27" s="56">
        <v>0.98</v>
      </c>
      <c r="F27" s="56">
        <v>6.46</v>
      </c>
      <c r="G27" s="56">
        <v>28.75</v>
      </c>
      <c r="H27" s="56">
        <v>14.21</v>
      </c>
      <c r="I27" s="56">
        <v>4.59</v>
      </c>
      <c r="J27" s="56">
        <v>0.53</v>
      </c>
      <c r="K27" s="56">
        <v>308.20</v>
      </c>
      <c r="L27" s="56">
        <v>31.43</v>
      </c>
      <c r="M27" s="56">
        <v>51.60</v>
      </c>
      <c r="N27" s="56">
        <v>23.90</v>
      </c>
      <c r="O27" s="56">
        <v>0</v>
      </c>
      <c r="P27" s="56">
        <v>0.68</v>
      </c>
      <c r="Q27" s="56">
        <v>9.14</v>
      </c>
      <c r="R27" s="43"/>
      <c r="S27" s="43"/>
      <c r="T27" s="43"/>
      <c r="U27" s="43"/>
    </row>
    <row r="28" spans="1:21" s="11" customFormat="1" ht="15">
      <c r="A28" s="55" t="s">
        <v>609</v>
      </c>
      <c r="B28" s="56">
        <v>27.90</v>
      </c>
      <c r="C28" s="56">
        <v>38.020000000000003</v>
      </c>
      <c r="D28" s="56">
        <v>42.16</v>
      </c>
      <c r="E28" s="56">
        <v>1.76</v>
      </c>
      <c r="F28" s="56">
        <v>3.78</v>
      </c>
      <c r="G28" s="56">
        <v>53.07</v>
      </c>
      <c r="H28" s="56">
        <v>23.80</v>
      </c>
      <c r="I28" s="56">
        <v>6.22</v>
      </c>
      <c r="J28" s="56">
        <v>0.28999999999999998</v>
      </c>
      <c r="K28" s="56">
        <v>140.58000000000001</v>
      </c>
      <c r="L28" s="56">
        <v>28.93</v>
      </c>
      <c r="M28" s="56">
        <v>63.33</v>
      </c>
      <c r="N28" s="56">
        <v>17</v>
      </c>
      <c r="O28" s="56">
        <v>0</v>
      </c>
      <c r="P28" s="56">
        <v>1.1499999999999999</v>
      </c>
      <c r="Q28" s="56">
        <v>9.27</v>
      </c>
      <c r="R28" s="43"/>
      <c r="S28" s="43"/>
      <c r="T28" s="43"/>
      <c r="U28" s="43"/>
    </row>
    <row r="29" spans="1:21" s="11" customFormat="1" ht="15">
      <c r="A29" s="55" t="s">
        <v>610</v>
      </c>
      <c r="B29" s="56">
        <v>46.04</v>
      </c>
      <c r="C29" s="56">
        <v>37.89</v>
      </c>
      <c r="D29" s="56">
        <v>55.42</v>
      </c>
      <c r="E29" s="56">
        <v>2.4700000000000002</v>
      </c>
      <c r="F29" s="56">
        <v>3.51</v>
      </c>
      <c r="G29" s="56">
        <v>80.86</v>
      </c>
      <c r="H29" s="56">
        <v>29.86</v>
      </c>
      <c r="I29" s="56">
        <v>12.48</v>
      </c>
      <c r="J29" s="56">
        <v>0.19</v>
      </c>
      <c r="K29" s="56">
        <v>357.82</v>
      </c>
      <c r="L29" s="56">
        <v>27.88</v>
      </c>
      <c r="M29" s="56">
        <v>72.739999999999995</v>
      </c>
      <c r="N29" s="56">
        <v>16.899999999999999</v>
      </c>
      <c r="O29" s="56">
        <v>0</v>
      </c>
      <c r="P29" s="56">
        <v>2</v>
      </c>
      <c r="Q29" s="56">
        <v>9.34</v>
      </c>
      <c r="R29" s="43"/>
      <c r="S29" s="43"/>
      <c r="T29" s="43"/>
      <c r="U29" s="43"/>
    </row>
    <row r="30" spans="1:21" s="11" customFormat="1" ht="15">
      <c r="A30" s="55" t="s">
        <v>611</v>
      </c>
      <c r="B30" s="56">
        <v>56.05</v>
      </c>
      <c r="C30" s="56">
        <v>35.03</v>
      </c>
      <c r="D30" s="56">
        <v>63.12</v>
      </c>
      <c r="E30" s="56">
        <v>2.88</v>
      </c>
      <c r="F30" s="56">
        <v>3.67</v>
      </c>
      <c r="G30" s="56">
        <v>112.63</v>
      </c>
      <c r="H30" s="56">
        <v>37.92</v>
      </c>
      <c r="I30" s="56">
        <v>14.57</v>
      </c>
      <c r="J30" s="56">
        <v>1.35</v>
      </c>
      <c r="K30" s="56">
        <v>343.17</v>
      </c>
      <c r="L30" s="56">
        <v>27.82</v>
      </c>
      <c r="M30" s="56">
        <v>63.79</v>
      </c>
      <c r="N30" s="56">
        <v>16.600000000000001</v>
      </c>
      <c r="O30" s="56">
        <v>0</v>
      </c>
      <c r="P30" s="56">
        <v>2.37</v>
      </c>
      <c r="Q30" s="56">
        <v>9.35</v>
      </c>
      <c r="R30" s="43"/>
      <c r="S30" s="43"/>
      <c r="T30" s="43"/>
      <c r="U30" s="43"/>
    </row>
    <row r="31" spans="1:21" s="11" customFormat="1" ht="15">
      <c r="A31" s="55" t="s">
        <v>612</v>
      </c>
      <c r="B31" s="56">
        <v>54.15</v>
      </c>
      <c r="C31" s="56">
        <v>43.04</v>
      </c>
      <c r="D31" s="56">
        <v>61.53</v>
      </c>
      <c r="E31" s="56">
        <v>2.71</v>
      </c>
      <c r="F31" s="56">
        <v>4.54</v>
      </c>
      <c r="G31" s="56">
        <v>133.07</v>
      </c>
      <c r="H31" s="56">
        <v>39</v>
      </c>
      <c r="I31" s="56">
        <v>13.57</v>
      </c>
      <c r="J31" s="56">
        <v>3.65</v>
      </c>
      <c r="K31" s="56">
        <v>341.22</v>
      </c>
      <c r="L31" s="56">
        <v>27.82</v>
      </c>
      <c r="M31" s="56">
        <v>71.13</v>
      </c>
      <c r="N31" s="56">
        <v>23.30</v>
      </c>
      <c r="O31" s="56">
        <v>0</v>
      </c>
      <c r="P31" s="56">
        <v>2.27</v>
      </c>
      <c r="Q31" s="56">
        <v>9.39</v>
      </c>
      <c r="R31" s="43"/>
      <c r="S31" s="43"/>
      <c r="T31" s="43"/>
      <c r="U31" s="43"/>
    </row>
    <row r="32" spans="1:21" s="11" customFormat="1" ht="15">
      <c r="A32" s="55" t="s">
        <v>613</v>
      </c>
      <c r="B32" s="56">
        <v>9.1999999999999993</v>
      </c>
      <c r="C32" s="56">
        <v>42.22</v>
      </c>
      <c r="D32" s="56">
        <v>29.36</v>
      </c>
      <c r="E32" s="56">
        <v>3.20</v>
      </c>
      <c r="F32" s="56">
        <v>5.62</v>
      </c>
      <c r="G32" s="56">
        <v>94.76</v>
      </c>
      <c r="H32" s="56">
        <v>20.85</v>
      </c>
      <c r="I32" s="56">
        <v>8.58</v>
      </c>
      <c r="J32" s="56">
        <v>3.02</v>
      </c>
      <c r="K32" s="56">
        <v>348.88</v>
      </c>
      <c r="L32" s="56">
        <v>23.54</v>
      </c>
      <c r="M32" s="56">
        <v>71.64</v>
      </c>
      <c r="N32" s="56">
        <v>15.30</v>
      </c>
      <c r="O32" s="56">
        <v>0</v>
      </c>
      <c r="P32" s="56">
        <v>1.1100000000000001</v>
      </c>
      <c r="Q32" s="56">
        <v>9.19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1.46</v>
      </c>
      <c r="C34" s="28">
        <f t="shared" si="0"/>
        <v>24.309999999999999</v>
      </c>
      <c r="D34" s="28">
        <f t="shared" si="0"/>
        <v>13.970000000000001</v>
      </c>
      <c r="E34" s="28">
        <f t="shared" si="0"/>
        <v>0.97999999999999998</v>
      </c>
      <c r="F34" s="28">
        <f t="shared" si="0"/>
        <v>3.2799999999999998</v>
      </c>
      <c r="G34" s="28">
        <f t="shared" si="0"/>
        <v>18.25</v>
      </c>
      <c r="H34" s="28">
        <f t="shared" si="0"/>
        <v>1.9099999999999999</v>
      </c>
      <c r="I34" s="28">
        <f t="shared" si="0"/>
        <v>4.5199999999999996</v>
      </c>
      <c r="J34" s="28">
        <f t="shared" si="0"/>
        <v>0.19</v>
      </c>
      <c r="K34" s="28">
        <f t="shared" si="0"/>
        <v>140.58000000000001</v>
      </c>
      <c r="L34" s="28">
        <f t="shared" si="0"/>
        <v>20.059999999999999</v>
      </c>
      <c r="M34" s="28">
        <f t="shared" si="0"/>
        <v>30.43</v>
      </c>
      <c r="N34" s="28">
        <f t="shared" si="0"/>
        <v>15.300000000000001</v>
      </c>
      <c r="O34" s="28">
        <f t="shared" si="0"/>
        <v>0</v>
      </c>
      <c r="P34" s="28">
        <f t="shared" si="0"/>
        <v>0.42999999999999999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56.049999999999997</v>
      </c>
      <c r="C35" s="29">
        <f t="shared" si="1"/>
        <v>43.039999999999999</v>
      </c>
      <c r="D35" s="29">
        <f t="shared" si="1"/>
        <v>63.119999999999997</v>
      </c>
      <c r="E35" s="29">
        <f t="shared" si="1"/>
        <v>3.2000000000000002</v>
      </c>
      <c r="F35" s="29">
        <f t="shared" si="1"/>
        <v>29.52</v>
      </c>
      <c r="G35" s="29">
        <f t="shared" si="1"/>
        <v>133.06999999999999</v>
      </c>
      <c r="H35" s="29">
        <f t="shared" si="1"/>
        <v>98.849999999999994</v>
      </c>
      <c r="I35" s="29">
        <f t="shared" si="1"/>
        <v>14.57</v>
      </c>
      <c r="J35" s="29">
        <f t="shared" si="1"/>
        <v>3.6499999999999999</v>
      </c>
      <c r="K35" s="29">
        <f t="shared" si="1"/>
        <v>358.44999999999999</v>
      </c>
      <c r="L35" s="29">
        <f t="shared" si="1"/>
        <v>36.039999999999999</v>
      </c>
      <c r="M35" s="29">
        <f t="shared" si="1"/>
        <v>97.930000000000007</v>
      </c>
      <c r="N35" s="29">
        <f t="shared" si="1"/>
        <v>984.39999999999998</v>
      </c>
      <c r="O35" s="29">
        <f t="shared" si="1"/>
        <v>1.2</v>
      </c>
      <c r="P35" s="29">
        <f t="shared" si="1"/>
        <v>2.3700000000000001</v>
      </c>
      <c r="Q35" s="29">
        <f t="shared" si="1"/>
        <v>9.3900000000000006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13.462083333333332</v>
      </c>
      <c r="C36" s="28">
        <f t="shared" si="2"/>
        <v>31.240416666666661</v>
      </c>
      <c r="D36" s="28">
        <f t="shared" si="2"/>
        <v>26.680000000000003</v>
      </c>
      <c r="E36" s="28">
        <f t="shared" si="2"/>
        <v>1.7295833333333339</v>
      </c>
      <c r="F36" s="28">
        <f t="shared" si="2"/>
        <v>6.3633333333333333</v>
      </c>
      <c r="G36" s="28">
        <f t="shared" si="2"/>
        <v>49.712916666666672</v>
      </c>
      <c r="H36" s="28">
        <f t="shared" si="2"/>
        <v>28.114583333333332</v>
      </c>
      <c r="I36" s="28">
        <f t="shared" si="2"/>
        <v>6.9129166666666668</v>
      </c>
      <c r="J36" s="28">
        <f t="shared" si="2"/>
        <v>1.0054166666666664</v>
      </c>
      <c r="K36" s="28">
        <f t="shared" si="2"/>
        <v>301.29583333333335</v>
      </c>
      <c r="L36" s="28">
        <f t="shared" si="2"/>
        <v>27.540833333333335</v>
      </c>
      <c r="M36" s="28">
        <f t="shared" si="2"/>
        <v>67.559583333333336</v>
      </c>
      <c r="N36" s="28">
        <f t="shared" si="2"/>
        <v>281.35833333333335</v>
      </c>
      <c r="O36" s="28">
        <f t="shared" si="2"/>
        <v>0.058333333333333327</v>
      </c>
      <c r="P36" s="28">
        <f t="shared" si="2"/>
        <v>0.81541666666666668</v>
      </c>
      <c r="Q36" s="28">
        <f t="shared" si="2"/>
        <v>9.2091666666666683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16.319411215712908</v>
      </c>
      <c r="C37" s="28">
        <f t="shared" si="3" ref="C37:Q37">STDEV(C9:C32)</f>
        <v>5.2939255420649722</v>
      </c>
      <c r="D37" s="28">
        <f t="shared" si="3"/>
        <v>14.356808716484975</v>
      </c>
      <c r="E37" s="28">
        <f t="shared" si="3"/>
        <v>0.60364457701723462</v>
      </c>
      <c r="F37" s="28">
        <f t="shared" si="3"/>
        <v>5.4675427011049296</v>
      </c>
      <c r="G37" s="28">
        <f t="shared" si="3"/>
        <v>30.055125654032949</v>
      </c>
      <c r="H37" s="28">
        <f t="shared" si="3"/>
        <v>21.20019892834614</v>
      </c>
      <c r="I37" s="28">
        <f t="shared" si="3"/>
        <v>2.7660228537624625</v>
      </c>
      <c r="J37" s="28">
        <f t="shared" si="3"/>
        <v>0.88365338063148369</v>
      </c>
      <c r="K37" s="28">
        <f t="shared" si="3"/>
        <v>71.217120188694778</v>
      </c>
      <c r="L37" s="28">
        <f t="shared" si="3"/>
        <v>5.3274742499666621</v>
      </c>
      <c r="M37" s="28">
        <f t="shared" si="3"/>
        <v>24.831342305409184</v>
      </c>
      <c r="N37" s="28">
        <f t="shared" si="3"/>
        <v>373.11310666112871</v>
      </c>
      <c r="O37" s="28">
        <f t="shared" si="3"/>
        <v>0.24657068246098393</v>
      </c>
      <c r="P37" s="28">
        <f t="shared" si="3"/>
        <v>0.57240134267963516</v>
      </c>
      <c r="Q37" s="28">
        <f t="shared" si="3"/>
        <v>0.070828431202919248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4dab5d-0e11-465e-b07d-ae1a64581c1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59" sqref="H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614</v>
      </c>
      <c r="B9" s="56">
        <v>2.5299999999999998</v>
      </c>
      <c r="C9" s="56">
        <v>30.28</v>
      </c>
      <c r="D9" s="56">
        <v>17.53</v>
      </c>
      <c r="E9" s="56">
        <v>2.62</v>
      </c>
      <c r="F9" s="56">
        <v>5.60</v>
      </c>
      <c r="G9" s="56">
        <v>3.54</v>
      </c>
      <c r="H9" s="56">
        <v>17.239999999999998</v>
      </c>
      <c r="I9" s="56">
        <v>5.0199999999999996</v>
      </c>
      <c r="J9" s="56">
        <v>2.40</v>
      </c>
      <c r="K9" s="56">
        <v>359.25</v>
      </c>
      <c r="L9" s="56">
        <v>24.92</v>
      </c>
      <c r="M9" s="56">
        <v>44.28</v>
      </c>
      <c r="N9" s="56">
        <v>16.899999999999999</v>
      </c>
      <c r="O9" s="56">
        <v>0</v>
      </c>
      <c r="P9" s="56">
        <v>0.70</v>
      </c>
      <c r="Q9" s="56">
        <v>9.16</v>
      </c>
      <c r="R9" s="43"/>
      <c r="S9" s="43"/>
      <c r="T9" s="43"/>
      <c r="U9" s="43"/>
    </row>
    <row r="10" spans="1:21" s="11" customFormat="1" ht="15">
      <c r="A10" s="55" t="s">
        <v>615</v>
      </c>
      <c r="B10" s="56">
        <v>4.22</v>
      </c>
      <c r="C10" s="56">
        <v>27.14</v>
      </c>
      <c r="D10" s="56">
        <v>16.43</v>
      </c>
      <c r="E10" s="56">
        <v>2.42</v>
      </c>
      <c r="F10" s="56">
        <v>3.89</v>
      </c>
      <c r="G10" s="56">
        <v>10.31</v>
      </c>
      <c r="H10" s="56">
        <v>24.42</v>
      </c>
      <c r="I10" s="56">
        <v>5.34</v>
      </c>
      <c r="J10" s="56">
        <v>0.41</v>
      </c>
      <c r="K10" s="56">
        <v>259.85000000000002</v>
      </c>
      <c r="L10" s="56">
        <v>24.79</v>
      </c>
      <c r="M10" s="56">
        <v>50.47</v>
      </c>
      <c r="N10" s="56">
        <v>17.100000000000001</v>
      </c>
      <c r="O10" s="56">
        <v>0</v>
      </c>
      <c r="P10" s="56">
        <v>0.60</v>
      </c>
      <c r="Q10" s="56">
        <v>9.15</v>
      </c>
      <c r="R10" s="43"/>
      <c r="S10" s="43"/>
      <c r="T10" s="43"/>
      <c r="U10" s="43"/>
    </row>
    <row r="11" spans="1:21" s="11" customFormat="1" ht="15">
      <c r="A11" s="55" t="s">
        <v>616</v>
      </c>
      <c r="B11" s="56">
        <v>6.08</v>
      </c>
      <c r="C11" s="56">
        <v>24.05</v>
      </c>
      <c r="D11" s="56">
        <v>17.36</v>
      </c>
      <c r="E11" s="56">
        <v>2.57</v>
      </c>
      <c r="F11" s="56">
        <v>3.86</v>
      </c>
      <c r="G11" s="56">
        <v>55.92</v>
      </c>
      <c r="H11" s="56">
        <v>19.63</v>
      </c>
      <c r="I11" s="56">
        <v>6.11</v>
      </c>
      <c r="J11" s="56">
        <v>0.65</v>
      </c>
      <c r="K11" s="56">
        <v>308.89999999999998</v>
      </c>
      <c r="L11" s="56">
        <v>24.06</v>
      </c>
      <c r="M11" s="56">
        <v>54.12</v>
      </c>
      <c r="N11" s="56">
        <v>17.100000000000001</v>
      </c>
      <c r="O11" s="56">
        <v>0</v>
      </c>
      <c r="P11" s="56">
        <v>0.60</v>
      </c>
      <c r="Q11" s="56">
        <v>9.16</v>
      </c>
      <c r="R11" s="43"/>
      <c r="S11" s="43"/>
      <c r="T11" s="43"/>
      <c r="U11" s="43"/>
    </row>
    <row r="12" spans="1:21" s="11" customFormat="1" ht="15">
      <c r="A12" s="55" t="s">
        <v>617</v>
      </c>
      <c r="B12" s="56">
        <v>4.9800000000000004</v>
      </c>
      <c r="C12" s="56">
        <v>23.98</v>
      </c>
      <c r="D12" s="56">
        <v>16.440000000000001</v>
      </c>
      <c r="E12" s="56">
        <v>2.4300000000000002</v>
      </c>
      <c r="F12" s="56">
        <v>4.1500000000000004</v>
      </c>
      <c r="G12" s="56">
        <v>50.27</v>
      </c>
      <c r="H12" s="56">
        <v>15.99</v>
      </c>
      <c r="I12" s="56">
        <v>5.87</v>
      </c>
      <c r="J12" s="56">
        <v>1.43</v>
      </c>
      <c r="K12" s="56">
        <v>195.44</v>
      </c>
      <c r="L12" s="56">
        <v>24.21</v>
      </c>
      <c r="M12" s="56">
        <v>50.62</v>
      </c>
      <c r="N12" s="56">
        <v>17</v>
      </c>
      <c r="O12" s="56">
        <v>0</v>
      </c>
      <c r="P12" s="56">
        <v>0.52</v>
      </c>
      <c r="Q12" s="56">
        <v>9.15</v>
      </c>
      <c r="R12" s="43"/>
      <c r="S12" s="43"/>
      <c r="T12" s="43"/>
      <c r="U12" s="43"/>
    </row>
    <row r="13" spans="1:21" s="11" customFormat="1" ht="15">
      <c r="A13" s="55" t="s">
        <v>618</v>
      </c>
      <c r="B13" s="56">
        <v>4.18</v>
      </c>
      <c r="C13" s="56">
        <v>22.40</v>
      </c>
      <c r="D13" s="56">
        <v>14.98</v>
      </c>
      <c r="E13" s="56">
        <v>1.05</v>
      </c>
      <c r="F13" s="56">
        <v>3.55</v>
      </c>
      <c r="G13" s="56">
        <v>11.31</v>
      </c>
      <c r="H13" s="56">
        <v>7.28</v>
      </c>
      <c r="I13" s="56">
        <v>4.8899999999999997</v>
      </c>
      <c r="J13" s="56">
        <v>0.21</v>
      </c>
      <c r="K13" s="56">
        <v>179.93</v>
      </c>
      <c r="L13" s="56">
        <v>23.30</v>
      </c>
      <c r="M13" s="56">
        <v>54.43</v>
      </c>
      <c r="N13" s="56">
        <v>17.30</v>
      </c>
      <c r="O13" s="56">
        <v>0</v>
      </c>
      <c r="P13" s="56">
        <v>0.44</v>
      </c>
      <c r="Q13" s="56">
        <v>9.1199999999999992</v>
      </c>
      <c r="R13" s="43"/>
      <c r="S13" s="43"/>
      <c r="T13" s="43"/>
      <c r="U13" s="43"/>
    </row>
    <row r="14" spans="1:21" s="11" customFormat="1" ht="15">
      <c r="A14" s="55" t="s">
        <v>619</v>
      </c>
      <c r="B14" s="56">
        <v>3.34</v>
      </c>
      <c r="C14" s="56">
        <v>22.66</v>
      </c>
      <c r="D14" s="56">
        <v>14.27</v>
      </c>
      <c r="E14" s="56">
        <v>1.27</v>
      </c>
      <c r="F14" s="56">
        <v>4.20</v>
      </c>
      <c r="G14" s="56">
        <v>9.9499999999999993</v>
      </c>
      <c r="H14" s="56">
        <v>6.10</v>
      </c>
      <c r="I14" s="56">
        <v>4.5599999999999996</v>
      </c>
      <c r="J14" s="56">
        <v>0.27</v>
      </c>
      <c r="K14" s="56">
        <v>338.82</v>
      </c>
      <c r="L14" s="56">
        <v>23.13</v>
      </c>
      <c r="M14" s="56">
        <v>61.80</v>
      </c>
      <c r="N14" s="56">
        <v>23.5</v>
      </c>
      <c r="O14" s="56">
        <v>0</v>
      </c>
      <c r="P14" s="56">
        <v>0.39</v>
      </c>
      <c r="Q14" s="56">
        <v>9.14</v>
      </c>
      <c r="R14" s="43"/>
      <c r="S14" s="43"/>
      <c r="T14" s="43"/>
      <c r="U14" s="43"/>
    </row>
    <row r="15" spans="1:21" s="11" customFormat="1" ht="15">
      <c r="A15" s="55" t="s">
        <v>620</v>
      </c>
      <c r="B15" s="56">
        <v>3.5</v>
      </c>
      <c r="C15" s="56">
        <v>22.57</v>
      </c>
      <c r="D15" s="56">
        <v>14.13</v>
      </c>
      <c r="E15" s="56">
        <v>1.27</v>
      </c>
      <c r="F15" s="56">
        <v>3.85</v>
      </c>
      <c r="G15" s="56">
        <v>29.65</v>
      </c>
      <c r="H15" s="56">
        <v>6.57</v>
      </c>
      <c r="I15" s="56">
        <v>3.80</v>
      </c>
      <c r="J15" s="56">
        <v>0.28999999999999998</v>
      </c>
      <c r="K15" s="56">
        <v>319.97000000000003</v>
      </c>
      <c r="L15" s="56">
        <v>23.48</v>
      </c>
      <c r="M15" s="56">
        <v>62.08</v>
      </c>
      <c r="N15" s="56">
        <v>94.40</v>
      </c>
      <c r="O15" s="56">
        <v>0</v>
      </c>
      <c r="P15" s="56">
        <v>0.33</v>
      </c>
      <c r="Q15" s="56">
        <v>9.1300000000000008</v>
      </c>
      <c r="R15" s="43"/>
      <c r="S15" s="43"/>
      <c r="T15" s="43"/>
      <c r="U15" s="43"/>
    </row>
    <row r="16" spans="1:21" s="11" customFormat="1" ht="15">
      <c r="A16" s="55" t="s">
        <v>621</v>
      </c>
      <c r="B16" s="56">
        <v>6.12</v>
      </c>
      <c r="C16" s="56">
        <v>22.12</v>
      </c>
      <c r="D16" s="56">
        <v>16.39</v>
      </c>
      <c r="E16" s="56">
        <v>1.63</v>
      </c>
      <c r="F16" s="56">
        <v>3.66</v>
      </c>
      <c r="G16" s="56">
        <v>20.62</v>
      </c>
      <c r="H16" s="56">
        <v>6.77</v>
      </c>
      <c r="I16" s="56">
        <v>4.28</v>
      </c>
      <c r="J16" s="56">
        <v>0.76</v>
      </c>
      <c r="K16" s="56">
        <v>348.79</v>
      </c>
      <c r="L16" s="56">
        <v>26.88</v>
      </c>
      <c r="M16" s="56">
        <v>60.77</v>
      </c>
      <c r="N16" s="56">
        <v>339</v>
      </c>
      <c r="O16" s="56">
        <v>0</v>
      </c>
      <c r="P16" s="56">
        <v>0.37</v>
      </c>
      <c r="Q16" s="56">
        <v>9.16</v>
      </c>
      <c r="R16" s="43"/>
      <c r="S16" s="43"/>
      <c r="T16" s="43"/>
      <c r="U16" s="43"/>
    </row>
    <row r="17" spans="1:21" s="11" customFormat="1" ht="15">
      <c r="A17" s="55" t="s">
        <v>622</v>
      </c>
      <c r="B17" s="56">
        <v>6.64</v>
      </c>
      <c r="C17" s="56">
        <v>23.37</v>
      </c>
      <c r="D17" s="56">
        <v>17.309999999999999</v>
      </c>
      <c r="E17" s="56">
        <v>1.61</v>
      </c>
      <c r="F17" s="56">
        <v>4.05</v>
      </c>
      <c r="G17" s="56">
        <v>33.21</v>
      </c>
      <c r="H17" s="56">
        <v>8.02</v>
      </c>
      <c r="I17" s="56">
        <v>4.54</v>
      </c>
      <c r="J17" s="56">
        <v>0.95</v>
      </c>
      <c r="K17" s="56">
        <v>355.74</v>
      </c>
      <c r="L17" s="56">
        <v>32.229999999999997</v>
      </c>
      <c r="M17" s="56">
        <v>44.66</v>
      </c>
      <c r="N17" s="56">
        <v>670.30</v>
      </c>
      <c r="O17" s="56">
        <v>0</v>
      </c>
      <c r="P17" s="56">
        <v>0.41</v>
      </c>
      <c r="Q17" s="56">
        <v>9.14</v>
      </c>
      <c r="R17" s="43"/>
      <c r="S17" s="43"/>
      <c r="T17" s="43"/>
      <c r="U17" s="43"/>
    </row>
    <row r="18" spans="1:21" s="11" customFormat="1" ht="15">
      <c r="A18" s="55" t="s">
        <v>623</v>
      </c>
      <c r="B18" s="56">
        <v>6.07</v>
      </c>
      <c r="C18" s="56">
        <v>26.13</v>
      </c>
      <c r="D18" s="56">
        <v>17.47</v>
      </c>
      <c r="E18" s="56">
        <v>1.37</v>
      </c>
      <c r="F18" s="56">
        <v>4.16</v>
      </c>
      <c r="G18" s="56">
        <v>30.72</v>
      </c>
      <c r="H18" s="56">
        <v>10.66</v>
      </c>
      <c r="I18" s="56">
        <v>5.0599999999999996</v>
      </c>
      <c r="J18" s="56">
        <v>0.53</v>
      </c>
      <c r="K18" s="56">
        <v>344.65</v>
      </c>
      <c r="L18" s="56">
        <v>34.049999999999997</v>
      </c>
      <c r="M18" s="56">
        <v>37.17</v>
      </c>
      <c r="N18" s="56">
        <v>846.40</v>
      </c>
      <c r="O18" s="56">
        <v>0</v>
      </c>
      <c r="P18" s="56">
        <v>0.44</v>
      </c>
      <c r="Q18" s="56">
        <v>9.1199999999999992</v>
      </c>
      <c r="R18" s="43"/>
      <c r="S18" s="43"/>
      <c r="T18" s="43"/>
      <c r="U18" s="43"/>
    </row>
    <row r="19" spans="1:21" s="11" customFormat="1" ht="15">
      <c r="A19" s="55" t="s">
        <v>624</v>
      </c>
      <c r="B19" s="56">
        <v>4.0199999999999996</v>
      </c>
      <c r="C19" s="56">
        <v>28.41</v>
      </c>
      <c r="D19" s="56">
        <v>17.63</v>
      </c>
      <c r="E19" s="56">
        <v>1.46</v>
      </c>
      <c r="F19" s="56">
        <v>4.6500000000000004</v>
      </c>
      <c r="G19" s="56">
        <v>37.74</v>
      </c>
      <c r="H19" s="56">
        <v>14.27</v>
      </c>
      <c r="I19" s="56">
        <v>6.02</v>
      </c>
      <c r="J19" s="56">
        <v>0.78</v>
      </c>
      <c r="K19" s="56">
        <v>348.82</v>
      </c>
      <c r="L19" s="56">
        <v>37.619999999999997</v>
      </c>
      <c r="M19" s="56">
        <v>35.67</v>
      </c>
      <c r="N19" s="56">
        <v>930.80</v>
      </c>
      <c r="O19" s="56">
        <v>0</v>
      </c>
      <c r="P19" s="56">
        <v>0.56999999999999995</v>
      </c>
      <c r="Q19" s="56">
        <v>9.14</v>
      </c>
      <c r="R19" s="43"/>
      <c r="S19" s="43"/>
      <c r="T19" s="43"/>
      <c r="U19" s="43"/>
    </row>
    <row r="20" spans="1:21" s="11" customFormat="1" ht="15">
      <c r="A20" s="55" t="s">
        <v>625</v>
      </c>
      <c r="B20" s="56">
        <v>3.39</v>
      </c>
      <c r="C20" s="56">
        <v>34.06</v>
      </c>
      <c r="D20" s="56">
        <v>19.86</v>
      </c>
      <c r="E20" s="56">
        <v>1.86</v>
      </c>
      <c r="F20" s="56">
        <v>5.61</v>
      </c>
      <c r="G20" s="56">
        <v>53.99</v>
      </c>
      <c r="H20" s="56">
        <v>10.62</v>
      </c>
      <c r="I20" s="56">
        <v>7</v>
      </c>
      <c r="J20" s="56">
        <v>0.99</v>
      </c>
      <c r="K20" s="56">
        <v>344.80</v>
      </c>
      <c r="L20" s="56">
        <v>38.47</v>
      </c>
      <c r="M20" s="56">
        <v>29.18</v>
      </c>
      <c r="N20" s="56">
        <v>968.60</v>
      </c>
      <c r="O20" s="56">
        <v>0</v>
      </c>
      <c r="P20" s="56">
        <v>0.72</v>
      </c>
      <c r="Q20" s="56">
        <v>9.14</v>
      </c>
      <c r="R20" s="43"/>
      <c r="S20" s="43"/>
      <c r="T20" s="43"/>
      <c r="U20" s="43"/>
    </row>
    <row r="21" spans="1:21" s="11" customFormat="1" ht="15">
      <c r="A21" s="55" t="s">
        <v>626</v>
      </c>
      <c r="B21" s="56">
        <v>2.63</v>
      </c>
      <c r="C21" s="56">
        <v>36.75</v>
      </c>
      <c r="D21" s="56">
        <v>21.23</v>
      </c>
      <c r="E21" s="56">
        <v>2.10</v>
      </c>
      <c r="F21" s="56">
        <v>5.68</v>
      </c>
      <c r="G21" s="56">
        <v>59.40</v>
      </c>
      <c r="H21" s="56">
        <v>12.06</v>
      </c>
      <c r="I21" s="56">
        <v>7.47</v>
      </c>
      <c r="J21" s="56">
        <v>0.66</v>
      </c>
      <c r="K21" s="56">
        <v>347.84</v>
      </c>
      <c r="L21" s="56">
        <v>37.24</v>
      </c>
      <c r="M21" s="56">
        <v>28.89</v>
      </c>
      <c r="N21" s="56">
        <v>688.80</v>
      </c>
      <c r="O21" s="56">
        <v>0</v>
      </c>
      <c r="P21" s="56">
        <v>0.81</v>
      </c>
      <c r="Q21" s="56">
        <v>9.16</v>
      </c>
      <c r="R21" s="43"/>
      <c r="S21" s="43"/>
      <c r="T21" s="43"/>
      <c r="U21" s="43"/>
    </row>
    <row r="22" spans="1:21" s="11" customFormat="1" ht="15">
      <c r="A22" s="55" t="s">
        <v>627</v>
      </c>
      <c r="B22" s="56">
        <v>1.87</v>
      </c>
      <c r="C22" s="56">
        <v>33.26</v>
      </c>
      <c r="D22" s="56">
        <v>18.80</v>
      </c>
      <c r="E22" s="56">
        <v>2.06</v>
      </c>
      <c r="F22" s="56">
        <v>6.47</v>
      </c>
      <c r="G22" s="56">
        <v>55.48</v>
      </c>
      <c r="H22" s="56">
        <v>12.87</v>
      </c>
      <c r="I22" s="56">
        <v>8.2100000000000009</v>
      </c>
      <c r="J22" s="56">
        <v>0.65</v>
      </c>
      <c r="K22" s="56">
        <v>326.55</v>
      </c>
      <c r="L22" s="56">
        <v>38.08</v>
      </c>
      <c r="M22" s="56">
        <v>27.53</v>
      </c>
      <c r="N22" s="56">
        <v>768.30</v>
      </c>
      <c r="O22" s="56">
        <v>0</v>
      </c>
      <c r="P22" s="56">
        <v>0.75</v>
      </c>
      <c r="Q22" s="56">
        <v>9.14</v>
      </c>
      <c r="R22" s="43"/>
      <c r="S22" s="43"/>
      <c r="T22" s="43"/>
      <c r="U22" s="43"/>
    </row>
    <row r="23" spans="1:21" s="11" customFormat="1" ht="15">
      <c r="A23" s="55" t="s">
        <v>628</v>
      </c>
      <c r="B23" s="56">
        <v>1.58</v>
      </c>
      <c r="C23" s="56">
        <v>29.89</v>
      </c>
      <c r="D23" s="56">
        <v>16.54</v>
      </c>
      <c r="E23" s="56">
        <v>1.96</v>
      </c>
      <c r="F23" s="56">
        <v>6.37</v>
      </c>
      <c r="G23" s="56">
        <v>46.14</v>
      </c>
      <c r="H23" s="56">
        <v>88.35</v>
      </c>
      <c r="I23" s="56">
        <v>7.82</v>
      </c>
      <c r="J23" s="56">
        <v>1.53</v>
      </c>
      <c r="K23" s="56">
        <v>322.02</v>
      </c>
      <c r="L23" s="56">
        <v>36.869999999999997</v>
      </c>
      <c r="M23" s="56">
        <v>27.94</v>
      </c>
      <c r="N23" s="56">
        <v>539.29999999999995</v>
      </c>
      <c r="O23" s="56">
        <v>0</v>
      </c>
      <c r="P23" s="56">
        <v>0.68</v>
      </c>
      <c r="Q23" s="56">
        <v>9.1300000000000008</v>
      </c>
      <c r="R23" s="43"/>
      <c r="S23" s="43"/>
      <c r="T23" s="43"/>
      <c r="U23" s="43"/>
    </row>
    <row r="24" spans="1:21" s="11" customFormat="1" ht="15">
      <c r="A24" s="55" t="s">
        <v>629</v>
      </c>
      <c r="B24" s="56">
        <v>1.71</v>
      </c>
      <c r="C24" s="56">
        <v>26.08</v>
      </c>
      <c r="D24" s="56">
        <v>14.90</v>
      </c>
      <c r="E24" s="56">
        <v>1.93</v>
      </c>
      <c r="F24" s="56">
        <v>6.18</v>
      </c>
      <c r="G24" s="56">
        <v>30.30</v>
      </c>
      <c r="H24" s="56">
        <v>22.08</v>
      </c>
      <c r="I24" s="56">
        <v>6.56</v>
      </c>
      <c r="J24" s="56">
        <v>0.97</v>
      </c>
      <c r="K24" s="56">
        <v>322.58999999999997</v>
      </c>
      <c r="L24" s="56">
        <v>36.31</v>
      </c>
      <c r="M24" s="56">
        <v>25.31</v>
      </c>
      <c r="N24" s="56">
        <v>313.39999999999998</v>
      </c>
      <c r="O24" s="56">
        <v>0</v>
      </c>
      <c r="P24" s="56">
        <v>0.60</v>
      </c>
      <c r="Q24" s="56">
        <v>9.1300000000000008</v>
      </c>
      <c r="R24" s="43"/>
      <c r="S24" s="43"/>
      <c r="T24" s="43"/>
      <c r="U24" s="43"/>
    </row>
    <row r="25" spans="1:21" s="11" customFormat="1" ht="15">
      <c r="A25" s="55" t="s">
        <v>630</v>
      </c>
      <c r="B25" s="56">
        <v>1.78</v>
      </c>
      <c r="C25" s="56">
        <v>33.04</v>
      </c>
      <c r="D25" s="56">
        <v>18.59</v>
      </c>
      <c r="E25" s="56">
        <v>1.08</v>
      </c>
      <c r="F25" s="56">
        <v>6.38</v>
      </c>
      <c r="G25" s="56">
        <v>24.10</v>
      </c>
      <c r="H25" s="56">
        <v>20.079999999999998</v>
      </c>
      <c r="I25" s="56">
        <v>5.90</v>
      </c>
      <c r="J25" s="56">
        <v>0.5</v>
      </c>
      <c r="K25" s="56">
        <v>313.87</v>
      </c>
      <c r="L25" s="56">
        <v>34.67</v>
      </c>
      <c r="M25" s="56">
        <v>26</v>
      </c>
      <c r="N25" s="56">
        <v>143.60</v>
      </c>
      <c r="O25" s="56">
        <v>0</v>
      </c>
      <c r="P25" s="56">
        <v>0.55000000000000004</v>
      </c>
      <c r="Q25" s="56">
        <v>9.17</v>
      </c>
      <c r="R25" s="43"/>
      <c r="S25" s="43"/>
      <c r="T25" s="43"/>
      <c r="U25" s="43"/>
    </row>
    <row r="26" spans="1:21" s="11" customFormat="1" ht="15">
      <c r="A26" s="55" t="s">
        <v>631</v>
      </c>
      <c r="B26" s="56">
        <v>2.1800000000000002</v>
      </c>
      <c r="C26" s="56">
        <v>30.14</v>
      </c>
      <c r="D26" s="56">
        <v>17.16</v>
      </c>
      <c r="E26" s="56">
        <v>1.19</v>
      </c>
      <c r="F26" s="56">
        <v>5.14</v>
      </c>
      <c r="G26" s="56">
        <v>27.33</v>
      </c>
      <c r="H26" s="56">
        <v>21.08</v>
      </c>
      <c r="I26" s="56">
        <v>5.43</v>
      </c>
      <c r="J26" s="56">
        <v>0.21</v>
      </c>
      <c r="K26" s="56">
        <v>357.44</v>
      </c>
      <c r="L26" s="56">
        <v>33.68</v>
      </c>
      <c r="M26" s="56">
        <v>32.74</v>
      </c>
      <c r="N26" s="56">
        <v>80.20</v>
      </c>
      <c r="O26" s="56">
        <v>0</v>
      </c>
      <c r="P26" s="56">
        <v>0.59</v>
      </c>
      <c r="Q26" s="56">
        <v>9.14</v>
      </c>
      <c r="R26" s="43"/>
      <c r="S26" s="43"/>
      <c r="T26" s="43"/>
      <c r="U26" s="43"/>
    </row>
    <row r="27" spans="1:21" s="11" customFormat="1" ht="15">
      <c r="A27" s="55" t="s">
        <v>632</v>
      </c>
      <c r="B27" s="56">
        <v>5.20</v>
      </c>
      <c r="C27" s="56">
        <v>33.19</v>
      </c>
      <c r="D27" s="56">
        <v>21.43</v>
      </c>
      <c r="E27" s="56">
        <v>1.1399999999999999</v>
      </c>
      <c r="F27" s="56">
        <v>4.41</v>
      </c>
      <c r="G27" s="56">
        <v>42.56</v>
      </c>
      <c r="H27" s="56">
        <v>25.08</v>
      </c>
      <c r="I27" s="56">
        <v>5.58</v>
      </c>
      <c r="J27" s="56">
        <v>0.23</v>
      </c>
      <c r="K27" s="56">
        <v>329.56</v>
      </c>
      <c r="L27" s="56">
        <v>30.80</v>
      </c>
      <c r="M27" s="56">
        <v>42.49</v>
      </c>
      <c r="N27" s="56">
        <v>24.20</v>
      </c>
      <c r="O27" s="56">
        <v>0</v>
      </c>
      <c r="P27" s="56">
        <v>0.89</v>
      </c>
      <c r="Q27" s="56">
        <v>9.15</v>
      </c>
      <c r="R27" s="43"/>
      <c r="S27" s="43"/>
      <c r="T27" s="43"/>
      <c r="U27" s="43"/>
    </row>
    <row r="28" spans="1:21" s="11" customFormat="1" ht="15">
      <c r="A28" s="55" t="s">
        <v>633</v>
      </c>
      <c r="B28" s="56">
        <v>19.489999999999998</v>
      </c>
      <c r="C28" s="56">
        <v>34.369999999999997</v>
      </c>
      <c r="D28" s="56">
        <v>33.42</v>
      </c>
      <c r="E28" s="56">
        <v>1.67</v>
      </c>
      <c r="F28" s="56">
        <v>3.76</v>
      </c>
      <c r="G28" s="56">
        <v>51.58</v>
      </c>
      <c r="H28" s="56">
        <v>4.26</v>
      </c>
      <c r="I28" s="56">
        <v>7.74</v>
      </c>
      <c r="J28" s="56">
        <v>0.35</v>
      </c>
      <c r="K28" s="56">
        <v>355.06</v>
      </c>
      <c r="L28" s="56">
        <v>29.23</v>
      </c>
      <c r="M28" s="56">
        <v>54.5</v>
      </c>
      <c r="N28" s="56">
        <v>19.100000000000001</v>
      </c>
      <c r="O28" s="56">
        <v>0</v>
      </c>
      <c r="P28" s="56">
        <v>1.21</v>
      </c>
      <c r="Q28" s="56">
        <v>9.14</v>
      </c>
      <c r="R28" s="43"/>
      <c r="S28" s="43"/>
      <c r="T28" s="43"/>
      <c r="U28" s="43"/>
    </row>
    <row r="29" spans="1:21" s="11" customFormat="1" ht="15">
      <c r="A29" s="55" t="s">
        <v>634</v>
      </c>
      <c r="B29" s="56">
        <v>34.25</v>
      </c>
      <c r="C29" s="56">
        <v>34.28</v>
      </c>
      <c r="D29" s="56">
        <v>45.30</v>
      </c>
      <c r="E29" s="56">
        <v>0.87</v>
      </c>
      <c r="F29" s="56">
        <v>3.85</v>
      </c>
      <c r="G29" s="56">
        <v>81.80</v>
      </c>
      <c r="H29" s="56">
        <v>65.95</v>
      </c>
      <c r="I29" s="56">
        <v>11.26</v>
      </c>
      <c r="J29" s="56">
        <v>0.55000000000000004</v>
      </c>
      <c r="K29" s="56">
        <v>357.39</v>
      </c>
      <c r="L29" s="56">
        <v>28.37</v>
      </c>
      <c r="M29" s="56">
        <v>54.74</v>
      </c>
      <c r="N29" s="56">
        <v>19.20</v>
      </c>
      <c r="O29" s="56">
        <v>0</v>
      </c>
      <c r="P29" s="56">
        <v>1.48</v>
      </c>
      <c r="Q29" s="56">
        <v>9.2200000000000006</v>
      </c>
      <c r="R29" s="43"/>
      <c r="S29" s="43"/>
      <c r="T29" s="43"/>
      <c r="U29" s="43"/>
    </row>
    <row r="30" spans="1:21" s="11" customFormat="1" ht="15">
      <c r="A30" s="55" t="s">
        <v>635</v>
      </c>
      <c r="B30" s="56">
        <v>42.41</v>
      </c>
      <c r="C30" s="56">
        <v>34.28</v>
      </c>
      <c r="D30" s="56">
        <v>51.41</v>
      </c>
      <c r="E30" s="56">
        <v>1.36</v>
      </c>
      <c r="F30" s="56">
        <v>3.49</v>
      </c>
      <c r="G30" s="56">
        <v>95.25</v>
      </c>
      <c r="H30" s="56">
        <v>95.08</v>
      </c>
      <c r="I30" s="56">
        <v>9.59</v>
      </c>
      <c r="J30" s="56">
        <v>0.42</v>
      </c>
      <c r="K30" s="56">
        <v>357.22</v>
      </c>
      <c r="L30" s="56">
        <v>28.10</v>
      </c>
      <c r="M30" s="56">
        <v>49.86</v>
      </c>
      <c r="N30" s="56">
        <v>19.600000000000001</v>
      </c>
      <c r="O30" s="56">
        <v>0</v>
      </c>
      <c r="P30" s="56">
        <v>1.60</v>
      </c>
      <c r="Q30" s="56">
        <v>9.3699999999999992</v>
      </c>
      <c r="R30" s="43"/>
      <c r="S30" s="43"/>
      <c r="T30" s="43"/>
      <c r="U30" s="43"/>
    </row>
    <row r="31" spans="1:21" s="11" customFormat="1" ht="15">
      <c r="A31" s="55" t="s">
        <v>636</v>
      </c>
      <c r="B31" s="56">
        <v>50.28</v>
      </c>
      <c r="C31" s="56">
        <v>33.130000000000003</v>
      </c>
      <c r="D31" s="56">
        <v>57.18</v>
      </c>
      <c r="E31" s="56">
        <v>1.45</v>
      </c>
      <c r="F31" s="56">
        <v>3.43</v>
      </c>
      <c r="G31" s="56">
        <v>114.27</v>
      </c>
      <c r="H31" s="56">
        <v>68.45</v>
      </c>
      <c r="I31" s="56">
        <v>9.82</v>
      </c>
      <c r="J31" s="56">
        <v>0.22</v>
      </c>
      <c r="K31" s="56">
        <v>336.48</v>
      </c>
      <c r="L31" s="56">
        <v>26.76</v>
      </c>
      <c r="M31" s="56">
        <v>57.95</v>
      </c>
      <c r="N31" s="56">
        <v>19.899999999999999</v>
      </c>
      <c r="O31" s="56">
        <v>0</v>
      </c>
      <c r="P31" s="56">
        <v>1.72</v>
      </c>
      <c r="Q31" s="56">
        <v>9.33</v>
      </c>
      <c r="R31" s="43"/>
      <c r="S31" s="43"/>
      <c r="T31" s="43"/>
      <c r="U31" s="43"/>
    </row>
    <row r="32" spans="1:21" s="11" customFormat="1" ht="15">
      <c r="A32" s="55" t="s">
        <v>637</v>
      </c>
      <c r="B32" s="56">
        <v>59.90</v>
      </c>
      <c r="C32" s="56">
        <v>34.10</v>
      </c>
      <c r="D32" s="56">
        <v>65.77</v>
      </c>
      <c r="E32" s="56">
        <v>1.65</v>
      </c>
      <c r="F32" s="56">
        <v>3.62</v>
      </c>
      <c r="G32" s="56">
        <v>129.38999999999999</v>
      </c>
      <c r="H32" s="56">
        <v>53.06</v>
      </c>
      <c r="I32" s="56">
        <v>9.60</v>
      </c>
      <c r="J32" s="56">
        <v>0.22</v>
      </c>
      <c r="K32" s="56">
        <v>344.54</v>
      </c>
      <c r="L32" s="56">
        <v>25.87</v>
      </c>
      <c r="M32" s="56">
        <v>63.24</v>
      </c>
      <c r="N32" s="56">
        <v>19.899999999999999</v>
      </c>
      <c r="O32" s="56">
        <v>0</v>
      </c>
      <c r="P32" s="56">
        <v>1.75</v>
      </c>
      <c r="Q32" s="56">
        <v>9.43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1.5800000000000001</v>
      </c>
      <c r="C34" s="28">
        <f t="shared" si="0"/>
        <v>22.120000000000001</v>
      </c>
      <c r="D34" s="28">
        <f t="shared" si="0"/>
        <v>14.130000000000001</v>
      </c>
      <c r="E34" s="28">
        <f t="shared" si="0"/>
        <v>0.87</v>
      </c>
      <c r="F34" s="28">
        <f t="shared" si="0"/>
        <v>3.4300000000000002</v>
      </c>
      <c r="G34" s="28">
        <f t="shared" si="0"/>
        <v>3.54</v>
      </c>
      <c r="H34" s="28">
        <f t="shared" si="0"/>
        <v>4.2599999999999998</v>
      </c>
      <c r="I34" s="28">
        <f t="shared" si="0"/>
        <v>3.7999999999999998</v>
      </c>
      <c r="J34" s="28">
        <f t="shared" si="0"/>
        <v>0.20999999999999999</v>
      </c>
      <c r="K34" s="28">
        <f t="shared" si="0"/>
        <v>179.93000000000001</v>
      </c>
      <c r="L34" s="28">
        <f t="shared" si="0"/>
        <v>23.129999999999999</v>
      </c>
      <c r="M34" s="28">
        <f t="shared" si="0"/>
        <v>25.309999999999999</v>
      </c>
      <c r="N34" s="28">
        <f t="shared" si="0"/>
        <v>16.899999999999999</v>
      </c>
      <c r="O34" s="28">
        <f t="shared" si="0"/>
        <v>0</v>
      </c>
      <c r="P34" s="28">
        <f t="shared" si="0"/>
        <v>0.33000000000000002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59.899999999999999</v>
      </c>
      <c r="C35" s="29">
        <f t="shared" si="1"/>
        <v>36.75</v>
      </c>
      <c r="D35" s="29">
        <f t="shared" si="1"/>
        <v>65.769999999999996</v>
      </c>
      <c r="E35" s="29">
        <f t="shared" si="1"/>
        <v>2.6200000000000001</v>
      </c>
      <c r="F35" s="29">
        <f t="shared" si="1"/>
        <v>6.4699999999999998</v>
      </c>
      <c r="G35" s="29">
        <f t="shared" si="1"/>
        <v>129.38999999999999</v>
      </c>
      <c r="H35" s="29">
        <f t="shared" si="1"/>
        <v>95.079999999999998</v>
      </c>
      <c r="I35" s="29">
        <f t="shared" si="1"/>
        <v>11.26</v>
      </c>
      <c r="J35" s="29">
        <f t="shared" si="1"/>
        <v>2.3999999999999999</v>
      </c>
      <c r="K35" s="29">
        <f t="shared" si="1"/>
        <v>359.25</v>
      </c>
      <c r="L35" s="29">
        <f t="shared" si="1"/>
        <v>38.469999999999999</v>
      </c>
      <c r="M35" s="29">
        <f t="shared" si="1"/>
        <v>63.240000000000002</v>
      </c>
      <c r="N35" s="29">
        <f t="shared" si="1"/>
        <v>968.60000000000002</v>
      </c>
      <c r="O35" s="29">
        <f t="shared" si="1"/>
        <v>0</v>
      </c>
      <c r="P35" s="29">
        <f t="shared" si="1"/>
        <v>1.75</v>
      </c>
      <c r="Q35" s="29">
        <f t="shared" si="1"/>
        <v>9.4299999999999997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11.597916666666668</v>
      </c>
      <c r="C36" s="28">
        <f t="shared" si="2"/>
        <v>29.153333333333332</v>
      </c>
      <c r="D36" s="28">
        <f t="shared" si="2"/>
        <v>24.230416666666667</v>
      </c>
      <c r="E36" s="28">
        <f t="shared" si="2"/>
        <v>1.6674999999999998</v>
      </c>
      <c r="F36" s="28">
        <f t="shared" si="2"/>
        <v>4.5837500000000002</v>
      </c>
      <c r="G36" s="28">
        <f t="shared" si="2"/>
        <v>46.03458333333333</v>
      </c>
      <c r="H36" s="28">
        <f t="shared" si="2"/>
        <v>26.498750000000001</v>
      </c>
      <c r="I36" s="28">
        <f t="shared" si="2"/>
        <v>6.5612499999999985</v>
      </c>
      <c r="J36" s="28">
        <f t="shared" si="2"/>
        <v>0.6741666666666668</v>
      </c>
      <c r="K36" s="28">
        <f t="shared" si="2"/>
        <v>323.98000000000008</v>
      </c>
      <c r="L36" s="28">
        <f t="shared" si="2"/>
        <v>30.129999999999995</v>
      </c>
      <c r="M36" s="28">
        <f t="shared" si="2"/>
        <v>44.851666666666659</v>
      </c>
      <c r="N36" s="28">
        <f t="shared" si="2"/>
        <v>275.57916666666665</v>
      </c>
      <c r="O36" s="28">
        <f t="shared" si="2"/>
        <v>0</v>
      </c>
      <c r="P36" s="28">
        <f t="shared" si="2"/>
        <v>0.78000000000000014</v>
      </c>
      <c r="Q36" s="28">
        <f t="shared" si="2"/>
        <v>9.1758333333333351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16.892279682219293</v>
      </c>
      <c r="C37" s="28">
        <f t="shared" si="3" ref="C37:Q37">STDEV(C9:C32)</f>
        <v>4.8585358920659383</v>
      </c>
      <c r="D37" s="28">
        <f t="shared" si="3"/>
        <v>14.848251977096909</v>
      </c>
      <c r="E37" s="28">
        <f t="shared" si="3"/>
        <v>0.50498600927671011</v>
      </c>
      <c r="F37" s="28">
        <f t="shared" si="3"/>
        <v>1.0445169988418419</v>
      </c>
      <c r="G37" s="28">
        <f t="shared" si="3"/>
        <v>32.198980807414259</v>
      </c>
      <c r="H37" s="28">
        <f t="shared" si="3"/>
        <v>26.658200192436091</v>
      </c>
      <c r="I37" s="28">
        <f t="shared" si="3"/>
        <v>1.9924058266981877</v>
      </c>
      <c r="J37" s="28">
        <f t="shared" si="3"/>
        <v>0.52016650065704639</v>
      </c>
      <c r="K37" s="28">
        <f t="shared" si="3"/>
        <v>47.455201116878854</v>
      </c>
      <c r="L37" s="28">
        <f t="shared" si="3"/>
        <v>5.4851086945752208</v>
      </c>
      <c r="M37" s="28">
        <f t="shared" si="3"/>
        <v>13.063752928607869</v>
      </c>
      <c r="N37" s="28">
        <f t="shared" si="3"/>
        <v>346.2094477639431</v>
      </c>
      <c r="O37" s="28">
        <f t="shared" si="3"/>
        <v>0</v>
      </c>
      <c r="P37" s="28">
        <f t="shared" si="3"/>
        <v>0.43710510128024965</v>
      </c>
      <c r="Q37" s="28">
        <f t="shared" si="3"/>
        <v>0.081449726647880527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457fd0-e58f-4887-9137-65159bf14524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638</v>
      </c>
      <c r="B9" s="56">
        <v>62.34</v>
      </c>
      <c r="C9" s="56">
        <v>33.69</v>
      </c>
      <c r="D9" s="56">
        <v>66.83</v>
      </c>
      <c r="E9" s="56">
        <v>1.81</v>
      </c>
      <c r="F9" s="56">
        <v>3.46</v>
      </c>
      <c r="G9" s="56">
        <v>144.22999999999999</v>
      </c>
      <c r="H9" s="56">
        <v>51.32</v>
      </c>
      <c r="I9" s="56">
        <v>9.40</v>
      </c>
      <c r="J9" s="56">
        <v>0.20</v>
      </c>
      <c r="K9" s="56">
        <v>305.20</v>
      </c>
      <c r="L9" s="56">
        <v>24.98</v>
      </c>
      <c r="M9" s="56">
        <v>63.81</v>
      </c>
      <c r="N9" s="56">
        <v>19.899999999999999</v>
      </c>
      <c r="O9" s="56">
        <v>0</v>
      </c>
      <c r="P9" s="56">
        <v>1.72</v>
      </c>
      <c r="Q9" s="56">
        <v>9.51</v>
      </c>
      <c r="R9" s="43"/>
      <c r="S9" s="43"/>
      <c r="T9" s="43"/>
      <c r="U9" s="43"/>
    </row>
    <row r="10" spans="1:21" s="11" customFormat="1" ht="15">
      <c r="A10" s="55" t="s">
        <v>639</v>
      </c>
      <c r="B10" s="56">
        <v>61.02</v>
      </c>
      <c r="C10" s="56">
        <v>30.13</v>
      </c>
      <c r="D10" s="56">
        <v>64.59</v>
      </c>
      <c r="E10" s="56">
        <v>1.83</v>
      </c>
      <c r="F10" s="56">
        <v>3.95</v>
      </c>
      <c r="G10" s="56">
        <v>132.93</v>
      </c>
      <c r="H10" s="56">
        <v>35.25</v>
      </c>
      <c r="I10" s="56">
        <v>11.04</v>
      </c>
      <c r="J10" s="56">
        <v>0.27</v>
      </c>
      <c r="K10" s="56">
        <v>338.69</v>
      </c>
      <c r="L10" s="56">
        <v>24.61</v>
      </c>
      <c r="M10" s="56">
        <v>68.540000000000006</v>
      </c>
      <c r="N10" s="56">
        <v>20.20</v>
      </c>
      <c r="O10" s="56">
        <v>0</v>
      </c>
      <c r="P10" s="56">
        <v>1.49</v>
      </c>
      <c r="Q10" s="56">
        <v>9.49</v>
      </c>
      <c r="R10" s="43"/>
      <c r="S10" s="43"/>
      <c r="T10" s="43"/>
      <c r="U10" s="43"/>
    </row>
    <row r="11" spans="1:21" s="11" customFormat="1" ht="15">
      <c r="A11" s="55" t="s">
        <v>640</v>
      </c>
      <c r="B11" s="56">
        <v>56.23</v>
      </c>
      <c r="C11" s="56">
        <v>26.06</v>
      </c>
      <c r="D11" s="56">
        <v>58.63</v>
      </c>
      <c r="E11" s="56">
        <v>1.73</v>
      </c>
      <c r="F11" s="56">
        <v>3.75</v>
      </c>
      <c r="G11" s="56">
        <v>105.72</v>
      </c>
      <c r="H11" s="56">
        <v>17.579999999999998</v>
      </c>
      <c r="I11" s="56">
        <v>11.17</v>
      </c>
      <c r="J11" s="56">
        <v>0.20</v>
      </c>
      <c r="K11" s="56">
        <v>338.74</v>
      </c>
      <c r="L11" s="56">
        <v>23.51</v>
      </c>
      <c r="M11" s="56">
        <v>73</v>
      </c>
      <c r="N11" s="56">
        <v>20.30</v>
      </c>
      <c r="O11" s="56">
        <v>0</v>
      </c>
      <c r="P11" s="56">
        <v>1.34</v>
      </c>
      <c r="Q11" s="56">
        <v>9.48</v>
      </c>
      <c r="R11" s="43"/>
      <c r="S11" s="43"/>
      <c r="T11" s="43"/>
      <c r="U11" s="43"/>
    </row>
    <row r="12" spans="1:21" s="11" customFormat="1" ht="15">
      <c r="A12" s="55" t="s">
        <v>641</v>
      </c>
      <c r="B12" s="56">
        <v>51.31</v>
      </c>
      <c r="C12" s="56">
        <v>24.30</v>
      </c>
      <c r="D12" s="56">
        <v>53.76</v>
      </c>
      <c r="E12" s="56">
        <v>2.14</v>
      </c>
      <c r="F12" s="56">
        <v>3.68</v>
      </c>
      <c r="G12" s="56">
        <v>88.45</v>
      </c>
      <c r="H12" s="56">
        <v>20.28</v>
      </c>
      <c r="I12" s="56">
        <v>10.19</v>
      </c>
      <c r="J12" s="56">
        <v>0.18</v>
      </c>
      <c r="K12" s="56">
        <v>356.49</v>
      </c>
      <c r="L12" s="56">
        <v>23.41</v>
      </c>
      <c r="M12" s="56">
        <v>74.900000000000006</v>
      </c>
      <c r="N12" s="56">
        <v>20.5</v>
      </c>
      <c r="O12" s="56">
        <v>0</v>
      </c>
      <c r="P12" s="56">
        <v>1.17</v>
      </c>
      <c r="Q12" s="56">
        <v>9.4600000000000009</v>
      </c>
      <c r="R12" s="43"/>
      <c r="S12" s="43"/>
      <c r="T12" s="43"/>
      <c r="U12" s="43"/>
    </row>
    <row r="13" spans="1:21" s="11" customFormat="1" ht="15">
      <c r="A13" s="55" t="s">
        <v>642</v>
      </c>
      <c r="B13" s="56">
        <v>48.28</v>
      </c>
      <c r="C13" s="56">
        <v>25.56</v>
      </c>
      <c r="D13" s="56">
        <v>51.84</v>
      </c>
      <c r="E13" s="56">
        <v>2.2999999999999998</v>
      </c>
      <c r="F13" s="56">
        <v>3.49</v>
      </c>
      <c r="G13" s="56">
        <v>75.77</v>
      </c>
      <c r="H13" s="56">
        <v>4.74</v>
      </c>
      <c r="I13" s="56">
        <v>9.57</v>
      </c>
      <c r="J13" s="56">
        <v>0.30</v>
      </c>
      <c r="K13" s="56">
        <v>348.16</v>
      </c>
      <c r="L13" s="56">
        <v>23.24</v>
      </c>
      <c r="M13" s="56">
        <v>77.69</v>
      </c>
      <c r="N13" s="56">
        <v>20.70</v>
      </c>
      <c r="O13" s="56">
        <v>0</v>
      </c>
      <c r="P13" s="56">
        <v>1</v>
      </c>
      <c r="Q13" s="56">
        <v>9.3699999999999992</v>
      </c>
      <c r="R13" s="43"/>
      <c r="S13" s="43"/>
      <c r="T13" s="43"/>
      <c r="U13" s="43"/>
    </row>
    <row r="14" spans="1:21" s="11" customFormat="1" ht="15">
      <c r="A14" s="55" t="s">
        <v>643</v>
      </c>
      <c r="B14" s="56">
        <v>49.64</v>
      </c>
      <c r="C14" s="56">
        <v>25.16</v>
      </c>
      <c r="D14" s="56">
        <v>52.41</v>
      </c>
      <c r="E14" s="56">
        <v>2.52</v>
      </c>
      <c r="F14" s="56">
        <v>3.57</v>
      </c>
      <c r="G14" s="56">
        <v>70.03</v>
      </c>
      <c r="H14" s="56">
        <v>25.73</v>
      </c>
      <c r="I14" s="56">
        <v>9.5500000000000007</v>
      </c>
      <c r="J14" s="56">
        <v>0.20</v>
      </c>
      <c r="K14" s="56">
        <v>345.09</v>
      </c>
      <c r="L14" s="56">
        <v>23.15</v>
      </c>
      <c r="M14" s="56">
        <v>78.069999999999993</v>
      </c>
      <c r="N14" s="56">
        <v>48.80</v>
      </c>
      <c r="O14" s="56">
        <v>0</v>
      </c>
      <c r="P14" s="56">
        <v>0.95</v>
      </c>
      <c r="Q14" s="56">
        <v>9.41</v>
      </c>
      <c r="R14" s="43"/>
      <c r="S14" s="43"/>
      <c r="T14" s="43"/>
      <c r="U14" s="43"/>
    </row>
    <row r="15" spans="1:21" s="11" customFormat="1" ht="15">
      <c r="A15" s="55" t="s">
        <v>644</v>
      </c>
      <c r="B15" s="56">
        <v>52.33</v>
      </c>
      <c r="C15" s="56">
        <v>24.43</v>
      </c>
      <c r="D15" s="56">
        <v>54.65</v>
      </c>
      <c r="E15" s="56">
        <v>2.4700000000000002</v>
      </c>
      <c r="F15" s="56">
        <v>3.79</v>
      </c>
      <c r="G15" s="56">
        <v>88.31</v>
      </c>
      <c r="H15" s="56">
        <v>24.73</v>
      </c>
      <c r="I15" s="56">
        <v>10.66</v>
      </c>
      <c r="J15" s="56">
        <v>0.71</v>
      </c>
      <c r="K15" s="56">
        <v>205.99</v>
      </c>
      <c r="L15" s="56">
        <v>26.11</v>
      </c>
      <c r="M15" s="56">
        <v>70.489999999999995</v>
      </c>
      <c r="N15" s="56">
        <v>216.70</v>
      </c>
      <c r="O15" s="56">
        <v>0</v>
      </c>
      <c r="P15" s="56">
        <v>0.92</v>
      </c>
      <c r="Q15" s="56">
        <v>9.40</v>
      </c>
      <c r="R15" s="43"/>
      <c r="S15" s="43"/>
      <c r="T15" s="43"/>
      <c r="U15" s="43"/>
    </row>
    <row r="16" spans="1:21" s="11" customFormat="1" ht="15">
      <c r="A16" s="55" t="s">
        <v>645</v>
      </c>
      <c r="B16" s="56">
        <v>46.64</v>
      </c>
      <c r="C16" s="56">
        <v>25.08</v>
      </c>
      <c r="D16" s="56">
        <v>49.62</v>
      </c>
      <c r="E16" s="56">
        <v>2.5299999999999998</v>
      </c>
      <c r="F16" s="56">
        <v>3.74</v>
      </c>
      <c r="G16" s="56">
        <v>85.09</v>
      </c>
      <c r="H16" s="56">
        <v>29.73</v>
      </c>
      <c r="I16" s="56">
        <v>10.47</v>
      </c>
      <c r="J16" s="56">
        <v>0.73</v>
      </c>
      <c r="K16" s="56">
        <v>274.55</v>
      </c>
      <c r="L16" s="56">
        <v>30.31</v>
      </c>
      <c r="M16" s="56">
        <v>55.69</v>
      </c>
      <c r="N16" s="56">
        <v>436.30</v>
      </c>
      <c r="O16" s="56">
        <v>0</v>
      </c>
      <c r="P16" s="56">
        <v>0.89</v>
      </c>
      <c r="Q16" s="56">
        <v>9.34</v>
      </c>
      <c r="R16" s="43"/>
      <c r="S16" s="43"/>
      <c r="T16" s="43"/>
      <c r="U16" s="43"/>
    </row>
    <row r="17" spans="1:21" s="11" customFormat="1" ht="15">
      <c r="A17" s="55" t="s">
        <v>646</v>
      </c>
      <c r="B17" s="56">
        <v>36.369999999999997</v>
      </c>
      <c r="C17" s="56">
        <v>27.92</v>
      </c>
      <c r="D17" s="56">
        <v>42.46</v>
      </c>
      <c r="E17" s="56">
        <v>1.18</v>
      </c>
      <c r="F17" s="56">
        <v>3.60</v>
      </c>
      <c r="G17" s="56">
        <v>62.20</v>
      </c>
      <c r="H17" s="56">
        <v>27.73</v>
      </c>
      <c r="I17" s="56">
        <v>10.28</v>
      </c>
      <c r="J17" s="56">
        <v>1.55</v>
      </c>
      <c r="K17" s="56">
        <v>206.32</v>
      </c>
      <c r="L17" s="56">
        <v>30.70</v>
      </c>
      <c r="M17" s="56">
        <v>45.56</v>
      </c>
      <c r="N17" s="56">
        <v>657.90</v>
      </c>
      <c r="O17" s="56">
        <v>0</v>
      </c>
      <c r="P17" s="56">
        <v>0.83</v>
      </c>
      <c r="Q17" s="56">
        <v>9.3000000000000007</v>
      </c>
      <c r="R17" s="43"/>
      <c r="S17" s="43"/>
      <c r="T17" s="43"/>
      <c r="U17" s="43"/>
    </row>
    <row r="18" spans="1:21" s="11" customFormat="1" ht="15">
      <c r="A18" s="55" t="s">
        <v>647</v>
      </c>
      <c r="B18" s="56">
        <v>23.90</v>
      </c>
      <c r="C18" s="56">
        <v>32.71</v>
      </c>
      <c r="D18" s="56">
        <v>34.049999999999997</v>
      </c>
      <c r="E18" s="56">
        <v>1.35</v>
      </c>
      <c r="F18" s="56">
        <v>13.06</v>
      </c>
      <c r="G18" s="56">
        <v>47.69</v>
      </c>
      <c r="H18" s="56">
        <v>22.73</v>
      </c>
      <c r="I18" s="56">
        <v>9.98</v>
      </c>
      <c r="J18" s="56">
        <v>0.36</v>
      </c>
      <c r="K18" s="56">
        <v>264.98</v>
      </c>
      <c r="L18" s="56">
        <v>33.81</v>
      </c>
      <c r="M18" s="56">
        <v>42.72</v>
      </c>
      <c r="N18" s="56">
        <v>807.80</v>
      </c>
      <c r="O18" s="56">
        <v>0</v>
      </c>
      <c r="P18" s="56">
        <v>0.71</v>
      </c>
      <c r="Q18" s="56">
        <v>9.24</v>
      </c>
      <c r="R18" s="43"/>
      <c r="S18" s="43"/>
      <c r="T18" s="43"/>
      <c r="U18" s="43"/>
    </row>
    <row r="19" spans="1:21" s="11" customFormat="1" ht="15">
      <c r="A19" s="55" t="s">
        <v>648</v>
      </c>
      <c r="B19" s="56">
        <v>2.81</v>
      </c>
      <c r="C19" s="56">
        <v>28.88</v>
      </c>
      <c r="D19" s="56">
        <v>16.55</v>
      </c>
      <c r="E19" s="56">
        <v>2.2999999999999998</v>
      </c>
      <c r="F19" s="56">
        <v>36.83</v>
      </c>
      <c r="G19" s="56">
        <v>8.0500000000000007</v>
      </c>
      <c r="H19" s="56">
        <v>3.73</v>
      </c>
      <c r="I19" s="56">
        <v>9.11</v>
      </c>
      <c r="J19" s="56">
        <v>0.98</v>
      </c>
      <c r="K19" s="56">
        <v>330.41</v>
      </c>
      <c r="L19" s="56">
        <v>39.450000000000003</v>
      </c>
      <c r="M19" s="56">
        <v>37.78</v>
      </c>
      <c r="N19" s="56">
        <v>920.60</v>
      </c>
      <c r="O19" s="56">
        <v>0</v>
      </c>
      <c r="P19" s="56">
        <v>0.39</v>
      </c>
      <c r="Q19" s="56">
        <v>9.14</v>
      </c>
      <c r="R19" s="43"/>
      <c r="S19" s="43"/>
      <c r="T19" s="43"/>
      <c r="U19" s="43"/>
    </row>
    <row r="20" spans="1:21" s="11" customFormat="1" ht="15">
      <c r="A20" s="55" t="s">
        <v>649</v>
      </c>
      <c r="B20" s="56">
        <v>1.83</v>
      </c>
      <c r="C20" s="56">
        <v>34.880000000000003</v>
      </c>
      <c r="D20" s="56">
        <v>19.54</v>
      </c>
      <c r="E20" s="56">
        <v>1.48</v>
      </c>
      <c r="F20" s="56">
        <v>9.7200000000000006</v>
      </c>
      <c r="G20" s="56">
        <v>84.30</v>
      </c>
      <c r="H20" s="56">
        <v>25.73</v>
      </c>
      <c r="I20" s="56">
        <v>4.51</v>
      </c>
      <c r="J20" s="56">
        <v>1.08</v>
      </c>
      <c r="K20" s="56">
        <v>346.30</v>
      </c>
      <c r="L20" s="56">
        <v>40.130000000000003</v>
      </c>
      <c r="M20" s="56">
        <v>26.45</v>
      </c>
      <c r="N20" s="56">
        <v>962.10</v>
      </c>
      <c r="O20" s="56">
        <v>0</v>
      </c>
      <c r="P20" s="56">
        <v>0.51</v>
      </c>
      <c r="Q20" s="56">
        <v>9.11</v>
      </c>
      <c r="R20" s="43"/>
      <c r="S20" s="43"/>
      <c r="T20" s="43"/>
      <c r="U20" s="43"/>
    </row>
    <row r="21" spans="1:21" s="11" customFormat="1" ht="15">
      <c r="A21" s="55" t="s">
        <v>650</v>
      </c>
      <c r="B21" s="56">
        <v>1.44</v>
      </c>
      <c r="C21" s="56">
        <v>31.51</v>
      </c>
      <c r="D21" s="56">
        <v>17.38</v>
      </c>
      <c r="E21" s="56">
        <v>1.85</v>
      </c>
      <c r="F21" s="56">
        <v>13.38</v>
      </c>
      <c r="G21" s="56">
        <v>77.45</v>
      </c>
      <c r="H21" s="56">
        <v>24.73</v>
      </c>
      <c r="I21" s="56">
        <v>4.83</v>
      </c>
      <c r="J21" s="56">
        <v>1.19</v>
      </c>
      <c r="K21" s="56">
        <v>349.85</v>
      </c>
      <c r="L21" s="56">
        <v>40.44</v>
      </c>
      <c r="M21" s="56">
        <v>21.93</v>
      </c>
      <c r="N21" s="56">
        <v>959.80</v>
      </c>
      <c r="O21" s="56">
        <v>0</v>
      </c>
      <c r="P21" s="56">
        <v>0.47</v>
      </c>
      <c r="Q21" s="56">
        <v>9.10</v>
      </c>
      <c r="R21" s="43"/>
      <c r="S21" s="43"/>
      <c r="T21" s="43"/>
      <c r="U21" s="43"/>
    </row>
    <row r="22" spans="1:21" s="11" customFormat="1" ht="15">
      <c r="A22" s="55" t="s">
        <v>651</v>
      </c>
      <c r="B22" s="56">
        <v>1.52</v>
      </c>
      <c r="C22" s="56">
        <v>36.96</v>
      </c>
      <c r="D22" s="56">
        <v>19.97</v>
      </c>
      <c r="E22" s="56">
        <v>4.53</v>
      </c>
      <c r="F22" s="56">
        <v>23.79</v>
      </c>
      <c r="G22" s="56">
        <v>63.46</v>
      </c>
      <c r="H22" s="56">
        <v>22.73</v>
      </c>
      <c r="I22" s="56">
        <v>4.33</v>
      </c>
      <c r="J22" s="56">
        <v>1.33</v>
      </c>
      <c r="K22" s="56">
        <v>339.56</v>
      </c>
      <c r="L22" s="56">
        <v>38.380000000000003</v>
      </c>
      <c r="M22" s="56">
        <v>26.41</v>
      </c>
      <c r="N22" s="56">
        <v>426.10</v>
      </c>
      <c r="O22" s="56">
        <v>0</v>
      </c>
      <c r="P22" s="56">
        <v>0.45</v>
      </c>
      <c r="Q22" s="56">
        <v>9.1300000000000008</v>
      </c>
      <c r="R22" s="43"/>
      <c r="S22" s="43"/>
      <c r="T22" s="43"/>
      <c r="U22" s="43"/>
    </row>
    <row r="23" spans="1:21" s="11" customFormat="1" ht="15">
      <c r="A23" s="55" t="s">
        <v>652</v>
      </c>
      <c r="B23" s="56">
        <v>1.1299999999999999</v>
      </c>
      <c r="C23" s="56">
        <v>33.39</v>
      </c>
      <c r="D23" s="56">
        <v>18.14</v>
      </c>
      <c r="E23" s="56">
        <v>1.68</v>
      </c>
      <c r="F23" s="56">
        <v>7.97</v>
      </c>
      <c r="G23" s="56">
        <v>59.77</v>
      </c>
      <c r="H23" s="56">
        <v>21.73</v>
      </c>
      <c r="I23" s="56">
        <v>4.24</v>
      </c>
      <c r="J23" s="56">
        <v>1.53</v>
      </c>
      <c r="K23" s="56">
        <v>210.73</v>
      </c>
      <c r="L23" s="56">
        <v>35.06</v>
      </c>
      <c r="M23" s="56">
        <v>29.46</v>
      </c>
      <c r="N23" s="56">
        <v>648.10</v>
      </c>
      <c r="O23" s="56">
        <v>0</v>
      </c>
      <c r="P23" s="56">
        <v>0.44</v>
      </c>
      <c r="Q23" s="56">
        <v>9.16</v>
      </c>
      <c r="R23" s="43"/>
      <c r="S23" s="43"/>
      <c r="T23" s="43"/>
      <c r="U23" s="43"/>
    </row>
    <row r="24" spans="1:21" s="11" customFormat="1" ht="15">
      <c r="A24" s="55" t="s">
        <v>653</v>
      </c>
      <c r="B24" s="56">
        <v>1.38</v>
      </c>
      <c r="C24" s="56">
        <v>31.36</v>
      </c>
      <c r="D24" s="56">
        <v>17.190000000000001</v>
      </c>
      <c r="E24" s="56">
        <v>1.78</v>
      </c>
      <c r="F24" s="56">
        <v>18.66</v>
      </c>
      <c r="G24" s="56">
        <v>52.61</v>
      </c>
      <c r="H24" s="56">
        <v>23.73</v>
      </c>
      <c r="I24" s="56">
        <v>5.03</v>
      </c>
      <c r="J24" s="56">
        <v>0.76</v>
      </c>
      <c r="K24" s="56">
        <v>207.85</v>
      </c>
      <c r="L24" s="56">
        <v>34.26</v>
      </c>
      <c r="M24" s="56">
        <v>31.54</v>
      </c>
      <c r="N24" s="56">
        <v>215</v>
      </c>
      <c r="O24" s="56">
        <v>0</v>
      </c>
      <c r="P24" s="56">
        <v>0.43</v>
      </c>
      <c r="Q24" s="56">
        <v>9.14</v>
      </c>
      <c r="R24" s="43"/>
      <c r="S24" s="43"/>
      <c r="T24" s="43"/>
      <c r="U24" s="43"/>
    </row>
    <row r="25" spans="1:21" s="11" customFormat="1" ht="15">
      <c r="A25" s="55" t="s">
        <v>654</v>
      </c>
      <c r="B25" s="56">
        <v>0.71</v>
      </c>
      <c r="C25" s="56">
        <v>40.99</v>
      </c>
      <c r="D25" s="56">
        <v>21.90</v>
      </c>
      <c r="E25" s="56">
        <v>4.7699999999999996</v>
      </c>
      <c r="F25" s="56">
        <v>39.68</v>
      </c>
      <c r="G25" s="56">
        <v>41.18</v>
      </c>
      <c r="H25" s="56">
        <v>20.73</v>
      </c>
      <c r="I25" s="56">
        <v>4.82</v>
      </c>
      <c r="J25" s="56">
        <v>0.72</v>
      </c>
      <c r="K25" s="56">
        <v>193.42</v>
      </c>
      <c r="L25" s="56">
        <v>32.74</v>
      </c>
      <c r="M25" s="56">
        <v>32.68</v>
      </c>
      <c r="N25" s="56">
        <v>202.80</v>
      </c>
      <c r="O25" s="56">
        <v>0</v>
      </c>
      <c r="P25" s="56">
        <v>0.32</v>
      </c>
      <c r="Q25" s="56">
        <v>9.1300000000000008</v>
      </c>
      <c r="R25" s="43"/>
      <c r="S25" s="43"/>
      <c r="T25" s="43"/>
      <c r="U25" s="43"/>
    </row>
    <row r="26" spans="1:21" s="11" customFormat="1" ht="15">
      <c r="A26" s="55" t="s">
        <v>655</v>
      </c>
      <c r="B26" s="56">
        <v>0.67</v>
      </c>
      <c r="C26" s="56">
        <v>32.15</v>
      </c>
      <c r="D26" s="56">
        <v>17.21</v>
      </c>
      <c r="E26" s="56">
        <v>2.04</v>
      </c>
      <c r="F26" s="56">
        <v>13.28</v>
      </c>
      <c r="G26" s="56">
        <v>42.13</v>
      </c>
      <c r="H26" s="56">
        <v>36.79</v>
      </c>
      <c r="I26" s="56">
        <v>2.23</v>
      </c>
      <c r="J26" s="56">
        <v>0.33</v>
      </c>
      <c r="K26" s="56">
        <v>268.30</v>
      </c>
      <c r="L26" s="56">
        <v>32.590000000000003</v>
      </c>
      <c r="M26" s="56">
        <v>38.840000000000003</v>
      </c>
      <c r="N26" s="56">
        <v>100.40</v>
      </c>
      <c r="O26" s="56">
        <v>0</v>
      </c>
      <c r="P26" s="56">
        <v>0.27</v>
      </c>
      <c r="Q26" s="56">
        <v>9.11</v>
      </c>
      <c r="R26" s="43"/>
      <c r="S26" s="43"/>
      <c r="T26" s="43"/>
      <c r="U26" s="43"/>
    </row>
    <row r="27" spans="1:21" s="11" customFormat="1" ht="15">
      <c r="A27" s="55" t="s">
        <v>656</v>
      </c>
      <c r="B27" s="56">
        <v>2.12</v>
      </c>
      <c r="C27" s="56">
        <v>29.93</v>
      </c>
      <c r="D27" s="56">
        <v>16.510000000000002</v>
      </c>
      <c r="E27" s="56">
        <v>1.48</v>
      </c>
      <c r="F27" s="56">
        <v>6.06</v>
      </c>
      <c r="G27" s="56">
        <v>39.270000000000003</v>
      </c>
      <c r="H27" s="56">
        <v>35.89</v>
      </c>
      <c r="I27" s="56">
        <v>4.1100000000000003</v>
      </c>
      <c r="J27" s="56">
        <v>0.28000000000000003</v>
      </c>
      <c r="K27" s="56">
        <v>317.30</v>
      </c>
      <c r="L27" s="56">
        <v>31.29</v>
      </c>
      <c r="M27" s="56">
        <v>44.51</v>
      </c>
      <c r="N27" s="56">
        <v>25.70</v>
      </c>
      <c r="O27" s="56">
        <v>0</v>
      </c>
      <c r="P27" s="56">
        <v>0.40</v>
      </c>
      <c r="Q27" s="56">
        <v>9.11</v>
      </c>
      <c r="R27" s="43"/>
      <c r="S27" s="43"/>
      <c r="T27" s="43"/>
      <c r="U27" s="43"/>
    </row>
    <row r="28" spans="1:21" s="11" customFormat="1" ht="15">
      <c r="A28" s="55" t="s">
        <v>657</v>
      </c>
      <c r="B28" s="56">
        <v>7.30</v>
      </c>
      <c r="C28" s="56">
        <v>31.13</v>
      </c>
      <c r="D28" s="56">
        <v>22.03</v>
      </c>
      <c r="E28" s="56">
        <v>1.75</v>
      </c>
      <c r="F28" s="56">
        <v>3.78</v>
      </c>
      <c r="G28" s="56">
        <v>64.680000000000007</v>
      </c>
      <c r="H28" s="56">
        <v>31.56</v>
      </c>
      <c r="I28" s="56">
        <v>5.62</v>
      </c>
      <c r="J28" s="56">
        <v>0.14000000000000001</v>
      </c>
      <c r="K28" s="56">
        <v>313.5</v>
      </c>
      <c r="L28" s="56">
        <v>30.40</v>
      </c>
      <c r="M28" s="56">
        <v>44.35</v>
      </c>
      <c r="N28" s="56">
        <v>17.80</v>
      </c>
      <c r="O28" s="56">
        <v>0</v>
      </c>
      <c r="P28" s="56">
        <v>0.65</v>
      </c>
      <c r="Q28" s="56">
        <v>9.17</v>
      </c>
      <c r="R28" s="43"/>
      <c r="S28" s="43"/>
      <c r="T28" s="43"/>
      <c r="U28" s="43"/>
    </row>
    <row r="29" spans="1:21" s="11" customFormat="1" ht="15">
      <c r="A29" s="55" t="s">
        <v>658</v>
      </c>
      <c r="B29" s="56">
        <v>26.55</v>
      </c>
      <c r="C29" s="56">
        <v>36.40</v>
      </c>
      <c r="D29" s="56">
        <v>40.229999999999997</v>
      </c>
      <c r="E29" s="56">
        <v>3.01</v>
      </c>
      <c r="F29" s="56">
        <v>3.71</v>
      </c>
      <c r="G29" s="56">
        <v>78.59</v>
      </c>
      <c r="H29" s="56">
        <v>32.71</v>
      </c>
      <c r="I29" s="56">
        <v>6.90</v>
      </c>
      <c r="J29" s="56">
        <v>0.14000000000000001</v>
      </c>
      <c r="K29" s="56">
        <v>306</v>
      </c>
      <c r="L29" s="56">
        <v>29.15</v>
      </c>
      <c r="M29" s="56">
        <v>45.08</v>
      </c>
      <c r="N29" s="56">
        <v>17.70</v>
      </c>
      <c r="O29" s="56">
        <v>0</v>
      </c>
      <c r="P29" s="56">
        <v>1.05</v>
      </c>
      <c r="Q29" s="56">
        <v>9.32</v>
      </c>
      <c r="R29" s="43"/>
      <c r="S29" s="43"/>
      <c r="T29" s="43"/>
      <c r="U29" s="43"/>
    </row>
    <row r="30" spans="1:21" s="11" customFormat="1" ht="15">
      <c r="A30" s="55" t="s">
        <v>659</v>
      </c>
      <c r="B30" s="56">
        <v>39.53</v>
      </c>
      <c r="C30" s="56">
        <v>38.020000000000003</v>
      </c>
      <c r="D30" s="56">
        <v>51.43</v>
      </c>
      <c r="E30" s="56">
        <v>3</v>
      </c>
      <c r="F30" s="56">
        <v>3.44</v>
      </c>
      <c r="G30" s="56">
        <v>80.33</v>
      </c>
      <c r="H30" s="56">
        <v>31.62</v>
      </c>
      <c r="I30" s="56">
        <v>7.01</v>
      </c>
      <c r="J30" s="56">
        <v>0.25</v>
      </c>
      <c r="K30" s="56">
        <v>357.94</v>
      </c>
      <c r="L30" s="56">
        <v>28.17</v>
      </c>
      <c r="M30" s="56">
        <v>54.64</v>
      </c>
      <c r="N30" s="56">
        <v>17.70</v>
      </c>
      <c r="O30" s="56">
        <v>0</v>
      </c>
      <c r="P30" s="56">
        <v>1.22</v>
      </c>
      <c r="Q30" s="56">
        <v>9.34</v>
      </c>
      <c r="R30" s="43"/>
      <c r="S30" s="43"/>
      <c r="T30" s="43"/>
      <c r="U30" s="43"/>
    </row>
    <row r="31" spans="1:21" s="11" customFormat="1" ht="15">
      <c r="A31" s="55" t="s">
        <v>660</v>
      </c>
      <c r="B31" s="56">
        <v>44.43</v>
      </c>
      <c r="C31" s="56">
        <v>38.770000000000003</v>
      </c>
      <c r="D31" s="56">
        <v>55.42</v>
      </c>
      <c r="E31" s="56">
        <v>3.04</v>
      </c>
      <c r="F31" s="56">
        <v>3.55</v>
      </c>
      <c r="G31" s="56">
        <v>93.18</v>
      </c>
      <c r="H31" s="56">
        <v>26.81</v>
      </c>
      <c r="I31" s="56">
        <v>7.71</v>
      </c>
      <c r="J31" s="56">
        <v>0.46</v>
      </c>
      <c r="K31" s="56">
        <v>328.91</v>
      </c>
      <c r="L31" s="56">
        <v>27.95</v>
      </c>
      <c r="M31" s="56">
        <v>53.25</v>
      </c>
      <c r="N31" s="56">
        <v>17.30</v>
      </c>
      <c r="O31" s="56">
        <v>0</v>
      </c>
      <c r="P31" s="56">
        <v>1.34</v>
      </c>
      <c r="Q31" s="56">
        <v>9.41</v>
      </c>
      <c r="R31" s="43"/>
      <c r="S31" s="43"/>
      <c r="T31" s="43"/>
      <c r="U31" s="43"/>
    </row>
    <row r="32" spans="1:21" s="11" customFormat="1" ht="15">
      <c r="A32" s="55" t="s">
        <v>661</v>
      </c>
      <c r="B32" s="56">
        <v>42.82</v>
      </c>
      <c r="C32" s="56">
        <v>35.68</v>
      </c>
      <c r="D32" s="56">
        <v>52.90</v>
      </c>
      <c r="E32" s="56">
        <v>3.07</v>
      </c>
      <c r="F32" s="56">
        <v>3.84</v>
      </c>
      <c r="G32" s="56">
        <v>89.43</v>
      </c>
      <c r="H32" s="56">
        <v>30</v>
      </c>
      <c r="I32" s="56">
        <v>8.66</v>
      </c>
      <c r="J32" s="56">
        <v>0.65</v>
      </c>
      <c r="K32" s="56">
        <v>319.69</v>
      </c>
      <c r="L32" s="56">
        <v>27.62</v>
      </c>
      <c r="M32" s="56">
        <v>46.08</v>
      </c>
      <c r="N32" s="56">
        <v>17.70</v>
      </c>
      <c r="O32" s="56">
        <v>0</v>
      </c>
      <c r="P32" s="56">
        <v>1.28</v>
      </c>
      <c r="Q32" s="56">
        <v>9.32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0.67000000000000004</v>
      </c>
      <c r="C34" s="28">
        <f t="shared" si="0"/>
        <v>24.300000000000001</v>
      </c>
      <c r="D34" s="28">
        <f t="shared" si="0"/>
        <v>16.510000000000002</v>
      </c>
      <c r="E34" s="28">
        <f t="shared" si="0"/>
        <v>1.1799999999999999</v>
      </c>
      <c r="F34" s="28">
        <f t="shared" si="0"/>
        <v>3.4399999999999999</v>
      </c>
      <c r="G34" s="28">
        <f t="shared" si="0"/>
        <v>8.0500000000000007</v>
      </c>
      <c r="H34" s="28">
        <f t="shared" si="0"/>
        <v>3.73</v>
      </c>
      <c r="I34" s="28">
        <f t="shared" si="0"/>
        <v>2.23</v>
      </c>
      <c r="J34" s="28">
        <f t="shared" si="0"/>
        <v>0.14000000000000001</v>
      </c>
      <c r="K34" s="28">
        <f t="shared" si="0"/>
        <v>193.41999999999999</v>
      </c>
      <c r="L34" s="28">
        <f t="shared" si="0"/>
        <v>23.149999999999999</v>
      </c>
      <c r="M34" s="28">
        <f t="shared" si="0"/>
        <v>21.93</v>
      </c>
      <c r="N34" s="28">
        <f t="shared" si="0"/>
        <v>17.300000000000001</v>
      </c>
      <c r="O34" s="28">
        <f t="shared" si="0"/>
        <v>0</v>
      </c>
      <c r="P34" s="28">
        <f t="shared" si="0"/>
        <v>0.27000000000000002</v>
      </c>
      <c r="Q34" s="28">
        <f t="shared" si="0"/>
        <v>9.0999999999999996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62.340000000000003</v>
      </c>
      <c r="C35" s="29">
        <f t="shared" si="1"/>
        <v>40.990000000000002</v>
      </c>
      <c r="D35" s="29">
        <f t="shared" si="1"/>
        <v>66.829999999999998</v>
      </c>
      <c r="E35" s="29">
        <f t="shared" si="1"/>
        <v>4.7699999999999996</v>
      </c>
      <c r="F35" s="29">
        <f t="shared" si="1"/>
        <v>39.68</v>
      </c>
      <c r="G35" s="29">
        <f t="shared" si="1"/>
        <v>144.22999999999999</v>
      </c>
      <c r="H35" s="29">
        <f t="shared" si="1"/>
        <v>51.32</v>
      </c>
      <c r="I35" s="29">
        <f t="shared" si="1"/>
        <v>11.17</v>
      </c>
      <c r="J35" s="29">
        <f t="shared" si="1"/>
        <v>1.55</v>
      </c>
      <c r="K35" s="29">
        <f t="shared" si="1"/>
        <v>357.94</v>
      </c>
      <c r="L35" s="29">
        <f t="shared" si="1"/>
        <v>40.439999999999998</v>
      </c>
      <c r="M35" s="29">
        <f t="shared" si="1"/>
        <v>78.069999999999993</v>
      </c>
      <c r="N35" s="29">
        <f t="shared" si="1"/>
        <v>962.10000000000002</v>
      </c>
      <c r="O35" s="29">
        <f t="shared" si="1"/>
        <v>0</v>
      </c>
      <c r="P35" s="29">
        <f t="shared" si="1"/>
        <v>1.72</v>
      </c>
      <c r="Q35" s="29">
        <f t="shared" si="1"/>
        <v>9.5099999999999998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27.595833333333328</v>
      </c>
      <c r="C36" s="28">
        <f t="shared" si="2"/>
        <v>31.462083333333322</v>
      </c>
      <c r="D36" s="28">
        <f t="shared" si="2"/>
        <v>38.134999999999991</v>
      </c>
      <c r="E36" s="28">
        <f t="shared" si="2"/>
        <v>2.3183333333333329</v>
      </c>
      <c r="F36" s="28">
        <f t="shared" si="2"/>
        <v>9.7408333333333346</v>
      </c>
      <c r="G36" s="28">
        <f t="shared" si="2"/>
        <v>73.952083333333334</v>
      </c>
      <c r="H36" s="28">
        <f t="shared" si="2"/>
        <v>26.179583333333337</v>
      </c>
      <c r="I36" s="28">
        <f t="shared" si="2"/>
        <v>7.559166666666667</v>
      </c>
      <c r="J36" s="28">
        <f t="shared" si="2"/>
        <v>0.60583333333333333</v>
      </c>
      <c r="K36" s="28">
        <f t="shared" si="2"/>
        <v>298.91541666666666</v>
      </c>
      <c r="L36" s="28">
        <f t="shared" si="2"/>
        <v>30.477499999999996</v>
      </c>
      <c r="M36" s="28">
        <f t="shared" si="2"/>
        <v>49.311250000000001</v>
      </c>
      <c r="N36" s="28">
        <f t="shared" si="2"/>
        <v>284.07916666666671</v>
      </c>
      <c r="O36" s="28">
        <f t="shared" si="2"/>
        <v>0</v>
      </c>
      <c r="P36" s="28">
        <f t="shared" si="2"/>
        <v>0.84333333333333327</v>
      </c>
      <c r="Q36" s="28">
        <f t="shared" si="2"/>
        <v>9.2787499999999987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23.667044031488302</v>
      </c>
      <c r="C37" s="28">
        <f t="shared" si="3" ref="C37:Q37">STDEV(C9:C32)</f>
        <v>4.8930091916198393</v>
      </c>
      <c r="D37" s="28">
        <f t="shared" si="3"/>
        <v>18.125628264973351</v>
      </c>
      <c r="E37" s="28">
        <f t="shared" si="3"/>
        <v>0.90580575068334401</v>
      </c>
      <c r="F37" s="28">
        <f t="shared" si="3"/>
        <v>10.378108614087497</v>
      </c>
      <c r="G37" s="28">
        <f t="shared" si="3"/>
        <v>29.554303884201179</v>
      </c>
      <c r="H37" s="28">
        <f t="shared" si="3"/>
        <v>9.7994731354233586</v>
      </c>
      <c r="I37" s="28">
        <f t="shared" si="3"/>
        <v>2.7611070821032184</v>
      </c>
      <c r="J37" s="28">
        <f t="shared" si="3"/>
        <v>0.45432144018799381</v>
      </c>
      <c r="K37" s="28">
        <f t="shared" si="3"/>
        <v>55.587586585743757</v>
      </c>
      <c r="L37" s="28">
        <f t="shared" si="3"/>
        <v>5.5248436924574751</v>
      </c>
      <c r="M37" s="28">
        <f t="shared" si="3"/>
        <v>17.595607730710622</v>
      </c>
      <c r="N37" s="28">
        <f t="shared" si="3"/>
        <v>348.03260214496731</v>
      </c>
      <c r="O37" s="28">
        <f t="shared" si="3"/>
        <v>0</v>
      </c>
      <c r="P37" s="28">
        <f t="shared" si="3"/>
        <v>0.4172754972194152</v>
      </c>
      <c r="Q37" s="28">
        <f t="shared" si="3"/>
        <v>0.14262484996000069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a6106e-f16f-4308-998f-77e479e4c15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4" sqref="G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3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2"/>
      <c r="B8" s="63" t="s">
        <v>22</v>
      </c>
      <c r="C8" s="63" t="s">
        <v>22</v>
      </c>
      <c r="D8" s="29" t="s">
        <v>61</v>
      </c>
      <c r="E8" s="63" t="s">
        <v>22</v>
      </c>
      <c r="F8" s="63" t="s">
        <v>22</v>
      </c>
      <c r="G8" s="63" t="s">
        <v>23</v>
      </c>
      <c r="H8" s="63" t="s">
        <v>22</v>
      </c>
      <c r="I8" s="63" t="s">
        <v>22</v>
      </c>
      <c r="J8" s="63" t="s">
        <v>24</v>
      </c>
      <c r="K8" s="63" t="s">
        <v>25</v>
      </c>
      <c r="L8" s="62" t="s">
        <v>27</v>
      </c>
      <c r="M8" s="63" t="s">
        <v>26</v>
      </c>
      <c r="N8" s="63" t="s">
        <v>28</v>
      </c>
      <c r="O8" s="62" t="s">
        <v>29</v>
      </c>
      <c r="P8" s="63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662</v>
      </c>
      <c r="B9" s="56">
        <v>36.11</v>
      </c>
      <c r="C9" s="56">
        <v>34.380000000000003</v>
      </c>
      <c r="D9" s="56">
        <v>45.95</v>
      </c>
      <c r="E9" s="56">
        <v>2.35</v>
      </c>
      <c r="F9" s="56">
        <v>3.69</v>
      </c>
      <c r="G9" s="56">
        <v>75.88</v>
      </c>
      <c r="H9" s="56">
        <v>23.16</v>
      </c>
      <c r="I9" s="56">
        <v>8.48</v>
      </c>
      <c r="J9" s="56">
        <v>0.25</v>
      </c>
      <c r="K9" s="56">
        <v>320.11</v>
      </c>
      <c r="L9" s="56">
        <v>27.08</v>
      </c>
      <c r="M9" s="56">
        <v>43.60</v>
      </c>
      <c r="N9" s="56">
        <v>17.80</v>
      </c>
      <c r="O9" s="56">
        <v>0</v>
      </c>
      <c r="P9" s="56">
        <v>1.1399999999999999</v>
      </c>
      <c r="Q9" s="56">
        <v>9.36</v>
      </c>
      <c r="R9" s="43"/>
      <c r="S9" s="43"/>
      <c r="T9" s="43"/>
      <c r="U9" s="43"/>
    </row>
    <row r="10" spans="1:21" s="11" customFormat="1" ht="15">
      <c r="A10" s="55" t="s">
        <v>663</v>
      </c>
      <c r="B10" s="56">
        <v>26.71</v>
      </c>
      <c r="C10" s="56">
        <v>36.65</v>
      </c>
      <c r="D10" s="56">
        <v>39.03</v>
      </c>
      <c r="E10" s="56">
        <v>2.31</v>
      </c>
      <c r="F10" s="56">
        <v>3.78</v>
      </c>
      <c r="G10" s="56">
        <v>58.90</v>
      </c>
      <c r="H10" s="56">
        <v>17.399999999999999</v>
      </c>
      <c r="I10" s="56">
        <v>8.11</v>
      </c>
      <c r="J10" s="56">
        <v>0.25</v>
      </c>
      <c r="K10" s="56">
        <v>331.21</v>
      </c>
      <c r="L10" s="56">
        <v>26.57</v>
      </c>
      <c r="M10" s="56">
        <v>49.86</v>
      </c>
      <c r="N10" s="56">
        <v>17.899999999999999</v>
      </c>
      <c r="O10" s="56">
        <v>0</v>
      </c>
      <c r="P10" s="56">
        <v>0.93</v>
      </c>
      <c r="Q10" s="56">
        <v>9.40</v>
      </c>
      <c r="R10" s="43"/>
      <c r="S10" s="43"/>
      <c r="T10" s="43"/>
      <c r="U10" s="43"/>
    </row>
    <row r="11" spans="1:21" s="11" customFormat="1" ht="15">
      <c r="A11" s="55" t="s">
        <v>664</v>
      </c>
      <c r="B11" s="56">
        <v>21.32</v>
      </c>
      <c r="C11" s="56">
        <v>34.35</v>
      </c>
      <c r="D11" s="56">
        <v>34.96</v>
      </c>
      <c r="E11" s="56">
        <v>2.15</v>
      </c>
      <c r="F11" s="56">
        <v>3.75</v>
      </c>
      <c r="G11" s="56">
        <v>49.79</v>
      </c>
      <c r="H11" s="56">
        <v>16.02</v>
      </c>
      <c r="I11" s="56">
        <v>7.48</v>
      </c>
      <c r="J11" s="56">
        <v>0.26</v>
      </c>
      <c r="K11" s="56">
        <v>349.85</v>
      </c>
      <c r="L11" s="56">
        <v>25.06</v>
      </c>
      <c r="M11" s="56">
        <v>60.68</v>
      </c>
      <c r="N11" s="56">
        <v>17.899999999999999</v>
      </c>
      <c r="O11" s="56">
        <v>0</v>
      </c>
      <c r="P11" s="56">
        <v>0.83</v>
      </c>
      <c r="Q11" s="56">
        <v>9.4499999999999993</v>
      </c>
      <c r="R11" s="43"/>
      <c r="S11" s="43"/>
      <c r="T11" s="43"/>
      <c r="U11" s="43"/>
    </row>
    <row r="12" spans="1:21" s="11" customFormat="1" ht="15">
      <c r="A12" s="55" t="s">
        <v>665</v>
      </c>
      <c r="B12" s="56">
        <v>19.87</v>
      </c>
      <c r="C12" s="56">
        <v>26.75</v>
      </c>
      <c r="D12" s="56">
        <v>29.83</v>
      </c>
      <c r="E12" s="56">
        <v>2.11</v>
      </c>
      <c r="F12" s="56">
        <v>3.52</v>
      </c>
      <c r="G12" s="56">
        <v>57.64</v>
      </c>
      <c r="H12" s="56">
        <v>13.91</v>
      </c>
      <c r="I12" s="56">
        <v>7.42</v>
      </c>
      <c r="J12" s="56">
        <v>0.16</v>
      </c>
      <c r="K12" s="56">
        <v>300.24</v>
      </c>
      <c r="L12" s="56">
        <v>23.67</v>
      </c>
      <c r="M12" s="56">
        <v>66.150000000000006</v>
      </c>
      <c r="N12" s="56">
        <v>17.600000000000001</v>
      </c>
      <c r="O12" s="56">
        <v>0</v>
      </c>
      <c r="P12" s="56">
        <v>0.77</v>
      </c>
      <c r="Q12" s="56">
        <v>9.51</v>
      </c>
      <c r="R12" s="43"/>
      <c r="S12" s="43"/>
      <c r="T12" s="43"/>
      <c r="U12" s="43"/>
    </row>
    <row r="13" spans="1:21" s="11" customFormat="1" ht="15">
      <c r="A13" s="55" t="s">
        <v>666</v>
      </c>
      <c r="B13" s="56">
        <v>20.20</v>
      </c>
      <c r="C13" s="56">
        <v>24.78</v>
      </c>
      <c r="D13" s="56">
        <v>28.77</v>
      </c>
      <c r="E13" s="56">
        <v>1.86</v>
      </c>
      <c r="F13" s="56">
        <v>3.73</v>
      </c>
      <c r="G13" s="56">
        <v>60.91</v>
      </c>
      <c r="H13" s="56">
        <v>18.53</v>
      </c>
      <c r="I13" s="56">
        <v>8.0399999999999991</v>
      </c>
      <c r="J13" s="56">
        <v>0.67</v>
      </c>
      <c r="K13" s="56">
        <v>286.31</v>
      </c>
      <c r="L13" s="56">
        <v>24.41</v>
      </c>
      <c r="M13" s="56">
        <v>63.42</v>
      </c>
      <c r="N13" s="56">
        <v>18</v>
      </c>
      <c r="O13" s="56">
        <v>0</v>
      </c>
      <c r="P13" s="56">
        <v>0.75</v>
      </c>
      <c r="Q13" s="56">
        <v>9.36</v>
      </c>
      <c r="R13" s="43"/>
      <c r="S13" s="43"/>
      <c r="T13" s="43"/>
      <c r="U13" s="43"/>
    </row>
    <row r="14" spans="1:21" s="11" customFormat="1" ht="15">
      <c r="A14" s="55" t="s">
        <v>667</v>
      </c>
      <c r="B14" s="56">
        <v>18.760000000000002</v>
      </c>
      <c r="C14" s="56">
        <v>25.53</v>
      </c>
      <c r="D14" s="56">
        <v>28.31</v>
      </c>
      <c r="E14" s="56">
        <v>2.08</v>
      </c>
      <c r="F14" s="56">
        <v>3.62</v>
      </c>
      <c r="G14" s="56">
        <v>57.60</v>
      </c>
      <c r="H14" s="56">
        <v>17.190000000000001</v>
      </c>
      <c r="I14" s="56">
        <v>8.9700000000000006</v>
      </c>
      <c r="J14" s="56">
        <v>0.34</v>
      </c>
      <c r="K14" s="56">
        <v>219.26</v>
      </c>
      <c r="L14" s="56">
        <v>23.78</v>
      </c>
      <c r="M14" s="56">
        <v>65.900000000000006</v>
      </c>
      <c r="N14" s="56">
        <v>46.5</v>
      </c>
      <c r="O14" s="56">
        <v>0</v>
      </c>
      <c r="P14" s="56">
        <v>0.70</v>
      </c>
      <c r="Q14" s="56">
        <v>9.33</v>
      </c>
      <c r="R14" s="43"/>
      <c r="S14" s="43"/>
      <c r="T14" s="43"/>
      <c r="U14" s="43"/>
    </row>
    <row r="15" spans="1:21" s="11" customFormat="1" ht="15">
      <c r="A15" s="55" t="s">
        <v>668</v>
      </c>
      <c r="B15" s="56">
        <v>16.38</v>
      </c>
      <c r="C15" s="56">
        <v>24.57</v>
      </c>
      <c r="D15" s="56">
        <v>25.69</v>
      </c>
      <c r="E15" s="56">
        <v>1.92</v>
      </c>
      <c r="F15" s="56">
        <v>3.41</v>
      </c>
      <c r="G15" s="56">
        <v>52.89</v>
      </c>
      <c r="H15" s="56">
        <v>20.48</v>
      </c>
      <c r="I15" s="56">
        <v>8.32</v>
      </c>
      <c r="J15" s="56">
        <v>0.44</v>
      </c>
      <c r="K15" s="56">
        <v>162.80000000000001</v>
      </c>
      <c r="L15" s="56">
        <v>27.23</v>
      </c>
      <c r="M15" s="56">
        <v>62.46</v>
      </c>
      <c r="N15" s="56">
        <v>238.30</v>
      </c>
      <c r="O15" s="56">
        <v>0</v>
      </c>
      <c r="P15" s="56">
        <v>0.65</v>
      </c>
      <c r="Q15" s="56">
        <v>9.31</v>
      </c>
      <c r="R15" s="43"/>
      <c r="S15" s="43"/>
      <c r="T15" s="43"/>
      <c r="U15" s="43"/>
    </row>
    <row r="16" spans="1:21" s="11" customFormat="1" ht="15">
      <c r="A16" s="55" t="s">
        <v>669</v>
      </c>
      <c r="B16" s="56">
        <v>14.19</v>
      </c>
      <c r="C16" s="56">
        <v>26.5</v>
      </c>
      <c r="D16" s="56">
        <v>23.91</v>
      </c>
      <c r="E16" s="56">
        <v>1.88</v>
      </c>
      <c r="F16" s="56">
        <v>3.86</v>
      </c>
      <c r="G16" s="56">
        <v>54.61</v>
      </c>
      <c r="H16" s="56">
        <v>19.63</v>
      </c>
      <c r="I16" s="56">
        <v>7.72</v>
      </c>
      <c r="J16" s="56">
        <v>0.93</v>
      </c>
      <c r="K16" s="56">
        <v>231.47</v>
      </c>
      <c r="L16" s="56">
        <v>28.39</v>
      </c>
      <c r="M16" s="56">
        <v>53.61</v>
      </c>
      <c r="N16" s="56">
        <v>455.70</v>
      </c>
      <c r="O16" s="56">
        <v>0</v>
      </c>
      <c r="P16" s="56">
        <v>0.55000000000000004</v>
      </c>
      <c r="Q16" s="56">
        <v>9.24</v>
      </c>
      <c r="R16" s="43"/>
      <c r="S16" s="43"/>
      <c r="T16" s="43"/>
      <c r="U16" s="43"/>
    </row>
    <row r="17" spans="1:21" s="11" customFormat="1" ht="15">
      <c r="A17" s="55" t="s">
        <v>670</v>
      </c>
      <c r="B17" s="56">
        <v>9.77</v>
      </c>
      <c r="C17" s="56">
        <v>25.84</v>
      </c>
      <c r="D17" s="56">
        <v>21.26</v>
      </c>
      <c r="E17" s="56">
        <v>0.95</v>
      </c>
      <c r="F17" s="56">
        <v>4.0599999999999996</v>
      </c>
      <c r="G17" s="56">
        <v>51.82</v>
      </c>
      <c r="H17" s="56">
        <v>19.97</v>
      </c>
      <c r="I17" s="56">
        <v>8.2100000000000009</v>
      </c>
      <c r="J17" s="56">
        <v>1.1599999999999999</v>
      </c>
      <c r="K17" s="56">
        <v>164.86</v>
      </c>
      <c r="L17" s="56">
        <v>31.41</v>
      </c>
      <c r="M17" s="56">
        <v>48.55</v>
      </c>
      <c r="N17" s="56">
        <v>615.5</v>
      </c>
      <c r="O17" s="56">
        <v>0</v>
      </c>
      <c r="P17" s="56">
        <v>0.53</v>
      </c>
      <c r="Q17" s="56">
        <v>9.2200000000000006</v>
      </c>
      <c r="R17" s="43"/>
      <c r="S17" s="43"/>
      <c r="T17" s="43"/>
      <c r="U17" s="43"/>
    </row>
    <row r="18" spans="1:21" s="11" customFormat="1" ht="15">
      <c r="A18" s="55" t="s">
        <v>671</v>
      </c>
      <c r="B18" s="56">
        <v>6.45</v>
      </c>
      <c r="C18" s="56">
        <v>27.75</v>
      </c>
      <c r="D18" s="56">
        <v>18.21</v>
      </c>
      <c r="E18" s="56">
        <v>1.1299999999999999</v>
      </c>
      <c r="F18" s="56">
        <v>5.0199999999999996</v>
      </c>
      <c r="G18" s="56">
        <v>45.72</v>
      </c>
      <c r="H18" s="56">
        <v>20.86</v>
      </c>
      <c r="I18" s="56">
        <v>8.82</v>
      </c>
      <c r="J18" s="56">
        <v>0.14000000000000001</v>
      </c>
      <c r="K18" s="56">
        <v>357.11</v>
      </c>
      <c r="L18" s="56">
        <v>34.409999999999997</v>
      </c>
      <c r="M18" s="56">
        <v>37.659999999999997</v>
      </c>
      <c r="N18" s="56">
        <v>798.70</v>
      </c>
      <c r="O18" s="56">
        <v>0</v>
      </c>
      <c r="P18" s="56">
        <v>0.53</v>
      </c>
      <c r="Q18" s="56">
        <v>9.1999999999999993</v>
      </c>
      <c r="R18" s="43"/>
      <c r="S18" s="43"/>
      <c r="T18" s="43"/>
      <c r="U18" s="43"/>
    </row>
    <row r="19" spans="1:21" s="11" customFormat="1" ht="15">
      <c r="A19" s="55" t="s">
        <v>672</v>
      </c>
      <c r="B19" s="56">
        <v>2.2400000000000002</v>
      </c>
      <c r="C19" s="56">
        <v>30.47</v>
      </c>
      <c r="D19" s="56">
        <v>16.739999999999998</v>
      </c>
      <c r="E19" s="56">
        <v>2.58</v>
      </c>
      <c r="F19" s="56">
        <v>36.26</v>
      </c>
      <c r="G19" s="56">
        <v>44.28</v>
      </c>
      <c r="H19" s="56">
        <v>20.329999999999998</v>
      </c>
      <c r="I19" s="56">
        <v>8.52</v>
      </c>
      <c r="J19" s="56">
        <v>0.81</v>
      </c>
      <c r="K19" s="56">
        <v>281.37</v>
      </c>
      <c r="L19" s="56">
        <v>36.31</v>
      </c>
      <c r="M19" s="56">
        <v>36.31</v>
      </c>
      <c r="N19" s="56">
        <v>900.40</v>
      </c>
      <c r="O19" s="56">
        <v>0</v>
      </c>
      <c r="P19" s="56">
        <v>0.52</v>
      </c>
      <c r="Q19" s="56">
        <v>9.15</v>
      </c>
      <c r="R19" s="43"/>
      <c r="S19" s="43"/>
      <c r="T19" s="43"/>
      <c r="U19" s="43"/>
    </row>
    <row r="20" spans="1:21" s="11" customFormat="1" ht="15">
      <c r="A20" s="55" t="s">
        <v>673</v>
      </c>
      <c r="B20" s="56">
        <v>1.1100000000000001</v>
      </c>
      <c r="C20" s="56">
        <v>30.79</v>
      </c>
      <c r="D20" s="56">
        <v>16.78</v>
      </c>
      <c r="E20" s="56">
        <v>2.09</v>
      </c>
      <c r="F20" s="56">
        <v>18.760000000000002</v>
      </c>
      <c r="G20" s="56">
        <v>41.67</v>
      </c>
      <c r="H20" s="56">
        <v>18.579999999999998</v>
      </c>
      <c r="I20" s="56">
        <v>4.7699999999999996</v>
      </c>
      <c r="J20" s="56">
        <v>0.21</v>
      </c>
      <c r="K20" s="56">
        <v>312.14999999999998</v>
      </c>
      <c r="L20" s="56">
        <v>37.71</v>
      </c>
      <c r="M20" s="56">
        <v>28.29</v>
      </c>
      <c r="N20" s="56">
        <v>913.90</v>
      </c>
      <c r="O20" s="56">
        <v>0</v>
      </c>
      <c r="P20" s="56">
        <v>0.51</v>
      </c>
      <c r="Q20" s="56">
        <v>9.1199999999999992</v>
      </c>
      <c r="R20" s="43"/>
      <c r="S20" s="43"/>
      <c r="T20" s="43"/>
      <c r="U20" s="43"/>
    </row>
    <row r="21" spans="1:21" s="11" customFormat="1" ht="15">
      <c r="A21" s="55" t="s">
        <v>674</v>
      </c>
      <c r="B21" s="56">
        <v>1.0900000000000001</v>
      </c>
      <c r="C21" s="56">
        <v>32.04</v>
      </c>
      <c r="D21" s="56">
        <v>17.53</v>
      </c>
      <c r="E21" s="56">
        <v>1.59</v>
      </c>
      <c r="F21" s="56">
        <v>15.07</v>
      </c>
      <c r="G21" s="56">
        <v>52.35</v>
      </c>
      <c r="H21" s="56">
        <v>21.86</v>
      </c>
      <c r="I21" s="56">
        <v>5.76</v>
      </c>
      <c r="J21" s="56">
        <v>0.61</v>
      </c>
      <c r="K21" s="56">
        <v>325.14</v>
      </c>
      <c r="L21" s="56">
        <v>37.31</v>
      </c>
      <c r="M21" s="56">
        <v>23.97</v>
      </c>
      <c r="N21" s="56">
        <v>899.20</v>
      </c>
      <c r="O21" s="56">
        <v>0</v>
      </c>
      <c r="P21" s="56">
        <v>0.59</v>
      </c>
      <c r="Q21" s="56">
        <v>9.15</v>
      </c>
      <c r="R21" s="43"/>
      <c r="S21" s="43"/>
      <c r="T21" s="43"/>
      <c r="U21" s="43"/>
    </row>
    <row r="22" spans="1:21" s="11" customFormat="1" ht="15">
      <c r="A22" s="55" t="s">
        <v>675</v>
      </c>
      <c r="B22" s="56">
        <v>1.23</v>
      </c>
      <c r="C22" s="56">
        <v>29.79</v>
      </c>
      <c r="D22" s="56">
        <v>16.32</v>
      </c>
      <c r="E22" s="56">
        <v>1.99</v>
      </c>
      <c r="F22" s="56">
        <v>8.3800000000000008</v>
      </c>
      <c r="G22" s="56">
        <v>54.93</v>
      </c>
      <c r="H22" s="56">
        <v>19.739999999999998</v>
      </c>
      <c r="I22" s="56">
        <v>6.32</v>
      </c>
      <c r="J22" s="56">
        <v>0.43</v>
      </c>
      <c r="K22" s="56">
        <v>325.85000000000002</v>
      </c>
      <c r="L22" s="56">
        <v>39.47</v>
      </c>
      <c r="M22" s="56">
        <v>21.60</v>
      </c>
      <c r="N22" s="56">
        <v>833.5</v>
      </c>
      <c r="O22" s="56">
        <v>0</v>
      </c>
      <c r="P22" s="56">
        <v>0.63</v>
      </c>
      <c r="Q22" s="56">
        <v>9.14</v>
      </c>
      <c r="R22" s="43"/>
      <c r="S22" s="43"/>
      <c r="T22" s="43"/>
      <c r="U22" s="43"/>
    </row>
    <row r="23" spans="1:21" s="11" customFormat="1" ht="15">
      <c r="A23" s="55" t="s">
        <v>676</v>
      </c>
      <c r="B23" s="56">
        <v>1.1100000000000001</v>
      </c>
      <c r="C23" s="56">
        <v>29.25</v>
      </c>
      <c r="D23" s="56">
        <v>15.78</v>
      </c>
      <c r="E23" s="56">
        <v>5.26</v>
      </c>
      <c r="F23" s="56">
        <v>62.96</v>
      </c>
      <c r="G23" s="56">
        <v>48.61</v>
      </c>
      <c r="H23" s="56">
        <v>28.97</v>
      </c>
      <c r="I23" s="56">
        <v>6.34</v>
      </c>
      <c r="J23" s="56">
        <v>0.86</v>
      </c>
      <c r="K23" s="56">
        <v>314.33</v>
      </c>
      <c r="L23" s="56">
        <v>38.799999999999997</v>
      </c>
      <c r="M23" s="56">
        <v>20.93</v>
      </c>
      <c r="N23" s="56">
        <v>706</v>
      </c>
      <c r="O23" s="56">
        <v>0</v>
      </c>
      <c r="P23" s="56">
        <v>0.59</v>
      </c>
      <c r="Q23" s="56">
        <v>9.1300000000000008</v>
      </c>
      <c r="R23" s="43"/>
      <c r="S23" s="43"/>
      <c r="T23" s="43"/>
      <c r="U23" s="43"/>
    </row>
    <row r="24" spans="1:21" s="11" customFormat="1" ht="15">
      <c r="A24" s="55" t="s">
        <v>677</v>
      </c>
      <c r="B24" s="56">
        <v>1.07</v>
      </c>
      <c r="C24" s="56">
        <v>28.82</v>
      </c>
      <c r="D24" s="56">
        <v>15.57</v>
      </c>
      <c r="E24" s="56">
        <v>2.0299999999999998</v>
      </c>
      <c r="F24" s="56">
        <v>13.26</v>
      </c>
      <c r="G24" s="56">
        <v>35.54</v>
      </c>
      <c r="H24" s="56">
        <v>27.56</v>
      </c>
      <c r="I24" s="56">
        <v>4.38</v>
      </c>
      <c r="J24" s="56">
        <v>0.84</v>
      </c>
      <c r="K24" s="56">
        <v>319.08999999999997</v>
      </c>
      <c r="L24" s="56">
        <v>38.25</v>
      </c>
      <c r="M24" s="56">
        <v>19.22</v>
      </c>
      <c r="N24" s="56">
        <v>316.39999999999998</v>
      </c>
      <c r="O24" s="56">
        <v>0</v>
      </c>
      <c r="P24" s="56">
        <v>0.45</v>
      </c>
      <c r="Q24" s="56">
        <v>9.1300000000000008</v>
      </c>
      <c r="R24" s="43"/>
      <c r="S24" s="43"/>
      <c r="T24" s="43"/>
      <c r="U24" s="43"/>
    </row>
    <row r="25" spans="1:21" s="11" customFormat="1" ht="15">
      <c r="A25" s="55" t="s">
        <v>678</v>
      </c>
      <c r="B25" s="56">
        <v>1.37</v>
      </c>
      <c r="C25" s="56">
        <v>29.90</v>
      </c>
      <c r="D25" s="56">
        <v>16.64</v>
      </c>
      <c r="E25" s="56">
        <v>2.09</v>
      </c>
      <c r="F25" s="56">
        <v>9.68</v>
      </c>
      <c r="G25" s="56">
        <v>46.10</v>
      </c>
      <c r="H25" s="56">
        <v>24.23</v>
      </c>
      <c r="I25" s="56">
        <v>3.43</v>
      </c>
      <c r="J25" s="56">
        <v>0.70</v>
      </c>
      <c r="K25" s="56">
        <v>337.17</v>
      </c>
      <c r="L25" s="56">
        <v>36.200000000000003</v>
      </c>
      <c r="M25" s="56">
        <v>20.260000000000002</v>
      </c>
      <c r="N25" s="56">
        <v>167</v>
      </c>
      <c r="O25" s="56">
        <v>0</v>
      </c>
      <c r="P25" s="56">
        <v>0.35</v>
      </c>
      <c r="Q25" s="56">
        <v>9.14</v>
      </c>
      <c r="R25" s="43"/>
      <c r="S25" s="43"/>
      <c r="T25" s="43"/>
      <c r="U25" s="43"/>
    </row>
    <row r="26" spans="1:21" s="11" customFormat="1" ht="15">
      <c r="A26" s="55" t="s">
        <v>679</v>
      </c>
      <c r="B26" s="56">
        <v>1.48</v>
      </c>
      <c r="C26" s="56">
        <v>35.28</v>
      </c>
      <c r="D26" s="56">
        <v>19.32</v>
      </c>
      <c r="E26" s="56">
        <v>1.78</v>
      </c>
      <c r="F26" s="56">
        <v>8.92</v>
      </c>
      <c r="G26" s="56">
        <v>39.75</v>
      </c>
      <c r="H26" s="56">
        <v>21.10</v>
      </c>
      <c r="I26" s="56">
        <v>2.5499999999999998</v>
      </c>
      <c r="J26" s="56">
        <v>0.34</v>
      </c>
      <c r="K26" s="56">
        <v>354.41</v>
      </c>
      <c r="L26" s="56">
        <v>34.99</v>
      </c>
      <c r="M26" s="56">
        <v>22.74</v>
      </c>
      <c r="N26" s="56">
        <v>104.60</v>
      </c>
      <c r="O26" s="56">
        <v>0</v>
      </c>
      <c r="P26" s="56">
        <v>0.39</v>
      </c>
      <c r="Q26" s="56">
        <v>9.15</v>
      </c>
      <c r="R26" s="43"/>
      <c r="S26" s="43"/>
      <c r="T26" s="43"/>
      <c r="U26" s="43"/>
    </row>
    <row r="27" spans="1:21" s="11" customFormat="1" ht="15">
      <c r="A27" s="55" t="s">
        <v>680</v>
      </c>
      <c r="B27" s="56">
        <v>2.4300000000000002</v>
      </c>
      <c r="C27" s="56">
        <v>35.25</v>
      </c>
      <c r="D27" s="56">
        <v>19.57</v>
      </c>
      <c r="E27" s="56">
        <v>1.66</v>
      </c>
      <c r="F27" s="56">
        <v>4.59</v>
      </c>
      <c r="G27" s="56">
        <v>42.42</v>
      </c>
      <c r="H27" s="56">
        <v>35.799999999999997</v>
      </c>
      <c r="I27" s="56">
        <v>3.82</v>
      </c>
      <c r="J27" s="56">
        <v>0.32</v>
      </c>
      <c r="K27" s="56">
        <v>356.88</v>
      </c>
      <c r="L27" s="56">
        <v>33.44</v>
      </c>
      <c r="M27" s="56">
        <v>24.64</v>
      </c>
      <c r="N27" s="56">
        <v>29.30</v>
      </c>
      <c r="O27" s="56">
        <v>0</v>
      </c>
      <c r="P27" s="56">
        <v>0.47</v>
      </c>
      <c r="Q27" s="56">
        <v>9.1300000000000008</v>
      </c>
      <c r="R27" s="43"/>
      <c r="S27" s="43"/>
      <c r="T27" s="43"/>
      <c r="U27" s="43"/>
    </row>
    <row r="28" spans="1:21" s="11" customFormat="1" ht="15">
      <c r="A28" s="55" t="s">
        <v>681</v>
      </c>
      <c r="B28" s="56">
        <v>3.34</v>
      </c>
      <c r="C28" s="56">
        <v>33.64</v>
      </c>
      <c r="D28" s="56">
        <v>20.170000000000002</v>
      </c>
      <c r="E28" s="56">
        <v>1.58</v>
      </c>
      <c r="F28" s="56">
        <v>4.54</v>
      </c>
      <c r="G28" s="56">
        <v>42.41</v>
      </c>
      <c r="H28" s="56">
        <v>31.59</v>
      </c>
      <c r="I28" s="56">
        <v>4.3499999999999996</v>
      </c>
      <c r="J28" s="56">
        <v>1.18</v>
      </c>
      <c r="K28" s="56">
        <v>314.74</v>
      </c>
      <c r="L28" s="56">
        <v>31.77</v>
      </c>
      <c r="M28" s="56">
        <v>29.58</v>
      </c>
      <c r="N28" s="56">
        <v>23.80</v>
      </c>
      <c r="O28" s="56">
        <v>0</v>
      </c>
      <c r="P28" s="56">
        <v>0.57999999999999996</v>
      </c>
      <c r="Q28" s="56">
        <v>9.15</v>
      </c>
      <c r="R28" s="43"/>
      <c r="S28" s="43"/>
      <c r="T28" s="43"/>
      <c r="U28" s="43"/>
    </row>
    <row r="29" spans="1:21" s="11" customFormat="1" ht="15">
      <c r="A29" s="55" t="s">
        <v>682</v>
      </c>
      <c r="B29" s="56">
        <v>3.10</v>
      </c>
      <c r="C29" s="56">
        <v>33.270000000000003</v>
      </c>
      <c r="D29" s="56">
        <v>19.79</v>
      </c>
      <c r="E29" s="56">
        <v>1.72</v>
      </c>
      <c r="F29" s="56">
        <v>4.62</v>
      </c>
      <c r="G29" s="56">
        <v>45.84</v>
      </c>
      <c r="H29" s="56">
        <v>24.77</v>
      </c>
      <c r="I29" s="56">
        <v>4.17</v>
      </c>
      <c r="J29" s="56">
        <v>1.24</v>
      </c>
      <c r="K29" s="56">
        <v>323.77999999999997</v>
      </c>
      <c r="L29" s="56">
        <v>30.70</v>
      </c>
      <c r="M29" s="56">
        <v>33.54</v>
      </c>
      <c r="N29" s="56">
        <v>23.60</v>
      </c>
      <c r="O29" s="56">
        <v>0</v>
      </c>
      <c r="P29" s="56">
        <v>0.60</v>
      </c>
      <c r="Q29" s="56">
        <v>9.16</v>
      </c>
      <c r="R29" s="43"/>
      <c r="S29" s="43"/>
      <c r="T29" s="43"/>
      <c r="U29" s="43"/>
    </row>
    <row r="30" spans="1:21" s="11" customFormat="1" ht="15">
      <c r="A30" s="55" t="s">
        <v>683</v>
      </c>
      <c r="B30" s="56">
        <v>3.68</v>
      </c>
      <c r="C30" s="56">
        <v>35.47</v>
      </c>
      <c r="D30" s="56">
        <v>20.89</v>
      </c>
      <c r="E30" s="56">
        <v>1.57</v>
      </c>
      <c r="F30" s="56">
        <v>4.5</v>
      </c>
      <c r="G30" s="56">
        <v>43.91</v>
      </c>
      <c r="H30" s="56">
        <v>22.31</v>
      </c>
      <c r="I30" s="56">
        <v>4.08</v>
      </c>
      <c r="J30" s="56">
        <v>0.83</v>
      </c>
      <c r="K30" s="56">
        <v>329.66</v>
      </c>
      <c r="L30" s="56">
        <v>29.78</v>
      </c>
      <c r="M30" s="56">
        <v>36.72</v>
      </c>
      <c r="N30" s="56">
        <v>23.70</v>
      </c>
      <c r="O30" s="56">
        <v>0</v>
      </c>
      <c r="P30" s="56">
        <v>0.63</v>
      </c>
      <c r="Q30" s="56">
        <v>9.17</v>
      </c>
      <c r="R30" s="43"/>
      <c r="S30" s="43"/>
      <c r="T30" s="43"/>
      <c r="U30" s="43"/>
    </row>
    <row r="31" spans="1:21" s="11" customFormat="1" ht="15">
      <c r="A31" s="55" t="s">
        <v>684</v>
      </c>
      <c r="B31" s="56">
        <v>3.89</v>
      </c>
      <c r="C31" s="56">
        <v>32.85</v>
      </c>
      <c r="D31" s="56">
        <v>20.100000000000001</v>
      </c>
      <c r="E31" s="56">
        <v>1.63</v>
      </c>
      <c r="F31" s="56">
        <v>4.95</v>
      </c>
      <c r="G31" s="56">
        <v>40.21</v>
      </c>
      <c r="H31" s="56">
        <v>29.46</v>
      </c>
      <c r="I31" s="56">
        <v>4.75</v>
      </c>
      <c r="J31" s="56">
        <v>2.58</v>
      </c>
      <c r="K31" s="56">
        <v>355.74</v>
      </c>
      <c r="L31" s="56">
        <v>28.91</v>
      </c>
      <c r="M31" s="56">
        <v>35.5</v>
      </c>
      <c r="N31" s="56">
        <v>23.60</v>
      </c>
      <c r="O31" s="56">
        <v>0</v>
      </c>
      <c r="P31" s="56">
        <v>0.62</v>
      </c>
      <c r="Q31" s="56">
        <v>9.18</v>
      </c>
      <c r="R31" s="43"/>
      <c r="S31" s="43"/>
      <c r="T31" s="43"/>
      <c r="U31" s="43"/>
    </row>
    <row r="32" spans="1:21" s="11" customFormat="1" ht="15">
      <c r="A32" s="55" t="s">
        <v>685</v>
      </c>
      <c r="B32" s="56">
        <v>4.08</v>
      </c>
      <c r="C32" s="56">
        <v>36.57</v>
      </c>
      <c r="D32" s="56">
        <v>22.30</v>
      </c>
      <c r="E32" s="56">
        <v>1.74</v>
      </c>
      <c r="F32" s="56">
        <v>4.46</v>
      </c>
      <c r="G32" s="56">
        <v>41.95</v>
      </c>
      <c r="H32" s="56">
        <v>29.34</v>
      </c>
      <c r="I32" s="56">
        <v>4.5</v>
      </c>
      <c r="J32" s="56">
        <v>1.72</v>
      </c>
      <c r="K32" s="56">
        <v>356.96</v>
      </c>
      <c r="L32" s="56">
        <v>28.75</v>
      </c>
      <c r="M32" s="56">
        <v>35.94</v>
      </c>
      <c r="N32" s="56">
        <v>24.20</v>
      </c>
      <c r="O32" s="56">
        <v>0</v>
      </c>
      <c r="P32" s="56">
        <v>0.55000000000000004</v>
      </c>
      <c r="Q32" s="56">
        <v>9.1999999999999993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1.0700000000000001</v>
      </c>
      <c r="C34" s="28">
        <f t="shared" si="0"/>
        <v>24.57</v>
      </c>
      <c r="D34" s="28">
        <f t="shared" si="0"/>
        <v>15.57</v>
      </c>
      <c r="E34" s="28">
        <f t="shared" si="0"/>
        <v>0.94999999999999996</v>
      </c>
      <c r="F34" s="28">
        <f t="shared" si="0"/>
        <v>3.4100000000000001</v>
      </c>
      <c r="G34" s="28">
        <f t="shared" si="0"/>
        <v>35.539999999999999</v>
      </c>
      <c r="H34" s="28">
        <f t="shared" si="0"/>
        <v>13.91</v>
      </c>
      <c r="I34" s="28">
        <f t="shared" si="0"/>
        <v>2.5499999999999998</v>
      </c>
      <c r="J34" s="28">
        <f t="shared" si="0"/>
        <v>0.14000000000000001</v>
      </c>
      <c r="K34" s="28">
        <f t="shared" si="0"/>
        <v>162.80000000000001</v>
      </c>
      <c r="L34" s="28">
        <f t="shared" si="0"/>
        <v>23.670000000000002</v>
      </c>
      <c r="M34" s="28">
        <f t="shared" si="0"/>
        <v>19.219999999999999</v>
      </c>
      <c r="N34" s="28">
        <f t="shared" si="0"/>
        <v>17.600000000000001</v>
      </c>
      <c r="O34" s="28">
        <f t="shared" si="0"/>
        <v>0</v>
      </c>
      <c r="P34" s="28">
        <f t="shared" si="0"/>
        <v>0.34999999999999998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36.109999999999999</v>
      </c>
      <c r="C35" s="29">
        <f t="shared" si="1"/>
        <v>36.649999999999999</v>
      </c>
      <c r="D35" s="29">
        <f t="shared" si="1"/>
        <v>45.950000000000003</v>
      </c>
      <c r="E35" s="29">
        <f t="shared" si="1"/>
        <v>5.2599999999999998</v>
      </c>
      <c r="F35" s="29">
        <f t="shared" si="1"/>
        <v>62.960000000000001</v>
      </c>
      <c r="G35" s="29">
        <f t="shared" si="1"/>
        <v>75.879999999999995</v>
      </c>
      <c r="H35" s="29">
        <f t="shared" si="1"/>
        <v>35.799999999999997</v>
      </c>
      <c r="I35" s="29">
        <f t="shared" si="1"/>
        <v>8.9700000000000006</v>
      </c>
      <c r="J35" s="29">
        <f t="shared" si="1"/>
        <v>2.5800000000000001</v>
      </c>
      <c r="K35" s="29">
        <f t="shared" si="1"/>
        <v>357.11000000000001</v>
      </c>
      <c r="L35" s="29">
        <f t="shared" si="1"/>
        <v>39.469999999999999</v>
      </c>
      <c r="M35" s="29">
        <f t="shared" si="1"/>
        <v>66.150000000000006</v>
      </c>
      <c r="N35" s="29">
        <f t="shared" si="1"/>
        <v>913.89999999999998</v>
      </c>
      <c r="O35" s="29">
        <f t="shared" si="1"/>
        <v>0</v>
      </c>
      <c r="P35" s="29">
        <f t="shared" si="1"/>
        <v>1.1399999999999999</v>
      </c>
      <c r="Q35" s="29">
        <f t="shared" si="1"/>
        <v>9.5099999999999998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9.2075000000000014</v>
      </c>
      <c r="C36" s="28">
        <f t="shared" si="2"/>
        <v>30.853750000000002</v>
      </c>
      <c r="D36" s="28">
        <f t="shared" si="2"/>
        <v>23.059166666666659</v>
      </c>
      <c r="E36" s="28">
        <f t="shared" si="2"/>
        <v>2.0020833333333337</v>
      </c>
      <c r="F36" s="28">
        <f t="shared" si="2"/>
        <v>9.9745833333333334</v>
      </c>
      <c r="G36" s="28">
        <f t="shared" si="2"/>
        <v>49.405416666666667</v>
      </c>
      <c r="H36" s="28">
        <f t="shared" si="2"/>
        <v>22.616250000000004</v>
      </c>
      <c r="I36" s="28">
        <f t="shared" si="2"/>
        <v>6.2212500000000004</v>
      </c>
      <c r="J36" s="28">
        <f t="shared" si="2"/>
        <v>0.71958333333333335</v>
      </c>
      <c r="K36" s="28">
        <f t="shared" si="2"/>
        <v>305.43708333333331</v>
      </c>
      <c r="L36" s="28">
        <f t="shared" si="2"/>
        <v>31.433333333333334</v>
      </c>
      <c r="M36" s="28">
        <f t="shared" si="2"/>
        <v>39.213750000000005</v>
      </c>
      <c r="N36" s="28">
        <f t="shared" si="2"/>
        <v>301.37916666666672</v>
      </c>
      <c r="O36" s="28">
        <f t="shared" si="2"/>
        <v>0</v>
      </c>
      <c r="P36" s="28">
        <f t="shared" si="2"/>
        <v>0.61916666666666675</v>
      </c>
      <c r="Q36" s="28">
        <f t="shared" si="2"/>
        <v>9.2283333333333317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9.9697848958523316</v>
      </c>
      <c r="C37" s="28">
        <f t="shared" si="3" ref="C37:Q37">STDEV(C9:C32)</f>
        <v>3.9250486704265919</v>
      </c>
      <c r="D37" s="28">
        <f t="shared" si="3"/>
        <v>7.8739233448503994</v>
      </c>
      <c r="E37" s="28">
        <f t="shared" si="3"/>
        <v>0.78343712695024637</v>
      </c>
      <c r="F37" s="28">
        <f t="shared" si="3"/>
        <v>13.459361694008557</v>
      </c>
      <c r="G37" s="28">
        <f t="shared" si="3"/>
        <v>8.8961940954577727</v>
      </c>
      <c r="H37" s="28">
        <f t="shared" si="3"/>
        <v>5.3880655659965875</v>
      </c>
      <c r="I37" s="28">
        <f t="shared" si="3"/>
        <v>2.0364895467232444</v>
      </c>
      <c r="J37" s="28">
        <f t="shared" si="3"/>
        <v>0.56811265850500392</v>
      </c>
      <c r="K37" s="28">
        <f t="shared" si="3"/>
        <v>56.283822023366461</v>
      </c>
      <c r="L37" s="28">
        <f t="shared" si="3"/>
        <v>5.1354273914401549</v>
      </c>
      <c r="M37" s="28">
        <f t="shared" si="3"/>
        <v>15.958417926517361</v>
      </c>
      <c r="N37" s="28">
        <f t="shared" si="3"/>
        <v>354.80165307585918</v>
      </c>
      <c r="O37" s="28">
        <f t="shared" si="3"/>
        <v>0</v>
      </c>
      <c r="P37" s="28">
        <f t="shared" si="3"/>
        <v>0.17277571957703478</v>
      </c>
      <c r="Q37" s="28">
        <f t="shared" si="3"/>
        <v>0.11472714953590357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7e5698-2430-4b70-8528-ef087a564a1b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5" t="s">
        <v>686</v>
      </c>
      <c r="B9" s="56">
        <v>4.13</v>
      </c>
      <c r="C9" s="56">
        <v>36.119999999999997</v>
      </c>
      <c r="D9" s="56">
        <v>22.10</v>
      </c>
      <c r="E9" s="56">
        <v>2.1800000000000002</v>
      </c>
      <c r="F9" s="56">
        <v>4.4000000000000004</v>
      </c>
      <c r="G9" s="56">
        <v>45.66</v>
      </c>
      <c r="H9" s="56">
        <v>27.14</v>
      </c>
      <c r="I9" s="56">
        <v>4.59</v>
      </c>
      <c r="J9" s="56">
        <v>1.45</v>
      </c>
      <c r="K9" s="56">
        <v>357.44</v>
      </c>
      <c r="L9" s="56">
        <v>28.34</v>
      </c>
      <c r="M9" s="56">
        <v>40.49</v>
      </c>
      <c r="N9" s="56">
        <v>24.60</v>
      </c>
      <c r="O9" s="56">
        <v>0</v>
      </c>
      <c r="P9" s="56">
        <v>0.54</v>
      </c>
      <c r="Q9" s="56">
        <v>9.18</v>
      </c>
      <c r="R9" s="43"/>
      <c r="S9" s="43"/>
      <c r="T9" s="43"/>
      <c r="U9" s="43"/>
    </row>
    <row r="10" spans="1:21" s="11" customFormat="1" ht="15">
      <c r="A10" s="55" t="s">
        <v>687</v>
      </c>
      <c r="B10" s="56">
        <v>3.36</v>
      </c>
      <c r="C10" s="56">
        <v>31.90</v>
      </c>
      <c r="D10" s="56">
        <v>19.28</v>
      </c>
      <c r="E10" s="56">
        <v>1.94</v>
      </c>
      <c r="F10" s="56">
        <v>4.01</v>
      </c>
      <c r="G10" s="56">
        <v>45.94</v>
      </c>
      <c r="H10" s="56">
        <v>22.67</v>
      </c>
      <c r="I10" s="56">
        <v>4.54</v>
      </c>
      <c r="J10" s="56">
        <v>1</v>
      </c>
      <c r="K10" s="56">
        <v>359.45</v>
      </c>
      <c r="L10" s="56">
        <v>27.13</v>
      </c>
      <c r="M10" s="56">
        <v>39.68</v>
      </c>
      <c r="N10" s="56">
        <v>24</v>
      </c>
      <c r="O10" s="56">
        <v>0</v>
      </c>
      <c r="P10" s="56">
        <v>0.46</v>
      </c>
      <c r="Q10" s="56">
        <v>9.18</v>
      </c>
      <c r="R10" s="43"/>
      <c r="S10" s="43"/>
      <c r="T10" s="43"/>
      <c r="U10" s="43"/>
    </row>
    <row r="11" spans="1:21" s="11" customFormat="1" ht="15">
      <c r="A11" s="55" t="s">
        <v>688</v>
      </c>
      <c r="B11" s="56">
        <v>3.96</v>
      </c>
      <c r="C11" s="56">
        <v>31.70</v>
      </c>
      <c r="D11" s="56">
        <v>19.57</v>
      </c>
      <c r="E11" s="56">
        <v>1.74</v>
      </c>
      <c r="F11" s="56">
        <v>4.3899999999999997</v>
      </c>
      <c r="G11" s="56">
        <v>48.73</v>
      </c>
      <c r="H11" s="56">
        <v>22.54</v>
      </c>
      <c r="I11" s="56">
        <v>5.13</v>
      </c>
      <c r="J11" s="56">
        <v>1.0900000000000001</v>
      </c>
      <c r="K11" s="56">
        <v>357.31</v>
      </c>
      <c r="L11" s="56">
        <v>26.85</v>
      </c>
      <c r="M11" s="56">
        <v>43.06</v>
      </c>
      <c r="N11" s="56">
        <v>24</v>
      </c>
      <c r="O11" s="56">
        <v>0</v>
      </c>
      <c r="P11" s="56">
        <v>0.44</v>
      </c>
      <c r="Q11" s="56">
        <v>9.16</v>
      </c>
      <c r="R11" s="43"/>
      <c r="S11" s="43"/>
      <c r="T11" s="43"/>
      <c r="U11" s="43"/>
    </row>
    <row r="12" spans="1:21" s="11" customFormat="1" ht="15">
      <c r="A12" s="55" t="s">
        <v>689</v>
      </c>
      <c r="B12" s="56">
        <v>5.29</v>
      </c>
      <c r="C12" s="56">
        <v>31</v>
      </c>
      <c r="D12" s="56">
        <v>19.96</v>
      </c>
      <c r="E12" s="56">
        <v>2.0099999999999998</v>
      </c>
      <c r="F12" s="56">
        <v>3.93</v>
      </c>
      <c r="G12" s="56">
        <v>52.5</v>
      </c>
      <c r="H12" s="56">
        <v>22.23</v>
      </c>
      <c r="I12" s="56">
        <v>5.59</v>
      </c>
      <c r="J12" s="56">
        <v>0.69</v>
      </c>
      <c r="K12" s="56">
        <v>207.21</v>
      </c>
      <c r="L12" s="56">
        <v>26.01</v>
      </c>
      <c r="M12" s="56">
        <v>52.77</v>
      </c>
      <c r="N12" s="56">
        <v>24.40</v>
      </c>
      <c r="O12" s="56">
        <v>0</v>
      </c>
      <c r="P12" s="56">
        <v>0.43</v>
      </c>
      <c r="Q12" s="56">
        <v>9.1999999999999993</v>
      </c>
      <c r="R12" s="43"/>
      <c r="S12" s="43"/>
      <c r="T12" s="43"/>
      <c r="U12" s="43"/>
    </row>
    <row r="13" spans="1:21" s="11" customFormat="1" ht="15">
      <c r="A13" s="55" t="s">
        <v>690</v>
      </c>
      <c r="B13" s="56">
        <v>4.80</v>
      </c>
      <c r="C13" s="56">
        <v>35.96</v>
      </c>
      <c r="D13" s="56">
        <v>22.09</v>
      </c>
      <c r="E13" s="56">
        <v>2.0699999999999998</v>
      </c>
      <c r="F13" s="56">
        <v>5.25</v>
      </c>
      <c r="G13" s="56">
        <v>52.03</v>
      </c>
      <c r="H13" s="56">
        <v>21.58</v>
      </c>
      <c r="I13" s="56">
        <v>5.72</v>
      </c>
      <c r="J13" s="56">
        <v>0.76</v>
      </c>
      <c r="K13" s="56">
        <v>327.33999999999997</v>
      </c>
      <c r="L13" s="56">
        <v>24.82</v>
      </c>
      <c r="M13" s="56">
        <v>51.11</v>
      </c>
      <c r="N13" s="56">
        <v>23.60</v>
      </c>
      <c r="O13" s="56">
        <v>0</v>
      </c>
      <c r="P13" s="56">
        <v>0.40</v>
      </c>
      <c r="Q13" s="56">
        <v>9.19</v>
      </c>
      <c r="R13" s="43"/>
      <c r="S13" s="43"/>
      <c r="T13" s="43"/>
      <c r="U13" s="43"/>
    </row>
    <row r="14" spans="1:21" s="11" customFormat="1" ht="15">
      <c r="A14" s="55" t="s">
        <v>691</v>
      </c>
      <c r="B14" s="56">
        <v>3.78</v>
      </c>
      <c r="C14" s="56">
        <v>28.70</v>
      </c>
      <c r="D14" s="56">
        <v>17.940000000000001</v>
      </c>
      <c r="E14" s="56">
        <v>1.64</v>
      </c>
      <c r="F14" s="56">
        <v>3.76</v>
      </c>
      <c r="G14" s="56">
        <v>49.26</v>
      </c>
      <c r="H14" s="56">
        <v>20.64</v>
      </c>
      <c r="I14" s="56">
        <v>4.87</v>
      </c>
      <c r="J14" s="56">
        <v>0.62</v>
      </c>
      <c r="K14" s="56">
        <v>317.86</v>
      </c>
      <c r="L14" s="56">
        <v>25.27</v>
      </c>
      <c r="M14" s="56">
        <v>48.34</v>
      </c>
      <c r="N14" s="56">
        <v>53.20</v>
      </c>
      <c r="O14" s="56">
        <v>0</v>
      </c>
      <c r="P14" s="56">
        <v>0.38</v>
      </c>
      <c r="Q14" s="56">
        <v>9.16</v>
      </c>
      <c r="R14" s="43"/>
      <c r="S14" s="43"/>
      <c r="T14" s="43"/>
      <c r="U14" s="43"/>
    </row>
    <row r="15" spans="1:21" s="11" customFormat="1" ht="15">
      <c r="A15" s="55" t="s">
        <v>692</v>
      </c>
      <c r="B15" s="56">
        <v>5.39</v>
      </c>
      <c r="C15" s="56">
        <v>28.82</v>
      </c>
      <c r="D15" s="56">
        <v>19.30</v>
      </c>
      <c r="E15" s="56">
        <v>1.70</v>
      </c>
      <c r="F15" s="56">
        <v>3.76</v>
      </c>
      <c r="G15" s="56">
        <v>42.95</v>
      </c>
      <c r="H15" s="56">
        <v>18.489999999999998</v>
      </c>
      <c r="I15" s="56">
        <v>4.9400000000000004</v>
      </c>
      <c r="J15" s="56">
        <v>0.60</v>
      </c>
      <c r="K15" s="56">
        <v>330.88</v>
      </c>
      <c r="L15" s="56">
        <v>27.04</v>
      </c>
      <c r="M15" s="56">
        <v>48.10</v>
      </c>
      <c r="N15" s="56">
        <v>128.10</v>
      </c>
      <c r="O15" s="56">
        <v>0</v>
      </c>
      <c r="P15" s="56">
        <v>0.37</v>
      </c>
      <c r="Q15" s="56">
        <v>9.2100000000000009</v>
      </c>
      <c r="R15" s="43"/>
      <c r="S15" s="43"/>
      <c r="T15" s="43"/>
      <c r="U15" s="43"/>
    </row>
    <row r="16" spans="1:21" s="11" customFormat="1" ht="15">
      <c r="A16" s="55" t="s">
        <v>693</v>
      </c>
      <c r="B16" s="56">
        <v>7.22</v>
      </c>
      <c r="C16" s="56">
        <v>29.25</v>
      </c>
      <c r="D16" s="56">
        <v>20.90</v>
      </c>
      <c r="E16" s="56">
        <v>1.95</v>
      </c>
      <c r="F16" s="56">
        <v>3.63</v>
      </c>
      <c r="G16" s="56">
        <v>39.22</v>
      </c>
      <c r="H16" s="56">
        <v>16.46</v>
      </c>
      <c r="I16" s="56">
        <v>5.77</v>
      </c>
      <c r="J16" s="56">
        <v>0.18</v>
      </c>
      <c r="K16" s="56">
        <v>333.79</v>
      </c>
      <c r="L16" s="56">
        <v>26.92</v>
      </c>
      <c r="M16" s="56">
        <v>49.78</v>
      </c>
      <c r="N16" s="56">
        <v>205.5</v>
      </c>
      <c r="O16" s="56">
        <v>0</v>
      </c>
      <c r="P16" s="56">
        <v>0.45</v>
      </c>
      <c r="Q16" s="56">
        <v>9.2100000000000009</v>
      </c>
      <c r="R16" s="43"/>
      <c r="S16" s="43"/>
      <c r="T16" s="43"/>
      <c r="U16" s="43"/>
    </row>
    <row r="17" spans="1:21" s="11" customFormat="1" ht="15">
      <c r="A17" s="55" t="s">
        <v>694</v>
      </c>
      <c r="B17" s="56">
        <v>7.29</v>
      </c>
      <c r="C17" s="56">
        <v>28.36</v>
      </c>
      <c r="D17" s="56">
        <v>20.53</v>
      </c>
      <c r="E17" s="56">
        <v>1.1599999999999999</v>
      </c>
      <c r="F17" s="56">
        <v>3.66</v>
      </c>
      <c r="G17" s="56">
        <v>39.01</v>
      </c>
      <c r="H17" s="56">
        <v>14.63</v>
      </c>
      <c r="I17" s="56">
        <v>7.59</v>
      </c>
      <c r="J17" s="56">
        <v>0.64</v>
      </c>
      <c r="K17" s="56">
        <v>316.83999999999997</v>
      </c>
      <c r="L17" s="56">
        <v>27.71</v>
      </c>
      <c r="M17" s="56">
        <v>51</v>
      </c>
      <c r="N17" s="56">
        <v>243.80</v>
      </c>
      <c r="O17" s="56">
        <v>0</v>
      </c>
      <c r="P17" s="56">
        <v>0.46</v>
      </c>
      <c r="Q17" s="56">
        <v>9.18</v>
      </c>
      <c r="R17" s="43"/>
      <c r="S17" s="43"/>
      <c r="T17" s="43"/>
      <c r="U17" s="43"/>
    </row>
    <row r="18" spans="1:21" s="11" customFormat="1" ht="15">
      <c r="A18" s="55" t="s">
        <v>695</v>
      </c>
      <c r="B18" s="56">
        <v>6.5</v>
      </c>
      <c r="C18" s="56">
        <v>28.44</v>
      </c>
      <c r="D18" s="56">
        <v>19.70</v>
      </c>
      <c r="E18" s="56">
        <v>1.41</v>
      </c>
      <c r="F18" s="56">
        <v>3.98</v>
      </c>
      <c r="G18" s="56">
        <v>44.18</v>
      </c>
      <c r="H18" s="56">
        <v>14.33</v>
      </c>
      <c r="I18" s="56">
        <v>7.45</v>
      </c>
      <c r="J18" s="56">
        <v>0.94</v>
      </c>
      <c r="K18" s="56">
        <v>318</v>
      </c>
      <c r="L18" s="56">
        <v>27.04</v>
      </c>
      <c r="M18" s="56">
        <v>56.32</v>
      </c>
      <c r="N18" s="56">
        <v>305.5</v>
      </c>
      <c r="O18" s="56">
        <v>0</v>
      </c>
      <c r="P18" s="56">
        <v>0.49</v>
      </c>
      <c r="Q18" s="56">
        <v>9.19</v>
      </c>
      <c r="R18" s="43"/>
      <c r="S18" s="43"/>
      <c r="T18" s="43"/>
      <c r="U18" s="43"/>
    </row>
    <row r="19" spans="1:21" s="11" customFormat="1" ht="15">
      <c r="A19" s="55" t="s">
        <v>696</v>
      </c>
      <c r="B19" s="56">
        <v>5.16</v>
      </c>
      <c r="C19" s="56">
        <v>27.90</v>
      </c>
      <c r="D19" s="56">
        <v>18.63</v>
      </c>
      <c r="E19" s="56">
        <v>1.06</v>
      </c>
      <c r="F19" s="56">
        <v>4.75</v>
      </c>
      <c r="G19" s="56">
        <v>44</v>
      </c>
      <c r="H19" s="56">
        <v>16.09</v>
      </c>
      <c r="I19" s="56">
        <v>7</v>
      </c>
      <c r="J19" s="56">
        <v>1.1000000000000001</v>
      </c>
      <c r="K19" s="56">
        <v>191.89</v>
      </c>
      <c r="L19" s="56">
        <v>33.090000000000003</v>
      </c>
      <c r="M19" s="56">
        <v>50.95</v>
      </c>
      <c r="N19" s="56">
        <v>971</v>
      </c>
      <c r="O19" s="56">
        <v>0</v>
      </c>
      <c r="P19" s="56">
        <v>0.5</v>
      </c>
      <c r="Q19" s="56">
        <v>9.18</v>
      </c>
      <c r="R19" s="43"/>
      <c r="S19" s="43"/>
      <c r="T19" s="43"/>
      <c r="U19" s="43"/>
    </row>
    <row r="20" spans="1:21" s="11" customFormat="1" ht="15">
      <c r="A20" s="55" t="s">
        <v>697</v>
      </c>
      <c r="B20" s="56">
        <v>2.52</v>
      </c>
      <c r="C20" s="56">
        <v>28.09</v>
      </c>
      <c r="D20" s="56">
        <v>16.46</v>
      </c>
      <c r="E20" s="56">
        <v>1.78</v>
      </c>
      <c r="F20" s="56">
        <v>5.28</v>
      </c>
      <c r="G20" s="56">
        <v>43.44</v>
      </c>
      <c r="H20" s="56">
        <v>14.18</v>
      </c>
      <c r="I20" s="56">
        <v>7.19</v>
      </c>
      <c r="J20" s="56">
        <v>0.92</v>
      </c>
      <c r="K20" s="56">
        <v>174.24</v>
      </c>
      <c r="L20" s="56">
        <v>33.950000000000003</v>
      </c>
      <c r="M20" s="56">
        <v>29.78</v>
      </c>
      <c r="N20" s="56">
        <v>896.5</v>
      </c>
      <c r="O20" s="56">
        <v>0</v>
      </c>
      <c r="P20" s="56">
        <v>0.49</v>
      </c>
      <c r="Q20" s="56">
        <v>9.1199999999999992</v>
      </c>
      <c r="R20" s="43"/>
      <c r="S20" s="43"/>
      <c r="T20" s="43"/>
      <c r="U20" s="43"/>
    </row>
    <row r="21" spans="1:21" s="11" customFormat="1" ht="15">
      <c r="A21" s="55" t="s">
        <v>698</v>
      </c>
      <c r="B21" s="56">
        <v>1.77</v>
      </c>
      <c r="C21" s="56">
        <v>27.66</v>
      </c>
      <c r="D21" s="56">
        <v>15.73</v>
      </c>
      <c r="E21" s="56">
        <v>2.39</v>
      </c>
      <c r="F21" s="56">
        <v>5.61</v>
      </c>
      <c r="G21" s="56">
        <v>42.40</v>
      </c>
      <c r="H21" s="56">
        <v>15.16</v>
      </c>
      <c r="I21" s="56">
        <v>7.84</v>
      </c>
      <c r="J21" s="56">
        <v>0.70</v>
      </c>
      <c r="K21" s="56">
        <v>325.47000000000003</v>
      </c>
      <c r="L21" s="56">
        <v>36.020000000000003</v>
      </c>
      <c r="M21" s="56">
        <v>25.91</v>
      </c>
      <c r="N21" s="56">
        <v>1022.60</v>
      </c>
      <c r="O21" s="56">
        <v>0</v>
      </c>
      <c r="P21" s="56">
        <v>0.47</v>
      </c>
      <c r="Q21" s="56">
        <v>9.16</v>
      </c>
      <c r="R21" s="43"/>
      <c r="S21" s="43"/>
      <c r="T21" s="43"/>
      <c r="U21" s="43"/>
    </row>
    <row r="22" spans="1:21" s="11" customFormat="1" ht="15">
      <c r="A22" s="55" t="s">
        <v>699</v>
      </c>
      <c r="B22" s="56">
        <v>1.97</v>
      </c>
      <c r="C22" s="56">
        <v>33.76</v>
      </c>
      <c r="D22" s="56">
        <v>19.07</v>
      </c>
      <c r="E22" s="56">
        <v>2.52</v>
      </c>
      <c r="F22" s="56">
        <v>5.58</v>
      </c>
      <c r="G22" s="56">
        <v>39.74</v>
      </c>
      <c r="H22" s="56">
        <v>13.99</v>
      </c>
      <c r="I22" s="56">
        <v>8.0500000000000007</v>
      </c>
      <c r="J22" s="56">
        <v>0.52</v>
      </c>
      <c r="K22" s="56">
        <v>350.56</v>
      </c>
      <c r="L22" s="56">
        <v>36.39</v>
      </c>
      <c r="M22" s="56">
        <v>22.21</v>
      </c>
      <c r="N22" s="56">
        <v>786.40</v>
      </c>
      <c r="O22" s="56">
        <v>0</v>
      </c>
      <c r="P22" s="56">
        <v>0.46</v>
      </c>
      <c r="Q22" s="56">
        <v>9.18</v>
      </c>
      <c r="R22" s="43"/>
      <c r="S22" s="43"/>
      <c r="T22" s="43"/>
      <c r="U22" s="43"/>
    </row>
    <row r="23" spans="1:21" s="11" customFormat="1" ht="15">
      <c r="A23" s="55" t="s">
        <v>700</v>
      </c>
      <c r="B23" s="56">
        <v>1.77</v>
      </c>
      <c r="C23" s="56">
        <v>33.630000000000003</v>
      </c>
      <c r="D23" s="56">
        <v>18.91</v>
      </c>
      <c r="E23" s="56">
        <v>2.63</v>
      </c>
      <c r="F23" s="56">
        <v>6.48</v>
      </c>
      <c r="G23" s="56">
        <v>35.76</v>
      </c>
      <c r="H23" s="56">
        <v>17.84</v>
      </c>
      <c r="I23" s="56">
        <v>7.45</v>
      </c>
      <c r="J23" s="56">
        <v>1.21</v>
      </c>
      <c r="K23" s="56">
        <v>355.54</v>
      </c>
      <c r="L23" s="56">
        <v>37.119999999999997</v>
      </c>
      <c r="M23" s="56">
        <v>23.40</v>
      </c>
      <c r="N23" s="56">
        <v>632.70000000000005</v>
      </c>
      <c r="O23" s="56">
        <v>0</v>
      </c>
      <c r="P23" s="56">
        <v>0.47</v>
      </c>
      <c r="Q23" s="56">
        <v>9.14</v>
      </c>
      <c r="R23" s="43"/>
      <c r="S23" s="43"/>
      <c r="T23" s="43"/>
      <c r="U23" s="43"/>
    </row>
    <row r="24" spans="1:21" s="11" customFormat="1" ht="15">
      <c r="A24" s="55" t="s">
        <v>701</v>
      </c>
      <c r="B24" s="56">
        <v>1.34</v>
      </c>
      <c r="C24" s="56">
        <v>32.14</v>
      </c>
      <c r="D24" s="56">
        <v>17.739999999999998</v>
      </c>
      <c r="E24" s="56">
        <v>2.56</v>
      </c>
      <c r="F24" s="56">
        <v>6.97</v>
      </c>
      <c r="G24" s="56">
        <v>35.130000000000003</v>
      </c>
      <c r="H24" s="56">
        <v>17.84</v>
      </c>
      <c r="I24" s="56">
        <v>7.40</v>
      </c>
      <c r="J24" s="56">
        <v>0.76</v>
      </c>
      <c r="K24" s="56">
        <v>194.47</v>
      </c>
      <c r="L24" s="56">
        <v>35.69</v>
      </c>
      <c r="M24" s="56">
        <v>22.32</v>
      </c>
      <c r="N24" s="56">
        <v>293.89999999999998</v>
      </c>
      <c r="O24" s="56">
        <v>0</v>
      </c>
      <c r="P24" s="56">
        <v>0.47</v>
      </c>
      <c r="Q24" s="56">
        <v>9.15</v>
      </c>
      <c r="R24" s="43"/>
      <c r="S24" s="43"/>
      <c r="T24" s="43"/>
      <c r="U24" s="43"/>
    </row>
    <row r="25" spans="1:21" s="11" customFormat="1" ht="15">
      <c r="A25" s="55" t="s">
        <v>702</v>
      </c>
      <c r="B25" s="56">
        <v>1.59</v>
      </c>
      <c r="C25" s="56">
        <v>27.89</v>
      </c>
      <c r="D25" s="56">
        <v>15.77</v>
      </c>
      <c r="E25" s="56">
        <v>1.49</v>
      </c>
      <c r="F25" s="56">
        <v>5.73</v>
      </c>
      <c r="G25" s="56">
        <v>35.04</v>
      </c>
      <c r="H25" s="56">
        <v>77.239999999999995</v>
      </c>
      <c r="I25" s="56">
        <v>7.15</v>
      </c>
      <c r="J25" s="56">
        <v>0.36</v>
      </c>
      <c r="K25" s="56">
        <v>359.5</v>
      </c>
      <c r="L25" s="56">
        <v>35.26</v>
      </c>
      <c r="M25" s="56">
        <v>24.78</v>
      </c>
      <c r="N25" s="56">
        <v>157.10</v>
      </c>
      <c r="O25" s="56">
        <v>0</v>
      </c>
      <c r="P25" s="56">
        <v>0.49</v>
      </c>
      <c r="Q25" s="56">
        <v>9.17</v>
      </c>
      <c r="R25" s="43"/>
      <c r="S25" s="43"/>
      <c r="T25" s="43"/>
      <c r="U25" s="43"/>
    </row>
    <row r="26" spans="1:21" s="11" customFormat="1" ht="15">
      <c r="A26" s="55" t="s">
        <v>703</v>
      </c>
      <c r="B26" s="56">
        <v>2.4900000000000002</v>
      </c>
      <c r="C26" s="56">
        <v>37.03</v>
      </c>
      <c r="D26" s="56">
        <v>21.26</v>
      </c>
      <c r="E26" s="56">
        <v>1.45</v>
      </c>
      <c r="F26" s="56">
        <v>5.33</v>
      </c>
      <c r="G26" s="56">
        <v>34.04</v>
      </c>
      <c r="H26" s="56">
        <v>54.95</v>
      </c>
      <c r="I26" s="56">
        <v>6.77</v>
      </c>
      <c r="J26" s="56">
        <v>0.53</v>
      </c>
      <c r="K26" s="56">
        <v>315.45999999999998</v>
      </c>
      <c r="L26" s="56">
        <v>34.53</v>
      </c>
      <c r="M26" s="56">
        <v>32.229999999999997</v>
      </c>
      <c r="N26" s="56">
        <v>84.80</v>
      </c>
      <c r="O26" s="56">
        <v>0</v>
      </c>
      <c r="P26" s="56">
        <v>0.55000000000000004</v>
      </c>
      <c r="Q26" s="56">
        <v>9.16</v>
      </c>
      <c r="R26" s="43"/>
      <c r="S26" s="43"/>
      <c r="T26" s="43"/>
      <c r="U26" s="43"/>
    </row>
    <row r="27" spans="1:21" s="11" customFormat="1" ht="15">
      <c r="A27" s="55" t="s">
        <v>704</v>
      </c>
      <c r="B27" s="56">
        <v>10.52</v>
      </c>
      <c r="C27" s="56">
        <v>45.23</v>
      </c>
      <c r="D27" s="56">
        <v>31.99</v>
      </c>
      <c r="E27" s="56">
        <v>1.56</v>
      </c>
      <c r="F27" s="56">
        <v>4.1500000000000004</v>
      </c>
      <c r="G27" s="56">
        <v>40.869999999999997</v>
      </c>
      <c r="H27" s="56">
        <v>11.68</v>
      </c>
      <c r="I27" s="56">
        <v>7.77</v>
      </c>
      <c r="J27" s="56">
        <v>0.23</v>
      </c>
      <c r="K27" s="56">
        <v>346.51</v>
      </c>
      <c r="L27" s="56">
        <v>32.33</v>
      </c>
      <c r="M27" s="56">
        <v>40.840000000000003</v>
      </c>
      <c r="N27" s="56">
        <v>31.40</v>
      </c>
      <c r="O27" s="56">
        <v>0</v>
      </c>
      <c r="P27" s="56">
        <v>0.87</v>
      </c>
      <c r="Q27" s="56">
        <v>9.2200000000000006</v>
      </c>
      <c r="R27" s="43"/>
      <c r="S27" s="43"/>
      <c r="T27" s="43"/>
      <c r="U27" s="43"/>
    </row>
    <row r="28" spans="1:21" s="11" customFormat="1" ht="15">
      <c r="A28" s="55" t="s">
        <v>705</v>
      </c>
      <c r="B28" s="56">
        <v>21.66</v>
      </c>
      <c r="C28" s="56">
        <v>50.93</v>
      </c>
      <c r="D28" s="56">
        <v>43.90</v>
      </c>
      <c r="E28" s="56">
        <v>1.98</v>
      </c>
      <c r="F28" s="56">
        <v>3.55</v>
      </c>
      <c r="G28" s="56">
        <v>62.81</v>
      </c>
      <c r="H28" s="56">
        <v>26.18</v>
      </c>
      <c r="I28" s="56">
        <v>9.0500000000000007</v>
      </c>
      <c r="J28" s="56">
        <v>0.21</v>
      </c>
      <c r="K28" s="56">
        <v>320.02999999999997</v>
      </c>
      <c r="L28" s="56">
        <v>30.38</v>
      </c>
      <c r="M28" s="56">
        <v>46.98</v>
      </c>
      <c r="N28" s="56">
        <v>24</v>
      </c>
      <c r="O28" s="56">
        <v>0</v>
      </c>
      <c r="P28" s="56">
        <v>1.25</v>
      </c>
      <c r="Q28" s="56">
        <v>9.31</v>
      </c>
      <c r="R28" s="43"/>
      <c r="S28" s="43"/>
      <c r="T28" s="43"/>
      <c r="U28" s="43"/>
    </row>
    <row r="29" spans="1:21" s="11" customFormat="1" ht="15">
      <c r="A29" s="55" t="s">
        <v>706</v>
      </c>
      <c r="B29" s="56">
        <v>40.11</v>
      </c>
      <c r="C29" s="56">
        <v>50.95</v>
      </c>
      <c r="D29" s="56">
        <v>57.85</v>
      </c>
      <c r="E29" s="56">
        <v>1.65</v>
      </c>
      <c r="F29" s="56">
        <v>3.76</v>
      </c>
      <c r="G29" s="56">
        <v>162.79</v>
      </c>
      <c r="H29" s="56">
        <v>41.06</v>
      </c>
      <c r="I29" s="56">
        <v>11.86</v>
      </c>
      <c r="J29" s="56">
        <v>0.28000000000000003</v>
      </c>
      <c r="K29" s="56">
        <v>343.94</v>
      </c>
      <c r="L29" s="56">
        <v>29.30</v>
      </c>
      <c r="M29" s="56">
        <v>54.44</v>
      </c>
      <c r="N29" s="56">
        <v>23.80</v>
      </c>
      <c r="O29" s="56">
        <v>0</v>
      </c>
      <c r="P29" s="56">
        <v>1.87</v>
      </c>
      <c r="Q29" s="56">
        <v>9.27</v>
      </c>
      <c r="R29" s="43"/>
      <c r="S29" s="43"/>
      <c r="T29" s="43"/>
      <c r="U29" s="43"/>
    </row>
    <row r="30" spans="1:21" s="11" customFormat="1" ht="15">
      <c r="A30" s="55" t="s">
        <v>707</v>
      </c>
      <c r="B30" s="56">
        <v>48.96</v>
      </c>
      <c r="C30" s="56">
        <v>48.52</v>
      </c>
      <c r="D30" s="56">
        <v>62.93</v>
      </c>
      <c r="E30" s="56">
        <v>1.89</v>
      </c>
      <c r="F30" s="56">
        <v>3.92</v>
      </c>
      <c r="G30" s="56">
        <v>162.31</v>
      </c>
      <c r="H30" s="56">
        <v>44.46</v>
      </c>
      <c r="I30" s="56">
        <v>11.97</v>
      </c>
      <c r="J30" s="56">
        <v>0.23</v>
      </c>
      <c r="K30" s="56">
        <v>334.26</v>
      </c>
      <c r="L30" s="56">
        <v>29.20</v>
      </c>
      <c r="M30" s="56">
        <v>50.59</v>
      </c>
      <c r="N30" s="56">
        <v>23.90</v>
      </c>
      <c r="O30" s="56">
        <v>0</v>
      </c>
      <c r="P30" s="56">
        <v>2</v>
      </c>
      <c r="Q30" s="56">
        <v>9.5299999999999994</v>
      </c>
      <c r="R30" s="43"/>
      <c r="S30" s="43"/>
      <c r="T30" s="43"/>
      <c r="U30" s="43"/>
    </row>
    <row r="31" spans="1:21" s="11" customFormat="1" ht="15">
      <c r="A31" s="55" t="s">
        <v>708</v>
      </c>
      <c r="B31" s="56">
        <v>69.55</v>
      </c>
      <c r="C31" s="56">
        <v>44.59</v>
      </c>
      <c r="D31" s="56">
        <v>77.78</v>
      </c>
      <c r="E31" s="56">
        <v>2.19</v>
      </c>
      <c r="F31" s="56">
        <v>3.56</v>
      </c>
      <c r="G31" s="56">
        <v>154.02000000000001</v>
      </c>
      <c r="H31" s="56">
        <v>40.25</v>
      </c>
      <c r="I31" s="56">
        <v>12.01</v>
      </c>
      <c r="J31" s="56">
        <v>0.19</v>
      </c>
      <c r="K31" s="56">
        <v>358.28</v>
      </c>
      <c r="L31" s="56">
        <v>27.57</v>
      </c>
      <c r="M31" s="56">
        <v>55.94</v>
      </c>
      <c r="N31" s="56">
        <v>23.90</v>
      </c>
      <c r="O31" s="56">
        <v>0</v>
      </c>
      <c r="P31" s="56">
        <v>2.2000000000000002</v>
      </c>
      <c r="Q31" s="56">
        <v>9.42</v>
      </c>
      <c r="R31" s="43"/>
      <c r="S31" s="43"/>
      <c r="T31" s="43"/>
      <c r="U31" s="43"/>
    </row>
    <row r="32" spans="1:21" s="11" customFormat="1" ht="15">
      <c r="A32" s="55" t="s">
        <v>709</v>
      </c>
      <c r="B32" s="56">
        <v>73.48</v>
      </c>
      <c r="C32" s="56">
        <v>51.04</v>
      </c>
      <c r="D32" s="56">
        <v>85.51</v>
      </c>
      <c r="E32" s="56">
        <v>2.37</v>
      </c>
      <c r="F32" s="56">
        <v>4.30</v>
      </c>
      <c r="G32" s="56">
        <v>139.22999999999999</v>
      </c>
      <c r="H32" s="56">
        <v>30.66</v>
      </c>
      <c r="I32" s="56">
        <v>12.07</v>
      </c>
      <c r="J32" s="56">
        <v>0.22</v>
      </c>
      <c r="K32" s="56">
        <v>356.75</v>
      </c>
      <c r="L32" s="56">
        <v>27.47</v>
      </c>
      <c r="M32" s="56">
        <v>53.04</v>
      </c>
      <c r="N32" s="56">
        <v>23.90</v>
      </c>
      <c r="O32" s="56">
        <v>0</v>
      </c>
      <c r="P32" s="56">
        <v>2.2200000000000002</v>
      </c>
      <c r="Q32" s="56">
        <v>9.65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1.3400000000000001</v>
      </c>
      <c r="C34" s="28">
        <f t="shared" si="0"/>
        <v>27.66</v>
      </c>
      <c r="D34" s="28">
        <f t="shared" si="0"/>
        <v>15.73</v>
      </c>
      <c r="E34" s="28">
        <f t="shared" si="0"/>
        <v>1.0600000000000001</v>
      </c>
      <c r="F34" s="28">
        <f t="shared" si="0"/>
        <v>3.5499999999999998</v>
      </c>
      <c r="G34" s="28">
        <f t="shared" si="0"/>
        <v>34.039999999999999</v>
      </c>
      <c r="H34" s="28">
        <f t="shared" si="0"/>
        <v>11.68</v>
      </c>
      <c r="I34" s="28">
        <f t="shared" si="0"/>
        <v>4.54</v>
      </c>
      <c r="J34" s="28">
        <f t="shared" si="0"/>
        <v>0.17999999999999999</v>
      </c>
      <c r="K34" s="28">
        <f t="shared" si="0"/>
        <v>174.24000000000001</v>
      </c>
      <c r="L34" s="28">
        <f t="shared" si="0"/>
        <v>24.82</v>
      </c>
      <c r="M34" s="28">
        <f t="shared" si="0"/>
        <v>22.210000000000001</v>
      </c>
      <c r="N34" s="28">
        <f t="shared" si="0"/>
        <v>23.600000000000001</v>
      </c>
      <c r="O34" s="28">
        <f t="shared" si="0"/>
        <v>0</v>
      </c>
      <c r="P34" s="28">
        <f t="shared" si="0"/>
        <v>0.37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73.480000000000004</v>
      </c>
      <c r="C35" s="29">
        <f t="shared" si="1"/>
        <v>51.039999999999999</v>
      </c>
      <c r="D35" s="29">
        <f t="shared" si="1"/>
        <v>85.510000000000005</v>
      </c>
      <c r="E35" s="29">
        <f t="shared" si="1"/>
        <v>2.6299999999999999</v>
      </c>
      <c r="F35" s="29">
        <f t="shared" si="1"/>
        <v>6.9699999999999998</v>
      </c>
      <c r="G35" s="29">
        <f t="shared" si="1"/>
        <v>162.78999999999999</v>
      </c>
      <c r="H35" s="29">
        <f t="shared" si="1"/>
        <v>77.239999999999995</v>
      </c>
      <c r="I35" s="29">
        <f t="shared" si="1"/>
        <v>12.07</v>
      </c>
      <c r="J35" s="29">
        <f t="shared" si="1"/>
        <v>1.45</v>
      </c>
      <c r="K35" s="29">
        <f t="shared" si="1"/>
        <v>359.5</v>
      </c>
      <c r="L35" s="29">
        <f t="shared" si="1"/>
        <v>37.119999999999997</v>
      </c>
      <c r="M35" s="29">
        <f t="shared" si="1"/>
        <v>56.32</v>
      </c>
      <c r="N35" s="29">
        <f t="shared" si="1"/>
        <v>1022.6</v>
      </c>
      <c r="O35" s="29">
        <f t="shared" si="1"/>
        <v>0</v>
      </c>
      <c r="P35" s="29">
        <f t="shared" si="1"/>
        <v>2.2200000000000002</v>
      </c>
      <c r="Q35" s="29">
        <f t="shared" si="1"/>
        <v>9.6500000000000004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13.942083333333334</v>
      </c>
      <c r="C36" s="28">
        <f t="shared" si="2"/>
        <v>35.400416666666665</v>
      </c>
      <c r="D36" s="28">
        <f t="shared" si="2"/>
        <v>29.370833333333334</v>
      </c>
      <c r="E36" s="28">
        <f t="shared" si="2"/>
        <v>1.888333333333333</v>
      </c>
      <c r="F36" s="28">
        <f t="shared" si="2"/>
        <v>4.5725000000000007</v>
      </c>
      <c r="G36" s="28">
        <f t="shared" si="2"/>
        <v>62.127499999999991</v>
      </c>
      <c r="H36" s="28">
        <f t="shared" si="2"/>
        <v>25.928749999999997</v>
      </c>
      <c r="I36" s="28">
        <f t="shared" si="2"/>
        <v>7.4904166666666674</v>
      </c>
      <c r="J36" s="28">
        <f t="shared" si="2"/>
        <v>0.64291666666666658</v>
      </c>
      <c r="K36" s="28">
        <f t="shared" si="2"/>
        <v>314.7091666666667</v>
      </c>
      <c r="L36" s="28">
        <f t="shared" si="2"/>
        <v>30.226250000000004</v>
      </c>
      <c r="M36" s="28">
        <f t="shared" si="2"/>
        <v>42.252499999999998</v>
      </c>
      <c r="N36" s="28">
        <f t="shared" si="2"/>
        <v>252.19166666666661</v>
      </c>
      <c r="O36" s="28">
        <f t="shared" si="2"/>
        <v>0</v>
      </c>
      <c r="P36" s="28">
        <f t="shared" si="2"/>
        <v>0.78041666666666654</v>
      </c>
      <c r="Q36" s="28">
        <f t="shared" si="2"/>
        <v>9.2300000000000022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21.36294414231185</v>
      </c>
      <c r="C37" s="28">
        <f t="shared" si="3" ref="C37:Q37">STDEV(C9:C32)</f>
        <v>8.3302938406166032</v>
      </c>
      <c r="D37" s="28">
        <f t="shared" si="3"/>
        <v>20.417219483790522</v>
      </c>
      <c r="E37" s="28">
        <f t="shared" si="3"/>
        <v>0.42805593566492223</v>
      </c>
      <c r="F37" s="28">
        <f t="shared" si="3"/>
        <v>0.97750013899698796</v>
      </c>
      <c r="G37" s="28">
        <f t="shared" si="3"/>
        <v>42.909302351132105</v>
      </c>
      <c r="H37" s="28">
        <f t="shared" si="3"/>
        <v>15.594759797835099</v>
      </c>
      <c r="I37" s="28">
        <f t="shared" si="3"/>
        <v>2.3797871281613214</v>
      </c>
      <c r="J37" s="28">
        <f t="shared" si="3"/>
        <v>0.36569741788707716</v>
      </c>
      <c r="K37" s="28">
        <f t="shared" si="3"/>
        <v>58.346683890470487</v>
      </c>
      <c r="L37" s="28">
        <f t="shared" si="3"/>
        <v>4.0084517367789898</v>
      </c>
      <c r="M37" s="28">
        <f t="shared" si="3"/>
        <v>11.807030053982805</v>
      </c>
      <c r="N37" s="28">
        <f t="shared" si="3"/>
        <v>337.7561468132667</v>
      </c>
      <c r="O37" s="28">
        <f t="shared" si="3"/>
        <v>0</v>
      </c>
      <c r="P37" s="28">
        <f t="shared" si="3"/>
        <v>0.62036790743857018</v>
      </c>
      <c r="Q37" s="28">
        <f t="shared" si="3"/>
        <v>0.12816429673072488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05aa84-44b0-4a48-b3eb-2594cfd71a93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710</v>
      </c>
      <c r="B9" s="56">
        <v>69.760000000000005</v>
      </c>
      <c r="C9" s="56">
        <v>41.97</v>
      </c>
      <c r="D9" s="56">
        <v>77.78</v>
      </c>
      <c r="E9" s="56">
        <v>2.16</v>
      </c>
      <c r="F9" s="56">
        <v>3.56</v>
      </c>
      <c r="G9" s="56">
        <v>125.30</v>
      </c>
      <c r="H9" s="56">
        <v>35.22</v>
      </c>
      <c r="I9" s="56">
        <v>11.07</v>
      </c>
      <c r="J9" s="56">
        <v>0.22</v>
      </c>
      <c r="K9" s="56">
        <v>358.17</v>
      </c>
      <c r="L9" s="56">
        <v>26.28</v>
      </c>
      <c r="M9" s="56">
        <v>62.13</v>
      </c>
      <c r="N9" s="56">
        <v>23.90</v>
      </c>
      <c r="O9" s="56">
        <v>0</v>
      </c>
      <c r="P9" s="56">
        <v>2.0499999999999998</v>
      </c>
      <c r="Q9" s="56">
        <v>9.4700000000000006</v>
      </c>
      <c r="R9" s="43"/>
      <c r="S9" s="43"/>
      <c r="T9" s="43"/>
      <c r="U9" s="43"/>
    </row>
    <row r="10" spans="1:21" s="11" customFormat="1" ht="15">
      <c r="A10" s="55" t="s">
        <v>711</v>
      </c>
      <c r="B10" s="56">
        <v>64.19</v>
      </c>
      <c r="C10" s="56">
        <v>37.43</v>
      </c>
      <c r="D10" s="56">
        <v>70.95</v>
      </c>
      <c r="E10" s="56">
        <v>1.95</v>
      </c>
      <c r="F10" s="56">
        <v>3.69</v>
      </c>
      <c r="G10" s="56">
        <v>93.84</v>
      </c>
      <c r="H10" s="56">
        <v>30.83</v>
      </c>
      <c r="I10" s="56">
        <v>11.28</v>
      </c>
      <c r="J10" s="56">
        <v>0.60</v>
      </c>
      <c r="K10" s="56">
        <v>313.79000000000002</v>
      </c>
      <c r="L10" s="56">
        <v>26.72</v>
      </c>
      <c r="M10" s="56">
        <v>57.20</v>
      </c>
      <c r="N10" s="56">
        <v>24.10</v>
      </c>
      <c r="O10" s="56">
        <v>0</v>
      </c>
      <c r="P10" s="56">
        <v>1.69</v>
      </c>
      <c r="Q10" s="56">
        <v>9.5</v>
      </c>
      <c r="R10" s="43"/>
      <c r="S10" s="43"/>
      <c r="T10" s="43"/>
      <c r="U10" s="43"/>
    </row>
    <row r="11" spans="1:21" s="11" customFormat="1" ht="15">
      <c r="A11" s="55" t="s">
        <v>712</v>
      </c>
      <c r="B11" s="56">
        <v>54.55</v>
      </c>
      <c r="C11" s="56">
        <v>35.159999999999997</v>
      </c>
      <c r="D11" s="56">
        <v>61.29</v>
      </c>
      <c r="E11" s="56">
        <v>1.83</v>
      </c>
      <c r="F11" s="56">
        <v>3.62</v>
      </c>
      <c r="G11" s="56">
        <v>71.95</v>
      </c>
      <c r="H11" s="56">
        <v>21.06</v>
      </c>
      <c r="I11" s="56">
        <v>9.82</v>
      </c>
      <c r="J11" s="56">
        <v>0.18</v>
      </c>
      <c r="K11" s="56">
        <v>310.42</v>
      </c>
      <c r="L11" s="56">
        <v>25.05</v>
      </c>
      <c r="M11" s="56">
        <v>63.56</v>
      </c>
      <c r="N11" s="56">
        <v>23.90</v>
      </c>
      <c r="O11" s="56">
        <v>0</v>
      </c>
      <c r="P11" s="56">
        <v>1.48</v>
      </c>
      <c r="Q11" s="56">
        <v>9.5500000000000007</v>
      </c>
      <c r="R11" s="43"/>
      <c r="S11" s="43"/>
      <c r="T11" s="43"/>
      <c r="U11" s="43"/>
    </row>
    <row r="12" spans="1:21" s="11" customFormat="1" ht="15">
      <c r="A12" s="55" t="s">
        <v>713</v>
      </c>
      <c r="B12" s="56">
        <v>47.03</v>
      </c>
      <c r="C12" s="56">
        <v>33.21</v>
      </c>
      <c r="D12" s="56">
        <v>54.98</v>
      </c>
      <c r="E12" s="56">
        <v>1.65</v>
      </c>
      <c r="F12" s="56">
        <v>3.60</v>
      </c>
      <c r="G12" s="56">
        <v>58.71</v>
      </c>
      <c r="H12" s="56">
        <v>15.17</v>
      </c>
      <c r="I12" s="56">
        <v>11.46</v>
      </c>
      <c r="J12" s="56">
        <v>0.14000000000000001</v>
      </c>
      <c r="K12" s="56">
        <v>345.99</v>
      </c>
      <c r="L12" s="56">
        <v>24.51</v>
      </c>
      <c r="M12" s="56">
        <v>65.38</v>
      </c>
      <c r="N12" s="56">
        <v>23.80</v>
      </c>
      <c r="O12" s="56">
        <v>0</v>
      </c>
      <c r="P12" s="56">
        <v>1.34</v>
      </c>
      <c r="Q12" s="56">
        <v>9.35</v>
      </c>
      <c r="R12" s="43"/>
      <c r="S12" s="43"/>
      <c r="T12" s="43"/>
      <c r="U12" s="43"/>
    </row>
    <row r="13" spans="1:21" s="11" customFormat="1" ht="15">
      <c r="A13" s="55" t="s">
        <v>714</v>
      </c>
      <c r="B13" s="56">
        <v>39.14</v>
      </c>
      <c r="C13" s="56">
        <v>30.03</v>
      </c>
      <c r="D13" s="56">
        <v>46.92</v>
      </c>
      <c r="E13" s="56">
        <v>0.61</v>
      </c>
      <c r="F13" s="56">
        <v>3.70</v>
      </c>
      <c r="G13" s="56">
        <v>54.05</v>
      </c>
      <c r="H13" s="56">
        <v>11.83</v>
      </c>
      <c r="I13" s="56">
        <v>10.68</v>
      </c>
      <c r="J13" s="56">
        <v>0.20</v>
      </c>
      <c r="K13" s="56">
        <v>270.26</v>
      </c>
      <c r="L13" s="56">
        <v>24.76</v>
      </c>
      <c r="M13" s="56">
        <v>62.59</v>
      </c>
      <c r="N13" s="56">
        <v>23.70</v>
      </c>
      <c r="O13" s="56">
        <v>0</v>
      </c>
      <c r="P13" s="56">
        <v>1.1200000000000001</v>
      </c>
      <c r="Q13" s="56">
        <v>9.42</v>
      </c>
      <c r="R13" s="43"/>
      <c r="S13" s="43"/>
      <c r="T13" s="43"/>
      <c r="U13" s="43"/>
    </row>
    <row r="14" spans="1:21" s="11" customFormat="1" ht="15">
      <c r="A14" s="55" t="s">
        <v>715</v>
      </c>
      <c r="B14" s="56">
        <v>38.07</v>
      </c>
      <c r="C14" s="56">
        <v>30.48</v>
      </c>
      <c r="D14" s="56">
        <v>46.37</v>
      </c>
      <c r="E14" s="56">
        <v>0.71</v>
      </c>
      <c r="F14" s="56">
        <v>3.94</v>
      </c>
      <c r="G14" s="56">
        <v>82.01</v>
      </c>
      <c r="H14" s="56">
        <v>20.420000000000002</v>
      </c>
      <c r="I14" s="56">
        <v>9.90</v>
      </c>
      <c r="J14" s="56">
        <v>0.49</v>
      </c>
      <c r="K14" s="56">
        <v>292.48</v>
      </c>
      <c r="L14" s="56">
        <v>25.04</v>
      </c>
      <c r="M14" s="56">
        <v>63.09</v>
      </c>
      <c r="N14" s="56">
        <v>51.40</v>
      </c>
      <c r="O14" s="56">
        <v>0</v>
      </c>
      <c r="P14" s="56">
        <v>0.97</v>
      </c>
      <c r="Q14" s="56">
        <v>9.31</v>
      </c>
      <c r="R14" s="43"/>
      <c r="S14" s="43"/>
      <c r="T14" s="43"/>
      <c r="U14" s="43"/>
    </row>
    <row r="15" spans="1:21" s="11" customFormat="1" ht="15">
      <c r="A15" s="55" t="s">
        <v>716</v>
      </c>
      <c r="B15" s="56">
        <v>36.33</v>
      </c>
      <c r="C15" s="56">
        <v>29.97</v>
      </c>
      <c r="D15" s="56">
        <v>44.72</v>
      </c>
      <c r="E15" s="56">
        <v>0.63</v>
      </c>
      <c r="F15" s="56">
        <v>3.46</v>
      </c>
      <c r="G15" s="56">
        <v>77.209999999999994</v>
      </c>
      <c r="H15" s="56">
        <v>30.77</v>
      </c>
      <c r="I15" s="56">
        <v>9.5500000000000007</v>
      </c>
      <c r="J15" s="56">
        <v>0.22</v>
      </c>
      <c r="K15" s="56">
        <v>326.44</v>
      </c>
      <c r="L15" s="56">
        <v>28.37</v>
      </c>
      <c r="M15" s="56">
        <v>57.37</v>
      </c>
      <c r="N15" s="56">
        <v>199.20</v>
      </c>
      <c r="O15" s="56">
        <v>0</v>
      </c>
      <c r="P15" s="56">
        <v>0.86</v>
      </c>
      <c r="Q15" s="56">
        <v>9.3699999999999992</v>
      </c>
      <c r="R15" s="43"/>
      <c r="S15" s="43"/>
      <c r="T15" s="43"/>
      <c r="U15" s="43"/>
    </row>
    <row r="16" spans="1:21" s="11" customFormat="1" ht="15">
      <c r="A16" s="55" t="s">
        <v>717</v>
      </c>
      <c r="B16" s="56">
        <v>33.07</v>
      </c>
      <c r="C16" s="56">
        <v>36.020000000000003</v>
      </c>
      <c r="D16" s="56">
        <v>41.90</v>
      </c>
      <c r="E16" s="56">
        <v>1.34</v>
      </c>
      <c r="F16" s="56">
        <v>4.01</v>
      </c>
      <c r="G16" s="56">
        <v>64.48</v>
      </c>
      <c r="H16" s="56">
        <v>28.51</v>
      </c>
      <c r="I16" s="56">
        <v>10.220000000000001</v>
      </c>
      <c r="J16" s="56">
        <v>0.35</v>
      </c>
      <c r="K16" s="56">
        <v>333.59</v>
      </c>
      <c r="L16" s="56">
        <v>31.31</v>
      </c>
      <c r="M16" s="56">
        <v>44.87</v>
      </c>
      <c r="N16" s="56">
        <v>284.20</v>
      </c>
      <c r="O16" s="56">
        <v>0</v>
      </c>
      <c r="P16" s="56">
        <v>0.92</v>
      </c>
      <c r="Q16" s="56">
        <v>9.39</v>
      </c>
      <c r="R16" s="43"/>
      <c r="S16" s="43"/>
      <c r="T16" s="43"/>
      <c r="U16" s="43"/>
    </row>
    <row r="17" spans="1:21" s="11" customFormat="1" ht="15">
      <c r="A17" s="55" t="s">
        <v>718</v>
      </c>
      <c r="B17" s="56">
        <v>27.47</v>
      </c>
      <c r="C17" s="56">
        <v>43.65</v>
      </c>
      <c r="D17" s="56">
        <v>43.81</v>
      </c>
      <c r="E17" s="56">
        <v>1.80</v>
      </c>
      <c r="F17" s="56">
        <v>4.3899999999999997</v>
      </c>
      <c r="G17" s="56">
        <v>93.59</v>
      </c>
      <c r="H17" s="56">
        <v>26.26</v>
      </c>
      <c r="I17" s="56">
        <v>10.42</v>
      </c>
      <c r="J17" s="56">
        <v>0.24</v>
      </c>
      <c r="K17" s="56">
        <v>321.77</v>
      </c>
      <c r="L17" s="56">
        <v>32.04</v>
      </c>
      <c r="M17" s="56">
        <v>46.33</v>
      </c>
      <c r="N17" s="56">
        <v>418.5</v>
      </c>
      <c r="O17" s="56">
        <v>0</v>
      </c>
      <c r="P17" s="56">
        <v>0.95</v>
      </c>
      <c r="Q17" s="56">
        <v>9.32</v>
      </c>
      <c r="R17" s="43"/>
      <c r="S17" s="43"/>
      <c r="T17" s="43"/>
      <c r="U17" s="43"/>
    </row>
    <row r="18" spans="1:21" s="11" customFormat="1" ht="15">
      <c r="A18" s="55" t="s">
        <v>719</v>
      </c>
      <c r="B18" s="56">
        <v>22.70</v>
      </c>
      <c r="C18" s="56">
        <v>44.17</v>
      </c>
      <c r="D18" s="56">
        <v>41.21</v>
      </c>
      <c r="E18" s="56">
        <v>1.82</v>
      </c>
      <c r="F18" s="56">
        <v>3.68</v>
      </c>
      <c r="G18" s="56">
        <v>93.89</v>
      </c>
      <c r="H18" s="56">
        <v>27.87</v>
      </c>
      <c r="I18" s="56">
        <v>10.43</v>
      </c>
      <c r="J18" s="56">
        <v>0.65</v>
      </c>
      <c r="K18" s="56">
        <v>336.48</v>
      </c>
      <c r="L18" s="56">
        <v>33.020000000000003</v>
      </c>
      <c r="M18" s="56">
        <v>47.57</v>
      </c>
      <c r="N18" s="56">
        <v>533.60</v>
      </c>
      <c r="O18" s="56">
        <v>0</v>
      </c>
      <c r="P18" s="56">
        <v>1.04</v>
      </c>
      <c r="Q18" s="56">
        <v>9.3800000000000008</v>
      </c>
      <c r="R18" s="43"/>
      <c r="S18" s="43"/>
      <c r="T18" s="43"/>
      <c r="U18" s="43"/>
    </row>
    <row r="19" spans="1:21" s="11" customFormat="1" ht="15">
      <c r="A19" s="55" t="s">
        <v>720</v>
      </c>
      <c r="B19" s="56">
        <v>14.55</v>
      </c>
      <c r="C19" s="56">
        <v>38.29</v>
      </c>
      <c r="D19" s="56">
        <v>31.53</v>
      </c>
      <c r="E19" s="56">
        <v>1.73</v>
      </c>
      <c r="F19" s="56">
        <v>6.83</v>
      </c>
      <c r="G19" s="56">
        <v>89.94</v>
      </c>
      <c r="H19" s="56">
        <v>32.42</v>
      </c>
      <c r="I19" s="56">
        <v>10.32</v>
      </c>
      <c r="J19" s="56">
        <v>4.49</v>
      </c>
      <c r="K19" s="56">
        <v>340.05</v>
      </c>
      <c r="L19" s="56">
        <v>30.13</v>
      </c>
      <c r="M19" s="56">
        <v>60.12</v>
      </c>
      <c r="N19" s="56">
        <v>617.40</v>
      </c>
      <c r="O19" s="56">
        <v>0.20</v>
      </c>
      <c r="P19" s="56">
        <v>1.02</v>
      </c>
      <c r="Q19" s="56">
        <v>9.24</v>
      </c>
      <c r="R19" s="43"/>
      <c r="S19" s="43"/>
      <c r="T19" s="43"/>
      <c r="U19" s="43"/>
    </row>
    <row r="20" spans="1:21" s="11" customFormat="1" ht="15">
      <c r="A20" s="55" t="s">
        <v>721</v>
      </c>
      <c r="B20" s="56">
        <v>2.70</v>
      </c>
      <c r="C20" s="56">
        <v>35.90</v>
      </c>
      <c r="D20" s="56">
        <v>20.84</v>
      </c>
      <c r="E20" s="56">
        <v>2.12</v>
      </c>
      <c r="F20" s="56">
        <v>6.82</v>
      </c>
      <c r="G20" s="56">
        <v>77.930000000000007</v>
      </c>
      <c r="H20" s="56">
        <v>31.45</v>
      </c>
      <c r="I20" s="56">
        <v>7.54</v>
      </c>
      <c r="J20" s="56">
        <v>3.22</v>
      </c>
      <c r="K20" s="56">
        <v>353.76</v>
      </c>
      <c r="L20" s="56">
        <v>29.58</v>
      </c>
      <c r="M20" s="56">
        <v>50.83</v>
      </c>
      <c r="N20" s="56">
        <v>702.5</v>
      </c>
      <c r="O20" s="56">
        <v>0</v>
      </c>
      <c r="P20" s="56">
        <v>0.61</v>
      </c>
      <c r="Q20" s="56">
        <v>9.19</v>
      </c>
      <c r="R20" s="43"/>
      <c r="S20" s="43"/>
      <c r="T20" s="43"/>
      <c r="U20" s="43"/>
    </row>
    <row r="21" spans="1:21" s="11" customFormat="1" ht="15">
      <c r="A21" s="55" t="s">
        <v>722</v>
      </c>
      <c r="B21" s="56">
        <v>4.18</v>
      </c>
      <c r="C21" s="56">
        <v>35.54</v>
      </c>
      <c r="D21" s="56">
        <v>21.42</v>
      </c>
      <c r="E21" s="56">
        <v>2.44</v>
      </c>
      <c r="F21" s="56">
        <v>4.9000000000000004</v>
      </c>
      <c r="G21" s="56">
        <v>67.56</v>
      </c>
      <c r="H21" s="56">
        <v>24.5</v>
      </c>
      <c r="I21" s="56">
        <v>5.38</v>
      </c>
      <c r="J21" s="56">
        <v>1.30</v>
      </c>
      <c r="K21" s="56">
        <v>357.69</v>
      </c>
      <c r="L21" s="56">
        <v>29.24</v>
      </c>
      <c r="M21" s="56">
        <v>46.86</v>
      </c>
      <c r="N21" s="56">
        <v>278.80</v>
      </c>
      <c r="O21" s="56">
        <v>0</v>
      </c>
      <c r="P21" s="56">
        <v>0.52</v>
      </c>
      <c r="Q21" s="56">
        <v>9.17</v>
      </c>
      <c r="R21" s="43"/>
      <c r="S21" s="43"/>
      <c r="T21" s="43"/>
      <c r="U21" s="43"/>
    </row>
    <row r="22" spans="1:21" s="11" customFormat="1" ht="15">
      <c r="A22" s="55" t="s">
        <v>723</v>
      </c>
      <c r="B22" s="56">
        <v>5.85</v>
      </c>
      <c r="C22" s="56">
        <v>34.39</v>
      </c>
      <c r="D22" s="56">
        <v>22.33</v>
      </c>
      <c r="E22" s="56">
        <v>3.47</v>
      </c>
      <c r="F22" s="56">
        <v>3.89</v>
      </c>
      <c r="G22" s="56">
        <v>59.91</v>
      </c>
      <c r="H22" s="56">
        <v>23.5</v>
      </c>
      <c r="I22" s="56">
        <v>5.42</v>
      </c>
      <c r="J22" s="56">
        <v>1.5</v>
      </c>
      <c r="K22" s="56">
        <v>357.12</v>
      </c>
      <c r="L22" s="56">
        <v>30.17</v>
      </c>
      <c r="M22" s="56">
        <v>43.75</v>
      </c>
      <c r="N22" s="56">
        <v>500.40</v>
      </c>
      <c r="O22" s="56">
        <v>0</v>
      </c>
      <c r="P22" s="56">
        <v>0.59</v>
      </c>
      <c r="Q22" s="56">
        <v>9.18</v>
      </c>
      <c r="R22" s="43"/>
      <c r="S22" s="43"/>
      <c r="T22" s="43"/>
      <c r="U22" s="43"/>
    </row>
    <row r="23" spans="1:21" s="11" customFormat="1" ht="15">
      <c r="A23" s="55" t="s">
        <v>724</v>
      </c>
      <c r="B23" s="56">
        <v>6.13</v>
      </c>
      <c r="C23" s="56">
        <v>34.729999999999997</v>
      </c>
      <c r="D23" s="56">
        <v>22.71</v>
      </c>
      <c r="E23" s="56">
        <v>2.44</v>
      </c>
      <c r="F23" s="56">
        <v>4.16</v>
      </c>
      <c r="G23" s="56">
        <v>51</v>
      </c>
      <c r="H23" s="56">
        <v>21.18</v>
      </c>
      <c r="I23" s="56">
        <v>5.54</v>
      </c>
      <c r="J23" s="56">
        <v>1.91</v>
      </c>
      <c r="K23" s="56">
        <v>359.84</v>
      </c>
      <c r="L23" s="56">
        <v>31.47</v>
      </c>
      <c r="M23" s="56">
        <v>39.85</v>
      </c>
      <c r="N23" s="56">
        <v>494.80</v>
      </c>
      <c r="O23" s="56">
        <v>0</v>
      </c>
      <c r="P23" s="56">
        <v>0.59</v>
      </c>
      <c r="Q23" s="56">
        <v>9.1999999999999993</v>
      </c>
      <c r="R23" s="43"/>
      <c r="S23" s="43"/>
      <c r="T23" s="43"/>
      <c r="U23" s="43"/>
    </row>
    <row r="24" spans="1:21" s="11" customFormat="1" ht="15">
      <c r="A24" s="55" t="s">
        <v>725</v>
      </c>
      <c r="B24" s="56">
        <v>4.7699999999999996</v>
      </c>
      <c r="C24" s="56">
        <v>33.67</v>
      </c>
      <c r="D24" s="56">
        <v>21.26</v>
      </c>
      <c r="E24" s="56">
        <v>2.29</v>
      </c>
      <c r="F24" s="56">
        <v>4.34</v>
      </c>
      <c r="G24" s="56">
        <v>42.43</v>
      </c>
      <c r="H24" s="56">
        <v>16.45</v>
      </c>
      <c r="I24" s="56">
        <v>5.80</v>
      </c>
      <c r="J24" s="56">
        <v>1.58</v>
      </c>
      <c r="K24" s="56">
        <v>354.36</v>
      </c>
      <c r="L24" s="56">
        <v>31.29</v>
      </c>
      <c r="M24" s="56">
        <v>36.01</v>
      </c>
      <c r="N24" s="56">
        <v>355.40</v>
      </c>
      <c r="O24" s="56">
        <v>0</v>
      </c>
      <c r="P24" s="56">
        <v>0.54</v>
      </c>
      <c r="Q24" s="56">
        <v>9.15</v>
      </c>
      <c r="R24" s="43"/>
      <c r="S24" s="43"/>
      <c r="T24" s="43"/>
      <c r="U24" s="43"/>
    </row>
    <row r="25" spans="1:21" s="11" customFormat="1" ht="15">
      <c r="A25" s="55" t="s">
        <v>726</v>
      </c>
      <c r="B25" s="56">
        <v>4.62</v>
      </c>
      <c r="C25" s="56">
        <v>43.59</v>
      </c>
      <c r="D25" s="56">
        <v>26.18</v>
      </c>
      <c r="E25" s="56">
        <v>1.90</v>
      </c>
      <c r="F25" s="56">
        <v>4.5599999999999996</v>
      </c>
      <c r="G25" s="56">
        <v>33.76</v>
      </c>
      <c r="H25" s="56">
        <v>14.28</v>
      </c>
      <c r="I25" s="56">
        <v>6.29</v>
      </c>
      <c r="J25" s="56">
        <v>0.70</v>
      </c>
      <c r="K25" s="56">
        <v>96.94</v>
      </c>
      <c r="L25" s="56">
        <v>30.70</v>
      </c>
      <c r="M25" s="56">
        <v>38.74</v>
      </c>
      <c r="N25" s="56">
        <v>181.20</v>
      </c>
      <c r="O25" s="56">
        <v>0</v>
      </c>
      <c r="P25" s="56">
        <v>0.51</v>
      </c>
      <c r="Q25" s="56">
        <v>9.19</v>
      </c>
      <c r="R25" s="43"/>
      <c r="S25" s="43"/>
      <c r="T25" s="43"/>
      <c r="U25" s="43"/>
    </row>
    <row r="26" spans="1:21" s="11" customFormat="1" ht="15">
      <c r="A26" s="55" t="s">
        <v>727</v>
      </c>
      <c r="B26" s="56">
        <v>4.97</v>
      </c>
      <c r="C26" s="56">
        <v>45.98</v>
      </c>
      <c r="D26" s="56">
        <v>27.40</v>
      </c>
      <c r="E26" s="56">
        <v>2.0299999999999998</v>
      </c>
      <c r="F26" s="56">
        <v>4.75</v>
      </c>
      <c r="G26" s="56">
        <v>32.83</v>
      </c>
      <c r="H26" s="56">
        <v>11.41</v>
      </c>
      <c r="I26" s="56">
        <v>6.35</v>
      </c>
      <c r="J26" s="56">
        <v>0.52</v>
      </c>
      <c r="K26" s="56">
        <v>345.26</v>
      </c>
      <c r="L26" s="56">
        <v>29.65</v>
      </c>
      <c r="M26" s="56">
        <v>41.76</v>
      </c>
      <c r="N26" s="56">
        <v>93.30</v>
      </c>
      <c r="O26" s="56">
        <v>0</v>
      </c>
      <c r="P26" s="56">
        <v>0.55000000000000004</v>
      </c>
      <c r="Q26" s="56">
        <v>9.1300000000000008</v>
      </c>
      <c r="R26" s="43"/>
      <c r="S26" s="43"/>
      <c r="T26" s="43"/>
      <c r="U26" s="43"/>
    </row>
    <row r="27" spans="1:21" s="11" customFormat="1" ht="15">
      <c r="A27" s="55" t="s">
        <v>728</v>
      </c>
      <c r="B27" s="56">
        <v>11.38</v>
      </c>
      <c r="C27" s="56">
        <v>40.409999999999997</v>
      </c>
      <c r="D27" s="56">
        <v>28.06</v>
      </c>
      <c r="E27" s="56">
        <v>2.16</v>
      </c>
      <c r="F27" s="56">
        <v>3.85</v>
      </c>
      <c r="G27" s="56">
        <v>36.11</v>
      </c>
      <c r="H27" s="56">
        <v>13.65</v>
      </c>
      <c r="I27" s="56">
        <v>6.45</v>
      </c>
      <c r="J27" s="56">
        <v>0.26</v>
      </c>
      <c r="K27" s="56">
        <v>344.04</v>
      </c>
      <c r="L27" s="56">
        <v>28.78</v>
      </c>
      <c r="M27" s="56">
        <v>51.31</v>
      </c>
      <c r="N27" s="56">
        <v>29.90</v>
      </c>
      <c r="O27" s="56">
        <v>0</v>
      </c>
      <c r="P27" s="56">
        <v>0.80</v>
      </c>
      <c r="Q27" s="56">
        <v>9.1999999999999993</v>
      </c>
      <c r="R27" s="43"/>
      <c r="S27" s="43"/>
      <c r="T27" s="43"/>
      <c r="U27" s="43"/>
    </row>
    <row r="28" spans="1:21" s="11" customFormat="1" ht="15">
      <c r="A28" s="55" t="s">
        <v>729</v>
      </c>
      <c r="B28" s="56">
        <v>25.37</v>
      </c>
      <c r="C28" s="56">
        <v>37.840000000000003</v>
      </c>
      <c r="D28" s="56">
        <v>39.69</v>
      </c>
      <c r="E28" s="56">
        <v>2.34</v>
      </c>
      <c r="F28" s="56">
        <v>3.77</v>
      </c>
      <c r="G28" s="56">
        <v>45.67</v>
      </c>
      <c r="H28" s="56">
        <v>13.37</v>
      </c>
      <c r="I28" s="56">
        <v>8.07</v>
      </c>
      <c r="J28" s="56">
        <v>0.22</v>
      </c>
      <c r="K28" s="56">
        <v>356.85</v>
      </c>
      <c r="L28" s="56">
        <v>26.75</v>
      </c>
      <c r="M28" s="56">
        <v>57.86</v>
      </c>
      <c r="N28" s="56">
        <v>22.40</v>
      </c>
      <c r="O28" s="56">
        <v>0</v>
      </c>
      <c r="P28" s="56">
        <v>1.27</v>
      </c>
      <c r="Q28" s="56">
        <v>9.25</v>
      </c>
      <c r="R28" s="43"/>
      <c r="S28" s="43"/>
      <c r="T28" s="43"/>
      <c r="U28" s="43"/>
    </row>
    <row r="29" spans="1:21" s="11" customFormat="1" ht="15">
      <c r="A29" s="55" t="s">
        <v>730</v>
      </c>
      <c r="B29" s="56">
        <v>39.85</v>
      </c>
      <c r="C29" s="56">
        <v>36.630000000000003</v>
      </c>
      <c r="D29" s="56">
        <v>50.36</v>
      </c>
      <c r="E29" s="56">
        <v>2.3199999999999998</v>
      </c>
      <c r="F29" s="56">
        <v>3.58</v>
      </c>
      <c r="G29" s="56">
        <v>67.94</v>
      </c>
      <c r="H29" s="56">
        <v>20.13</v>
      </c>
      <c r="I29" s="56">
        <v>8.7100000000000009</v>
      </c>
      <c r="J29" s="56">
        <v>0.31</v>
      </c>
      <c r="K29" s="56">
        <v>289.81</v>
      </c>
      <c r="L29" s="56">
        <v>26.71</v>
      </c>
      <c r="M29" s="56">
        <v>58.19</v>
      </c>
      <c r="N29" s="56">
        <v>22.70</v>
      </c>
      <c r="O29" s="56">
        <v>0</v>
      </c>
      <c r="P29" s="56">
        <v>1.33</v>
      </c>
      <c r="Q29" s="56">
        <v>9.33</v>
      </c>
      <c r="R29" s="43"/>
      <c r="S29" s="43"/>
      <c r="T29" s="43"/>
      <c r="U29" s="43"/>
    </row>
    <row r="30" spans="1:21" s="11" customFormat="1" ht="15">
      <c r="A30" s="55" t="s">
        <v>731</v>
      </c>
      <c r="B30" s="56">
        <v>59.67</v>
      </c>
      <c r="C30" s="56">
        <v>34.96</v>
      </c>
      <c r="D30" s="56">
        <v>66.040000000000006</v>
      </c>
      <c r="E30" s="56">
        <v>2.56</v>
      </c>
      <c r="F30" s="56">
        <v>3.14</v>
      </c>
      <c r="G30" s="56">
        <v>87.82</v>
      </c>
      <c r="H30" s="56">
        <v>21.86</v>
      </c>
      <c r="I30" s="56">
        <v>10.35</v>
      </c>
      <c r="J30" s="56">
        <v>0.23</v>
      </c>
      <c r="K30" s="56">
        <v>345.07</v>
      </c>
      <c r="L30" s="56">
        <v>25.86</v>
      </c>
      <c r="M30" s="56">
        <v>63.04</v>
      </c>
      <c r="N30" s="56">
        <v>22.5</v>
      </c>
      <c r="O30" s="56">
        <v>0</v>
      </c>
      <c r="P30" s="56">
        <v>1.62</v>
      </c>
      <c r="Q30" s="56">
        <v>9.43</v>
      </c>
      <c r="R30" s="43"/>
      <c r="S30" s="43"/>
      <c r="T30" s="43"/>
      <c r="U30" s="43"/>
    </row>
    <row r="31" spans="1:21" s="11" customFormat="1" ht="15">
      <c r="A31" s="55" t="s">
        <v>732</v>
      </c>
      <c r="B31" s="56">
        <v>67.47</v>
      </c>
      <c r="C31" s="56">
        <v>35.81</v>
      </c>
      <c r="D31" s="56">
        <v>72.739999999999995</v>
      </c>
      <c r="E31" s="56">
        <v>2.78</v>
      </c>
      <c r="F31" s="56">
        <v>3.34</v>
      </c>
      <c r="G31" s="56">
        <v>104.59</v>
      </c>
      <c r="H31" s="56">
        <v>25.60</v>
      </c>
      <c r="I31" s="56">
        <v>10.52</v>
      </c>
      <c r="J31" s="56">
        <v>0.20</v>
      </c>
      <c r="K31" s="56">
        <v>324.45</v>
      </c>
      <c r="L31" s="56">
        <v>25.51</v>
      </c>
      <c r="M31" s="56">
        <v>62.43</v>
      </c>
      <c r="N31" s="56">
        <v>22.40</v>
      </c>
      <c r="O31" s="56">
        <v>0</v>
      </c>
      <c r="P31" s="56">
        <v>1.68</v>
      </c>
      <c r="Q31" s="56">
        <v>9.5399999999999991</v>
      </c>
      <c r="R31" s="43"/>
      <c r="S31" s="43"/>
      <c r="T31" s="43"/>
      <c r="U31" s="43"/>
    </row>
    <row r="32" spans="1:21" s="11" customFormat="1" ht="15">
      <c r="A32" s="55" t="s">
        <v>733</v>
      </c>
      <c r="B32" s="56">
        <v>65.819999999999993</v>
      </c>
      <c r="C32" s="56">
        <v>35.19</v>
      </c>
      <c r="D32" s="56">
        <v>71.09</v>
      </c>
      <c r="E32" s="56">
        <v>2.70</v>
      </c>
      <c r="F32" s="56">
        <v>3.74</v>
      </c>
      <c r="G32" s="56">
        <v>101.56</v>
      </c>
      <c r="H32" s="56">
        <v>25.10</v>
      </c>
      <c r="I32" s="56">
        <v>10.41</v>
      </c>
      <c r="J32" s="56">
        <v>0.28999999999999998</v>
      </c>
      <c r="K32" s="56">
        <v>344.63</v>
      </c>
      <c r="L32" s="56">
        <v>24.60</v>
      </c>
      <c r="M32" s="56">
        <v>65</v>
      </c>
      <c r="N32" s="56">
        <v>22.40</v>
      </c>
      <c r="O32" s="56">
        <v>0</v>
      </c>
      <c r="P32" s="56">
        <v>1.61</v>
      </c>
      <c r="Q32" s="56">
        <v>9.52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2.7000000000000002</v>
      </c>
      <c r="C34" s="28">
        <f t="shared" si="0"/>
        <v>29.969999999999999</v>
      </c>
      <c r="D34" s="28">
        <f t="shared" si="0"/>
        <v>20.84</v>
      </c>
      <c r="E34" s="28">
        <f t="shared" si="0"/>
        <v>0.60999999999999999</v>
      </c>
      <c r="F34" s="28">
        <f t="shared" si="0"/>
        <v>3.1400000000000001</v>
      </c>
      <c r="G34" s="28">
        <f t="shared" si="0"/>
        <v>32.829999999999998</v>
      </c>
      <c r="H34" s="28">
        <f t="shared" si="0"/>
        <v>11.41</v>
      </c>
      <c r="I34" s="28">
        <f t="shared" si="0"/>
        <v>5.3799999999999999</v>
      </c>
      <c r="J34" s="28">
        <f t="shared" si="0"/>
        <v>0.14000000000000001</v>
      </c>
      <c r="K34" s="28">
        <f t="shared" si="0"/>
        <v>96.939999999999998</v>
      </c>
      <c r="L34" s="28">
        <f t="shared" si="0"/>
        <v>24.510000000000002</v>
      </c>
      <c r="M34" s="28">
        <f t="shared" si="0"/>
        <v>36.009999999999998</v>
      </c>
      <c r="N34" s="28">
        <f t="shared" si="0"/>
        <v>22.399999999999999</v>
      </c>
      <c r="O34" s="28">
        <f t="shared" si="0"/>
        <v>0</v>
      </c>
      <c r="P34" s="28">
        <f t="shared" si="0"/>
        <v>0.51000000000000001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69.760000000000005</v>
      </c>
      <c r="C35" s="29">
        <f t="shared" si="1"/>
        <v>45.979999999999997</v>
      </c>
      <c r="D35" s="29">
        <f t="shared" si="1"/>
        <v>77.780000000000001</v>
      </c>
      <c r="E35" s="29">
        <f t="shared" si="1"/>
        <v>3.4700000000000002</v>
      </c>
      <c r="F35" s="29">
        <f t="shared" si="1"/>
        <v>6.8300000000000001</v>
      </c>
      <c r="G35" s="29">
        <f t="shared" si="1"/>
        <v>125.3</v>
      </c>
      <c r="H35" s="29">
        <f t="shared" si="1"/>
        <v>35.219999999999999</v>
      </c>
      <c r="I35" s="29">
        <f t="shared" si="1"/>
        <v>11.460000000000001</v>
      </c>
      <c r="J35" s="29">
        <f t="shared" si="1"/>
        <v>4.4900000000000002</v>
      </c>
      <c r="K35" s="29">
        <f t="shared" si="1"/>
        <v>359.83999999999997</v>
      </c>
      <c r="L35" s="29">
        <f t="shared" si="1"/>
        <v>33.020000000000003</v>
      </c>
      <c r="M35" s="29">
        <f t="shared" si="1"/>
        <v>65.379999999999995</v>
      </c>
      <c r="N35" s="29">
        <f t="shared" si="1"/>
        <v>702.5</v>
      </c>
      <c r="O35" s="29">
        <f t="shared" si="1"/>
        <v>0.20000000000000001</v>
      </c>
      <c r="P35" s="29">
        <f t="shared" si="1"/>
        <v>2.0499999999999998</v>
      </c>
      <c r="Q35" s="29">
        <f t="shared" si="1"/>
        <v>9.5500000000000007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31.235000000000003</v>
      </c>
      <c r="C36" s="28">
        <f t="shared" si="2"/>
        <v>36.875833333333333</v>
      </c>
      <c r="D36" s="28">
        <f t="shared" si="2"/>
        <v>43.81583333333333</v>
      </c>
      <c r="E36" s="28">
        <f t="shared" si="2"/>
        <v>1.9908333333333337</v>
      </c>
      <c r="F36" s="28">
        <f t="shared" si="2"/>
        <v>4.1383333333333328</v>
      </c>
      <c r="G36" s="28">
        <f t="shared" si="2"/>
        <v>71.420000000000002</v>
      </c>
      <c r="H36" s="28">
        <f t="shared" si="2"/>
        <v>22.618333333333336</v>
      </c>
      <c r="I36" s="28">
        <f t="shared" si="2"/>
        <v>8.8324999999999996</v>
      </c>
      <c r="J36" s="28">
        <f t="shared" si="2"/>
        <v>0.83416666666666661</v>
      </c>
      <c r="K36" s="28">
        <f t="shared" si="2"/>
        <v>324.13583333333332</v>
      </c>
      <c r="L36" s="28">
        <f t="shared" si="2"/>
        <v>28.230833333333337</v>
      </c>
      <c r="M36" s="28">
        <f t="shared" si="2"/>
        <v>53.576666666666675</v>
      </c>
      <c r="N36" s="28">
        <f t="shared" si="2"/>
        <v>207.18333333333328</v>
      </c>
      <c r="O36" s="28">
        <f t="shared" si="2"/>
        <v>0.0083333333333333332</v>
      </c>
      <c r="P36" s="28">
        <f t="shared" si="2"/>
        <v>1.0691666666666666</v>
      </c>
      <c r="Q36" s="28">
        <f t="shared" si="2"/>
        <v>9.3241666666666667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23.412361469215732</v>
      </c>
      <c r="C37" s="28">
        <f t="shared" si="3" ref="C37:Q37">STDEV(C9:C32)</f>
        <v>4.4371063001511439</v>
      </c>
      <c r="D37" s="28">
        <f t="shared" si="3"/>
        <v>18.540807851792799</v>
      </c>
      <c r="E37" s="28">
        <f t="shared" si="3"/>
        <v>0.67709685047822743</v>
      </c>
      <c r="F37" s="28">
        <f t="shared" si="3"/>
        <v>0.93413371478683338</v>
      </c>
      <c r="G37" s="28">
        <f t="shared" si="3"/>
        <v>24.633581003245947</v>
      </c>
      <c r="H37" s="28">
        <f t="shared" si="3"/>
        <v>7.0673860038585765</v>
      </c>
      <c r="I37" s="28">
        <f t="shared" si="3"/>
        <v>2.1362711316277503</v>
      </c>
      <c r="J37" s="28">
        <f t="shared" si="3"/>
        <v>1.0724612759469674</v>
      </c>
      <c r="K37" s="28">
        <f t="shared" si="3"/>
        <v>54.048533416668846</v>
      </c>
      <c r="L37" s="28">
        <f t="shared" si="3"/>
        <v>2.7059257303131581</v>
      </c>
      <c r="M37" s="28">
        <f t="shared" si="3"/>
        <v>9.4818112682933844</v>
      </c>
      <c r="N37" s="28">
        <f t="shared" si="3"/>
        <v>225.97906533795222</v>
      </c>
      <c r="O37" s="28">
        <f t="shared" si="3"/>
        <v>0.040824829046386311</v>
      </c>
      <c r="P37" s="28">
        <f t="shared" si="3"/>
        <v>0.45056405872471944</v>
      </c>
      <c r="Q37" s="28">
        <f t="shared" si="3"/>
        <v>0.13367438266071921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f077e3-2a76-42f3-885b-18160dae7410}">
  <sheetPr codeName=""/>
  <dimension ref="A1:U119"/>
  <sheetViews>
    <sheetView zoomScale="85" zoomScaleNormal="85" workbookViewId="0" topLeftCell="A1">
      <selection pane="topLeft" activeCell="H50" sqref="H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734</v>
      </c>
      <c r="B9" s="56">
        <v>60.95</v>
      </c>
      <c r="C9" s="56">
        <v>33.33</v>
      </c>
      <c r="D9" s="56">
        <v>66.209999999999994</v>
      </c>
      <c r="E9" s="56">
        <v>1.87</v>
      </c>
      <c r="F9" s="56">
        <v>3.61</v>
      </c>
      <c r="G9" s="56">
        <v>91.90</v>
      </c>
      <c r="H9" s="56">
        <v>23.79</v>
      </c>
      <c r="I9" s="56">
        <v>9.7100000000000009</v>
      </c>
      <c r="J9" s="56">
        <v>0.27</v>
      </c>
      <c r="K9" s="56">
        <v>344.67</v>
      </c>
      <c r="L9" s="56">
        <v>24.07</v>
      </c>
      <c r="M9" s="56">
        <v>67.010000000000005</v>
      </c>
      <c r="N9" s="56">
        <v>22.30</v>
      </c>
      <c r="O9" s="56">
        <v>0</v>
      </c>
      <c r="P9" s="56">
        <v>1.47</v>
      </c>
      <c r="Q9" s="56">
        <v>9.43</v>
      </c>
      <c r="R9" s="43"/>
      <c r="S9" s="43"/>
      <c r="T9" s="43"/>
      <c r="U9" s="43"/>
    </row>
    <row r="10" spans="1:21" s="11" customFormat="1" ht="15">
      <c r="A10" s="55" t="s">
        <v>735</v>
      </c>
      <c r="B10" s="56">
        <v>55.33</v>
      </c>
      <c r="C10" s="56">
        <v>32.39</v>
      </c>
      <c r="D10" s="56">
        <v>60.31</v>
      </c>
      <c r="E10" s="56">
        <v>1.72</v>
      </c>
      <c r="F10" s="56">
        <v>3.81</v>
      </c>
      <c r="G10" s="56">
        <v>79.36</v>
      </c>
      <c r="H10" s="56">
        <v>23.39</v>
      </c>
      <c r="I10" s="56">
        <v>10.029999999999999</v>
      </c>
      <c r="J10" s="56">
        <v>0.18</v>
      </c>
      <c r="K10" s="56">
        <v>304.27</v>
      </c>
      <c r="L10" s="56">
        <v>23.21</v>
      </c>
      <c r="M10" s="56">
        <v>72.47</v>
      </c>
      <c r="N10" s="56">
        <v>22.5</v>
      </c>
      <c r="O10" s="56">
        <v>0</v>
      </c>
      <c r="P10" s="56">
        <v>1.24</v>
      </c>
      <c r="Q10" s="56">
        <v>9.52</v>
      </c>
      <c r="R10" s="43"/>
      <c r="S10" s="43"/>
      <c r="T10" s="43"/>
      <c r="U10" s="43"/>
    </row>
    <row r="11" spans="1:21" s="11" customFormat="1" ht="15">
      <c r="A11" s="55" t="s">
        <v>736</v>
      </c>
      <c r="B11" s="56">
        <v>48.27</v>
      </c>
      <c r="C11" s="56">
        <v>31.99</v>
      </c>
      <c r="D11" s="56">
        <v>55.34</v>
      </c>
      <c r="E11" s="56">
        <v>1.80</v>
      </c>
      <c r="F11" s="56">
        <v>3.27</v>
      </c>
      <c r="G11" s="56">
        <v>65.36</v>
      </c>
      <c r="H11" s="56">
        <v>22.28</v>
      </c>
      <c r="I11" s="56">
        <v>10.83</v>
      </c>
      <c r="J11" s="56">
        <v>0.18</v>
      </c>
      <c r="K11" s="56">
        <v>352.75</v>
      </c>
      <c r="L11" s="56">
        <v>23.35</v>
      </c>
      <c r="M11" s="56">
        <v>76.459999999999994</v>
      </c>
      <c r="N11" s="56">
        <v>22.30</v>
      </c>
      <c r="O11" s="56">
        <v>0</v>
      </c>
      <c r="P11" s="56">
        <v>1.1499999999999999</v>
      </c>
      <c r="Q11" s="56">
        <v>9.44</v>
      </c>
      <c r="R11" s="43"/>
      <c r="S11" s="43"/>
      <c r="T11" s="43"/>
      <c r="U11" s="43"/>
    </row>
    <row r="12" spans="1:21" s="11" customFormat="1" ht="15">
      <c r="A12" s="55" t="s">
        <v>737</v>
      </c>
      <c r="B12" s="56">
        <v>41.10</v>
      </c>
      <c r="C12" s="56">
        <v>28.98</v>
      </c>
      <c r="D12" s="56">
        <v>48.02</v>
      </c>
      <c r="E12" s="56">
        <v>2.15</v>
      </c>
      <c r="F12" s="56">
        <v>3.37</v>
      </c>
      <c r="G12" s="56">
        <v>54.99</v>
      </c>
      <c r="H12" s="56">
        <v>18.82</v>
      </c>
      <c r="I12" s="56">
        <v>10</v>
      </c>
      <c r="J12" s="56">
        <v>0.14000000000000001</v>
      </c>
      <c r="K12" s="56">
        <v>328.84</v>
      </c>
      <c r="L12" s="56">
        <v>23.21</v>
      </c>
      <c r="M12" s="56">
        <v>77.56</v>
      </c>
      <c r="N12" s="56">
        <v>22.40</v>
      </c>
      <c r="O12" s="56">
        <v>0</v>
      </c>
      <c r="P12" s="56">
        <v>0.99</v>
      </c>
      <c r="Q12" s="56">
        <v>9.40</v>
      </c>
      <c r="R12" s="43"/>
      <c r="S12" s="43"/>
      <c r="T12" s="43"/>
      <c r="U12" s="43"/>
    </row>
    <row r="13" spans="1:21" s="11" customFormat="1" ht="15">
      <c r="A13" s="55" t="s">
        <v>738</v>
      </c>
      <c r="B13" s="56">
        <v>34.90</v>
      </c>
      <c r="C13" s="56">
        <v>30.07</v>
      </c>
      <c r="D13" s="56">
        <v>42.85</v>
      </c>
      <c r="E13" s="56">
        <v>2.10</v>
      </c>
      <c r="F13" s="56">
        <v>3.66</v>
      </c>
      <c r="G13" s="56">
        <v>70.80</v>
      </c>
      <c r="H13" s="56">
        <v>29.32</v>
      </c>
      <c r="I13" s="56">
        <v>9.52</v>
      </c>
      <c r="J13" s="56">
        <v>0.20</v>
      </c>
      <c r="K13" s="56">
        <v>267.66000000000003</v>
      </c>
      <c r="L13" s="56">
        <v>23.30</v>
      </c>
      <c r="M13" s="56">
        <v>76.47</v>
      </c>
      <c r="N13" s="56">
        <v>22.5</v>
      </c>
      <c r="O13" s="56">
        <v>0</v>
      </c>
      <c r="P13" s="56">
        <v>1.06</v>
      </c>
      <c r="Q13" s="56">
        <v>9.39</v>
      </c>
      <c r="R13" s="43"/>
      <c r="S13" s="43"/>
      <c r="T13" s="43"/>
      <c r="U13" s="43"/>
    </row>
    <row r="14" spans="1:21" s="11" customFormat="1" ht="15">
      <c r="A14" s="55" t="s">
        <v>739</v>
      </c>
      <c r="B14" s="56">
        <v>36.67</v>
      </c>
      <c r="C14" s="56">
        <v>29.19</v>
      </c>
      <c r="D14" s="56">
        <v>44.14</v>
      </c>
      <c r="E14" s="56">
        <v>2.2599999999999998</v>
      </c>
      <c r="F14" s="56">
        <v>3.53</v>
      </c>
      <c r="G14" s="56">
        <v>86.20</v>
      </c>
      <c r="H14" s="56">
        <v>37.619999999999997</v>
      </c>
      <c r="I14" s="56">
        <v>9.52</v>
      </c>
      <c r="J14" s="56">
        <v>0.25</v>
      </c>
      <c r="K14" s="56">
        <v>337.35</v>
      </c>
      <c r="L14" s="56">
        <v>22.99</v>
      </c>
      <c r="M14" s="56">
        <v>80.37</v>
      </c>
      <c r="N14" s="56">
        <v>52.80</v>
      </c>
      <c r="O14" s="56">
        <v>0</v>
      </c>
      <c r="P14" s="56">
        <v>1.07</v>
      </c>
      <c r="Q14" s="56">
        <v>9.3699999999999992</v>
      </c>
      <c r="R14" s="43"/>
      <c r="S14" s="43"/>
      <c r="T14" s="43"/>
      <c r="U14" s="43"/>
    </row>
    <row r="15" spans="1:21" s="11" customFormat="1" ht="15">
      <c r="A15" s="55" t="s">
        <v>740</v>
      </c>
      <c r="B15" s="56">
        <v>42.42</v>
      </c>
      <c r="C15" s="56">
        <v>28.76</v>
      </c>
      <c r="D15" s="56">
        <v>48.76</v>
      </c>
      <c r="E15" s="56">
        <v>2.38</v>
      </c>
      <c r="F15" s="56">
        <v>3.63</v>
      </c>
      <c r="G15" s="56">
        <v>91.22</v>
      </c>
      <c r="H15" s="56">
        <v>35.60</v>
      </c>
      <c r="I15" s="56">
        <v>10.65</v>
      </c>
      <c r="J15" s="56">
        <v>0.56999999999999995</v>
      </c>
      <c r="K15" s="56">
        <v>333.33</v>
      </c>
      <c r="L15" s="56">
        <v>25.41</v>
      </c>
      <c r="M15" s="56">
        <v>79.41</v>
      </c>
      <c r="N15" s="56">
        <v>233.60</v>
      </c>
      <c r="O15" s="56">
        <v>0</v>
      </c>
      <c r="P15" s="56">
        <v>1.08</v>
      </c>
      <c r="Q15" s="56">
        <v>9.39</v>
      </c>
      <c r="R15" s="43"/>
      <c r="S15" s="43"/>
      <c r="T15" s="43"/>
      <c r="U15" s="43"/>
    </row>
    <row r="16" spans="1:21" s="11" customFormat="1" ht="15">
      <c r="A16" s="55" t="s">
        <v>741</v>
      </c>
      <c r="B16" s="56">
        <v>40.96</v>
      </c>
      <c r="C16" s="56">
        <v>28.55</v>
      </c>
      <c r="D16" s="56">
        <v>47.41</v>
      </c>
      <c r="E16" s="56">
        <v>2.2400000000000002</v>
      </c>
      <c r="F16" s="56">
        <v>3.71</v>
      </c>
      <c r="G16" s="56">
        <v>100.88</v>
      </c>
      <c r="H16" s="56">
        <v>38.60</v>
      </c>
      <c r="I16" s="56">
        <v>10.57</v>
      </c>
      <c r="J16" s="56">
        <v>1.35</v>
      </c>
      <c r="K16" s="56">
        <v>188.49</v>
      </c>
      <c r="L16" s="56">
        <v>27.56</v>
      </c>
      <c r="M16" s="56">
        <v>62.56</v>
      </c>
      <c r="N16" s="56">
        <v>406.10</v>
      </c>
      <c r="O16" s="56">
        <v>0</v>
      </c>
      <c r="P16" s="56">
        <v>1.05</v>
      </c>
      <c r="Q16" s="56">
        <v>9.33</v>
      </c>
      <c r="R16" s="43"/>
      <c r="S16" s="43"/>
      <c r="T16" s="43"/>
      <c r="U16" s="43"/>
    </row>
    <row r="17" spans="1:21" s="11" customFormat="1" ht="15">
      <c r="A17" s="55" t="s">
        <v>742</v>
      </c>
      <c r="B17" s="56">
        <v>31.80</v>
      </c>
      <c r="C17" s="56">
        <v>34.119999999999997</v>
      </c>
      <c r="D17" s="56">
        <v>40.44</v>
      </c>
      <c r="E17" s="56">
        <v>1.17</v>
      </c>
      <c r="F17" s="56">
        <v>3.92</v>
      </c>
      <c r="G17" s="56">
        <v>93.45</v>
      </c>
      <c r="H17" s="56">
        <v>76.930000000000007</v>
      </c>
      <c r="I17" s="56">
        <v>10.43</v>
      </c>
      <c r="J17" s="56">
        <v>0.28000000000000003</v>
      </c>
      <c r="K17" s="56">
        <v>354.95</v>
      </c>
      <c r="L17" s="56">
        <v>31.12</v>
      </c>
      <c r="M17" s="56">
        <v>50.54</v>
      </c>
      <c r="N17" s="56">
        <v>630.5</v>
      </c>
      <c r="O17" s="56">
        <v>0</v>
      </c>
      <c r="P17" s="56">
        <v>0.95</v>
      </c>
      <c r="Q17" s="56">
        <v>9.34</v>
      </c>
      <c r="R17" s="43"/>
      <c r="S17" s="43"/>
      <c r="T17" s="43"/>
      <c r="U17" s="43"/>
    </row>
    <row r="18" spans="1:21" s="11" customFormat="1" ht="15">
      <c r="A18" s="55" t="s">
        <v>743</v>
      </c>
      <c r="B18" s="56">
        <v>16.059999999999999</v>
      </c>
      <c r="C18" s="56">
        <v>44.03</v>
      </c>
      <c r="D18" s="56">
        <v>32.75</v>
      </c>
      <c r="E18" s="56">
        <v>1.31</v>
      </c>
      <c r="F18" s="56">
        <v>4.84</v>
      </c>
      <c r="G18" s="56">
        <v>72</v>
      </c>
      <c r="H18" s="56">
        <v>23.68</v>
      </c>
      <c r="I18" s="56">
        <v>9.6199999999999992</v>
      </c>
      <c r="J18" s="56">
        <v>0.42</v>
      </c>
      <c r="K18" s="56">
        <v>353.12</v>
      </c>
      <c r="L18" s="56">
        <v>31.24</v>
      </c>
      <c r="M18" s="56">
        <v>45.65</v>
      </c>
      <c r="N18" s="56">
        <v>500.20</v>
      </c>
      <c r="O18" s="56">
        <v>0</v>
      </c>
      <c r="P18" s="56">
        <v>0.79</v>
      </c>
      <c r="Q18" s="56">
        <v>9.2100000000000009</v>
      </c>
      <c r="R18" s="43"/>
      <c r="S18" s="43"/>
      <c r="T18" s="43"/>
      <c r="U18" s="43"/>
    </row>
    <row r="19" spans="1:21" s="11" customFormat="1" ht="15">
      <c r="A19" s="55" t="s">
        <v>744</v>
      </c>
      <c r="B19" s="56">
        <v>4.38</v>
      </c>
      <c r="C19" s="56">
        <v>71.069999999999993</v>
      </c>
      <c r="D19" s="56">
        <v>38.58</v>
      </c>
      <c r="E19" s="56">
        <v>8.08</v>
      </c>
      <c r="F19" s="56">
        <v>44.36</v>
      </c>
      <c r="G19" s="56">
        <v>67.70</v>
      </c>
      <c r="H19" s="56">
        <v>19.260000000000002</v>
      </c>
      <c r="I19" s="56">
        <v>7.76</v>
      </c>
      <c r="J19" s="56">
        <v>0.45</v>
      </c>
      <c r="K19" s="56">
        <v>354.04</v>
      </c>
      <c r="L19" s="56">
        <v>36.72</v>
      </c>
      <c r="M19" s="56">
        <v>37.64</v>
      </c>
      <c r="N19" s="56">
        <v>833.90</v>
      </c>
      <c r="O19" s="56">
        <v>0</v>
      </c>
      <c r="P19" s="56">
        <v>1.46</v>
      </c>
      <c r="Q19" s="56">
        <v>9.16</v>
      </c>
      <c r="R19" s="43"/>
      <c r="S19" s="43"/>
      <c r="T19" s="43"/>
      <c r="U19" s="43"/>
    </row>
    <row r="20" spans="1:21" s="11" customFormat="1" ht="15">
      <c r="A20" s="55" t="s">
        <v>745</v>
      </c>
      <c r="B20" s="56">
        <v>1.1100000000000001</v>
      </c>
      <c r="C20" s="56">
        <v>69.03</v>
      </c>
      <c r="D20" s="56">
        <v>36.880000000000003</v>
      </c>
      <c r="E20" s="56">
        <v>8.02</v>
      </c>
      <c r="F20" s="56">
        <v>31.46</v>
      </c>
      <c r="G20" s="56">
        <v>84.18</v>
      </c>
      <c r="H20" s="56">
        <v>102.55</v>
      </c>
      <c r="I20" s="56">
        <v>7.23</v>
      </c>
      <c r="J20" s="56">
        <v>0.30</v>
      </c>
      <c r="K20" s="56">
        <v>353.78</v>
      </c>
      <c r="L20" s="56">
        <v>36.130000000000003</v>
      </c>
      <c r="M20" s="56">
        <v>31.73</v>
      </c>
      <c r="N20" s="56">
        <v>902.60</v>
      </c>
      <c r="O20" s="56">
        <v>0</v>
      </c>
      <c r="P20" s="56">
        <v>1.48</v>
      </c>
      <c r="Q20" s="56">
        <v>9.14</v>
      </c>
      <c r="R20" s="43"/>
      <c r="S20" s="43"/>
      <c r="T20" s="43"/>
      <c r="U20" s="43"/>
    </row>
    <row r="21" spans="1:21" s="11" customFormat="1" ht="15">
      <c r="A21" s="55" t="s">
        <v>746</v>
      </c>
      <c r="B21" s="56">
        <v>1.1499999999999999</v>
      </c>
      <c r="C21" s="56">
        <v>39.22</v>
      </c>
      <c r="D21" s="56">
        <v>21.15</v>
      </c>
      <c r="E21" s="56">
        <v>2.62</v>
      </c>
      <c r="F21" s="56">
        <v>9.9700000000000006</v>
      </c>
      <c r="G21" s="56">
        <v>77.52</v>
      </c>
      <c r="H21" s="56">
        <v>74.05</v>
      </c>
      <c r="I21" s="56">
        <v>6.54</v>
      </c>
      <c r="J21" s="56">
        <v>0.38</v>
      </c>
      <c r="K21" s="56">
        <v>321.35000000000002</v>
      </c>
      <c r="L21" s="56">
        <v>38.39</v>
      </c>
      <c r="M21" s="56">
        <v>29.90</v>
      </c>
      <c r="N21" s="56">
        <v>897.70</v>
      </c>
      <c r="O21" s="56">
        <v>0</v>
      </c>
      <c r="P21" s="56">
        <v>1.04</v>
      </c>
      <c r="Q21" s="56">
        <v>9.14</v>
      </c>
      <c r="R21" s="43"/>
      <c r="S21" s="43"/>
      <c r="T21" s="43"/>
      <c r="U21" s="43"/>
    </row>
    <row r="22" spans="1:21" s="11" customFormat="1" ht="15">
      <c r="A22" s="55" t="s">
        <v>747</v>
      </c>
      <c r="B22" s="56">
        <v>0.98</v>
      </c>
      <c r="C22" s="56">
        <v>30.21</v>
      </c>
      <c r="D22" s="56">
        <v>16.43</v>
      </c>
      <c r="E22" s="56">
        <v>3.17</v>
      </c>
      <c r="F22" s="56">
        <v>15.78</v>
      </c>
      <c r="G22" s="56">
        <v>51.62</v>
      </c>
      <c r="H22" s="56">
        <v>22.32</v>
      </c>
      <c r="I22" s="56">
        <v>4.99</v>
      </c>
      <c r="J22" s="56">
        <v>0.56999999999999995</v>
      </c>
      <c r="K22" s="56">
        <v>321.75</v>
      </c>
      <c r="L22" s="56">
        <v>38.57</v>
      </c>
      <c r="M22" s="56">
        <v>27.73</v>
      </c>
      <c r="N22" s="56">
        <v>820</v>
      </c>
      <c r="O22" s="56">
        <v>0</v>
      </c>
      <c r="P22" s="56">
        <v>0.71</v>
      </c>
      <c r="Q22" s="56">
        <v>9.11</v>
      </c>
      <c r="R22" s="43"/>
      <c r="S22" s="43"/>
      <c r="T22" s="43"/>
      <c r="U22" s="43"/>
    </row>
    <row r="23" spans="1:21" s="11" customFormat="1" ht="15">
      <c r="A23" s="55" t="s">
        <v>748</v>
      </c>
      <c r="B23" s="56">
        <v>1.1000000000000001</v>
      </c>
      <c r="C23" s="56">
        <v>29.94</v>
      </c>
      <c r="D23" s="56">
        <v>16.27</v>
      </c>
      <c r="E23" s="56">
        <v>2.41</v>
      </c>
      <c r="F23" s="56">
        <v>14.5</v>
      </c>
      <c r="G23" s="56">
        <v>37.54</v>
      </c>
      <c r="H23" s="56">
        <v>18.579999999999998</v>
      </c>
      <c r="I23" s="56">
        <v>3.75</v>
      </c>
      <c r="J23" s="56">
        <v>0.45</v>
      </c>
      <c r="K23" s="56">
        <v>326.95999999999998</v>
      </c>
      <c r="L23" s="56">
        <v>37.869999999999997</v>
      </c>
      <c r="M23" s="56">
        <v>26.12</v>
      </c>
      <c r="N23" s="56">
        <v>645.70000000000005</v>
      </c>
      <c r="O23" s="56">
        <v>0</v>
      </c>
      <c r="P23" s="56">
        <v>0.53</v>
      </c>
      <c r="Q23" s="56">
        <v>9.14</v>
      </c>
      <c r="R23" s="43"/>
      <c r="S23" s="43"/>
      <c r="T23" s="43"/>
      <c r="U23" s="43"/>
    </row>
    <row r="24" spans="1:21" s="11" customFormat="1" ht="15">
      <c r="A24" s="55" t="s">
        <v>749</v>
      </c>
      <c r="B24" s="56">
        <v>1.04</v>
      </c>
      <c r="C24" s="56">
        <v>27.89</v>
      </c>
      <c r="D24" s="56">
        <v>15.19</v>
      </c>
      <c r="E24" s="56">
        <v>2.4900000000000002</v>
      </c>
      <c r="F24" s="56">
        <v>13.84</v>
      </c>
      <c r="G24" s="56">
        <v>35.78</v>
      </c>
      <c r="H24" s="56">
        <v>10.10</v>
      </c>
      <c r="I24" s="56">
        <v>3.35</v>
      </c>
      <c r="J24" s="56">
        <v>0.28999999999999998</v>
      </c>
      <c r="K24" s="56">
        <v>357.65</v>
      </c>
      <c r="L24" s="56">
        <v>36.83</v>
      </c>
      <c r="M24" s="56">
        <v>27.28</v>
      </c>
      <c r="N24" s="56">
        <v>285.39999999999998</v>
      </c>
      <c r="O24" s="56">
        <v>0</v>
      </c>
      <c r="P24" s="56">
        <v>0.49</v>
      </c>
      <c r="Q24" s="56">
        <v>9.1300000000000008</v>
      </c>
      <c r="R24" s="43"/>
      <c r="S24" s="43"/>
      <c r="T24" s="43"/>
      <c r="U24" s="43"/>
    </row>
    <row r="25" spans="1:21" s="11" customFormat="1" ht="15">
      <c r="A25" s="55" t="s">
        <v>750</v>
      </c>
      <c r="B25" s="56">
        <v>0.93</v>
      </c>
      <c r="C25" s="56">
        <v>23.78</v>
      </c>
      <c r="D25" s="56">
        <v>13.02</v>
      </c>
      <c r="E25" s="56">
        <v>2.90</v>
      </c>
      <c r="F25" s="56">
        <v>12.84</v>
      </c>
      <c r="G25" s="56">
        <v>50.23</v>
      </c>
      <c r="H25" s="56">
        <v>23.87</v>
      </c>
      <c r="I25" s="56">
        <v>3.26</v>
      </c>
      <c r="J25" s="56">
        <v>0.17</v>
      </c>
      <c r="K25" s="56">
        <v>355.24</v>
      </c>
      <c r="L25" s="56">
        <v>36.25</v>
      </c>
      <c r="M25" s="56">
        <v>26.73</v>
      </c>
      <c r="N25" s="56">
        <v>165.80</v>
      </c>
      <c r="O25" s="56">
        <v>0</v>
      </c>
      <c r="P25" s="56">
        <v>0.43</v>
      </c>
      <c r="Q25" s="56">
        <v>9.1199999999999992</v>
      </c>
      <c r="R25" s="43"/>
      <c r="S25" s="43"/>
      <c r="T25" s="43"/>
      <c r="U25" s="43"/>
    </row>
    <row r="26" spans="1:21" s="11" customFormat="1" ht="15">
      <c r="A26" s="55" t="s">
        <v>751</v>
      </c>
      <c r="B26" s="56">
        <v>1.22</v>
      </c>
      <c r="C26" s="56">
        <v>30.28</v>
      </c>
      <c r="D26" s="56">
        <v>16.72</v>
      </c>
      <c r="E26" s="56">
        <v>2.84</v>
      </c>
      <c r="F26" s="56">
        <v>13.07</v>
      </c>
      <c r="G26" s="56">
        <v>47.23</v>
      </c>
      <c r="H26" s="56">
        <v>20.28</v>
      </c>
      <c r="I26" s="56">
        <v>2.83</v>
      </c>
      <c r="J26" s="56">
        <v>0.92</v>
      </c>
      <c r="K26" s="56">
        <v>322.95999999999998</v>
      </c>
      <c r="L26" s="56">
        <v>35.79</v>
      </c>
      <c r="M26" s="56">
        <v>39.42</v>
      </c>
      <c r="N26" s="56">
        <v>92.40</v>
      </c>
      <c r="O26" s="56">
        <v>0</v>
      </c>
      <c r="P26" s="56">
        <v>0.43</v>
      </c>
      <c r="Q26" s="56">
        <v>9.11</v>
      </c>
      <c r="R26" s="43"/>
      <c r="S26" s="43"/>
      <c r="T26" s="43"/>
      <c r="U26" s="43"/>
    </row>
    <row r="27" spans="1:21" s="11" customFormat="1" ht="15">
      <c r="A27" s="55" t="s">
        <v>752</v>
      </c>
      <c r="B27" s="56">
        <v>2.19</v>
      </c>
      <c r="C27" s="56">
        <v>34.15</v>
      </c>
      <c r="D27" s="56">
        <v>19.05</v>
      </c>
      <c r="E27" s="56">
        <v>2.4700000000000002</v>
      </c>
      <c r="F27" s="56">
        <v>6.32</v>
      </c>
      <c r="G27" s="56">
        <v>40.75</v>
      </c>
      <c r="H27" s="56">
        <v>24.71</v>
      </c>
      <c r="I27" s="56">
        <v>3.26</v>
      </c>
      <c r="J27" s="56">
        <v>1.1599999999999999</v>
      </c>
      <c r="K27" s="56">
        <v>320.66000000000003</v>
      </c>
      <c r="L27" s="56">
        <v>32.159999999999997</v>
      </c>
      <c r="M27" s="56">
        <v>41.44</v>
      </c>
      <c r="N27" s="56">
        <v>35.10</v>
      </c>
      <c r="O27" s="56">
        <v>0</v>
      </c>
      <c r="P27" s="56">
        <v>0.47</v>
      </c>
      <c r="Q27" s="56">
        <v>9.1199999999999992</v>
      </c>
      <c r="R27" s="43"/>
      <c r="S27" s="43"/>
      <c r="T27" s="43"/>
      <c r="U27" s="43"/>
    </row>
    <row r="28" spans="1:21" s="11" customFormat="1" ht="15">
      <c r="A28" s="55" t="s">
        <v>753</v>
      </c>
      <c r="B28" s="56">
        <v>5.71</v>
      </c>
      <c r="C28" s="56">
        <v>31.12</v>
      </c>
      <c r="D28" s="56">
        <v>20.76</v>
      </c>
      <c r="E28" s="56">
        <v>2.58</v>
      </c>
      <c r="F28" s="56">
        <v>4.3499999999999996</v>
      </c>
      <c r="G28" s="56">
        <v>37.93</v>
      </c>
      <c r="H28" s="56">
        <v>22.30</v>
      </c>
      <c r="I28" s="56">
        <v>4.33</v>
      </c>
      <c r="J28" s="56">
        <v>0.62</v>
      </c>
      <c r="K28" s="56">
        <v>348.71</v>
      </c>
      <c r="L28" s="56">
        <v>31.84</v>
      </c>
      <c r="M28" s="56">
        <v>38.49</v>
      </c>
      <c r="N28" s="56">
        <v>25.40</v>
      </c>
      <c r="O28" s="56">
        <v>0</v>
      </c>
      <c r="P28" s="56">
        <v>0.75</v>
      </c>
      <c r="Q28" s="56">
        <v>9.17</v>
      </c>
      <c r="R28" s="43"/>
      <c r="S28" s="43"/>
      <c r="T28" s="43"/>
      <c r="U28" s="43"/>
    </row>
    <row r="29" spans="1:21" s="11" customFormat="1" ht="15">
      <c r="A29" s="55" t="s">
        <v>754</v>
      </c>
      <c r="B29" s="56">
        <v>8.51</v>
      </c>
      <c r="C29" s="56">
        <v>30.24</v>
      </c>
      <c r="D29" s="56">
        <v>22.51</v>
      </c>
      <c r="E29" s="56">
        <v>2.10</v>
      </c>
      <c r="F29" s="56">
        <v>3.95</v>
      </c>
      <c r="G29" s="56">
        <v>48.87</v>
      </c>
      <c r="H29" s="56">
        <v>26.05</v>
      </c>
      <c r="I29" s="56">
        <v>6.04</v>
      </c>
      <c r="J29" s="56">
        <v>1.1499999999999999</v>
      </c>
      <c r="K29" s="56">
        <v>172.25</v>
      </c>
      <c r="L29" s="56">
        <v>31.16</v>
      </c>
      <c r="M29" s="56">
        <v>40.39</v>
      </c>
      <c r="N29" s="56">
        <v>25.10</v>
      </c>
      <c r="O29" s="56">
        <v>0</v>
      </c>
      <c r="P29" s="56">
        <v>0.81</v>
      </c>
      <c r="Q29" s="56">
        <v>9.18</v>
      </c>
      <c r="R29" s="43"/>
      <c r="S29" s="43"/>
      <c r="T29" s="43"/>
      <c r="U29" s="43"/>
    </row>
    <row r="30" spans="1:21" s="11" customFormat="1" ht="15">
      <c r="A30" s="55" t="s">
        <v>755</v>
      </c>
      <c r="B30" s="56">
        <v>7.34</v>
      </c>
      <c r="C30" s="56">
        <v>29.13</v>
      </c>
      <c r="D30" s="56">
        <v>21.03</v>
      </c>
      <c r="E30" s="56">
        <v>1.90</v>
      </c>
      <c r="F30" s="56">
        <v>3.99</v>
      </c>
      <c r="G30" s="56">
        <v>48.76</v>
      </c>
      <c r="H30" s="56">
        <v>23.76</v>
      </c>
      <c r="I30" s="56">
        <v>6.23</v>
      </c>
      <c r="J30" s="56">
        <v>0.82</v>
      </c>
      <c r="K30" s="56">
        <v>205.85</v>
      </c>
      <c r="L30" s="56">
        <v>30.16</v>
      </c>
      <c r="M30" s="56">
        <v>43.85</v>
      </c>
      <c r="N30" s="56">
        <v>25.70</v>
      </c>
      <c r="O30" s="56">
        <v>0</v>
      </c>
      <c r="P30" s="56">
        <v>0.77</v>
      </c>
      <c r="Q30" s="56">
        <v>9.14</v>
      </c>
      <c r="R30" s="43"/>
      <c r="S30" s="43"/>
      <c r="T30" s="43"/>
      <c r="U30" s="43"/>
    </row>
    <row r="31" spans="1:21" s="11" customFormat="1" ht="15">
      <c r="A31" s="55" t="s">
        <v>756</v>
      </c>
      <c r="B31" s="56">
        <v>5.32</v>
      </c>
      <c r="C31" s="56">
        <v>28.88</v>
      </c>
      <c r="D31" s="56">
        <v>18.25</v>
      </c>
      <c r="E31" s="56">
        <v>1.97</v>
      </c>
      <c r="F31" s="56">
        <v>4</v>
      </c>
      <c r="G31" s="56">
        <v>50.93</v>
      </c>
      <c r="H31" s="56">
        <v>18.440000000000001</v>
      </c>
      <c r="I31" s="56">
        <v>5.97</v>
      </c>
      <c r="J31" s="56">
        <v>0.60</v>
      </c>
      <c r="K31" s="56">
        <v>208.45</v>
      </c>
      <c r="L31" s="56">
        <v>29.35</v>
      </c>
      <c r="M31" s="56">
        <v>48.23</v>
      </c>
      <c r="N31" s="56">
        <v>25.10</v>
      </c>
      <c r="O31" s="56">
        <v>0</v>
      </c>
      <c r="P31" s="56">
        <v>0.73</v>
      </c>
      <c r="Q31" s="56">
        <v>9.18</v>
      </c>
      <c r="R31" s="43"/>
      <c r="S31" s="43"/>
      <c r="T31" s="43"/>
      <c r="U31" s="43"/>
    </row>
    <row r="32" spans="1:21" s="11" customFormat="1" ht="15">
      <c r="A32" s="55" t="s">
        <v>757</v>
      </c>
      <c r="B32" s="56">
        <v>3.90</v>
      </c>
      <c r="C32" s="56">
        <v>28.38</v>
      </c>
      <c r="D32" s="56">
        <v>17.87</v>
      </c>
      <c r="E32" s="56">
        <v>2.12</v>
      </c>
      <c r="F32" s="56">
        <v>4.42</v>
      </c>
      <c r="G32" s="56">
        <v>49.24</v>
      </c>
      <c r="H32" s="56">
        <v>17.18</v>
      </c>
      <c r="I32" s="56">
        <v>6.19</v>
      </c>
      <c r="J32" s="56">
        <v>0.60</v>
      </c>
      <c r="K32" s="56">
        <v>200.96</v>
      </c>
      <c r="L32" s="56">
        <v>28.5</v>
      </c>
      <c r="M32" s="56">
        <v>54.35</v>
      </c>
      <c r="N32" s="56">
        <v>25.5</v>
      </c>
      <c r="O32" s="56">
        <v>0</v>
      </c>
      <c r="P32" s="56">
        <v>0.67</v>
      </c>
      <c r="Q32" s="56">
        <v>9.1199999999999992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0.93000000000000005</v>
      </c>
      <c r="C34" s="28">
        <f t="shared" si="0"/>
        <v>23.780000000000001</v>
      </c>
      <c r="D34" s="28">
        <f t="shared" si="0"/>
        <v>13.02</v>
      </c>
      <c r="E34" s="28">
        <f t="shared" si="0"/>
        <v>1.1699999999999999</v>
      </c>
      <c r="F34" s="28">
        <f t="shared" si="0"/>
        <v>3.27</v>
      </c>
      <c r="G34" s="28">
        <f t="shared" si="0"/>
        <v>35.780000000000001</v>
      </c>
      <c r="H34" s="28">
        <f t="shared" si="0"/>
        <v>10.1</v>
      </c>
      <c r="I34" s="28">
        <f t="shared" si="0"/>
        <v>2.8300000000000001</v>
      </c>
      <c r="J34" s="28">
        <f t="shared" si="0"/>
        <v>0.14000000000000001</v>
      </c>
      <c r="K34" s="28">
        <f t="shared" si="0"/>
        <v>172.25</v>
      </c>
      <c r="L34" s="28">
        <f t="shared" si="0"/>
        <v>22.989999999999998</v>
      </c>
      <c r="M34" s="28">
        <f t="shared" si="0"/>
        <v>26.120000000000001</v>
      </c>
      <c r="N34" s="28">
        <f t="shared" si="0"/>
        <v>22.300000000000001</v>
      </c>
      <c r="O34" s="28">
        <f t="shared" si="0"/>
        <v>0</v>
      </c>
      <c r="P34" s="28">
        <f t="shared" si="0"/>
        <v>0.42999999999999999</v>
      </c>
      <c r="Q34" s="28">
        <f t="shared" si="0"/>
        <v>9.1099999999999994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60.950000000000003</v>
      </c>
      <c r="C35" s="29">
        <f t="shared" si="1"/>
        <v>71.069999999999993</v>
      </c>
      <c r="D35" s="29">
        <f t="shared" si="1"/>
        <v>66.209999999999994</v>
      </c>
      <c r="E35" s="29">
        <f t="shared" si="1"/>
        <v>8.0800000000000001</v>
      </c>
      <c r="F35" s="29">
        <f t="shared" si="1"/>
        <v>44.359999999999999</v>
      </c>
      <c r="G35" s="29">
        <f t="shared" si="1"/>
        <v>100.88</v>
      </c>
      <c r="H35" s="29">
        <f t="shared" si="1"/>
        <v>102.55</v>
      </c>
      <c r="I35" s="29">
        <f t="shared" si="1"/>
        <v>10.83</v>
      </c>
      <c r="J35" s="29">
        <f t="shared" si="1"/>
        <v>1.3500000000000001</v>
      </c>
      <c r="K35" s="29">
        <f t="shared" si="1"/>
        <v>357.64999999999998</v>
      </c>
      <c r="L35" s="29">
        <f t="shared" si="1"/>
        <v>38.57</v>
      </c>
      <c r="M35" s="29">
        <f t="shared" si="1"/>
        <v>80.370000000000005</v>
      </c>
      <c r="N35" s="29">
        <f t="shared" si="1"/>
        <v>902.60000000000002</v>
      </c>
      <c r="O35" s="29">
        <f t="shared" si="1"/>
        <v>0</v>
      </c>
      <c r="P35" s="29">
        <f t="shared" si="1"/>
        <v>1.48</v>
      </c>
      <c r="Q35" s="29">
        <f t="shared" si="1"/>
        <v>9.5199999999999996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18.889166666666668</v>
      </c>
      <c r="C36" s="28">
        <f t="shared" si="2"/>
        <v>34.363750000000003</v>
      </c>
      <c r="D36" s="28">
        <f t="shared" si="2"/>
        <v>32.497499999999995</v>
      </c>
      <c r="E36" s="28">
        <f t="shared" si="2"/>
        <v>2.6945833333333336</v>
      </c>
      <c r="F36" s="28">
        <f t="shared" si="2"/>
        <v>9.1749999999999989</v>
      </c>
      <c r="G36" s="28">
        <f t="shared" si="2"/>
        <v>63.935000000000002</v>
      </c>
      <c r="H36" s="28">
        <f t="shared" si="2"/>
        <v>31.395</v>
      </c>
      <c r="I36" s="28">
        <f t="shared" si="2"/>
        <v>7.1920833333333336</v>
      </c>
      <c r="J36" s="28">
        <f t="shared" si="2"/>
        <v>0.51333333333333331</v>
      </c>
      <c r="K36" s="28">
        <f t="shared" si="2"/>
        <v>305.66833333333329</v>
      </c>
      <c r="L36" s="28">
        <f t="shared" si="2"/>
        <v>30.632499999999997</v>
      </c>
      <c r="M36" s="28">
        <f t="shared" si="2"/>
        <v>50.074999999999989</v>
      </c>
      <c r="N36" s="28">
        <f t="shared" si="2"/>
        <v>280.85833333333329</v>
      </c>
      <c r="O36" s="28">
        <f t="shared" si="2"/>
        <v>0</v>
      </c>
      <c r="P36" s="28">
        <f t="shared" si="2"/>
        <v>0.90083333333333337</v>
      </c>
      <c r="Q36" s="28">
        <f t="shared" si="2"/>
        <v>9.2408333333333346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20.616469338153276</v>
      </c>
      <c r="C37" s="28">
        <f t="shared" si="3" ref="C37:Q37">STDEV(C9:C32)</f>
        <v>11.692497338966518</v>
      </c>
      <c r="D37" s="28">
        <f t="shared" si="3"/>
        <v>16.240912442240493</v>
      </c>
      <c r="E37" s="28">
        <f t="shared" si="3"/>
        <v>1.7131232072412079</v>
      </c>
      <c r="F37" s="28">
        <f t="shared" si="3"/>
        <v>9.9787012311657879</v>
      </c>
      <c r="G37" s="28">
        <f t="shared" si="3"/>
        <v>20.283963037871523</v>
      </c>
      <c r="H37" s="28">
        <f t="shared" si="3"/>
        <v>21.971199923694581</v>
      </c>
      <c r="I37" s="28">
        <f t="shared" si="3"/>
        <v>2.8068053620762035</v>
      </c>
      <c r="J37" s="28">
        <f t="shared" si="3"/>
        <v>0.3430257521916783</v>
      </c>
      <c r="K37" s="28">
        <f t="shared" si="3"/>
        <v>61.583778543624462</v>
      </c>
      <c r="L37" s="28">
        <f t="shared" si="3"/>
        <v>5.5391007353650652</v>
      </c>
      <c r="M37" s="28">
        <f t="shared" si="3"/>
        <v>19.114183215612464</v>
      </c>
      <c r="N37" s="28">
        <f t="shared" si="3"/>
        <v>330.12235533625045</v>
      </c>
      <c r="O37" s="28">
        <f t="shared" si="3"/>
        <v>0</v>
      </c>
      <c r="P37" s="28">
        <f t="shared" si="3"/>
        <v>0.32314913324785582</v>
      </c>
      <c r="Q37" s="28">
        <f t="shared" si="3"/>
        <v>0.13328350518201534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2f994e-d84c-443a-8457-a7dfe3b5e156}">
  <sheetPr codeName=""/>
  <dimension ref="A1:U119"/>
  <sheetViews>
    <sheetView zoomScale="85" zoomScaleNormal="85" workbookViewId="0" topLeftCell="A1">
      <selection pane="topLef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758</v>
      </c>
      <c r="B9" s="56">
        <v>3.28</v>
      </c>
      <c r="C9" s="56">
        <v>24.47</v>
      </c>
      <c r="D9" s="56">
        <v>15.34</v>
      </c>
      <c r="E9" s="56">
        <v>2.13</v>
      </c>
      <c r="F9" s="56">
        <v>4.18</v>
      </c>
      <c r="G9" s="56">
        <v>54.62</v>
      </c>
      <c r="H9" s="56">
        <v>19.03</v>
      </c>
      <c r="I9" s="56">
        <v>6.34</v>
      </c>
      <c r="J9" s="56">
        <v>0.35</v>
      </c>
      <c r="K9" s="56">
        <v>227.14</v>
      </c>
      <c r="L9" s="56">
        <v>27.25</v>
      </c>
      <c r="M9" s="56">
        <v>59.92</v>
      </c>
      <c r="N9" s="56">
        <v>25.40</v>
      </c>
      <c r="O9" s="56">
        <v>0</v>
      </c>
      <c r="P9" s="56">
        <v>0.63</v>
      </c>
      <c r="Q9" s="56">
        <v>9.17</v>
      </c>
      <c r="R9" s="43"/>
      <c r="S9" s="43"/>
      <c r="T9" s="43"/>
      <c r="U9" s="43"/>
    </row>
    <row r="10" spans="1:21" s="11" customFormat="1" ht="15">
      <c r="A10" s="55" t="s">
        <v>759</v>
      </c>
      <c r="B10" s="56">
        <v>2.92</v>
      </c>
      <c r="C10" s="56">
        <v>21.76</v>
      </c>
      <c r="D10" s="56">
        <v>13.61</v>
      </c>
      <c r="E10" s="56">
        <v>1.88</v>
      </c>
      <c r="F10" s="56">
        <v>4.1399999999999997</v>
      </c>
      <c r="G10" s="56">
        <v>52.57</v>
      </c>
      <c r="H10" s="56">
        <v>17.27</v>
      </c>
      <c r="I10" s="56">
        <v>6.39</v>
      </c>
      <c r="J10" s="56">
        <v>0.46</v>
      </c>
      <c r="K10" s="56">
        <v>199.30</v>
      </c>
      <c r="L10" s="56">
        <v>26.52</v>
      </c>
      <c r="M10" s="56">
        <v>62.5</v>
      </c>
      <c r="N10" s="56">
        <v>25.10</v>
      </c>
      <c r="O10" s="56">
        <v>0</v>
      </c>
      <c r="P10" s="56">
        <v>0.56999999999999995</v>
      </c>
      <c r="Q10" s="56">
        <v>9.14</v>
      </c>
      <c r="R10" s="43"/>
      <c r="S10" s="43"/>
      <c r="T10" s="43"/>
      <c r="U10" s="43"/>
    </row>
    <row r="11" spans="1:21" s="11" customFormat="1" ht="15">
      <c r="A11" s="55" t="s">
        <v>760</v>
      </c>
      <c r="B11" s="56">
        <v>4.38</v>
      </c>
      <c r="C11" s="56">
        <v>17.95</v>
      </c>
      <c r="D11" s="56">
        <v>11.85</v>
      </c>
      <c r="E11" s="56">
        <v>1.74</v>
      </c>
      <c r="F11" s="56">
        <v>4.1100000000000003</v>
      </c>
      <c r="G11" s="56">
        <v>46.5</v>
      </c>
      <c r="H11" s="56">
        <v>13.02</v>
      </c>
      <c r="I11" s="56">
        <v>6.08</v>
      </c>
      <c r="J11" s="56">
        <v>0.5</v>
      </c>
      <c r="K11" s="56">
        <v>189.95</v>
      </c>
      <c r="L11" s="56">
        <v>26.41</v>
      </c>
      <c r="M11" s="56">
        <v>62.10</v>
      </c>
      <c r="N11" s="56">
        <v>24.90</v>
      </c>
      <c r="O11" s="56">
        <v>0</v>
      </c>
      <c r="P11" s="56">
        <v>0.54</v>
      </c>
      <c r="Q11" s="56">
        <v>9.35</v>
      </c>
      <c r="R11" s="43"/>
      <c r="S11" s="43"/>
      <c r="T11" s="43"/>
      <c r="U11" s="43"/>
    </row>
    <row r="12" spans="1:21" s="11" customFormat="1" ht="15">
      <c r="A12" s="55" t="s">
        <v>761</v>
      </c>
      <c r="B12" s="56">
        <v>4.79</v>
      </c>
      <c r="C12" s="56">
        <v>17.489999999999998</v>
      </c>
      <c r="D12" s="56">
        <v>12.90</v>
      </c>
      <c r="E12" s="56">
        <v>1.64</v>
      </c>
      <c r="F12" s="56">
        <v>4.26</v>
      </c>
      <c r="G12" s="56">
        <v>40.57</v>
      </c>
      <c r="H12" s="56">
        <v>12.26</v>
      </c>
      <c r="I12" s="56">
        <v>5.90</v>
      </c>
      <c r="J12" s="56">
        <v>0.38</v>
      </c>
      <c r="K12" s="56">
        <v>263.74</v>
      </c>
      <c r="L12" s="56">
        <v>25.90</v>
      </c>
      <c r="M12" s="56">
        <v>64.040000000000006</v>
      </c>
      <c r="N12" s="56">
        <v>24.90</v>
      </c>
      <c r="O12" s="56">
        <v>0</v>
      </c>
      <c r="P12" s="56">
        <v>0.49</v>
      </c>
      <c r="Q12" s="56">
        <v>9.43</v>
      </c>
      <c r="R12" s="43"/>
      <c r="S12" s="43"/>
      <c r="T12" s="43"/>
      <c r="U12" s="43"/>
    </row>
    <row r="13" spans="1:21" s="11" customFormat="1" ht="15">
      <c r="A13" s="55" t="s">
        <v>762</v>
      </c>
      <c r="B13" s="56">
        <v>5.58</v>
      </c>
      <c r="C13" s="56">
        <v>17.27</v>
      </c>
      <c r="D13" s="56">
        <v>13.33</v>
      </c>
      <c r="E13" s="56">
        <v>2.41</v>
      </c>
      <c r="F13" s="56">
        <v>3.88</v>
      </c>
      <c r="G13" s="56">
        <v>37.229999999999997</v>
      </c>
      <c r="H13" s="56">
        <v>14.99</v>
      </c>
      <c r="I13" s="56">
        <v>5.80</v>
      </c>
      <c r="J13" s="56">
        <v>0.28999999999999998</v>
      </c>
      <c r="K13" s="56">
        <v>215.57</v>
      </c>
      <c r="L13" s="56">
        <v>25.36</v>
      </c>
      <c r="M13" s="56">
        <v>64.819999999999993</v>
      </c>
      <c r="N13" s="56">
        <v>24.80</v>
      </c>
      <c r="O13" s="56">
        <v>0</v>
      </c>
      <c r="P13" s="56">
        <v>0.47</v>
      </c>
      <c r="Q13" s="56">
        <v>9.5</v>
      </c>
      <c r="R13" s="43"/>
      <c r="S13" s="43"/>
      <c r="T13" s="43"/>
      <c r="U13" s="43"/>
    </row>
    <row r="14" spans="1:21" s="11" customFormat="1" ht="15">
      <c r="A14" s="55" t="s">
        <v>763</v>
      </c>
      <c r="B14" s="56">
        <v>5.70</v>
      </c>
      <c r="C14" s="56">
        <v>16.22</v>
      </c>
      <c r="D14" s="56">
        <v>12.96</v>
      </c>
      <c r="E14" s="56">
        <v>2.39</v>
      </c>
      <c r="F14" s="56">
        <v>4.18</v>
      </c>
      <c r="G14" s="56">
        <v>36.200000000000003</v>
      </c>
      <c r="H14" s="56">
        <v>20.70</v>
      </c>
      <c r="I14" s="56">
        <v>7.15</v>
      </c>
      <c r="J14" s="56">
        <v>0.28999999999999998</v>
      </c>
      <c r="K14" s="56">
        <v>248.63</v>
      </c>
      <c r="L14" s="56">
        <v>25.35</v>
      </c>
      <c r="M14" s="56">
        <v>64.31</v>
      </c>
      <c r="N14" s="56">
        <v>58.80</v>
      </c>
      <c r="O14" s="56">
        <v>0</v>
      </c>
      <c r="P14" s="56">
        <v>0.47</v>
      </c>
      <c r="Q14" s="56">
        <v>9.48</v>
      </c>
      <c r="R14" s="43"/>
      <c r="S14" s="43"/>
      <c r="T14" s="43"/>
      <c r="U14" s="43"/>
    </row>
    <row r="15" spans="1:21" s="11" customFormat="1" ht="15">
      <c r="A15" s="55" t="s">
        <v>764</v>
      </c>
      <c r="B15" s="56">
        <v>5.53</v>
      </c>
      <c r="C15" s="56">
        <v>16.670000000000002</v>
      </c>
      <c r="D15" s="56">
        <v>12.77</v>
      </c>
      <c r="E15" s="56">
        <v>2.52</v>
      </c>
      <c r="F15" s="56">
        <v>4.32</v>
      </c>
      <c r="G15" s="56">
        <v>39.26</v>
      </c>
      <c r="H15" s="56">
        <v>19.989999999999998</v>
      </c>
      <c r="I15" s="56">
        <v>6.83</v>
      </c>
      <c r="J15" s="56">
        <v>0.43</v>
      </c>
      <c r="K15" s="56">
        <v>321.54000000000002</v>
      </c>
      <c r="L15" s="56">
        <v>28.27</v>
      </c>
      <c r="M15" s="56">
        <v>61.53</v>
      </c>
      <c r="N15" s="56">
        <v>212.20</v>
      </c>
      <c r="O15" s="56">
        <v>0</v>
      </c>
      <c r="P15" s="56">
        <v>0.46</v>
      </c>
      <c r="Q15" s="56">
        <v>9.43</v>
      </c>
      <c r="R15" s="43"/>
      <c r="S15" s="43"/>
      <c r="T15" s="43"/>
      <c r="U15" s="43"/>
    </row>
    <row r="16" spans="1:21" s="11" customFormat="1" ht="15">
      <c r="A16" s="55" t="s">
        <v>765</v>
      </c>
      <c r="B16" s="56">
        <v>5.07</v>
      </c>
      <c r="C16" s="56">
        <v>22.51</v>
      </c>
      <c r="D16" s="56">
        <v>14.64</v>
      </c>
      <c r="E16" s="56">
        <v>2.4300000000000002</v>
      </c>
      <c r="F16" s="56">
        <v>4.8099999999999996</v>
      </c>
      <c r="G16" s="56">
        <v>38.520000000000003</v>
      </c>
      <c r="H16" s="56">
        <v>20.38</v>
      </c>
      <c r="I16" s="56">
        <v>6.28</v>
      </c>
      <c r="J16" s="56">
        <v>0.17</v>
      </c>
      <c r="K16" s="56">
        <v>356.30</v>
      </c>
      <c r="L16" s="56">
        <v>28.87</v>
      </c>
      <c r="M16" s="56">
        <v>52.84</v>
      </c>
      <c r="N16" s="56">
        <v>169.30</v>
      </c>
      <c r="O16" s="56">
        <v>0</v>
      </c>
      <c r="P16" s="56">
        <v>0.49</v>
      </c>
      <c r="Q16" s="56">
        <v>9.39</v>
      </c>
      <c r="R16" s="43"/>
      <c r="S16" s="43"/>
      <c r="T16" s="43"/>
      <c r="U16" s="43"/>
    </row>
    <row r="17" spans="1:21" s="11" customFormat="1" ht="15">
      <c r="A17" s="55" t="s">
        <v>766</v>
      </c>
      <c r="B17" s="56">
        <v>3.57</v>
      </c>
      <c r="C17" s="56">
        <v>25.07</v>
      </c>
      <c r="D17" s="56">
        <v>15.78</v>
      </c>
      <c r="E17" s="56">
        <v>2.2799999999999998</v>
      </c>
      <c r="F17" s="56">
        <v>5.46</v>
      </c>
      <c r="G17" s="56">
        <v>41</v>
      </c>
      <c r="H17" s="56">
        <v>22.56</v>
      </c>
      <c r="I17" s="56">
        <v>5.32</v>
      </c>
      <c r="J17" s="56">
        <v>0.28000000000000003</v>
      </c>
      <c r="K17" s="56">
        <v>333.36</v>
      </c>
      <c r="L17" s="56">
        <v>32.15</v>
      </c>
      <c r="M17" s="56">
        <v>43.51</v>
      </c>
      <c r="N17" s="56">
        <v>649.29999999999995</v>
      </c>
      <c r="O17" s="56">
        <v>0</v>
      </c>
      <c r="P17" s="56">
        <v>0.54</v>
      </c>
      <c r="Q17" s="56">
        <v>9.41</v>
      </c>
      <c r="R17" s="43"/>
      <c r="S17" s="43"/>
      <c r="T17" s="43"/>
      <c r="U17" s="43"/>
    </row>
    <row r="18" spans="1:21" s="11" customFormat="1" ht="15">
      <c r="A18" s="55" t="s">
        <v>767</v>
      </c>
      <c r="B18" s="56">
        <v>3.21</v>
      </c>
      <c r="C18" s="56">
        <v>28.68</v>
      </c>
      <c r="D18" s="56">
        <v>17.13</v>
      </c>
      <c r="E18" s="56">
        <v>2.75</v>
      </c>
      <c r="F18" s="56">
        <v>7.11</v>
      </c>
      <c r="G18" s="56">
        <v>45.03</v>
      </c>
      <c r="H18" s="56">
        <v>27.63</v>
      </c>
      <c r="I18" s="56">
        <v>5.38</v>
      </c>
      <c r="J18" s="56">
        <v>0.49</v>
      </c>
      <c r="K18" s="56">
        <v>354</v>
      </c>
      <c r="L18" s="56">
        <v>34.770000000000003</v>
      </c>
      <c r="M18" s="56">
        <v>39.43</v>
      </c>
      <c r="N18" s="56">
        <v>756.5</v>
      </c>
      <c r="O18" s="56">
        <v>0</v>
      </c>
      <c r="P18" s="56">
        <v>0.82</v>
      </c>
      <c r="Q18" s="56">
        <v>9.41</v>
      </c>
      <c r="R18" s="43"/>
      <c r="S18" s="43"/>
      <c r="T18" s="43"/>
      <c r="U18" s="43"/>
    </row>
    <row r="19" spans="1:21" s="11" customFormat="1" ht="15">
      <c r="A19" s="55" t="s">
        <v>768</v>
      </c>
      <c r="B19" s="56">
        <v>2.66</v>
      </c>
      <c r="C19" s="56">
        <v>32.380000000000003</v>
      </c>
      <c r="D19" s="56">
        <v>18.97</v>
      </c>
      <c r="E19" s="56">
        <v>2.90</v>
      </c>
      <c r="F19" s="56">
        <v>7.76</v>
      </c>
      <c r="G19" s="56">
        <v>58.73</v>
      </c>
      <c r="H19" s="56">
        <v>40.92</v>
      </c>
      <c r="I19" s="56">
        <v>6.28</v>
      </c>
      <c r="J19" s="56">
        <v>0.52</v>
      </c>
      <c r="K19" s="56">
        <v>359.73</v>
      </c>
      <c r="L19" s="56">
        <v>38.619999999999997</v>
      </c>
      <c r="M19" s="56">
        <v>31.5</v>
      </c>
      <c r="N19" s="56">
        <v>866.20</v>
      </c>
      <c r="O19" s="56">
        <v>0</v>
      </c>
      <c r="P19" s="56">
        <v>0.87</v>
      </c>
      <c r="Q19" s="56">
        <v>9.40</v>
      </c>
      <c r="R19" s="43"/>
      <c r="S19" s="43"/>
      <c r="T19" s="43"/>
      <c r="U19" s="43"/>
    </row>
    <row r="20" spans="1:21" s="11" customFormat="1" ht="15">
      <c r="A20" s="55" t="s">
        <v>769</v>
      </c>
      <c r="B20" s="56">
        <v>2.02</v>
      </c>
      <c r="C20" s="56">
        <v>28.69</v>
      </c>
      <c r="D20" s="56">
        <v>16.52</v>
      </c>
      <c r="E20" s="56">
        <v>2.76</v>
      </c>
      <c r="F20" s="56">
        <v>10.86</v>
      </c>
      <c r="G20" s="56">
        <v>58.73</v>
      </c>
      <c r="H20" s="56">
        <v>40.92</v>
      </c>
      <c r="I20" s="56">
        <v>5.93</v>
      </c>
      <c r="J20" s="56">
        <v>0.64</v>
      </c>
      <c r="K20" s="56">
        <v>326.02</v>
      </c>
      <c r="L20" s="56">
        <v>38.619999999999997</v>
      </c>
      <c r="M20" s="56">
        <v>27.97</v>
      </c>
      <c r="N20" s="56">
        <v>917</v>
      </c>
      <c r="O20" s="56">
        <v>0</v>
      </c>
      <c r="P20" s="56">
        <v>0.86</v>
      </c>
      <c r="Q20" s="56">
        <v>9.32</v>
      </c>
      <c r="R20" s="43"/>
      <c r="S20" s="43"/>
      <c r="T20" s="43"/>
      <c r="U20" s="43"/>
    </row>
    <row r="21" spans="1:21" s="11" customFormat="1" ht="15">
      <c r="A21" s="55" t="s">
        <v>770</v>
      </c>
      <c r="B21" s="56">
        <v>1.67</v>
      </c>
      <c r="C21" s="56">
        <v>26.92</v>
      </c>
      <c r="D21" s="56">
        <v>15.32</v>
      </c>
      <c r="E21" s="56">
        <v>0.86</v>
      </c>
      <c r="F21" s="56">
        <v>11.11</v>
      </c>
      <c r="G21" s="56">
        <v>52.01</v>
      </c>
      <c r="H21" s="56">
        <v>35.380000000000003</v>
      </c>
      <c r="I21" s="56">
        <v>4.4800000000000004</v>
      </c>
      <c r="J21" s="56">
        <v>0.5</v>
      </c>
      <c r="K21" s="56">
        <v>345.98</v>
      </c>
      <c r="L21" s="56">
        <v>38.92</v>
      </c>
      <c r="M21" s="56">
        <v>26.30</v>
      </c>
      <c r="N21" s="56">
        <v>907</v>
      </c>
      <c r="O21" s="56">
        <v>0</v>
      </c>
      <c r="P21" s="56">
        <v>0.64</v>
      </c>
      <c r="Q21" s="56">
        <v>9.27</v>
      </c>
      <c r="R21" s="43"/>
      <c r="S21" s="43"/>
      <c r="T21" s="43"/>
      <c r="U21" s="43"/>
    </row>
    <row r="22" spans="1:21" s="11" customFormat="1" ht="15">
      <c r="A22" s="55" t="s">
        <v>771</v>
      </c>
      <c r="B22" s="56">
        <v>1.63</v>
      </c>
      <c r="C22" s="56">
        <v>27.26</v>
      </c>
      <c r="D22" s="56">
        <v>15.46</v>
      </c>
      <c r="E22" s="56">
        <v>1.83</v>
      </c>
      <c r="F22" s="56">
        <v>12.35</v>
      </c>
      <c r="G22" s="56">
        <v>48.64</v>
      </c>
      <c r="H22" s="56">
        <v>31.38</v>
      </c>
      <c r="I22" s="56">
        <v>3.19</v>
      </c>
      <c r="J22" s="56">
        <v>0.80</v>
      </c>
      <c r="K22" s="56">
        <v>332.85</v>
      </c>
      <c r="L22" s="56">
        <v>39.53</v>
      </c>
      <c r="M22" s="56">
        <v>23.63</v>
      </c>
      <c r="N22" s="56">
        <v>829.30</v>
      </c>
      <c r="O22" s="56">
        <v>0</v>
      </c>
      <c r="P22" s="56">
        <v>0.51</v>
      </c>
      <c r="Q22" s="56">
        <v>9.35</v>
      </c>
      <c r="R22" s="43"/>
      <c r="S22" s="43"/>
      <c r="T22" s="43"/>
      <c r="U22" s="43"/>
    </row>
    <row r="23" spans="1:21" s="11" customFormat="1" ht="15">
      <c r="A23" s="55" t="s">
        <v>772</v>
      </c>
      <c r="B23" s="56">
        <v>1.53</v>
      </c>
      <c r="C23" s="56">
        <v>25.93</v>
      </c>
      <c r="D23" s="56">
        <v>14.70</v>
      </c>
      <c r="E23" s="56">
        <v>1.24</v>
      </c>
      <c r="F23" s="56">
        <v>12.63</v>
      </c>
      <c r="G23" s="56">
        <v>45.80</v>
      </c>
      <c r="H23" s="56">
        <v>20.60</v>
      </c>
      <c r="I23" s="56">
        <v>2.5299999999999998</v>
      </c>
      <c r="J23" s="56">
        <v>0.64</v>
      </c>
      <c r="K23" s="56">
        <v>340.51</v>
      </c>
      <c r="L23" s="56">
        <v>38.35</v>
      </c>
      <c r="M23" s="56">
        <v>26.28</v>
      </c>
      <c r="N23" s="56">
        <v>625.70000000000005</v>
      </c>
      <c r="O23" s="56">
        <v>0</v>
      </c>
      <c r="P23" s="56">
        <v>0.48</v>
      </c>
      <c r="Q23" s="56">
        <v>9.39</v>
      </c>
      <c r="R23" s="43"/>
      <c r="S23" s="43"/>
      <c r="T23" s="43"/>
      <c r="U23" s="43"/>
    </row>
    <row r="24" spans="1:21" s="11" customFormat="1" ht="15">
      <c r="A24" s="55" t="s">
        <v>773</v>
      </c>
      <c r="B24" s="56">
        <v>1.47</v>
      </c>
      <c r="C24" s="56">
        <v>23.51</v>
      </c>
      <c r="D24" s="56">
        <v>13.31</v>
      </c>
      <c r="E24" s="56">
        <v>1.21</v>
      </c>
      <c r="F24" s="56">
        <v>11.18</v>
      </c>
      <c r="G24" s="56">
        <v>42.90</v>
      </c>
      <c r="H24" s="56">
        <v>19.20</v>
      </c>
      <c r="I24" s="56">
        <v>2.0299999999999998</v>
      </c>
      <c r="J24" s="56">
        <v>0.59</v>
      </c>
      <c r="K24" s="56">
        <v>357.44</v>
      </c>
      <c r="L24" s="56">
        <v>38.24</v>
      </c>
      <c r="M24" s="56">
        <v>26.02</v>
      </c>
      <c r="N24" s="56">
        <v>303.80</v>
      </c>
      <c r="O24" s="56">
        <v>0</v>
      </c>
      <c r="P24" s="56">
        <v>0.49</v>
      </c>
      <c r="Q24" s="56">
        <v>9.2799999999999994</v>
      </c>
      <c r="R24" s="43"/>
      <c r="S24" s="43"/>
      <c r="T24" s="43"/>
      <c r="U24" s="43"/>
    </row>
    <row r="25" spans="1:21" s="11" customFormat="1" ht="15">
      <c r="A25" s="55" t="s">
        <v>774</v>
      </c>
      <c r="B25" s="56">
        <v>1.25</v>
      </c>
      <c r="C25" s="56">
        <v>24.52</v>
      </c>
      <c r="D25" s="56">
        <v>13.71</v>
      </c>
      <c r="E25" s="56">
        <v>1.23</v>
      </c>
      <c r="F25" s="56">
        <v>10.96</v>
      </c>
      <c r="G25" s="56">
        <v>41.75</v>
      </c>
      <c r="H25" s="56">
        <v>18.920000000000002</v>
      </c>
      <c r="I25" s="56">
        <v>2.14</v>
      </c>
      <c r="J25" s="56">
        <v>0.36</v>
      </c>
      <c r="K25" s="56">
        <v>357.88</v>
      </c>
      <c r="L25" s="56">
        <v>36.99</v>
      </c>
      <c r="M25" s="56">
        <v>27.55</v>
      </c>
      <c r="N25" s="56">
        <v>167.20</v>
      </c>
      <c r="O25" s="56">
        <v>0</v>
      </c>
      <c r="P25" s="56">
        <v>0.49</v>
      </c>
      <c r="Q25" s="56">
        <v>9.2200000000000006</v>
      </c>
      <c r="R25" s="43"/>
      <c r="S25" s="43"/>
      <c r="T25" s="43"/>
      <c r="U25" s="43"/>
    </row>
    <row r="26" spans="1:21" s="11" customFormat="1" ht="15">
      <c r="A26" s="55" t="s">
        <v>775</v>
      </c>
      <c r="B26" s="56">
        <v>1.78</v>
      </c>
      <c r="C26" s="56">
        <v>25.30</v>
      </c>
      <c r="D26" s="56">
        <v>14.40</v>
      </c>
      <c r="E26" s="56">
        <v>1.1000000000000001</v>
      </c>
      <c r="F26" s="56">
        <v>8.77</v>
      </c>
      <c r="G26" s="56">
        <v>41.53</v>
      </c>
      <c r="H26" s="56">
        <v>13.52</v>
      </c>
      <c r="I26" s="56">
        <v>2.02</v>
      </c>
      <c r="J26" s="56">
        <v>1.01</v>
      </c>
      <c r="K26" s="56">
        <v>322.36</v>
      </c>
      <c r="L26" s="56">
        <v>36.36</v>
      </c>
      <c r="M26" s="56">
        <v>28.27</v>
      </c>
      <c r="N26" s="56">
        <v>90.70</v>
      </c>
      <c r="O26" s="56">
        <v>0</v>
      </c>
      <c r="P26" s="56">
        <v>0.5</v>
      </c>
      <c r="Q26" s="56">
        <v>9.27</v>
      </c>
      <c r="R26" s="43"/>
      <c r="S26" s="43"/>
      <c r="T26" s="43"/>
      <c r="U26" s="43"/>
    </row>
    <row r="27" spans="1:21" s="11" customFormat="1" ht="15">
      <c r="A27" s="55" t="s">
        <v>776</v>
      </c>
      <c r="B27" s="56">
        <v>3.06</v>
      </c>
      <c r="C27" s="56">
        <v>27.95</v>
      </c>
      <c r="D27" s="56">
        <v>16.98</v>
      </c>
      <c r="E27" s="56">
        <v>0.83</v>
      </c>
      <c r="F27" s="56">
        <v>5.03</v>
      </c>
      <c r="G27" s="56">
        <v>44.05</v>
      </c>
      <c r="H27" s="56">
        <v>27.40</v>
      </c>
      <c r="I27" s="56">
        <v>2.88</v>
      </c>
      <c r="J27" s="56">
        <v>0.89</v>
      </c>
      <c r="K27" s="56">
        <v>316.64999999999998</v>
      </c>
      <c r="L27" s="56">
        <v>34.299999999999997</v>
      </c>
      <c r="M27" s="56">
        <v>29.33</v>
      </c>
      <c r="N27" s="56">
        <v>34.799999999999997</v>
      </c>
      <c r="O27" s="56">
        <v>0</v>
      </c>
      <c r="P27" s="56">
        <v>0.57999999999999996</v>
      </c>
      <c r="Q27" s="56">
        <v>9.3800000000000008</v>
      </c>
      <c r="R27" s="43"/>
      <c r="S27" s="43"/>
      <c r="T27" s="43"/>
      <c r="U27" s="43"/>
    </row>
    <row r="28" spans="1:21" s="11" customFormat="1" ht="15">
      <c r="A28" s="55" t="s">
        <v>777</v>
      </c>
      <c r="B28" s="56">
        <v>7.14</v>
      </c>
      <c r="C28" s="56">
        <v>33.40</v>
      </c>
      <c r="D28" s="56">
        <v>22.54</v>
      </c>
      <c r="E28" s="56">
        <v>1.64</v>
      </c>
      <c r="F28" s="56">
        <v>4.18</v>
      </c>
      <c r="G28" s="56">
        <v>47.03</v>
      </c>
      <c r="H28" s="56">
        <v>45.32</v>
      </c>
      <c r="I28" s="56">
        <v>4.29</v>
      </c>
      <c r="J28" s="56">
        <v>0.28999999999999998</v>
      </c>
      <c r="K28" s="56">
        <v>314.18</v>
      </c>
      <c r="L28" s="56">
        <v>32.76</v>
      </c>
      <c r="M28" s="56">
        <v>30.80</v>
      </c>
      <c r="N28" s="56">
        <v>27.80</v>
      </c>
      <c r="O28" s="56">
        <v>0</v>
      </c>
      <c r="P28" s="56">
        <v>0.87</v>
      </c>
      <c r="Q28" s="56">
        <v>9.40</v>
      </c>
      <c r="R28" s="43"/>
      <c r="S28" s="43"/>
      <c r="T28" s="43"/>
      <c r="U28" s="43"/>
    </row>
    <row r="29" spans="1:21" s="11" customFormat="1" ht="15">
      <c r="A29" s="55" t="s">
        <v>778</v>
      </c>
      <c r="B29" s="56">
        <v>12.34</v>
      </c>
      <c r="C29" s="56">
        <v>35.299999999999997</v>
      </c>
      <c r="D29" s="56">
        <v>28.26</v>
      </c>
      <c r="E29" s="56">
        <v>1.56</v>
      </c>
      <c r="F29" s="56">
        <v>3.96</v>
      </c>
      <c r="G29" s="56">
        <v>50.69</v>
      </c>
      <c r="H29" s="56">
        <v>81.53</v>
      </c>
      <c r="I29" s="56">
        <v>5.49</v>
      </c>
      <c r="J29" s="56">
        <v>0.23</v>
      </c>
      <c r="K29" s="56">
        <v>320.81</v>
      </c>
      <c r="L29" s="56">
        <v>31.83</v>
      </c>
      <c r="M29" s="56">
        <v>34.700000000000003</v>
      </c>
      <c r="N29" s="56">
        <v>27.90</v>
      </c>
      <c r="O29" s="56">
        <v>0</v>
      </c>
      <c r="P29" s="56">
        <v>1.1499999999999999</v>
      </c>
      <c r="Q29" s="56">
        <v>9.4499999999999993</v>
      </c>
      <c r="R29" s="43"/>
      <c r="S29" s="43"/>
      <c r="T29" s="43"/>
      <c r="U29" s="43"/>
    </row>
    <row r="30" spans="1:21" s="11" customFormat="1" ht="15">
      <c r="A30" s="55" t="s">
        <v>779</v>
      </c>
      <c r="B30" s="56">
        <v>21.10</v>
      </c>
      <c r="C30" s="56">
        <v>38.270000000000003</v>
      </c>
      <c r="D30" s="56">
        <v>35.92</v>
      </c>
      <c r="E30" s="56">
        <v>1.60</v>
      </c>
      <c r="F30" s="56">
        <v>3.92</v>
      </c>
      <c r="G30" s="56">
        <v>61.20</v>
      </c>
      <c r="H30" s="56">
        <v>70.09</v>
      </c>
      <c r="I30" s="56">
        <v>6.40</v>
      </c>
      <c r="J30" s="56">
        <v>0.24</v>
      </c>
      <c r="K30" s="56">
        <v>336.03</v>
      </c>
      <c r="L30" s="56">
        <v>30.60</v>
      </c>
      <c r="M30" s="56">
        <v>38.380000000000003</v>
      </c>
      <c r="N30" s="56">
        <v>28.10</v>
      </c>
      <c r="O30" s="56">
        <v>0</v>
      </c>
      <c r="P30" s="56">
        <v>1.34</v>
      </c>
      <c r="Q30" s="56">
        <v>9.51</v>
      </c>
      <c r="R30" s="43"/>
      <c r="S30" s="43"/>
      <c r="T30" s="43"/>
      <c r="U30" s="43"/>
    </row>
    <row r="31" spans="1:21" s="11" customFormat="1" ht="15">
      <c r="A31" s="55" t="s">
        <v>780</v>
      </c>
      <c r="B31" s="56">
        <v>25.93</v>
      </c>
      <c r="C31" s="56">
        <v>34.159999999999997</v>
      </c>
      <c r="D31" s="56">
        <v>38.11</v>
      </c>
      <c r="E31" s="56">
        <v>1.52</v>
      </c>
      <c r="F31" s="56">
        <v>4.07</v>
      </c>
      <c r="G31" s="56">
        <v>66.87</v>
      </c>
      <c r="H31" s="56">
        <v>47.68</v>
      </c>
      <c r="I31" s="56">
        <v>7.40</v>
      </c>
      <c r="J31" s="56">
        <v>0.14000000000000001</v>
      </c>
      <c r="K31" s="56">
        <v>283.55</v>
      </c>
      <c r="L31" s="56">
        <v>29.98</v>
      </c>
      <c r="M31" s="56">
        <v>43.68</v>
      </c>
      <c r="N31" s="56">
        <v>28.10</v>
      </c>
      <c r="O31" s="56">
        <v>0</v>
      </c>
      <c r="P31" s="56">
        <v>1.43</v>
      </c>
      <c r="Q31" s="56">
        <v>9.6199999999999992</v>
      </c>
      <c r="R31" s="43"/>
      <c r="S31" s="43"/>
      <c r="T31" s="43"/>
      <c r="U31" s="43"/>
    </row>
    <row r="32" spans="1:21" s="11" customFormat="1" ht="15">
      <c r="A32" s="55" t="s">
        <v>781</v>
      </c>
      <c r="B32" s="56">
        <v>27.88</v>
      </c>
      <c r="C32" s="56">
        <v>38.93</v>
      </c>
      <c r="D32" s="56">
        <v>39.880000000000003</v>
      </c>
      <c r="E32" s="56">
        <v>1.69</v>
      </c>
      <c r="F32" s="56">
        <v>4.22</v>
      </c>
      <c r="G32" s="56">
        <v>78.739999999999995</v>
      </c>
      <c r="H32" s="56">
        <v>46.49</v>
      </c>
      <c r="I32" s="56">
        <v>8.39</v>
      </c>
      <c r="J32" s="56">
        <v>0.47</v>
      </c>
      <c r="K32" s="56">
        <v>222.86</v>
      </c>
      <c r="L32" s="56">
        <v>29.74</v>
      </c>
      <c r="M32" s="56">
        <v>47.02</v>
      </c>
      <c r="N32" s="56">
        <v>28.30</v>
      </c>
      <c r="O32" s="56">
        <v>0</v>
      </c>
      <c r="P32" s="56">
        <v>1.38</v>
      </c>
      <c r="Q32" s="56">
        <v>9.77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1.25</v>
      </c>
      <c r="C34" s="28">
        <f t="shared" si="0"/>
        <v>16.219999999999999</v>
      </c>
      <c r="D34" s="28">
        <f t="shared" si="0"/>
        <v>11.85</v>
      </c>
      <c r="E34" s="28">
        <f t="shared" si="0"/>
        <v>0.82999999999999996</v>
      </c>
      <c r="F34" s="28">
        <f t="shared" si="0"/>
        <v>3.8799999999999999</v>
      </c>
      <c r="G34" s="28">
        <f t="shared" si="0"/>
        <v>36.200000000000003</v>
      </c>
      <c r="H34" s="28">
        <f t="shared" si="0"/>
        <v>12.26</v>
      </c>
      <c r="I34" s="28">
        <f t="shared" si="0"/>
        <v>2.02</v>
      </c>
      <c r="J34" s="28">
        <f t="shared" si="0"/>
        <v>0.14000000000000001</v>
      </c>
      <c r="K34" s="28">
        <f t="shared" si="0"/>
        <v>189.94999999999999</v>
      </c>
      <c r="L34" s="28">
        <f t="shared" si="0"/>
        <v>25.350000000000001</v>
      </c>
      <c r="M34" s="28">
        <f t="shared" si="0"/>
        <v>23.629999999999999</v>
      </c>
      <c r="N34" s="28">
        <f t="shared" si="0"/>
        <v>24.800000000000001</v>
      </c>
      <c r="O34" s="28">
        <f t="shared" si="0"/>
        <v>0</v>
      </c>
      <c r="P34" s="28">
        <f t="shared" si="0"/>
        <v>0.46000000000000002</v>
      </c>
      <c r="Q34" s="28">
        <f t="shared" si="0"/>
        <v>9.1400000000000006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27.879999999999999</v>
      </c>
      <c r="C35" s="29">
        <f t="shared" si="1"/>
        <v>38.93</v>
      </c>
      <c r="D35" s="29">
        <f t="shared" si="1"/>
        <v>39.880000000000003</v>
      </c>
      <c r="E35" s="29">
        <f t="shared" si="1"/>
        <v>2.8999999999999999</v>
      </c>
      <c r="F35" s="29">
        <f t="shared" si="1"/>
        <v>12.630000000000001</v>
      </c>
      <c r="G35" s="29">
        <f t="shared" si="1"/>
        <v>78.739999999999995</v>
      </c>
      <c r="H35" s="29">
        <f t="shared" si="1"/>
        <v>81.530000000000001</v>
      </c>
      <c r="I35" s="29">
        <f t="shared" si="1"/>
        <v>8.3900000000000006</v>
      </c>
      <c r="J35" s="29">
        <f t="shared" si="1"/>
        <v>1.01</v>
      </c>
      <c r="K35" s="29">
        <f t="shared" si="1"/>
        <v>359.73000000000002</v>
      </c>
      <c r="L35" s="29">
        <f t="shared" si="1"/>
        <v>39.530000000000001</v>
      </c>
      <c r="M35" s="29">
        <f t="shared" si="1"/>
        <v>64.819999999999993</v>
      </c>
      <c r="N35" s="29">
        <f t="shared" si="1"/>
        <v>917</v>
      </c>
      <c r="O35" s="29">
        <f t="shared" si="1"/>
        <v>0</v>
      </c>
      <c r="P35" s="29">
        <f t="shared" si="1"/>
        <v>1.4299999999999999</v>
      </c>
      <c r="Q35" s="29">
        <f t="shared" si="1"/>
        <v>9.7699999999999996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6.4787500000000007</v>
      </c>
      <c r="C36" s="28">
        <f t="shared" si="2"/>
        <v>26.275416666666658</v>
      </c>
      <c r="D36" s="28">
        <f t="shared" si="2"/>
        <v>18.516250000000003</v>
      </c>
      <c r="E36" s="28">
        <f t="shared" si="2"/>
        <v>1.8391666666666664</v>
      </c>
      <c r="F36" s="28">
        <f t="shared" si="2"/>
        <v>6.5604166666666659</v>
      </c>
      <c r="G36" s="28">
        <f t="shared" si="2"/>
        <v>48.757083333333327</v>
      </c>
      <c r="H36" s="28">
        <f t="shared" si="2"/>
        <v>30.299166666666665</v>
      </c>
      <c r="I36" s="28">
        <f t="shared" si="2"/>
        <v>5.205000000000001</v>
      </c>
      <c r="J36" s="28">
        <f t="shared" si="2"/>
        <v>0.45666666666666672</v>
      </c>
      <c r="K36" s="28">
        <f t="shared" si="2"/>
        <v>301.93249999999995</v>
      </c>
      <c r="L36" s="28">
        <f t="shared" si="2"/>
        <v>32.320416666666674</v>
      </c>
      <c r="M36" s="28">
        <f t="shared" si="2"/>
        <v>42.351249999999993</v>
      </c>
      <c r="N36" s="28">
        <f t="shared" si="2"/>
        <v>285.54583333333335</v>
      </c>
      <c r="O36" s="28">
        <f t="shared" si="2"/>
        <v>0</v>
      </c>
      <c r="P36" s="28">
        <f t="shared" si="2"/>
        <v>0.71125000000000005</v>
      </c>
      <c r="Q36" s="28">
        <f t="shared" si="2"/>
        <v>9.3891666666666662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7.6052506533315523</v>
      </c>
      <c r="C37" s="28">
        <f t="shared" si="3" ref="C37:Q37">STDEV(C9:C32)</f>
        <v>6.6708124654554428</v>
      </c>
      <c r="D37" s="28">
        <f t="shared" si="3"/>
        <v>8.3080112267303914</v>
      </c>
      <c r="E37" s="28">
        <f t="shared" si="3"/>
        <v>0.60875437087381257</v>
      </c>
      <c r="F37" s="28">
        <f t="shared" si="3"/>
        <v>3.1981876378140583</v>
      </c>
      <c r="G37" s="28">
        <f t="shared" si="3"/>
        <v>10.311017104625732</v>
      </c>
      <c r="H37" s="28">
        <f t="shared" si="3"/>
        <v>17.944347763757445</v>
      </c>
      <c r="I37" s="28">
        <f t="shared" si="3"/>
        <v>1.837701778332641</v>
      </c>
      <c r="J37" s="28">
        <f t="shared" si="3"/>
        <v>0.22150996967781542</v>
      </c>
      <c r="K37" s="28">
        <f t="shared" si="3"/>
        <v>55.511162704293966</v>
      </c>
      <c r="L37" s="28">
        <f t="shared" si="3"/>
        <v>4.9815079602436345</v>
      </c>
      <c r="M37" s="28">
        <f t="shared" si="3"/>
        <v>15.216845731679753</v>
      </c>
      <c r="N37" s="28">
        <f t="shared" si="3"/>
        <v>345.40374482394634</v>
      </c>
      <c r="O37" s="28">
        <f t="shared" si="3"/>
        <v>0</v>
      </c>
      <c r="P37" s="28">
        <f t="shared" si="3"/>
        <v>0.31328987133046743</v>
      </c>
      <c r="Q37" s="28">
        <f t="shared" si="3"/>
        <v>0.13650662244372919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4ee8b8-b2ff-4b8a-a61f-d8a11708cc43}">
  <sheetPr codeName=""/>
  <dimension ref="A1:X54"/>
  <sheetViews>
    <sheetView zoomScale="85" zoomScaleNormal="85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G49" sqref="G49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01-04-2024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01-04-2024 01:00</v>
      </c>
      <c r="B9" s="24">
        <f>'01'!B36</f>
        <v>9.7004166666666674</v>
      </c>
      <c r="C9" s="24">
        <f>'01'!C36</f>
        <v>52.276249999999997</v>
      </c>
      <c r="D9" s="24">
        <f>'01'!D36</f>
        <v>34.819999999999993</v>
      </c>
      <c r="E9" s="24">
        <f>'01'!E36</f>
        <v>2.1917391304347826</v>
      </c>
      <c r="F9" s="24">
        <f>'01'!F36</f>
        <v>10.01125</v>
      </c>
      <c r="G9" s="24">
        <f>'01'!G36</f>
        <v>56.517826086956525</v>
      </c>
      <c r="H9" s="24">
        <f>'01'!H36</f>
        <v>23.39478260869565</v>
      </c>
      <c r="I9" s="24">
        <f>'01'!I36</f>
        <v>5.3345833333333337</v>
      </c>
      <c r="J9" s="24">
        <f>'01'!J36</f>
        <v>0.26999999999999996</v>
      </c>
      <c r="K9" s="24">
        <f>'01'!K36</f>
        <v>313.66916666666668</v>
      </c>
      <c r="L9" s="24">
        <f>'01'!L36</f>
        <v>30.096249999999998</v>
      </c>
      <c r="M9" s="24">
        <f>'01'!M36</f>
        <v>40.918750000000003</v>
      </c>
      <c r="N9" s="24">
        <f>'01'!N36</f>
        <v>294.58749999999992</v>
      </c>
      <c r="O9" s="24">
        <f>'01'!O36</f>
        <v>0</v>
      </c>
      <c r="P9" s="30">
        <f>'01'!$P$36</f>
        <v>0.67458333333333342</v>
      </c>
      <c r="Q9" s="24">
        <f>'01'!Q36</f>
        <v>9.7433333333333323</v>
      </c>
      <c r="R9" s="45"/>
      <c r="S9" s="45"/>
      <c r="T9" s="45"/>
      <c r="U9" s="46"/>
    </row>
    <row r="10" spans="1:21" s="34" customFormat="1" ht="15">
      <c r="A10" s="36" t="str">
        <f>'02'!$B$2</f>
        <v>02-04-2024 01:00</v>
      </c>
      <c r="B10" s="33">
        <f>'02'!B36</f>
        <v>28.437083333333337</v>
      </c>
      <c r="C10" s="33">
        <f>'02'!C36</f>
        <v>63.568750000000001</v>
      </c>
      <c r="D10" s="33">
        <f>'02'!D36</f>
        <v>55.464166666666678</v>
      </c>
      <c r="E10" s="33">
        <f>'02'!E36</f>
        <v>2.2720833333333337</v>
      </c>
      <c r="F10" s="33">
        <f>'02'!F36</f>
        <v>6.5581818181818194</v>
      </c>
      <c r="G10" s="33">
        <f>'02'!G36</f>
        <v>78.059999999999988</v>
      </c>
      <c r="H10" s="33">
        <f>'02'!H36</f>
        <v>17.449285714285715</v>
      </c>
      <c r="I10" s="33">
        <f>'02'!I36</f>
        <v>8.3875000000000011</v>
      </c>
      <c r="J10" s="33">
        <f>'02'!J36</f>
        <v>0.37708333333333327</v>
      </c>
      <c r="K10" s="33">
        <f>'02'!K36</f>
        <v>327.57583333333338</v>
      </c>
      <c r="L10" s="33">
        <f>'02'!L36</f>
        <v>30.924166666666665</v>
      </c>
      <c r="M10" s="33">
        <f>'02'!M36</f>
        <v>38.554583333333333</v>
      </c>
      <c r="N10" s="33">
        <f>'02'!N36</f>
        <v>314.125</v>
      </c>
      <c r="O10" s="33">
        <f>'02'!O36</f>
        <v>0</v>
      </c>
      <c r="P10" s="30">
        <f>'02'!$P$36</f>
        <v>1.0075000000000001</v>
      </c>
      <c r="Q10" s="33">
        <f>'02'!Q36</f>
        <v>10.125416666666666</v>
      </c>
      <c r="R10" s="47"/>
      <c r="S10" s="47"/>
      <c r="T10" s="47"/>
      <c r="U10" s="47"/>
    </row>
    <row r="11" spans="1:21" s="34" customFormat="1" ht="15">
      <c r="A11" s="36" t="str">
        <f>'03'!$B$2</f>
        <v>03-04-2024 01:00</v>
      </c>
      <c r="B11" s="33">
        <f>'03'!B36</f>
        <v>43.993750000000006</v>
      </c>
      <c r="C11" s="33">
        <f>'03'!C36</f>
        <v>74.022500000000022</v>
      </c>
      <c r="D11" s="33">
        <f>'03'!D36</f>
        <v>73.090000000000003</v>
      </c>
      <c r="E11" s="33">
        <f>'03'!E36</f>
        <v>2.313333333333333</v>
      </c>
      <c r="F11" s="33">
        <f>'03'!F36</f>
        <v>7.5058333333333325</v>
      </c>
      <c r="G11" s="33">
        <f>'03'!G36</f>
        <v>149.96952380952376</v>
      </c>
      <c r="H11" s="33">
        <f>'03'!H36</f>
        <v>43.929047619047623</v>
      </c>
      <c r="I11" s="33">
        <f>'03'!I36</f>
        <v>9.96875</v>
      </c>
      <c r="J11" s="33">
        <f>'03'!J36</f>
        <v>0.65833333333333333</v>
      </c>
      <c r="K11" s="33">
        <f>'03'!K36</f>
        <v>287.62916666666666</v>
      </c>
      <c r="L11" s="33">
        <f>'03'!L36</f>
        <v>31.44083333333333</v>
      </c>
      <c r="M11" s="33">
        <f>'03'!M36</f>
        <v>37.892916666666657</v>
      </c>
      <c r="N11" s="33">
        <f>'03'!N36</f>
        <v>267.89583333333337</v>
      </c>
      <c r="O11" s="33">
        <f>'03'!O36</f>
        <v>0</v>
      </c>
      <c r="P11" s="30">
        <f>'03'!$P$36</f>
        <v>1.2595833333333333</v>
      </c>
      <c r="Q11" s="33">
        <f>'03'!Q36</f>
        <v>10.592083333333335</v>
      </c>
      <c r="R11" s="47"/>
      <c r="S11" s="47"/>
      <c r="T11" s="47"/>
      <c r="U11" s="47"/>
    </row>
    <row r="12" spans="1:21" s="34" customFormat="1" ht="15">
      <c r="A12" s="36" t="str">
        <f>'04'!$B$2</f>
        <v>04-04-2024 01:00</v>
      </c>
      <c r="B12" s="33">
        <f>'04'!B36</f>
        <v>10.51375</v>
      </c>
      <c r="C12" s="33">
        <f>'04'!C36</f>
        <v>52.992500000000007</v>
      </c>
      <c r="D12" s="33">
        <f>'04'!D36</f>
        <v>35.7575</v>
      </c>
      <c r="E12" s="33">
        <f>'04'!E36</f>
        <v>1.8516666666666666</v>
      </c>
      <c r="F12" s="33">
        <f>'04'!F36</f>
        <v>7.1204166666666673</v>
      </c>
      <c r="G12" s="33">
        <f>'04'!G36</f>
        <v>62.069583333333348</v>
      </c>
      <c r="H12" s="33">
        <f>'04'!H36</f>
        <v>26.605000000000004</v>
      </c>
      <c r="I12" s="33">
        <f>'04'!I36</f>
        <v>5.8900000000000006</v>
      </c>
      <c r="J12" s="33">
        <f>'04'!J36</f>
        <v>0.50916666666666666</v>
      </c>
      <c r="K12" s="33">
        <f>'04'!K36</f>
        <v>299.32875000000007</v>
      </c>
      <c r="L12" s="33">
        <f>'04'!L36</f>
        <v>30.897916666666671</v>
      </c>
      <c r="M12" s="33">
        <f>'04'!M36</f>
        <v>43.669166666666662</v>
      </c>
      <c r="N12" s="33">
        <f>'04'!N36</f>
        <v>259.39166666666659</v>
      </c>
      <c r="O12" s="33">
        <f>'04'!O36</f>
        <v>0</v>
      </c>
      <c r="P12" s="30">
        <f>'04'!$P$36</f>
        <v>0.72375</v>
      </c>
      <c r="Q12" s="33">
        <f>'04'!Q36</f>
        <v>9.7899999999999991</v>
      </c>
      <c r="R12" s="47"/>
      <c r="S12" s="47"/>
      <c r="T12" s="47"/>
      <c r="U12" s="47"/>
    </row>
    <row r="13" spans="1:21" s="34" customFormat="1" ht="15">
      <c r="A13" s="36" t="str">
        <f>'05'!$B$2</f>
        <v>05-04-2024 01:00</v>
      </c>
      <c r="B13" s="33">
        <f>'05'!B36</f>
        <v>12.728333333333333</v>
      </c>
      <c r="C13" s="33">
        <f>'05'!C36</f>
        <v>59.802916666666675</v>
      </c>
      <c r="D13" s="33">
        <f>'05'!D36</f>
        <v>40.847499999999997</v>
      </c>
      <c r="E13" s="33">
        <f>'05'!E36</f>
        <v>1.6470833333333328</v>
      </c>
      <c r="F13" s="33">
        <f>'05'!F36</f>
        <v>4.8787500000000001</v>
      </c>
      <c r="G13" s="33">
        <f>'05'!G36</f>
        <v>67.773333333333355</v>
      </c>
      <c r="H13" s="33">
        <f>'05'!H36</f>
        <v>23.658750000000001</v>
      </c>
      <c r="I13" s="33">
        <f>'05'!I36</f>
        <v>7.537916666666665</v>
      </c>
      <c r="J13" s="33">
        <f>'05'!J36</f>
        <v>0.55458333333333343</v>
      </c>
      <c r="K13" s="33">
        <f>'05'!K36</f>
        <v>312.40958333333333</v>
      </c>
      <c r="L13" s="33">
        <f>'05'!L36</f>
        <v>32.166666666666671</v>
      </c>
      <c r="M13" s="33">
        <f>'05'!M36</f>
        <v>32.374166666666667</v>
      </c>
      <c r="N13" s="33">
        <f>'05'!N36</f>
        <v>292.21249999999992</v>
      </c>
      <c r="O13" s="33">
        <f>'05'!O36</f>
        <v>0</v>
      </c>
      <c r="P13" s="30">
        <f>'05'!$P$36</f>
        <v>0.87124999999999997</v>
      </c>
      <c r="Q13" s="33">
        <f>'05'!Q36</f>
        <v>9.8375000000000021</v>
      </c>
      <c r="R13" s="47"/>
      <c r="S13" s="47"/>
      <c r="T13" s="47"/>
      <c r="U13" s="47"/>
    </row>
    <row r="14" spans="1:21" s="34" customFormat="1" ht="15">
      <c r="A14" s="36" t="str">
        <f>'06'!$B$2</f>
        <v>06-04-2024 01:00</v>
      </c>
      <c r="B14" s="33">
        <f>'06'!B36</f>
        <v>24.538823529411768</v>
      </c>
      <c r="C14" s="33">
        <f>'06'!C36</f>
        <v>53.98235294117648</v>
      </c>
      <c r="D14" s="33">
        <f>'06'!D36</f>
        <v>47.662352941176479</v>
      </c>
      <c r="E14" s="33">
        <f>'06'!E36</f>
        <v>1.8041666666666669</v>
      </c>
      <c r="F14" s="33">
        <f>'06'!F36</f>
        <v>4.4129166666666668</v>
      </c>
      <c r="G14" s="33">
        <f>'06'!G36</f>
        <v>77.34375</v>
      </c>
      <c r="H14" s="33">
        <f>'06'!H36</f>
        <v>28.816666666666666</v>
      </c>
      <c r="I14" s="33">
        <f>'06'!I36</f>
        <v>9.1679166666666649</v>
      </c>
      <c r="J14" s="33">
        <f>'06'!J36</f>
        <v>0.60958333333333337</v>
      </c>
      <c r="K14" s="33">
        <f>'06'!K36</f>
        <v>318.66833333333329</v>
      </c>
      <c r="L14" s="33">
        <f>'06'!L36</f>
        <v>31.467500000000001</v>
      </c>
      <c r="M14" s="33">
        <f>'06'!M36</f>
        <v>33.893333333333338</v>
      </c>
      <c r="N14" s="33">
        <f>'06'!N36</f>
        <v>276.60833333333329</v>
      </c>
      <c r="O14" s="33">
        <f>'06'!O36</f>
        <v>0</v>
      </c>
      <c r="P14" s="30">
        <f>'06'!$P$36</f>
        <v>0.92666666666666686</v>
      </c>
      <c r="Q14" s="33">
        <f>'06'!Q36</f>
        <v>10.060833333333335</v>
      </c>
      <c r="R14" s="47"/>
      <c r="S14" s="47"/>
      <c r="T14" s="47"/>
      <c r="U14" s="47"/>
    </row>
    <row r="15" spans="1:21" s="34" customFormat="1" ht="15">
      <c r="A15" s="36" t="str">
        <f>'07'!$B$2</f>
        <v>07-04-2024 01:00</v>
      </c>
      <c r="B15" s="33">
        <f>'07'!B36</f>
        <v>13.478333333333333</v>
      </c>
      <c r="C15" s="33">
        <f>'07'!C36</f>
        <v>55.863333333333316</v>
      </c>
      <c r="D15" s="33">
        <f>'07'!D36</f>
        <v>39.700416666666669</v>
      </c>
      <c r="E15" s="33">
        <f>'07'!E36</f>
        <v>1.7833333333333339</v>
      </c>
      <c r="F15" s="33">
        <f>'07'!F36</f>
        <v>3.881250000000001</v>
      </c>
      <c r="G15" s="33">
        <f>'07'!G36</f>
        <v>74.756250000000009</v>
      </c>
      <c r="H15" s="33">
        <f>'07'!H36</f>
        <v>25.209583333333331</v>
      </c>
      <c r="I15" s="33">
        <f>'07'!I36</f>
        <v>8.5487500000000001</v>
      </c>
      <c r="J15" s="33">
        <f>'07'!J36</f>
        <v>1.1804166666666667</v>
      </c>
      <c r="K15" s="33">
        <f>'07'!K36</f>
        <v>218.77708333333331</v>
      </c>
      <c r="L15" s="33">
        <f>'07'!L36</f>
        <v>26.750833333333333</v>
      </c>
      <c r="M15" s="33">
        <f>'07'!M36</f>
        <v>42.944583333333334</v>
      </c>
      <c r="N15" s="33">
        <f>'07'!N37</f>
        <v>190.01450473811093</v>
      </c>
      <c r="O15" s="33">
        <f>'07'!O37</f>
        <v>0</v>
      </c>
      <c r="P15" s="30">
        <f>'07'!$P$36</f>
        <v>0.79791666666666661</v>
      </c>
      <c r="Q15" s="33">
        <f>'07'!Q36</f>
        <v>9.8941666666666652</v>
      </c>
      <c r="R15" s="47"/>
      <c r="S15" s="47"/>
      <c r="T15" s="47"/>
      <c r="U15" s="47"/>
    </row>
    <row r="16" spans="1:21" s="34" customFormat="1" ht="15">
      <c r="A16" s="36" t="str">
        <f>'08'!$B$2</f>
        <v>08-04-2024 01:00</v>
      </c>
      <c r="B16" s="33">
        <f>'08'!B36</f>
        <v>1.6291666666666664</v>
      </c>
      <c r="C16" s="33">
        <f>'08'!C36</f>
        <v>42.985416666666673</v>
      </c>
      <c r="D16" s="33">
        <f>'08'!D36</f>
        <v>23.62791666666666</v>
      </c>
      <c r="E16" s="33">
        <f>'08'!E36</f>
        <v>1.8099999999999998</v>
      </c>
      <c r="F16" s="33">
        <f>'08'!F36</f>
        <v>4.7849999999999993</v>
      </c>
      <c r="G16" s="33">
        <f>'08'!G36</f>
        <v>24.701666666666672</v>
      </c>
      <c r="H16" s="33">
        <f>'08'!H36</f>
        <v>10.621250000000002</v>
      </c>
      <c r="I16" s="33">
        <f>'08'!I36</f>
        <v>5.7583333333333329</v>
      </c>
      <c r="J16" s="33">
        <f>'08'!J36</f>
        <v>1.5391666666666663</v>
      </c>
      <c r="K16" s="33">
        <f>'08'!K36</f>
        <v>172.48499999999999</v>
      </c>
      <c r="L16" s="33">
        <f>'08'!L36</f>
        <v>22.08666666666667</v>
      </c>
      <c r="M16" s="33">
        <f>'08'!M36</f>
        <v>81.433750000000003</v>
      </c>
      <c r="N16" s="33">
        <f>'08'!N36</f>
        <v>202.12916666666672</v>
      </c>
      <c r="O16" s="33">
        <f>'08'!O36</f>
        <v>0.13333333333333333</v>
      </c>
      <c r="P16" s="30">
        <f>'08'!$P$36</f>
        <v>0.39375000000000004</v>
      </c>
      <c r="Q16" s="33">
        <f>'08'!Q36</f>
        <v>9.5562500000000004</v>
      </c>
      <c r="R16" s="47"/>
      <c r="S16" s="47"/>
      <c r="T16" s="47"/>
      <c r="U16" s="47"/>
    </row>
    <row r="17" spans="1:24" s="34" customFormat="1" ht="15">
      <c r="A17" s="36" t="str">
        <f>'09'!$B$2</f>
        <v>09-04-2024 01:00</v>
      </c>
      <c r="B17" s="33">
        <f>'09'!B36</f>
        <v>6.2879166666666677</v>
      </c>
      <c r="C17" s="33">
        <f>'09'!C36</f>
        <v>38.024583333333339</v>
      </c>
      <c r="D17" s="33">
        <f>'09'!D36</f>
        <v>24.768333333333331</v>
      </c>
      <c r="E17" s="33">
        <f>'09'!E36</f>
        <v>1.9675</v>
      </c>
      <c r="F17" s="33">
        <f>'09'!F36</f>
        <v>5.2187499999999991</v>
      </c>
      <c r="G17" s="33">
        <f>'09'!G36</f>
        <v>30.709500000000002</v>
      </c>
      <c r="H17" s="33">
        <f>'09'!H36</f>
        <v>10.772000000000002</v>
      </c>
      <c r="I17" s="33">
        <f>'09'!I36</f>
        <v>6.8937500000000007</v>
      </c>
      <c r="J17" s="33">
        <f>'09'!J36</f>
        <v>1.0933333333333333</v>
      </c>
      <c r="K17" s="33">
        <f>'09'!K36</f>
        <v>228.41583333333335</v>
      </c>
      <c r="L17" s="33">
        <f>'09'!L36</f>
        <v>22.823333333333327</v>
      </c>
      <c r="M17" s="33">
        <f>'09'!M36</f>
        <v>78.291666666666671</v>
      </c>
      <c r="N17" s="33">
        <f>'09'!N37</f>
        <v>300.48080878697624</v>
      </c>
      <c r="O17" s="33">
        <f>'09'!O37</f>
        <v>2.1331748129510379</v>
      </c>
      <c r="P17" s="30">
        <f>'09'!$P$36</f>
        <v>0.42958333333333326</v>
      </c>
      <c r="Q17" s="33">
        <f>'09'!Q36</f>
        <v>9.4512499999999999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10-04-2024 01:00</v>
      </c>
      <c r="B18" s="33">
        <f>'10'!B36</f>
        <v>11.83041666666667</v>
      </c>
      <c r="C18" s="33">
        <f>'10'!C36</f>
        <v>39.356249999999996</v>
      </c>
      <c r="D18" s="33">
        <f>'10'!D36</f>
        <v>29.706249999999997</v>
      </c>
      <c r="E18" s="33">
        <f>'10'!E36</f>
        <v>1.5449999999999999</v>
      </c>
      <c r="F18" s="33">
        <f>'10'!F36</f>
        <v>4.3787500000000001</v>
      </c>
      <c r="G18" s="33">
        <f>'10'!G36</f>
        <v>45.338333333333338</v>
      </c>
      <c r="H18" s="33">
        <f>'10'!H36</f>
        <v>17.251666666666665</v>
      </c>
      <c r="I18" s="33">
        <f>'10'!I36</f>
        <v>7.1012499999999994</v>
      </c>
      <c r="J18" s="33">
        <f>'10'!J36</f>
        <v>1.2654166666666664</v>
      </c>
      <c r="K18" s="33">
        <f>'10'!K36</f>
        <v>245.69666666666669</v>
      </c>
      <c r="L18" s="33">
        <f>'10'!L36</f>
        <v>26.342500000000001</v>
      </c>
      <c r="M18" s="33">
        <f>'10'!M36</f>
        <v>64.968333333333334</v>
      </c>
      <c r="N18" s="33">
        <f>'10'!N36</f>
        <v>297.66666666666669</v>
      </c>
      <c r="O18" s="33">
        <f>'10'!O36</f>
        <v>0.0083333333333333332</v>
      </c>
      <c r="P18" s="30">
        <f>'10'!$P$36</f>
        <v>0.71625000000000005</v>
      </c>
      <c r="Q18" s="33">
        <f>'10'!Q36</f>
        <v>9.4820833333333301</v>
      </c>
      <c r="R18" s="47"/>
      <c r="S18" s="47"/>
      <c r="T18" s="47"/>
      <c r="U18" s="47"/>
    </row>
    <row r="19" spans="1:21" s="34" customFormat="1" ht="15">
      <c r="A19" s="36" t="str">
        <f>'11'!$B$2</f>
        <v>11-04-2024 01:00</v>
      </c>
      <c r="B19" s="33">
        <f>'11'!B36</f>
        <v>1.6779166666666665</v>
      </c>
      <c r="C19" s="33">
        <f>'11'!C36</f>
        <v>29.658749999999998</v>
      </c>
      <c r="D19" s="33">
        <f>'11'!D36</f>
        <v>16.654999999999998</v>
      </c>
      <c r="E19" s="33">
        <f>'11'!E36</f>
        <v>1.8591666666666669</v>
      </c>
      <c r="F19" s="33">
        <f>'11'!F36</f>
        <v>4.9500000000000002</v>
      </c>
      <c r="G19" s="33">
        <f>'11'!G36</f>
        <v>19.540833333333332</v>
      </c>
      <c r="H19" s="33">
        <f>'11'!H36</f>
        <v>7.0533333333333337</v>
      </c>
      <c r="I19" s="33">
        <f>'11'!I36</f>
        <v>3.9158333333333339</v>
      </c>
      <c r="J19" s="33">
        <f>'11'!J36</f>
        <v>1.4220833333333329</v>
      </c>
      <c r="K19" s="33">
        <f>'11'!K36</f>
        <v>235.93958333333333</v>
      </c>
      <c r="L19" s="33">
        <f>'11'!L36</f>
        <v>19.373750000000001</v>
      </c>
      <c r="M19" s="33">
        <f>'11'!M36</f>
        <v>94.486249999999998</v>
      </c>
      <c r="N19" s="33">
        <f>'11'!N36</f>
        <v>94.283333333333346</v>
      </c>
      <c r="O19" s="33">
        <f>'11'!O36</f>
        <v>0.14166666666666666</v>
      </c>
      <c r="P19" s="33">
        <f>'11'!P36</f>
        <v>0.35999999999999993</v>
      </c>
      <c r="Q19" s="33">
        <f>'11'!Q36</f>
        <v>9.2654166666666669</v>
      </c>
      <c r="R19" s="47"/>
      <c r="S19" s="47"/>
      <c r="T19" s="47"/>
      <c r="U19" s="47"/>
    </row>
    <row r="20" spans="1:21" s="34" customFormat="1" ht="15">
      <c r="A20" s="36" t="str">
        <f>'12'!$B$2</f>
        <v>12-04-2024 01:00</v>
      </c>
      <c r="B20" s="33">
        <f>'12'!B36</f>
        <v>10.834999999999999</v>
      </c>
      <c r="C20" s="33">
        <f>'12'!C36</f>
        <v>28.126250000000002</v>
      </c>
      <c r="D20" s="33">
        <f>'12'!D36</f>
        <v>23.11708333333333</v>
      </c>
      <c r="E20" s="33">
        <f>'12'!E36</f>
        <v>1.6337499999999994</v>
      </c>
      <c r="F20" s="33">
        <f>'12'!F36</f>
        <v>3.7341666666666664</v>
      </c>
      <c r="G20" s="33">
        <f>'12'!G36</f>
        <v>38.854999999999997</v>
      </c>
      <c r="H20" s="33">
        <f>'12'!H36</f>
        <v>14.43125</v>
      </c>
      <c r="I20" s="33">
        <f>'12'!I36</f>
        <v>5.3183333333333334</v>
      </c>
      <c r="J20" s="33">
        <f>'12'!J36</f>
        <v>0.48708333333333337</v>
      </c>
      <c r="K20" s="33">
        <f>'12'!K36</f>
        <v>258.01250000000005</v>
      </c>
      <c r="L20" s="33">
        <f>'12'!L36</f>
        <v>21.349583333333332</v>
      </c>
      <c r="M20" s="33">
        <f>'12'!M36</f>
        <v>86.912500000000023</v>
      </c>
      <c r="N20" s="33">
        <f>'12'!N36</f>
        <v>151.17916666666665</v>
      </c>
      <c r="O20" s="33">
        <f>'12'!O36</f>
        <v>0.0083333333333333332</v>
      </c>
      <c r="P20" s="33">
        <f>'12'!P36</f>
        <v>0.55291666666666672</v>
      </c>
      <c r="Q20" s="33">
        <f>'12'!Q36</f>
        <v>9.3837499999999991</v>
      </c>
      <c r="R20" s="47"/>
      <c r="S20" s="47"/>
      <c r="T20" s="47"/>
      <c r="U20" s="47"/>
    </row>
    <row r="21" spans="1:21" s="34" customFormat="1" ht="15">
      <c r="A21" s="36" t="str">
        <f>'13'!$B$2</f>
        <v>13-04-2024 01:00</v>
      </c>
      <c r="B21" s="33">
        <f>'13'!B36</f>
        <v>11.70208333333334</v>
      </c>
      <c r="C21" s="33">
        <f>'13'!C36</f>
        <v>28.774583333333336</v>
      </c>
      <c r="D21" s="33">
        <f>'13'!D36</f>
        <v>24.091666666666669</v>
      </c>
      <c r="E21" s="33">
        <f>'13'!E36</f>
        <v>1.7504166666666663</v>
      </c>
      <c r="F21" s="33">
        <f>'13'!F36</f>
        <v>4.0287499999999996</v>
      </c>
      <c r="G21" s="33">
        <f>'13'!G36</f>
        <v>64.296666666666667</v>
      </c>
      <c r="H21" s="33">
        <f>'13'!H36</f>
        <v>24.437083333333337</v>
      </c>
      <c r="I21" s="33">
        <f>'13'!I36</f>
        <v>6.0870833333333332</v>
      </c>
      <c r="J21" s="33">
        <f>'13'!J36</f>
        <v>0.65291666666666659</v>
      </c>
      <c r="K21" s="33">
        <f>'13'!K36</f>
        <v>279.84249999999997</v>
      </c>
      <c r="L21" s="33">
        <f>'13'!L36</f>
        <v>22.478333333333328</v>
      </c>
      <c r="M21" s="33">
        <f>'13'!M36</f>
        <v>83.652916666666655</v>
      </c>
      <c r="N21" s="33">
        <f>'13'!N36</f>
        <v>171.17916666666667</v>
      </c>
      <c r="O21" s="33">
        <f>'13'!O36</f>
        <v>0</v>
      </c>
      <c r="P21" s="33">
        <f>'13'!P36</f>
        <v>0.66583333333333339</v>
      </c>
      <c r="Q21" s="33">
        <f>'13'!Q36</f>
        <v>9.3966666666666665</v>
      </c>
      <c r="R21" s="47"/>
      <c r="S21" s="47"/>
      <c r="T21" s="47"/>
      <c r="U21" s="47"/>
    </row>
    <row r="22" spans="1:21" s="34" customFormat="1" ht="15">
      <c r="A22" s="36" t="str">
        <f>'14'!$B$2</f>
        <v>14-04-2024 01:00</v>
      </c>
      <c r="B22" s="30">
        <f>'14'!B36</f>
        <v>13.542500000000002</v>
      </c>
      <c r="C22" s="30">
        <f>'14'!C36</f>
        <v>28.086250000000003</v>
      </c>
      <c r="D22" s="30">
        <f>'14'!D36</f>
        <v>25.192083333333329</v>
      </c>
      <c r="E22" s="30">
        <f>'14'!E36</f>
        <v>1.9616666666666667</v>
      </c>
      <c r="F22" s="30">
        <f>'14'!F36</f>
        <v>4.2591666666666663</v>
      </c>
      <c r="G22" s="30">
        <f>'14'!G36</f>
        <v>41.100000000000001</v>
      </c>
      <c r="H22" s="30">
        <f>'14'!H36</f>
        <v>16.709166666666665</v>
      </c>
      <c r="I22" s="30">
        <f>'14'!I36</f>
        <v>5.6633333333333331</v>
      </c>
      <c r="J22" s="30">
        <f>'14'!J36</f>
        <v>0.48958333333333326</v>
      </c>
      <c r="K22" s="30">
        <f>'14'!K36</f>
        <v>258.42583333333334</v>
      </c>
      <c r="L22" s="30">
        <f>'14'!L36</f>
        <v>26.413750000000007</v>
      </c>
      <c r="M22" s="30">
        <f>'14'!M36</f>
        <v>68.276666666666671</v>
      </c>
      <c r="N22" s="30">
        <f>'14'!N36</f>
        <v>307.44166666666666</v>
      </c>
      <c r="O22" s="30">
        <f>'14'!O36</f>
        <v>0</v>
      </c>
      <c r="P22" s="30">
        <f>'14'!P36</f>
        <v>0.57791666666666675</v>
      </c>
      <c r="Q22" s="30">
        <f>'14'!Q36</f>
        <v>9.3745833333333319</v>
      </c>
      <c r="R22" s="48"/>
      <c r="S22" s="48"/>
      <c r="T22" s="48"/>
      <c r="U22" s="48"/>
    </row>
    <row r="23" spans="1:21" s="34" customFormat="1" ht="15">
      <c r="A23" s="36" t="str">
        <f>'15'!$B$2</f>
        <v>15-04-2024 01:00</v>
      </c>
      <c r="B23" s="33">
        <f>'15'!B36</f>
        <v>22.023333333333337</v>
      </c>
      <c r="C23" s="33">
        <f>'15'!C36</f>
        <v>28.76166666666666</v>
      </c>
      <c r="D23" s="33">
        <f>'15'!D36</f>
        <v>32.387500000000003</v>
      </c>
      <c r="E23" s="33">
        <f>'15'!E36</f>
        <v>1.5333333333333339</v>
      </c>
      <c r="F23" s="33">
        <f>'15'!F36</f>
        <v>5.6058333333333339</v>
      </c>
      <c r="G23" s="33">
        <f>'15'!G36</f>
        <v>56.297499999999992</v>
      </c>
      <c r="H23" s="33">
        <f>'15'!H36</f>
        <v>20.680000000000003</v>
      </c>
      <c r="I23" s="33">
        <f>'15'!I36</f>
        <v>6.7474999999999996</v>
      </c>
      <c r="J23" s="33">
        <f>'15'!J36</f>
        <v>0.57666666666666655</v>
      </c>
      <c r="K23" s="33">
        <f>'15'!K36</f>
        <v>294.80833333333334</v>
      </c>
      <c r="L23" s="33">
        <f>'15'!L36</f>
        <v>27.677083333333339</v>
      </c>
      <c r="M23" s="33">
        <f>'15'!M36</f>
        <v>70.150833333333324</v>
      </c>
      <c r="N23" s="33">
        <f>'15'!N36</f>
        <v>271.92916666666667</v>
      </c>
      <c r="O23" s="33">
        <f>'15'!O36</f>
        <v>0.125</v>
      </c>
      <c r="P23" s="30">
        <f>'15'!P36</f>
        <v>0.74958333333333327</v>
      </c>
      <c r="Q23" s="30">
        <f>'15'!Q36</f>
        <v>9.4299999999999997</v>
      </c>
      <c r="R23" s="48"/>
      <c r="S23" s="48"/>
      <c r="T23" s="48"/>
      <c r="U23" s="47"/>
    </row>
    <row r="24" spans="1:21" s="34" customFormat="1" ht="15">
      <c r="A24" s="36" t="str">
        <f>'16'!$B$2</f>
        <v>16-04-2024 01:00</v>
      </c>
      <c r="B24" s="33">
        <f>'16'!B36</f>
        <v>17.785416666666674</v>
      </c>
      <c r="C24" s="33">
        <f>'16'!C36</f>
        <v>26.956666666666663</v>
      </c>
      <c r="D24" s="33">
        <f>'16'!D36</f>
        <v>27.868750000000006</v>
      </c>
      <c r="E24" s="33">
        <f>'16'!E36</f>
        <v>1.6450000000000002</v>
      </c>
      <c r="F24" s="33">
        <f>'16'!F36</f>
        <v>4.3449999999999998</v>
      </c>
      <c r="G24" s="33">
        <f>'16'!G36</f>
        <v>64.914583333333312</v>
      </c>
      <c r="H24" s="33">
        <f>'16'!H36</f>
        <v>25.419583333333335</v>
      </c>
      <c r="I24" s="33">
        <f>'16'!I36</f>
        <v>10.002916666666668</v>
      </c>
      <c r="J24" s="33">
        <f>'16'!J36</f>
        <v>0.54416666666666669</v>
      </c>
      <c r="K24" s="33">
        <f>'16'!K36</f>
        <v>279.04958333333337</v>
      </c>
      <c r="L24" s="33">
        <f>'16'!L36</f>
        <v>29.115833333333327</v>
      </c>
      <c r="M24" s="33">
        <f>'16'!M36</f>
        <v>64.484166666666681</v>
      </c>
      <c r="N24" s="33">
        <f>'16'!N36</f>
        <v>285.73333333333329</v>
      </c>
      <c r="O24" s="33">
        <f>'16'!O36</f>
        <v>0</v>
      </c>
      <c r="P24" s="30">
        <f>'16'!P36</f>
        <v>0.85249999999999992</v>
      </c>
      <c r="Q24" s="30">
        <f>'16'!Q36</f>
        <v>9.3137499999999989</v>
      </c>
      <c r="R24" s="48"/>
      <c r="S24" s="48"/>
      <c r="T24" s="48"/>
      <c r="U24" s="47"/>
    </row>
    <row r="25" spans="1:21" s="34" customFormat="1" ht="15">
      <c r="A25" s="36" t="str">
        <f>'17'!$B$2</f>
        <v>17-04-2024 01:00</v>
      </c>
      <c r="B25" s="33">
        <f>'17'!B36</f>
        <v>20.35916666666667</v>
      </c>
      <c r="C25" s="33">
        <f>'17'!C36</f>
        <v>29.543333333333333</v>
      </c>
      <c r="D25" s="33">
        <f>'17'!D36</f>
        <v>31.257500000000004</v>
      </c>
      <c r="E25" s="33">
        <f>'17'!E36</f>
        <v>2.0399999999999996</v>
      </c>
      <c r="F25" s="33">
        <f>'17'!F36</f>
        <v>5.6654166666666663</v>
      </c>
      <c r="G25" s="33">
        <f>'17'!G36</f>
        <v>79.855000000000018</v>
      </c>
      <c r="H25" s="33">
        <f>'17'!H36</f>
        <v>27.720416666666665</v>
      </c>
      <c r="I25" s="33">
        <f>'17'!I36</f>
        <v>8.8212500000000009</v>
      </c>
      <c r="J25" s="33">
        <f>'17'!J36</f>
        <v>0.52625</v>
      </c>
      <c r="K25" s="33">
        <f>'17'!K36</f>
        <v>294.48333333333329</v>
      </c>
      <c r="L25" s="33">
        <f>'17'!L36</f>
        <v>31.023333333333337</v>
      </c>
      <c r="M25" s="33">
        <f>'17'!M36</f>
        <v>52.162500000000016</v>
      </c>
      <c r="N25" s="33">
        <f>'17'!N36</f>
        <v>299.25</v>
      </c>
      <c r="O25" s="33">
        <f>'17'!O36</f>
        <v>0</v>
      </c>
      <c r="P25" s="30">
        <f>'17'!P36</f>
        <v>0.86916666666666675</v>
      </c>
      <c r="Q25" s="30">
        <f>'17'!Q36</f>
        <v>9.346666666666664</v>
      </c>
      <c r="R25" s="48"/>
      <c r="S25" s="48"/>
      <c r="T25" s="48"/>
      <c r="U25" s="47"/>
    </row>
    <row r="26" spans="1:21" s="34" customFormat="1" ht="15">
      <c r="A26" s="36" t="str">
        <f>'18'!$B$2</f>
        <v>18-04-2024 01:00</v>
      </c>
      <c r="B26" s="33">
        <f>'18'!B36</f>
        <v>11.650416666666672</v>
      </c>
      <c r="C26" s="33">
        <f>'18'!C36</f>
        <v>33.029583333333335</v>
      </c>
      <c r="D26" s="33">
        <f>'18'!D36</f>
        <v>26.199166666666667</v>
      </c>
      <c r="E26" s="33">
        <f>'18'!E36</f>
        <v>1.6516666666666664</v>
      </c>
      <c r="F26" s="33">
        <f>'18'!F36</f>
        <v>4.2233333333333336</v>
      </c>
      <c r="G26" s="33">
        <f>'18'!G36</f>
        <v>68.005416666666662</v>
      </c>
      <c r="H26" s="33">
        <f>'18'!H36</f>
        <v>22.890416666666663</v>
      </c>
      <c r="I26" s="33">
        <f>'18'!I36</f>
        <v>8.4654166666666661</v>
      </c>
      <c r="J26" s="33">
        <f>'18'!J36</f>
        <v>0.55833333333333335</v>
      </c>
      <c r="K26" s="33">
        <f>'18'!K36</f>
        <v>271.1270833333333</v>
      </c>
      <c r="L26" s="33">
        <f>'18'!L36</f>
        <v>31.392916666666665</v>
      </c>
      <c r="M26" s="33">
        <f>'18'!M36</f>
        <v>36.162083333333335</v>
      </c>
      <c r="N26" s="33">
        <f>'18'!N36</f>
        <v>307.4375</v>
      </c>
      <c r="O26" s="33">
        <f>'18'!O36</f>
        <v>0</v>
      </c>
      <c r="P26" s="30">
        <f>'18'!P36</f>
        <v>0.66000000000000003</v>
      </c>
      <c r="Q26" s="30">
        <f>'18'!Q36</f>
        <v>9.3037499999999991</v>
      </c>
      <c r="R26" s="48"/>
      <c r="S26" s="48"/>
      <c r="T26" s="48"/>
      <c r="U26" s="47"/>
    </row>
    <row r="27" spans="1:21" s="34" customFormat="1" ht="15">
      <c r="A27" s="36" t="str">
        <f>'19'!$B$2</f>
        <v>19-04-2024 01:00</v>
      </c>
      <c r="B27" s="33">
        <f>'19'!B36</f>
        <v>16.2925</v>
      </c>
      <c r="C27" s="33">
        <f>'19'!C36</f>
        <v>43.852916666666665</v>
      </c>
      <c r="D27" s="33">
        <f>'19'!D36</f>
        <v>35.311250000000001</v>
      </c>
      <c r="E27" s="33">
        <f>'19'!E36</f>
        <v>1.9300000000000004</v>
      </c>
      <c r="F27" s="33">
        <f>'19'!F36</f>
        <v>5.3425000000000002</v>
      </c>
      <c r="G27" s="33">
        <f>'19'!G36</f>
        <v>71.650833333333324</v>
      </c>
      <c r="H27" s="33">
        <f>'19'!H36</f>
        <v>21.585000000000008</v>
      </c>
      <c r="I27" s="33">
        <f>'19'!I36</f>
        <v>8.9866666666666664</v>
      </c>
      <c r="J27" s="33">
        <f>'19'!J36</f>
        <v>0.53416666666666668</v>
      </c>
      <c r="K27" s="33">
        <f>'19'!K36</f>
        <v>288.61791666666664</v>
      </c>
      <c r="L27" s="33">
        <f>'19'!L36</f>
        <v>32.540833333333332</v>
      </c>
      <c r="M27" s="33">
        <f>'19'!M36</f>
        <v>35.698333333333331</v>
      </c>
      <c r="N27" s="33">
        <f>'19'!N36</f>
        <v>313.79166666666669</v>
      </c>
      <c r="O27" s="33">
        <f>'19'!O36</f>
        <v>0</v>
      </c>
      <c r="P27" s="30">
        <f>'19'!P36</f>
        <v>0.72000000000000008</v>
      </c>
      <c r="Q27" s="30">
        <f>'19'!Q36</f>
        <v>9.4233333333333302</v>
      </c>
      <c r="R27" s="48"/>
      <c r="S27" s="48"/>
      <c r="T27" s="48"/>
      <c r="U27" s="47"/>
    </row>
    <row r="28" spans="1:21" s="34" customFormat="1" ht="15">
      <c r="A28" s="36" t="str">
        <f>'20'!$B$2</f>
        <v>20-04-2024 01:00</v>
      </c>
      <c r="B28" s="33">
        <f>'20'!B36</f>
        <v>19.111666666666661</v>
      </c>
      <c r="C28" s="33">
        <f>'20'!C36</f>
        <v>40.360416666666673</v>
      </c>
      <c r="D28" s="33">
        <f>'20'!D36</f>
        <v>36.137916666666676</v>
      </c>
      <c r="E28" s="33">
        <f>'20'!E36</f>
        <v>2.2087499999999998</v>
      </c>
      <c r="F28" s="33">
        <f>'20'!F36</f>
        <v>6.5087499999999991</v>
      </c>
      <c r="G28" s="33">
        <f>'20'!G36</f>
        <v>64.155416666666653</v>
      </c>
      <c r="H28" s="33">
        <f>'20'!H36</f>
        <v>23.320833333333336</v>
      </c>
      <c r="I28" s="33">
        <f>'20'!I36</f>
        <v>7.9004166666666658</v>
      </c>
      <c r="J28" s="33">
        <f>'20'!J36</f>
        <v>0.7108333333333331</v>
      </c>
      <c r="K28" s="33">
        <f>'20'!K36</f>
        <v>256.52749999999997</v>
      </c>
      <c r="L28" s="33">
        <f>'20'!L36</f>
        <v>31.495000000000005</v>
      </c>
      <c r="M28" s="33">
        <f>'20'!M36</f>
        <v>39.638333333333343</v>
      </c>
      <c r="N28" s="33">
        <f>'20'!N36</f>
        <v>277.05416666666667</v>
      </c>
      <c r="O28" s="33">
        <f>'20'!O36</f>
        <v>0</v>
      </c>
      <c r="P28" s="30">
        <f>'20'!P36</f>
        <v>0.65166666666666662</v>
      </c>
      <c r="Q28" s="30">
        <f>'20'!Q36</f>
        <v>9.4166666666666679</v>
      </c>
      <c r="R28" s="48"/>
      <c r="S28" s="48"/>
      <c r="T28" s="48"/>
      <c r="U28" s="47"/>
    </row>
    <row r="29" spans="1:21" s="34" customFormat="1" ht="15">
      <c r="A29" s="36" t="str">
        <f>'21'!$B$2</f>
        <v>21-04-2024 01:00</v>
      </c>
      <c r="B29" s="33">
        <f>'21'!B36</f>
        <v>3.0487500000000001</v>
      </c>
      <c r="C29" s="33">
        <f>'21'!C36</f>
        <v>32.87083333333333</v>
      </c>
      <c r="D29" s="33">
        <f>'21'!D36</f>
        <v>19.402499999999996</v>
      </c>
      <c r="E29" s="33">
        <f>'21'!E36</f>
        <v>1.7129166666666664</v>
      </c>
      <c r="F29" s="33">
        <f>'21'!F36</f>
        <v>4.8787499999999993</v>
      </c>
      <c r="G29" s="33">
        <f>'21'!G36</f>
        <v>43.526250000000005</v>
      </c>
      <c r="H29" s="33">
        <f>'21'!H36</f>
        <v>20.607916666666672</v>
      </c>
      <c r="I29" s="33">
        <f>'21'!I36</f>
        <v>6.6270833333333323</v>
      </c>
      <c r="J29" s="33">
        <f>'21'!J36</f>
        <v>0.66208333333333347</v>
      </c>
      <c r="K29" s="33">
        <f>'21'!K36</f>
        <v>282.09541666666667</v>
      </c>
      <c r="L29" s="33">
        <f>'21'!L36</f>
        <v>32.332916666666669</v>
      </c>
      <c r="M29" s="33">
        <f>'21'!M36</f>
        <v>39.462916666666665</v>
      </c>
      <c r="N29" s="33">
        <f>'21'!N36</f>
        <v>262.12083333333334</v>
      </c>
      <c r="O29" s="33">
        <f>'21'!O36</f>
        <v>0</v>
      </c>
      <c r="P29" s="30">
        <f>'21'!P36</f>
        <v>0.51416666666666677</v>
      </c>
      <c r="Q29" s="30">
        <f>'21'!Q36</f>
        <v>9.1974999999999962</v>
      </c>
      <c r="R29" s="48"/>
      <c r="S29" s="48"/>
      <c r="T29" s="48"/>
      <c r="U29" s="47"/>
    </row>
    <row r="30" spans="1:21" s="34" customFormat="1" ht="15">
      <c r="A30" s="36" t="str">
        <f>'22'!$B$2</f>
        <v>22-04-2024 01:00</v>
      </c>
      <c r="B30" s="33">
        <f>'22'!B36</f>
        <v>4.9187500000000002</v>
      </c>
      <c r="C30" s="33">
        <f>'22'!C36</f>
        <v>34.427500000000009</v>
      </c>
      <c r="D30" s="33">
        <f>'22'!D36</f>
        <v>21.715</v>
      </c>
      <c r="E30" s="33">
        <f>'22'!E36</f>
        <v>1.5437499999999995</v>
      </c>
      <c r="F30" s="33">
        <f>'22'!F36</f>
        <v>5.0429166666666667</v>
      </c>
      <c r="G30" s="33">
        <f>'22'!G36</f>
        <v>39.164166666666667</v>
      </c>
      <c r="H30" s="33">
        <f>'22'!H36</f>
        <v>15.428749999999999</v>
      </c>
      <c r="I30" s="33">
        <f>'22'!I36</f>
        <v>4.3799999999999999</v>
      </c>
      <c r="J30" s="33">
        <f>'22'!J36</f>
        <v>1.5808333333333329</v>
      </c>
      <c r="K30" s="33">
        <f>'22'!K36</f>
        <v>312.60750000000002</v>
      </c>
      <c r="L30" s="33">
        <f>'22'!L36</f>
        <v>27.767916666666661</v>
      </c>
      <c r="M30" s="33">
        <f>'22'!M36</f>
        <v>52.854583333333323</v>
      </c>
      <c r="N30" s="33">
        <f>'22'!N36</f>
        <v>235.57916666666665</v>
      </c>
      <c r="O30" s="33">
        <f>'22'!O36</f>
        <v>0.20000000000000004</v>
      </c>
      <c r="P30" s="30">
        <f>'22'!P36</f>
        <v>0.4291666666666667</v>
      </c>
      <c r="Q30" s="30">
        <f>'22'!Q36</f>
        <v>9.2116666666666642</v>
      </c>
      <c r="R30" s="48"/>
      <c r="S30" s="47"/>
      <c r="T30" s="47"/>
      <c r="U30" s="47"/>
    </row>
    <row r="31" spans="1:21" s="34" customFormat="1" ht="15">
      <c r="A31" s="36" t="str">
        <f>'23'!$B$2</f>
        <v>23-04-2024 01:00</v>
      </c>
      <c r="B31" s="33">
        <f>'23'!B36</f>
        <v>13.462083333333332</v>
      </c>
      <c r="C31" s="33">
        <f>'23'!C36</f>
        <v>31.240416666666661</v>
      </c>
      <c r="D31" s="33">
        <f>'23'!D36</f>
        <v>26.680000000000003</v>
      </c>
      <c r="E31" s="33">
        <f>'23'!E36</f>
        <v>1.7295833333333339</v>
      </c>
      <c r="F31" s="33">
        <f>'23'!F36</f>
        <v>6.3633333333333333</v>
      </c>
      <c r="G31" s="33">
        <f>'23'!G36</f>
        <v>49.712916666666672</v>
      </c>
      <c r="H31" s="33">
        <f>'23'!H36</f>
        <v>28.114583333333332</v>
      </c>
      <c r="I31" s="33">
        <f>'23'!I36</f>
        <v>6.9129166666666668</v>
      </c>
      <c r="J31" s="33">
        <f>'23'!J36</f>
        <v>1.0054166666666664</v>
      </c>
      <c r="K31" s="33">
        <f>'23'!K36</f>
        <v>301.29583333333335</v>
      </c>
      <c r="L31" s="33">
        <f>'23'!L36</f>
        <v>27.540833333333335</v>
      </c>
      <c r="M31" s="33">
        <f>'23'!M36</f>
        <v>67.559583333333336</v>
      </c>
      <c r="N31" s="33">
        <f>'23'!N36</f>
        <v>281.35833333333335</v>
      </c>
      <c r="O31" s="33">
        <f>'23'!O36</f>
        <v>0.058333333333333327</v>
      </c>
      <c r="P31" s="33">
        <f>'23'!P36</f>
        <v>0.81541666666666668</v>
      </c>
      <c r="Q31" s="33">
        <f>'23'!Q36</f>
        <v>9.2091666666666683</v>
      </c>
      <c r="R31" s="47"/>
      <c r="S31" s="47"/>
      <c r="T31" s="47"/>
      <c r="U31" s="47"/>
    </row>
    <row r="32" spans="1:21" s="34" customFormat="1" ht="15">
      <c r="A32" s="36" t="str">
        <f>'24'!$B$2</f>
        <v>24-04-2024 01:00</v>
      </c>
      <c r="B32" s="33">
        <f>'24'!B36</f>
        <v>11.597916666666668</v>
      </c>
      <c r="C32" s="33">
        <f>'24'!C36</f>
        <v>29.153333333333332</v>
      </c>
      <c r="D32" s="33">
        <f>'24'!D36</f>
        <v>24.230416666666667</v>
      </c>
      <c r="E32" s="33">
        <f>'24'!E36</f>
        <v>1.6674999999999998</v>
      </c>
      <c r="F32" s="33">
        <f>'24'!F36</f>
        <v>4.5837500000000002</v>
      </c>
      <c r="G32" s="33">
        <f>'24'!G36</f>
        <v>46.03458333333333</v>
      </c>
      <c r="H32" s="33">
        <f>'24'!H36</f>
        <v>26.498750000000001</v>
      </c>
      <c r="I32" s="33">
        <f>'24'!I36</f>
        <v>6.5612499999999985</v>
      </c>
      <c r="J32" s="33">
        <f>'24'!J36</f>
        <v>0.6741666666666668</v>
      </c>
      <c r="K32" s="33">
        <f>'24'!K36</f>
        <v>323.98000000000008</v>
      </c>
      <c r="L32" s="33">
        <f>'24'!L36</f>
        <v>30.129999999999995</v>
      </c>
      <c r="M32" s="33">
        <f>'24'!M36</f>
        <v>44.851666666666659</v>
      </c>
      <c r="N32" s="33">
        <f>'24'!N36</f>
        <v>275.57916666666665</v>
      </c>
      <c r="O32" s="33">
        <f>'24'!O36</f>
        <v>0</v>
      </c>
      <c r="P32" s="33">
        <f>'24'!P36</f>
        <v>0.78000000000000014</v>
      </c>
      <c r="Q32" s="33">
        <f>'24'!Q36</f>
        <v>9.1758333333333351</v>
      </c>
      <c r="R32" s="47"/>
      <c r="S32" s="47"/>
      <c r="T32" s="47"/>
      <c r="U32" s="47"/>
    </row>
    <row r="33" spans="1:21" s="34" customFormat="1" ht="15">
      <c r="A33" s="36" t="str">
        <f>'25'!$B$2</f>
        <v>25-04-2024 01:00</v>
      </c>
      <c r="B33" s="33">
        <f>'25'!B36</f>
        <v>27.595833333333328</v>
      </c>
      <c r="C33" s="33">
        <f>'25'!C36</f>
        <v>31.462083333333322</v>
      </c>
      <c r="D33" s="33">
        <f>'25'!D36</f>
        <v>38.134999999999991</v>
      </c>
      <c r="E33" s="33">
        <f>'25'!E36</f>
        <v>2.3183333333333329</v>
      </c>
      <c r="F33" s="33">
        <f>'25'!F36</f>
        <v>9.7408333333333346</v>
      </c>
      <c r="G33" s="33">
        <f>'25'!G36</f>
        <v>73.952083333333334</v>
      </c>
      <c r="H33" s="33">
        <f>'25'!H36</f>
        <v>26.179583333333337</v>
      </c>
      <c r="I33" s="33">
        <f>'25'!I36</f>
        <v>7.559166666666667</v>
      </c>
      <c r="J33" s="33">
        <f>'25'!J36</f>
        <v>0.60583333333333333</v>
      </c>
      <c r="K33" s="33">
        <f>'25'!K36</f>
        <v>298.91541666666666</v>
      </c>
      <c r="L33" s="33">
        <f>'25'!L36</f>
        <v>30.477499999999996</v>
      </c>
      <c r="M33" s="33">
        <f>'25'!M36</f>
        <v>49.311250000000001</v>
      </c>
      <c r="N33" s="33">
        <f>'25'!N36</f>
        <v>284.07916666666671</v>
      </c>
      <c r="O33" s="33">
        <f>'25'!O36</f>
        <v>0</v>
      </c>
      <c r="P33" s="33">
        <f>'25'!P36</f>
        <v>0.84333333333333327</v>
      </c>
      <c r="Q33" s="33">
        <f>'25'!Q36</f>
        <v>9.2787499999999987</v>
      </c>
      <c r="R33" s="47"/>
      <c r="S33" s="47"/>
      <c r="T33" s="47"/>
      <c r="U33" s="47"/>
    </row>
    <row r="34" spans="1:21" s="34" customFormat="1" ht="15">
      <c r="A34" s="36" t="str">
        <f>'26'!$B$2</f>
        <v>26-04-2024 01:00</v>
      </c>
      <c r="B34" s="33">
        <f>'26'!B36</f>
        <v>9.2075000000000014</v>
      </c>
      <c r="C34" s="33">
        <f>'26'!C36</f>
        <v>30.853750000000002</v>
      </c>
      <c r="D34" s="33">
        <f>'26'!D36</f>
        <v>23.059166666666659</v>
      </c>
      <c r="E34" s="33">
        <f>'26'!E36</f>
        <v>2.0020833333333337</v>
      </c>
      <c r="F34" s="33">
        <f>'26'!F36</f>
        <v>9.9745833333333334</v>
      </c>
      <c r="G34" s="33">
        <f>'26'!G36</f>
        <v>49.405416666666667</v>
      </c>
      <c r="H34" s="33">
        <f>'26'!H36</f>
        <v>22.616250000000004</v>
      </c>
      <c r="I34" s="33">
        <f>'26'!I36</f>
        <v>6.2212500000000004</v>
      </c>
      <c r="J34" s="33">
        <f>'26'!J36</f>
        <v>0.71958333333333335</v>
      </c>
      <c r="K34" s="33">
        <f>'26'!K36</f>
        <v>305.43708333333331</v>
      </c>
      <c r="L34" s="33">
        <f>'26'!L36</f>
        <v>31.433333333333334</v>
      </c>
      <c r="M34" s="33">
        <f>'26'!M36</f>
        <v>39.213750000000005</v>
      </c>
      <c r="N34" s="33">
        <f>'26'!N36</f>
        <v>301.37916666666672</v>
      </c>
      <c r="O34" s="33">
        <f>'26'!O36</f>
        <v>0</v>
      </c>
      <c r="P34" s="33">
        <f>'26'!P36</f>
        <v>0.61916666666666675</v>
      </c>
      <c r="Q34" s="33">
        <f>'26'!Q36</f>
        <v>9.2283333333333317</v>
      </c>
      <c r="R34" s="47"/>
      <c r="S34" s="47"/>
      <c r="T34" s="47"/>
      <c r="U34" s="47"/>
    </row>
    <row r="35" spans="1:21" s="34" customFormat="1" ht="15">
      <c r="A35" s="36" t="str">
        <f>'27'!$B$2</f>
        <v>27-04-2024 01:00</v>
      </c>
      <c r="B35" s="33">
        <f>'27'!B36</f>
        <v>13.942083333333334</v>
      </c>
      <c r="C35" s="33">
        <f>'27'!C36</f>
        <v>35.400416666666665</v>
      </c>
      <c r="D35" s="33">
        <f>'27'!D36</f>
        <v>29.370833333333334</v>
      </c>
      <c r="E35" s="33">
        <f>'27'!E36</f>
        <v>1.888333333333333</v>
      </c>
      <c r="F35" s="33">
        <f>'27'!F36</f>
        <v>4.5725000000000007</v>
      </c>
      <c r="G35" s="33">
        <f>'27'!G36</f>
        <v>62.127499999999991</v>
      </c>
      <c r="H35" s="33">
        <f>'27'!H36</f>
        <v>25.928749999999997</v>
      </c>
      <c r="I35" s="33">
        <f>'27'!I36</f>
        <v>7.4904166666666674</v>
      </c>
      <c r="J35" s="33">
        <f>'27'!J36</f>
        <v>0.64291666666666658</v>
      </c>
      <c r="K35" s="33">
        <f>'27'!K36</f>
        <v>314.7091666666667</v>
      </c>
      <c r="L35" s="33">
        <f>'27'!L36</f>
        <v>30.226250000000004</v>
      </c>
      <c r="M35" s="33">
        <f>'27'!M36</f>
        <v>42.252499999999998</v>
      </c>
      <c r="N35" s="33">
        <f>'27'!N36</f>
        <v>252.19166666666661</v>
      </c>
      <c r="O35" s="33">
        <f>'27'!O36</f>
        <v>0</v>
      </c>
      <c r="P35" s="30">
        <f>'27'!P36</f>
        <v>0.78041666666666654</v>
      </c>
      <c r="Q35" s="33">
        <f>'27'!Q36</f>
        <v>9.2300000000000022</v>
      </c>
      <c r="R35" s="47"/>
      <c r="S35" s="47"/>
      <c r="T35" s="47"/>
      <c r="U35" s="47"/>
    </row>
    <row r="36" spans="1:21" s="34" customFormat="1" ht="15">
      <c r="A36" s="36" t="str">
        <f>'28'!$B$2</f>
        <v>28-04-2024 01:00</v>
      </c>
      <c r="B36" s="33">
        <f>'28'!B36</f>
        <v>31.235000000000003</v>
      </c>
      <c r="C36" s="33">
        <f>'28'!C36</f>
        <v>36.875833333333333</v>
      </c>
      <c r="D36" s="33">
        <f>'28'!D36</f>
        <v>43.81583333333333</v>
      </c>
      <c r="E36" s="33">
        <f>'28'!E36</f>
        <v>1.9908333333333337</v>
      </c>
      <c r="F36" s="33">
        <f>'28'!F36</f>
        <v>4.1383333333333328</v>
      </c>
      <c r="G36" s="33">
        <f>'28'!G36</f>
        <v>71.420000000000002</v>
      </c>
      <c r="H36" s="33">
        <f>'28'!H36</f>
        <v>22.618333333333336</v>
      </c>
      <c r="I36" s="33">
        <f>'28'!I36</f>
        <v>8.8324999999999996</v>
      </c>
      <c r="J36" s="33">
        <f>'28'!J36</f>
        <v>0.83416666666666661</v>
      </c>
      <c r="K36" s="33">
        <f>'28'!K36</f>
        <v>324.13583333333332</v>
      </c>
      <c r="L36" s="33">
        <f>'28'!L36</f>
        <v>28.230833333333337</v>
      </c>
      <c r="M36" s="33">
        <f>'28'!M36</f>
        <v>53.576666666666675</v>
      </c>
      <c r="N36" s="33">
        <f>'28'!N36</f>
        <v>207.18333333333328</v>
      </c>
      <c r="O36" s="33">
        <f>'28'!O36</f>
        <v>0.0083333333333333332</v>
      </c>
      <c r="P36" s="30">
        <f>'28'!P36</f>
        <v>1.0691666666666666</v>
      </c>
      <c r="Q36" s="33">
        <f>'28'!Q36</f>
        <v>9.3241666666666667</v>
      </c>
      <c r="R36" s="47"/>
      <c r="S36" s="47"/>
      <c r="T36" s="47"/>
      <c r="U36" s="47"/>
    </row>
    <row r="37" spans="1:21" s="34" customFormat="1" ht="15">
      <c r="A37" s="36" t="str">
        <f>'29'!$B$2</f>
        <v>29-04-2024 01:00</v>
      </c>
      <c r="B37" s="33">
        <f>'29'!B36</f>
        <v>18.889166666666668</v>
      </c>
      <c r="C37" s="33">
        <f>'29'!C36</f>
        <v>34.363750000000003</v>
      </c>
      <c r="D37" s="33">
        <f>'29'!D36</f>
        <v>32.497499999999995</v>
      </c>
      <c r="E37" s="33">
        <f>'29'!E36</f>
        <v>2.6945833333333336</v>
      </c>
      <c r="F37" s="33">
        <f>'29'!F36</f>
        <v>9.1749999999999989</v>
      </c>
      <c r="G37" s="33">
        <f>'29'!G36</f>
        <v>63.935000000000002</v>
      </c>
      <c r="H37" s="33">
        <f>'29'!H36</f>
        <v>31.395</v>
      </c>
      <c r="I37" s="33">
        <f>'29'!I36</f>
        <v>7.1920833333333336</v>
      </c>
      <c r="J37" s="33">
        <f>'29'!J36</f>
        <v>0.51333333333333331</v>
      </c>
      <c r="K37" s="33">
        <f>'29'!K36</f>
        <v>305.66833333333329</v>
      </c>
      <c r="L37" s="33">
        <f>'29'!L36</f>
        <v>30.632499999999997</v>
      </c>
      <c r="M37" s="33">
        <f>'29'!M36</f>
        <v>50.074999999999989</v>
      </c>
      <c r="N37" s="33">
        <f>'29'!N36</f>
        <v>280.85833333333329</v>
      </c>
      <c r="O37" s="33">
        <f>'29'!O36</f>
        <v>0</v>
      </c>
      <c r="P37" s="33">
        <f>'29'!P36</f>
        <v>0.90083333333333337</v>
      </c>
      <c r="Q37" s="33">
        <f>'29'!Q36</f>
        <v>9.2408333333333346</v>
      </c>
      <c r="R37" s="47"/>
      <c r="S37" s="47"/>
      <c r="T37" s="47"/>
      <c r="U37" s="47"/>
    </row>
    <row r="38" spans="1:21" s="34" customFormat="1" ht="15">
      <c r="A38" s="36" t="str">
        <f>'30'!$B$2</f>
        <v>30-04-2024 01:00</v>
      </c>
      <c r="B38" s="33">
        <f>'30'!B36</f>
        <v>6.4787500000000007</v>
      </c>
      <c r="C38" s="33">
        <f>'30'!C36</f>
        <v>26.275416666666658</v>
      </c>
      <c r="D38" s="33">
        <f>'30'!D36</f>
        <v>18.516250000000003</v>
      </c>
      <c r="E38" s="33">
        <f>'30'!E36</f>
        <v>1.8391666666666664</v>
      </c>
      <c r="F38" s="33">
        <f>'30'!F36</f>
        <v>6.5604166666666659</v>
      </c>
      <c r="G38" s="33">
        <f>'30'!G36</f>
        <v>48.757083333333327</v>
      </c>
      <c r="H38" s="33">
        <f>'30'!H36</f>
        <v>30.299166666666665</v>
      </c>
      <c r="I38" s="33">
        <f>'30'!I36</f>
        <v>5.205000000000001</v>
      </c>
      <c r="J38" s="33">
        <f>'30'!J36</f>
        <v>0.45666666666666672</v>
      </c>
      <c r="K38" s="33">
        <f>'30'!K36</f>
        <v>301.93249999999995</v>
      </c>
      <c r="L38" s="33">
        <f>'30'!L36</f>
        <v>32.320416666666674</v>
      </c>
      <c r="M38" s="33">
        <f>'30'!M36</f>
        <v>42.351249999999993</v>
      </c>
      <c r="N38" s="33">
        <f>'30'!N36</f>
        <v>285.54583333333335</v>
      </c>
      <c r="O38" s="33">
        <f>'30'!O36</f>
        <v>0</v>
      </c>
      <c r="P38" s="33">
        <f>'30'!P36</f>
        <v>0.71125000000000005</v>
      </c>
      <c r="Q38" s="33">
        <f>'30'!Q36</f>
        <v>9.3891666666666662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1.6291666666666664</v>
      </c>
      <c r="C40" s="15">
        <f t="shared" si="0"/>
        <v>26.275416666666658</v>
      </c>
      <c r="D40" s="15">
        <f t="shared" si="0"/>
        <v>16.654999999999998</v>
      </c>
      <c r="E40" s="15">
        <f t="shared" si="0"/>
        <v>1.5333333333333339</v>
      </c>
      <c r="F40" s="15">
        <f t="shared" si="0"/>
        <v>3.7341666666666664</v>
      </c>
      <c r="G40" s="15">
        <f t="shared" si="0"/>
        <v>19.540833333333332</v>
      </c>
      <c r="H40" s="15">
        <f t="shared" si="0"/>
        <v>7.0533333333333337</v>
      </c>
      <c r="I40" s="15">
        <f t="shared" si="0"/>
        <v>3.9158333333333339</v>
      </c>
      <c r="J40" s="15">
        <f t="shared" si="0"/>
        <v>0.26999999999999996</v>
      </c>
      <c r="K40" s="15">
        <f t="shared" si="0"/>
        <v>172.48499999999999</v>
      </c>
      <c r="L40" s="15">
        <f t="shared" si="0"/>
        <v>19.373750000000001</v>
      </c>
      <c r="M40" s="15">
        <f t="shared" si="0"/>
        <v>32.374166666666667</v>
      </c>
      <c r="N40" s="15">
        <f t="shared" si="0"/>
        <v>94.283333333333346</v>
      </c>
      <c r="O40" s="15">
        <f t="shared" si="0"/>
        <v>0</v>
      </c>
      <c r="P40" s="15">
        <f t="shared" si="0"/>
        <v>0.35999999999999993</v>
      </c>
      <c r="Q40" s="15">
        <f t="shared" si="0"/>
        <v>9.1758333333333351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43.993750000000006</v>
      </c>
      <c r="C41" s="15">
        <f t="shared" si="1"/>
        <v>74.022500000000022</v>
      </c>
      <c r="D41" s="15">
        <f t="shared" si="1"/>
        <v>73.090000000000003</v>
      </c>
      <c r="E41" s="15">
        <f t="shared" si="1"/>
        <v>2.6945833333333336</v>
      </c>
      <c r="F41" s="15">
        <f t="shared" si="1"/>
        <v>10.01125</v>
      </c>
      <c r="G41" s="15">
        <f t="shared" si="1"/>
        <v>149.96952380952376</v>
      </c>
      <c r="H41" s="15">
        <f t="shared" si="1"/>
        <v>43.929047619047623</v>
      </c>
      <c r="I41" s="15">
        <f t="shared" si="1"/>
        <v>10.002916666666668</v>
      </c>
      <c r="J41" s="15">
        <f t="shared" si="1"/>
        <v>1.5808333333333329</v>
      </c>
      <c r="K41" s="15">
        <f t="shared" si="1"/>
        <v>327.57583333333338</v>
      </c>
      <c r="L41" s="15">
        <f t="shared" si="1"/>
        <v>32.540833333333332</v>
      </c>
      <c r="M41" s="15">
        <f t="shared" si="1"/>
        <v>94.486249999999998</v>
      </c>
      <c r="N41" s="15">
        <f t="shared" si="1"/>
        <v>314.125</v>
      </c>
      <c r="O41" s="15">
        <f t="shared" si="1"/>
        <v>2.1331748129510379</v>
      </c>
      <c r="P41" s="15">
        <f t="shared" si="1"/>
        <v>1.2595833333333333</v>
      </c>
      <c r="Q41" s="15">
        <f t="shared" si="1"/>
        <v>10.592083333333335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14.949794117647059</v>
      </c>
      <c r="C42" s="15">
        <f t="shared" si="2"/>
        <v>39.098286764705875</v>
      </c>
      <c r="D42" s="15">
        <f t="shared" si="2"/>
        <v>32.036161764705881</v>
      </c>
      <c r="E42" s="15">
        <f t="shared" si="2"/>
        <v>1.8928913043478259</v>
      </c>
      <c r="F42" s="15">
        <f t="shared" si="2"/>
        <v>5.7481477272727277</v>
      </c>
      <c r="G42" s="15">
        <f t="shared" si="2"/>
        <v>59.46486721877158</v>
      </c>
      <c r="H42" s="15">
        <f t="shared" si="2"/>
        <v>22.721406642512079</v>
      </c>
      <c r="I42" s="15">
        <f t="shared" si="2"/>
        <v>7.115972222222223</v>
      </c>
      <c r="J42" s="15">
        <f t="shared" si="2"/>
        <v>0.7418055555555555</v>
      </c>
      <c r="K42" s="15">
        <f t="shared" si="2"/>
        <v>283.74222222222227</v>
      </c>
      <c r="L42" s="15">
        <f t="shared" si="2"/>
        <v>28.631652777777777</v>
      </c>
      <c r="M42" s="15">
        <f t="shared" si="2"/>
        <v>53.602499999999999</v>
      </c>
      <c r="N42" s="15">
        <f t="shared" si="2"/>
        <v>261.34220489528064</v>
      </c>
      <c r="O42" s="15">
        <f t="shared" si="2"/>
        <v>0.093883604876145707</v>
      </c>
      <c r="P42" s="15">
        <f t="shared" si="2"/>
        <v>0.73077777777777797</v>
      </c>
      <c r="Q42" s="15">
        <f t="shared" si="2"/>
        <v>9.4890972222222221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9.3936724978964659</v>
      </c>
      <c r="C43" s="15">
        <f t="shared" si="3"/>
        <v>12.497910011872964</v>
      </c>
      <c r="D43" s="15">
        <f t="shared" si="3"/>
        <v>11.851960787546464</v>
      </c>
      <c r="E43" s="15">
        <f t="shared" si="3"/>
        <v>0.27356217325149729</v>
      </c>
      <c r="F43" s="15">
        <f t="shared" si="3"/>
        <v>1.866298800473976</v>
      </c>
      <c r="G43" s="15">
        <f t="shared" si="3"/>
        <v>23.507415200775448</v>
      </c>
      <c r="H43" s="15">
        <f t="shared" si="3"/>
        <v>7.2010187518871041</v>
      </c>
      <c r="I43" s="15">
        <f t="shared" si="3"/>
        <v>1.5815266966477197</v>
      </c>
      <c r="J43" s="15">
        <f t="shared" si="3"/>
        <v>0.34441582735528037</v>
      </c>
      <c r="K43" s="15">
        <f t="shared" si="3"/>
        <v>36.139918039667705</v>
      </c>
      <c r="L43" s="15">
        <f t="shared" si="3"/>
        <v>3.6918305525935251</v>
      </c>
      <c r="M43" s="15">
        <f t="shared" si="3"/>
        <v>17.886042289347902</v>
      </c>
      <c r="N43" s="15">
        <f t="shared" si="3"/>
        <v>53.014666016908109</v>
      </c>
      <c r="O43" s="15">
        <f t="shared" si="3"/>
        <v>0.38876879832610656</v>
      </c>
      <c r="P43" s="15">
        <f t="shared" si="3"/>
        <v>0.20238415911526142</v>
      </c>
      <c r="Q43" s="15">
        <f t="shared" si="3"/>
        <v>0.33181459119907875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>COUNT(B9:B38)</f>
        <v>30</v>
      </c>
      <c r="C44" s="12">
        <f>COUNT(C9:C38)</f>
        <v>30</v>
      </c>
      <c r="D44" s="12">
        <f>COUNT(D9:D38)</f>
        <v>30</v>
      </c>
      <c r="E44" s="12">
        <f>COUNT(E9:E38)</f>
        <v>30</v>
      </c>
      <c r="F44" s="12">
        <f>COUNT(F9:F38)</f>
        <v>30</v>
      </c>
      <c r="G44" s="12">
        <f>COUNT(G9:G38)</f>
        <v>30</v>
      </c>
      <c r="H44" s="12">
        <f>COUNT(H9:H38)</f>
        <v>30</v>
      </c>
      <c r="I44" s="12">
        <f>COUNT(I9:I38)</f>
        <v>30</v>
      </c>
      <c r="J44" s="12">
        <f>COUNT(J9:J38)</f>
        <v>30</v>
      </c>
      <c r="K44" s="12">
        <f>COUNT(K9:K38)</f>
        <v>30</v>
      </c>
      <c r="L44" s="12">
        <f>COUNT(L9:L38)</f>
        <v>30</v>
      </c>
      <c r="M44" s="12">
        <f>COUNT(M9:M38)</f>
        <v>30</v>
      </c>
      <c r="N44" s="12">
        <f>COUNT(N9:N38)</f>
        <v>30</v>
      </c>
      <c r="O44" s="12">
        <f>COUNT(O9:O38)</f>
        <v>30</v>
      </c>
      <c r="P44" s="12">
        <f>COUNT(P9:P38)</f>
        <v>30</v>
      </c>
      <c r="Q44" s="12">
        <f>COUNT(Q9:Q38)</f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4" ref="C45:Q45">IF(C44&gt;=28,"&gt;90%",IF(C44&lt;=28,"&lt;90%"))</f>
        <v>&gt;90%</v>
      </c>
      <c r="D45" s="12" t="str">
        <f t="shared" si="4"/>
        <v>&gt;90%</v>
      </c>
      <c r="E45" s="12" t="str">
        <f t="shared" si="4"/>
        <v>&gt;90%</v>
      </c>
      <c r="F45" s="12" t="str">
        <f t="shared" si="4"/>
        <v>&gt;90%</v>
      </c>
      <c r="G45" s="12" t="str">
        <f t="shared" si="4"/>
        <v>&gt;90%</v>
      </c>
      <c r="H45" s="12" t="str">
        <f t="shared" si="4"/>
        <v>&gt;90%</v>
      </c>
      <c r="I45" s="12" t="str">
        <f t="shared" si="4"/>
        <v>&gt;90%</v>
      </c>
      <c r="J45" s="12" t="str">
        <f t="shared" si="4"/>
        <v>&gt;90%</v>
      </c>
      <c r="K45" s="12" t="str">
        <f t="shared" si="4"/>
        <v>&gt;90%</v>
      </c>
      <c r="L45" s="12" t="str">
        <f t="shared" si="4"/>
        <v>&gt;90%</v>
      </c>
      <c r="M45" s="12" t="str">
        <f t="shared" si="4"/>
        <v>&gt;90%</v>
      </c>
      <c r="N45" s="12" t="str">
        <f t="shared" si="4"/>
        <v>&gt;90%</v>
      </c>
      <c r="O45" s="12" t="str">
        <f t="shared" si="4"/>
        <v>&gt;90%</v>
      </c>
      <c r="P45" s="12" t="str">
        <f t="shared" si="4"/>
        <v>&gt;90%</v>
      </c>
      <c r="Q45" s="12" t="str">
        <f t="shared" si="4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5" ref="C46:Q46">IF(C44&gt;=28,"OK",IF(C44&lt;=28,"LESS"))</f>
        <v>OK</v>
      </c>
      <c r="D46" s="12" t="str">
        <f t="shared" si="5"/>
        <v>OK</v>
      </c>
      <c r="E46" s="12" t="str">
        <f t="shared" si="5"/>
        <v>OK</v>
      </c>
      <c r="F46" s="12" t="str">
        <f t="shared" si="5"/>
        <v>OK</v>
      </c>
      <c r="G46" s="12" t="str">
        <f t="shared" si="5"/>
        <v>OK</v>
      </c>
      <c r="H46" s="12" t="str">
        <f t="shared" si="5"/>
        <v>OK</v>
      </c>
      <c r="I46" s="12" t="str">
        <f t="shared" si="5"/>
        <v>OK</v>
      </c>
      <c r="J46" s="12" t="str">
        <f t="shared" si="5"/>
        <v>OK</v>
      </c>
      <c r="K46" s="12" t="str">
        <f t="shared" si="5"/>
        <v>OK</v>
      </c>
      <c r="L46" s="12" t="str">
        <f t="shared" si="5"/>
        <v>OK</v>
      </c>
      <c r="M46" s="12" t="str">
        <f t="shared" si="5"/>
        <v>OK</v>
      </c>
      <c r="N46" s="12" t="str">
        <f t="shared" si="5"/>
        <v>OK</v>
      </c>
      <c r="O46" s="12" t="str">
        <f t="shared" si="5"/>
        <v>OK</v>
      </c>
      <c r="P46" s="12" t="str">
        <f t="shared" si="5"/>
        <v>OK</v>
      </c>
      <c r="Q46" s="12" t="str">
        <f t="shared" si="5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2024-05-06T17:21:28Z</dcterms:modified>
  <cp:category/>
</cp:coreProperties>
</file>